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7" i="4" l="1"/>
  <c r="E145" i="4"/>
  <c r="E139" i="4"/>
  <c r="E136" i="4"/>
  <c r="E129" i="4"/>
  <c r="E123" i="4"/>
  <c r="E115" i="4"/>
  <c r="E113" i="4"/>
  <c r="E112" i="4"/>
  <c r="E111" i="4"/>
  <c r="E110" i="4"/>
  <c r="E109" i="4"/>
  <c r="E108" i="4"/>
  <c r="E107" i="4"/>
  <c r="E106" i="4"/>
  <c r="E103" i="4"/>
  <c r="E102" i="4"/>
  <c r="E100" i="4"/>
  <c r="E99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6" i="4" s="1"/>
  <c r="E64" i="4"/>
  <c r="E63" i="4"/>
  <c r="E57" i="4"/>
  <c r="E56" i="4"/>
  <c r="E55" i="4"/>
  <c r="E54" i="4"/>
  <c r="E51" i="4"/>
  <c r="E47" i="4"/>
  <c r="E46" i="4"/>
  <c r="E37" i="4"/>
  <c r="D160" i="4" l="1"/>
  <c r="E160" i="4" s="1"/>
  <c r="D158" i="4"/>
  <c r="E158" i="4" s="1"/>
  <c r="E161" i="4" s="1"/>
  <c r="D153" i="4"/>
  <c r="E153" i="4" s="1"/>
  <c r="D152" i="4"/>
  <c r="E152" i="4" s="1"/>
  <c r="D151" i="4"/>
  <c r="E151" i="4" s="1"/>
  <c r="D150" i="4"/>
  <c r="E150" i="4" s="1"/>
  <c r="D149" i="4"/>
  <c r="E149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37" i="4"/>
  <c r="E137" i="4" s="1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E133" i="4" s="1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1" i="4"/>
  <c r="E101" i="4" s="1"/>
  <c r="D98" i="4"/>
  <c r="E98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59" i="4"/>
  <c r="E159" i="4" s="1"/>
  <c r="D94" i="4"/>
  <c r="E94" i="4" s="1"/>
  <c r="D58" i="4"/>
  <c r="E58" i="4" s="1"/>
  <c r="E119" i="4" l="1"/>
  <c r="E154" i="4"/>
  <c r="E60" i="4"/>
  <c r="E95" i="4"/>
  <c r="E14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<sst xmlns="http://schemas.openxmlformats.org/spreadsheetml/2006/main" count="398" uniqueCount="269">
  <si>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</si>
  <si>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</si>
  <si>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</si>
  <si>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</si>
  <si>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</si>
  <si>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</si>
  <si>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</si>
  <si>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</si>
  <si>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</si>
  <si>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</si>
  <si>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</si>
  <si>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</si>
  <si>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</si>
  <si>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</si>
  <si>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</si>
  <si>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</si>
  <si>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</si>
  <si>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</si>
  <si>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</si>
  <si>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</si>
  <si>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</si>
  <si>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</si>
  <si>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</si>
  <si>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</si>
  <si>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</si>
  <si>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</si>
  <si>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</si>
  <si>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</si>
  <si>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</si>
  <si>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</si>
  <si>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</si>
  <si>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</si>
  <si>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</si>
  <si>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</si>
  <si>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</si>
  <si>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</si>
  <si>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</si>
  <si>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</si>
  <si>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</si>
  <si>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</si>
  <si>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</si>
  <si>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</si>
  <si>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</si>
  <si>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</si>
  <si>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</si>
  <si>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</si>
  <si>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</si>
  <si>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</si>
  <si>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</si>
  <si>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</si>
  <si>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</si>
  <si>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</si>
  <si>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</si>
  <si>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</si>
  <si>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</si>
  <si>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</si>
  <si>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</si>
  <si>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</si>
  <si>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</si>
  <si>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</si>
  <si>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</si>
  <si>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</si>
  <si>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</si>
  <si>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</si>
  <si>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</si>
  <si>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</si>
  <si>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</si>
  <si>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</si>
  <si>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</si>
  <si>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</si>
  <si>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</si>
  <si>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</si>
  <si>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</si>
  <si>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</si>
  <si>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</si>
  <si>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</si>
  <si>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</si>
  <si>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</si>
  <si>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</si>
  <si>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</si>
  <si>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</si>
  <si>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</si>
  <si>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</si>
  <si>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</si>
  <si>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</si>
  <si>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</si>
  <si>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</si>
  <si>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</si>
  <si>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</si>
  <si>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</si>
  <si>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</si>
  <si>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</si>
  <si>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</si>
  <si>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</si>
  <si>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</si>
  <si>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</si>
  <si>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</si>
  <si>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</si>
  <si>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</si>
  <si>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</si>
  <si>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</si>
  <si>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</si>
  <si>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</si>
  <si>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</si>
  <si>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</si>
  <si>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</si>
  <si>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</si>
  <si>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</si>
  <si>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</si>
  <si>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</si>
  <si>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</si>
  <si>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</si>
  <si>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</si>
  <si>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</si>
  <si>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</si>
  <si>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</si>
  <si>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</si>
  <si>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</si>
  <si>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</si>
  <si>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</si>
  <si>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</si>
  <si>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</si>
  <si>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</si>
  <si>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</si>
  <si>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</si>
  <si>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</si>
  <si>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</si>
  <si>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</si>
  <si>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</si>
  <si>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</si>
  <si>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</si>
  <si>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</si>
  <si>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</si>
  <si>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</si>
  <si>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</si>
  <si>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</si>
  <si>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</si>
  <si>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</si>
  <si>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</si>
  <si>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</si>
  <si>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</si>
  <si>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</si>
  <si>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</si>
  <si>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</si>
  <si>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</si>
  <si>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</si>
  <si>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</si>
  <si>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</si>
  <si>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</si>
  <si>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</si>
  <si>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</si>
  <si>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</si>
  <si>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</si>
  <si>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</si>
  <si>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</si>
  <si>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</si>
  <si>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</si>
  <si>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</si>
  <si>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</si>
  <si>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</si>
  <si>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</si>
  <si>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</si>
  <si>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</si>
  <si>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</si>
  <si>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</si>
  <si>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</si>
  <si>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</si>
  <si>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</si>
  <si>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</si>
  <si>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</si>
  <si>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</si>
  <si>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</si>
  <si>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</si>
  <si>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</si>
  <si>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</si>
  <si>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</si>
  <si>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</si>
  <si>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</si>
  <si>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</si>
  <si>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</si>
  <si>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</si>
  <si>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</si>
  <si>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</si>
  <si>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</si>
  <si>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</si>
  <si>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</si>
  <si>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</si>
  <si>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</si>
  <si>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</si>
  <si>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</si>
  <si>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</si>
  <si>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</si>
  <si>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</si>
  <si>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</si>
  <si>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</si>
  <si>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</si>
  <si>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</si>
  <si>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</si>
  <si>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</si>
  <si>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</si>
  <si>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</si>
  <si>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</si>
  <si>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</si>
  <si>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</si>
  <si>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</si>
  <si>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</si>
  <si>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</si>
  <si>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</si>
  <si>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</si>
  <si>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</si>
  <si>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</si>
  <si>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</si>
  <si>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</si>
  <si>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</si>
  <si>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</si>
  <si>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</si>
  <si>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</si>
  <si>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</si>
  <si>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</si>
  <si>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</si>
  <si>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</si>
  <si>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</si>
  <si>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</si>
  <si>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</si>
  <si>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</si>
  <si>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</si>
  <si>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</si>
  <si>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</si>
  <si>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</si>
  <si>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</si>
  <si>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</si>
  <si>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</si>
  <si>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</si>
  <si>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</si>
  <si>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</si>
  <si>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</si>
  <si>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</si>
  <si>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</si>
  <si>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</si>
  <si>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</si>
  <si>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</si>
  <si>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</si>
  <si>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</si>
  <si>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</si>
  <si>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</si>
  <si>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</si>
  <si>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</si>
  <si>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</si>
  <si>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</si>
  <si>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</si>
  <si>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</si>
  <si>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</si>
  <si>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</si>
  <si>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</si>
  <si>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돌문화공원 2단계 2차 건설공사</t>
    <phoneticPr fontId="2" type="noConversion"/>
  </si>
  <si>
    <t>제주도</t>
  </si>
  <si>
    <t>문화및집회</t>
  </si>
  <si>
    <t>기초공사,골재비및운반비, 품질시험비, 기타공사</t>
    <phoneticPr fontId="2" type="noConversion"/>
  </si>
  <si>
    <t>공조배관공사, 우수처리시설공사</t>
    <phoneticPr fontId="2" type="noConversion"/>
  </si>
  <si>
    <t>전기인입 및 수변전 설비공사</t>
    <phoneticPr fontId="2" type="noConversion"/>
  </si>
  <si>
    <t>소화가스배관공사</t>
    <phoneticPr fontId="2" type="noConversion"/>
  </si>
  <si>
    <t>옥외소화배관공사, 펌프실배관공사, 무선통신보조설비공사</t>
    <phoneticPr fontId="2" type="noConversion"/>
  </si>
  <si>
    <t>토목 상수도공사, 사급자재비,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</si>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</sst>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24585.42</v>
      </c>
      <c r="D7" s="36">
        <f>+C7/3.3058</f>
        <v>7437.0560832476249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1153470</v>
      </c>
      <c r="E25" s="58">
        <f t="shared" si="0"/>
        <v>3813140</v>
      </c>
    </row>
    <row r="26" spans="1:5" x14ac:dyDescent="0.3">
      <c r="B26" s="2">
        <v>3</v>
      </c>
      <c r="C26" s="35" t="s">
        <v>95</v>
      </c>
      <c r="D26" s="45">
        <f>+D66</f>
        <v>156530</v>
      </c>
      <c r="E26" s="58">
        <f t="shared" si="0"/>
        <v>517450</v>
      </c>
    </row>
    <row r="27" spans="1:5" x14ac:dyDescent="0.3">
      <c r="B27" s="2">
        <v>4</v>
      </c>
      <c r="C27" s="35" t="s">
        <v>96</v>
      </c>
      <c r="D27" s="45">
        <f>+D95</f>
        <v>298320</v>
      </c>
      <c r="E27" s="58">
        <f t="shared" si="0"/>
        <v>986180</v>
      </c>
    </row>
    <row r="28" spans="1:5" x14ac:dyDescent="0.3">
      <c r="B28" s="2">
        <v>5</v>
      </c>
      <c r="C28" s="35" t="s">
        <v>97</v>
      </c>
      <c r="D28" s="45">
        <f>+D119</f>
        <v>268530</v>
      </c>
      <c r="E28" s="58">
        <f t="shared" si="0"/>
        <v>887700</v>
      </c>
    </row>
    <row r="29" spans="1:5" x14ac:dyDescent="0.3">
      <c r="B29" s="2">
        <v>6</v>
      </c>
      <c r="C29" s="35" t="s">
        <v>98</v>
      </c>
      <c r="D29" s="45">
        <f>+D133</f>
        <v>57690</v>
      </c>
      <c r="E29" s="58">
        <f t="shared" si="0"/>
        <v>190710</v>
      </c>
    </row>
    <row r="30" spans="1:5" x14ac:dyDescent="0.3">
      <c r="B30" s="2">
        <v>7</v>
      </c>
      <c r="C30" s="35" t="s">
        <v>99</v>
      </c>
      <c r="D30" s="45">
        <f>+D146</f>
        <v>79560</v>
      </c>
      <c r="E30" s="58">
        <f t="shared" si="0"/>
        <v>263000</v>
      </c>
    </row>
    <row r="31" spans="1:5" x14ac:dyDescent="0.3">
      <c r="B31" s="2">
        <v>8</v>
      </c>
      <c r="C31" s="35" t="s">
        <v>100</v>
      </c>
      <c r="D31" s="45">
        <f>+D154</f>
        <v>104180</v>
      </c>
      <c r="E31" s="58">
        <f t="shared" si="0"/>
        <v>344390</v>
      </c>
    </row>
    <row r="32" spans="1:5" x14ac:dyDescent="0.3">
      <c r="B32" s="2">
        <v>9</v>
      </c>
      <c r="C32" s="35" t="s">
        <v>101</v>
      </c>
      <c r="D32" s="45">
        <f>+D161</f>
        <v>74290</v>
      </c>
      <c r="E32" s="58">
        <f t="shared" si="0"/>
        <v>245580</v>
      </c>
    </row>
    <row r="33" spans="1:7" x14ac:dyDescent="0.3">
      <c r="B33" s="2">
        <v>10</v>
      </c>
      <c r="C33" s="35" t="s">
        <v>153</v>
      </c>
      <c r="D33" s="53">
        <f>TRUNC(SUM(D24:D32)*0.275,-1)</f>
        <v>602950</v>
      </c>
      <c r="E33" s="59">
        <f t="shared" si="0"/>
        <v>1993230</v>
      </c>
    </row>
    <row r="34" spans="1:7" x14ac:dyDescent="0.3">
      <c r="C34" s="35" t="s">
        <v>112</v>
      </c>
      <c r="D34" s="44">
        <f>SUM(D24:D33)</f>
        <v>2795520</v>
      </c>
      <c r="E34" s="44">
        <f>SUM(E24:E33)</f>
        <v>9241380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234</v>
      </c>
      <c r="E36" s="56" t="s">
        <v>240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264</v>
      </c>
      <c r="E39" s="66" t="s">
        <v>265</v>
      </c>
      <c r="G39" s="67"/>
    </row>
    <row r="40" spans="1:7" x14ac:dyDescent="0.3">
      <c r="A40" s="2">
        <v>1</v>
      </c>
      <c r="C40" s="38" t="s">
        <v>15</v>
      </c>
      <c r="D40" s="40">
        <f>TRUNC(83090,-1)</f>
        <v>83090</v>
      </c>
      <c r="E40" s="61">
        <f t="shared" ref="E40:E59" si="1">TRUNC(+D40*3.3058,-1)</f>
        <v>274670</v>
      </c>
    </row>
    <row r="41" spans="1:7" x14ac:dyDescent="0.3">
      <c r="A41" s="2">
        <v>2</v>
      </c>
      <c r="C41" s="38" t="s">
        <v>13</v>
      </c>
      <c r="D41" s="42">
        <f>TRUNC(272986,-1)</f>
        <v>272980</v>
      </c>
      <c r="E41" s="62">
        <f t="shared" si="1"/>
        <v>902410</v>
      </c>
    </row>
    <row r="42" spans="1:7" x14ac:dyDescent="0.3">
      <c r="A42" s="2">
        <v>3</v>
      </c>
      <c r="C42" s="38" t="s">
        <v>14</v>
      </c>
      <c r="D42" s="42">
        <f>TRUNC(63414,-1)</f>
        <v>63410</v>
      </c>
      <c r="E42" s="62">
        <f t="shared" si="1"/>
        <v>209620</v>
      </c>
    </row>
    <row r="43" spans="1:7" x14ac:dyDescent="0.3">
      <c r="A43" s="2">
        <v>4</v>
      </c>
      <c r="C43" s="38" t="s">
        <v>16</v>
      </c>
      <c r="D43" s="42">
        <f>TRUNC(2679,-1)</f>
        <v>2670</v>
      </c>
      <c r="E43" s="62">
        <f t="shared" si="1"/>
        <v>8820</v>
      </c>
    </row>
    <row r="44" spans="1:7" x14ac:dyDescent="0.3">
      <c r="A44" s="2">
        <v>5</v>
      </c>
      <c r="C44" s="38" t="s">
        <v>17</v>
      </c>
      <c r="D44" s="42">
        <f>TRUNC(57769,-1)</f>
        <v>57760</v>
      </c>
      <c r="E44" s="62">
        <f t="shared" si="1"/>
        <v>190940</v>
      </c>
    </row>
    <row r="45" spans="1:7" x14ac:dyDescent="0.3">
      <c r="A45" s="2">
        <v>6</v>
      </c>
      <c r="C45" s="38" t="s">
        <v>18</v>
      </c>
      <c r="D45" s="42">
        <f>TRUNC(1045,-1)</f>
        <v>1040</v>
      </c>
      <c r="E45" s="62">
        <f t="shared" si="1"/>
        <v>3430</v>
      </c>
    </row>
    <row r="46" spans="1:7" x14ac:dyDescent="0.3">
      <c r="A46" s="2">
        <v>7</v>
      </c>
      <c r="C46" s="38" t="s">
        <v>19</v>
      </c>
      <c r="D46" s="42">
        <v>83560</v>
      </c>
      <c r="E46" s="62">
        <f t="shared" si="1"/>
        <v>276230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TRUNC(55745,-1)</f>
        <v>55740</v>
      </c>
      <c r="E48" s="62">
        <f t="shared" si="1"/>
        <v>184260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TRUNC(9577,-1)</f>
        <v>9570</v>
      </c>
      <c r="E49" s="62">
        <f t="shared" si="1"/>
        <v>31630</v>
      </c>
    </row>
    <row r="50" spans="1:7" x14ac:dyDescent="0.3">
      <c r="A50" s="2">
        <v>11</v>
      </c>
      <c r="C50" s="38" t="s">
        <v>154</v>
      </c>
      <c r="D50" s="42">
        <f>TRUNC(44905,-1)</f>
        <v>44900</v>
      </c>
      <c r="E50" s="62">
        <f t="shared" si="1"/>
        <v>148430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TRUNC(37515,-1)</f>
        <v>37510</v>
      </c>
      <c r="E52" s="62">
        <f t="shared" si="1"/>
        <v>124000</v>
      </c>
    </row>
    <row r="53" spans="1:7" x14ac:dyDescent="0.3">
      <c r="A53" s="2">
        <v>14</v>
      </c>
      <c r="C53" s="38" t="s">
        <v>25</v>
      </c>
      <c r="D53" s="42">
        <f>TRUNC(49134,-1)</f>
        <v>49130</v>
      </c>
      <c r="E53" s="62">
        <f t="shared" si="1"/>
        <v>162410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1349+5193+1284+32614</f>
        <v>40440</v>
      </c>
      <c r="E58" s="62">
        <f t="shared" si="1"/>
        <v>133680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TRUNC(351672,-1)</f>
        <v>351670</v>
      </c>
      <c r="E59" s="63">
        <f t="shared" si="1"/>
        <v>1162550</v>
      </c>
    </row>
    <row r="60" spans="1:7" x14ac:dyDescent="0.3">
      <c r="A60" s="2">
        <v>21</v>
      </c>
      <c r="C60" s="27" t="s">
        <v>112</v>
      </c>
      <c r="D60" s="39">
        <f>SUM(D40:D59)</f>
        <v>1153470</v>
      </c>
      <c r="E60" s="39">
        <f>SUM(E40:E59)</f>
        <v>3813080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240</v>
      </c>
      <c r="F62" s="54"/>
      <c r="G62" s="54"/>
    </row>
    <row r="63" spans="1:7" x14ac:dyDescent="0.3">
      <c r="A63" s="2">
        <v>1</v>
      </c>
      <c r="C63" s="38" t="s">
        <v>27</v>
      </c>
      <c r="D63" s="40">
        <v>156530</v>
      </c>
      <c r="E63" s="61">
        <f>TRUNC(+D63*3.3058,-1)</f>
        <v>517450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156530</v>
      </c>
      <c r="E66" s="64">
        <f>SUM(E63:E65)</f>
        <v>517450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234</v>
      </c>
      <c r="E68" s="56" t="s">
        <v>240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TRUNC(5736,-1)</f>
        <v>5730</v>
      </c>
      <c r="E69" s="61">
        <f t="shared" ref="E69:E94" si="2">TRUNC(+D69*3.3058,-1)</f>
        <v>18940</v>
      </c>
    </row>
    <row r="70" spans="1:7" ht="16.5" customHeight="1" x14ac:dyDescent="0.3">
      <c r="A70" s="2">
        <v>2</v>
      </c>
      <c r="C70" s="38" t="s">
        <v>31</v>
      </c>
      <c r="D70" s="42">
        <f>TRUNC(309,-1)</f>
        <v>300</v>
      </c>
      <c r="E70" s="62">
        <f t="shared" si="2"/>
        <v>990</v>
      </c>
    </row>
    <row r="71" spans="1:7" x14ac:dyDescent="0.3">
      <c r="A71" s="2">
        <v>3</v>
      </c>
      <c r="C71" s="38" t="s">
        <v>32</v>
      </c>
      <c r="D71" s="42">
        <f>TRUNC(4144,-1)</f>
        <v>4140</v>
      </c>
      <c r="E71" s="62">
        <f t="shared" si="2"/>
        <v>13680</v>
      </c>
    </row>
    <row r="72" spans="1:7" x14ac:dyDescent="0.3">
      <c r="A72" s="2">
        <v>4</v>
      </c>
      <c r="C72" s="38" t="s">
        <v>33</v>
      </c>
      <c r="D72" s="42">
        <f>TRUNC(148,-1)</f>
        <v>140</v>
      </c>
      <c r="E72" s="62">
        <f t="shared" si="2"/>
        <v>460</v>
      </c>
    </row>
    <row r="73" spans="1:7" x14ac:dyDescent="0.3">
      <c r="A73" s="2">
        <v>5</v>
      </c>
      <c r="C73" s="38" t="s">
        <v>34</v>
      </c>
      <c r="D73" s="42">
        <f>TRUNC(8396,-1)</f>
        <v>8390</v>
      </c>
      <c r="E73" s="62">
        <f t="shared" si="2"/>
        <v>27730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TRUNC(1712,-1)</f>
        <v>1710</v>
      </c>
      <c r="E75" s="62">
        <f t="shared" si="2"/>
        <v>5650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TRUNC(11792,-1)</f>
        <v>11790</v>
      </c>
      <c r="E89" s="62">
        <f t="shared" si="2"/>
        <v>38970</v>
      </c>
    </row>
    <row r="90" spans="1:7" x14ac:dyDescent="0.3">
      <c r="A90" s="2">
        <v>22</v>
      </c>
      <c r="C90" s="38" t="s">
        <v>36</v>
      </c>
      <c r="D90" s="42">
        <f>TRUNC(377,-1)</f>
        <v>370</v>
      </c>
      <c r="E90" s="62">
        <f t="shared" si="2"/>
        <v>1220</v>
      </c>
    </row>
    <row r="91" spans="1:7" x14ac:dyDescent="0.3">
      <c r="A91" s="2">
        <v>23</v>
      </c>
      <c r="C91" s="38" t="s">
        <v>37</v>
      </c>
      <c r="D91" s="42">
        <f>TRUNC(39486,-1)</f>
        <v>39480</v>
      </c>
      <c r="E91" s="62">
        <f t="shared" si="2"/>
        <v>130510</v>
      </c>
    </row>
    <row r="92" spans="1:7" x14ac:dyDescent="0.3">
      <c r="A92" s="2">
        <v>24</v>
      </c>
      <c r="C92" s="38" t="s">
        <v>38</v>
      </c>
      <c r="D92" s="42">
        <f>TRUNC(1937,-1)</f>
        <v>1930</v>
      </c>
      <c r="E92" s="62">
        <f t="shared" si="2"/>
        <v>6380</v>
      </c>
    </row>
    <row r="93" spans="1:7" x14ac:dyDescent="0.3">
      <c r="A93" s="2">
        <v>25</v>
      </c>
      <c r="C93" s="38" t="s">
        <v>148</v>
      </c>
      <c r="D93" s="42">
        <v>167610</v>
      </c>
      <c r="E93" s="62">
        <f t="shared" si="2"/>
        <v>554080</v>
      </c>
    </row>
    <row r="94" spans="1:7" ht="17.25" thickBot="1" x14ac:dyDescent="0.35">
      <c r="A94" s="2">
        <v>26</v>
      </c>
      <c r="C94" s="38" t="s">
        <v>47</v>
      </c>
      <c r="D94" s="43">
        <f>11574+22264+22892</f>
        <v>56730</v>
      </c>
      <c r="E94" s="63">
        <f t="shared" si="2"/>
        <v>187530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298320</v>
      </c>
      <c r="E95" s="39">
        <f>SUM(E69:E94)</f>
        <v>986140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234</v>
      </c>
      <c r="E97" s="56" t="s">
        <v>240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TRUNC(79537,-1)</f>
        <v>79530</v>
      </c>
      <c r="E98" s="61">
        <f t="shared" ref="E98:E118" si="3">TRUNC(+D98*3.3058,-1)</f>
        <v>262910</v>
      </c>
    </row>
    <row r="99" spans="1:7" x14ac:dyDescent="0.3">
      <c r="A99" s="2">
        <v>2</v>
      </c>
      <c r="C99" s="38" t="s">
        <v>40</v>
      </c>
      <c r="D99" s="42">
        <v>9470</v>
      </c>
      <c r="E99" s="62">
        <f t="shared" si="3"/>
        <v>31300</v>
      </c>
    </row>
    <row r="100" spans="1:7" x14ac:dyDescent="0.3">
      <c r="A100" s="2">
        <v>3</v>
      </c>
      <c r="C100" s="38" t="s">
        <v>41</v>
      </c>
      <c r="D100" s="42">
        <v>18300</v>
      </c>
      <c r="E100" s="62">
        <f t="shared" si="3"/>
        <v>60490</v>
      </c>
    </row>
    <row r="101" spans="1:7" x14ac:dyDescent="0.3">
      <c r="A101" s="2">
        <v>4</v>
      </c>
      <c r="C101" s="38" t="s">
        <v>42</v>
      </c>
      <c r="D101" s="42">
        <f>TRUNC(1293,-1)</f>
        <v>1290</v>
      </c>
      <c r="E101" s="62">
        <f t="shared" si="3"/>
        <v>4260</v>
      </c>
    </row>
    <row r="102" spans="1:7" x14ac:dyDescent="0.3">
      <c r="A102" s="2">
        <v>5</v>
      </c>
      <c r="C102" s="38" t="s">
        <v>43</v>
      </c>
      <c r="D102" s="42">
        <v>4370</v>
      </c>
      <c r="E102" s="62">
        <f t="shared" si="3"/>
        <v>14440</v>
      </c>
    </row>
    <row r="103" spans="1:7" x14ac:dyDescent="0.3">
      <c r="A103" s="2">
        <v>6</v>
      </c>
      <c r="C103" s="38" t="s">
        <v>44</v>
      </c>
      <c r="D103" s="42">
        <v>0</v>
      </c>
      <c r="E103" s="62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TRUNC(7051,-1)</f>
        <v>7050</v>
      </c>
      <c r="E104" s="62">
        <f t="shared" si="3"/>
        <v>23300</v>
      </c>
    </row>
    <row r="105" spans="1:7" x14ac:dyDescent="0.3">
      <c r="A105" s="2">
        <v>8</v>
      </c>
      <c r="C105" s="38" t="s">
        <v>46</v>
      </c>
      <c r="D105" s="42">
        <f>TRUNC(7262,-1)</f>
        <v>7260</v>
      </c>
      <c r="E105" s="62">
        <f t="shared" si="3"/>
        <v>24000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TRUNC(5081,-1)</f>
        <v>5080</v>
      </c>
      <c r="E114" s="62">
        <f t="shared" si="3"/>
        <v>16790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TRUNC(6072,-1)</f>
        <v>6070</v>
      </c>
      <c r="E116" s="62">
        <f t="shared" si="3"/>
        <v>20060</v>
      </c>
      <c r="F116" s="2" t="s">
        <v>259</v>
      </c>
    </row>
    <row r="117" spans="1:7" x14ac:dyDescent="0.3">
      <c r="A117" s="2">
        <v>20</v>
      </c>
      <c r="C117" s="38" t="s">
        <v>148</v>
      </c>
      <c r="D117" s="42">
        <f>TRUNC(130013,-1)</f>
        <v>130010</v>
      </c>
      <c r="E117" s="62">
        <f t="shared" si="3"/>
        <v>429780</v>
      </c>
    </row>
    <row r="118" spans="1:7" ht="17.25" thickBot="1" x14ac:dyDescent="0.35">
      <c r="A118" s="2">
        <v>21</v>
      </c>
      <c r="C118" s="38" t="s">
        <v>47</v>
      </c>
      <c r="D118" s="43">
        <f>TRUNC(102,-1)</f>
        <v>100</v>
      </c>
      <c r="E118" s="63">
        <f t="shared" si="3"/>
        <v>330</v>
      </c>
    </row>
    <row r="119" spans="1:7" x14ac:dyDescent="0.3">
      <c r="A119" s="2">
        <v>22</v>
      </c>
      <c r="C119" s="27" t="s">
        <v>112</v>
      </c>
      <c r="D119" s="39">
        <f>SUM(D98:D118)</f>
        <v>268530</v>
      </c>
      <c r="E119" s="39">
        <f>SUM(E98:E118)</f>
        <v>887660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234</v>
      </c>
      <c r="E121" s="56" t="s">
        <v>240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TRUNC(1576,-1)</f>
        <v>1570</v>
      </c>
      <c r="E122" s="61">
        <f t="shared" ref="E122:E132" si="4">TRUNC(+D122*3.3058,-1)</f>
        <v>5190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TRUNC(85,-1)</f>
        <v>80</v>
      </c>
      <c r="E124" s="62">
        <f t="shared" si="4"/>
        <v>260</v>
      </c>
    </row>
    <row r="125" spans="1:7" x14ac:dyDescent="0.3">
      <c r="A125" s="2">
        <v>4</v>
      </c>
      <c r="C125" s="38" t="s">
        <v>138</v>
      </c>
      <c r="D125" s="42">
        <f>TRUNC(3066,-1)</f>
        <v>3060</v>
      </c>
      <c r="E125" s="62">
        <f t="shared" si="4"/>
        <v>10110</v>
      </c>
    </row>
    <row r="126" spans="1:7" x14ac:dyDescent="0.3">
      <c r="A126" s="2">
        <v>5</v>
      </c>
      <c r="C126" s="38" t="s">
        <v>53</v>
      </c>
      <c r="D126" s="42">
        <f>TRUNC(5246,-1)</f>
        <v>5240</v>
      </c>
      <c r="E126" s="62">
        <f t="shared" si="4"/>
        <v>17320</v>
      </c>
    </row>
    <row r="127" spans="1:7" x14ac:dyDescent="0.3">
      <c r="A127" s="2">
        <v>6</v>
      </c>
      <c r="C127" s="38" t="s">
        <v>56</v>
      </c>
      <c r="D127" s="42">
        <f>TRUNC(2662,-1)</f>
        <v>2660</v>
      </c>
      <c r="E127" s="62">
        <f t="shared" si="4"/>
        <v>8790</v>
      </c>
    </row>
    <row r="128" spans="1:7" x14ac:dyDescent="0.3">
      <c r="A128" s="2">
        <v>7</v>
      </c>
      <c r="C128" s="38" t="s">
        <v>46</v>
      </c>
      <c r="D128" s="42">
        <f>TRUNC(3207,-1)</f>
        <v>3200</v>
      </c>
      <c r="E128" s="62">
        <f t="shared" si="4"/>
        <v>10570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TRUNC(4777,-1)</f>
        <v>4770</v>
      </c>
      <c r="E130" s="62">
        <f t="shared" si="4"/>
        <v>15760</v>
      </c>
    </row>
    <row r="131" spans="1:7" x14ac:dyDescent="0.3">
      <c r="A131" s="2">
        <v>10</v>
      </c>
      <c r="C131" s="38" t="s">
        <v>148</v>
      </c>
      <c r="D131" s="42">
        <f>TRUNC(35694,-1)</f>
        <v>35690</v>
      </c>
      <c r="E131" s="62">
        <f t="shared" si="4"/>
        <v>117980</v>
      </c>
    </row>
    <row r="132" spans="1:7" ht="17.25" thickBot="1" x14ac:dyDescent="0.35">
      <c r="A132" s="2">
        <v>11</v>
      </c>
      <c r="C132" s="38" t="s">
        <v>47</v>
      </c>
      <c r="D132" s="43">
        <f>TRUNC(1325+102,-1)</f>
        <v>1420</v>
      </c>
      <c r="E132" s="63">
        <f t="shared" si="4"/>
        <v>4690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57690</v>
      </c>
      <c r="E133" s="39">
        <f>SUM(E122:E132)</f>
        <v>190670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234</v>
      </c>
      <c r="E135" s="56" t="s">
        <v>240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TRUNC(45+1002+8909,-1)</f>
        <v>9950</v>
      </c>
      <c r="E137" s="62">
        <f t="shared" si="5"/>
        <v>32890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TRUNC(9556,-1)</f>
        <v>9550</v>
      </c>
      <c r="E138" s="62">
        <f t="shared" si="5"/>
        <v>31570</v>
      </c>
      <c r="F138" s="2" t="s">
        <v>260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TRUNC(833,-1)</f>
        <v>830</v>
      </c>
      <c r="E140" s="62">
        <f t="shared" si="5"/>
        <v>2740</v>
      </c>
    </row>
    <row r="141" spans="1:7" x14ac:dyDescent="0.3">
      <c r="A141" s="2">
        <v>6</v>
      </c>
      <c r="C141" s="38" t="s">
        <v>59</v>
      </c>
      <c r="D141" s="42">
        <f>TRUNC(31594,-1)</f>
        <v>31590</v>
      </c>
      <c r="E141" s="62">
        <f t="shared" si="5"/>
        <v>104430</v>
      </c>
    </row>
    <row r="142" spans="1:7" x14ac:dyDescent="0.3">
      <c r="A142" s="2">
        <v>7</v>
      </c>
      <c r="C142" s="38" t="s">
        <v>58</v>
      </c>
      <c r="D142" s="42">
        <f>TRUNC(6521,-1)</f>
        <v>6520</v>
      </c>
      <c r="E142" s="62">
        <f t="shared" si="5"/>
        <v>21550</v>
      </c>
    </row>
    <row r="143" spans="1:7" x14ac:dyDescent="0.3">
      <c r="A143" s="2">
        <v>8</v>
      </c>
      <c r="C143" s="38" t="s">
        <v>62</v>
      </c>
      <c r="D143" s="42">
        <f>TRUNC(3687,-1)</f>
        <v>3680</v>
      </c>
      <c r="E143" s="62">
        <f t="shared" si="5"/>
        <v>12160</v>
      </c>
    </row>
    <row r="144" spans="1:7" x14ac:dyDescent="0.3">
      <c r="A144" s="2">
        <v>9</v>
      </c>
      <c r="C144" s="38" t="s">
        <v>63</v>
      </c>
      <c r="D144" s="42">
        <f>TRUNC(15729,-1)</f>
        <v>15720</v>
      </c>
      <c r="E144" s="62">
        <f t="shared" si="5"/>
        <v>51960</v>
      </c>
    </row>
    <row r="145" spans="1:7" ht="17.25" thickBot="1" x14ac:dyDescent="0.35">
      <c r="A145" s="2">
        <v>10</v>
      </c>
      <c r="C145" s="38" t="s">
        <v>148</v>
      </c>
      <c r="D145" s="43">
        <v>1720</v>
      </c>
      <c r="E145" s="63">
        <f t="shared" si="5"/>
        <v>5680</v>
      </c>
    </row>
    <row r="146" spans="1:7" x14ac:dyDescent="0.3">
      <c r="A146" s="2">
        <v>11</v>
      </c>
      <c r="C146" s="27" t="s">
        <v>112</v>
      </c>
      <c r="D146" s="39">
        <f>SUM(D136:D145)</f>
        <v>79560</v>
      </c>
      <c r="E146" s="39">
        <f>SUM(E136:E145)</f>
        <v>262980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234</v>
      </c>
      <c r="E148" s="56" t="s">
        <v>240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TRUNC(9494+962,-1)</f>
        <v>10450</v>
      </c>
      <c r="E149" s="61">
        <f>TRUNC(+D149*3.3058,-1)</f>
        <v>34540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TRUNC(455,-1)</f>
        <v>450</v>
      </c>
      <c r="E150" s="62">
        <f>TRUNC(+D150*3.3058,-1)</f>
        <v>1480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TRUNC(8228,-1)</f>
        <v>8220</v>
      </c>
      <c r="E151" s="62">
        <f>TRUNC(+D151*3.3058,-1)</f>
        <v>27170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TRUNC(1317+12545+49646,-1)</f>
        <v>63500</v>
      </c>
      <c r="E152" s="62">
        <f>TRUNC(+D152*3.3058,-1)</f>
        <v>209910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TRUNC(21562,-1)</f>
        <v>21560</v>
      </c>
      <c r="E153" s="63">
        <f>TRUNC(+D153*3.3058,-1)</f>
        <v>71270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104180</v>
      </c>
      <c r="E154" s="39">
        <f>SUM(E149:E153)</f>
        <v>344370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234</v>
      </c>
      <c r="E156" s="56" t="s">
        <v>240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49710</v>
      </c>
      <c r="E157" s="61">
        <f>TRUNC(+D157*3.3058,-1)</f>
        <v>164330</v>
      </c>
    </row>
    <row r="158" spans="1:7" x14ac:dyDescent="0.3">
      <c r="A158" s="2">
        <v>2</v>
      </c>
      <c r="C158" s="38" t="s">
        <v>52</v>
      </c>
      <c r="D158" s="42">
        <f>TRUNC(3579,-1)</f>
        <v>3570</v>
      </c>
      <c r="E158" s="62">
        <f>TRUNC(+D158*3.3058,-1)</f>
        <v>11800</v>
      </c>
    </row>
    <row r="159" spans="1:7" x14ac:dyDescent="0.3">
      <c r="A159" s="2">
        <v>3</v>
      </c>
      <c r="C159" s="38" t="s">
        <v>47</v>
      </c>
      <c r="D159" s="42">
        <f>16401+3459</f>
        <v>19860</v>
      </c>
      <c r="E159" s="62">
        <f>TRUNC(+D159*3.3058,-1)</f>
        <v>65650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TRUNC(1155,-1)</f>
        <v>1150</v>
      </c>
      <c r="E160" s="63">
        <f>TRUNC(+D160*3.3058,-1)</f>
        <v>3800</v>
      </c>
    </row>
    <row r="161" spans="1:5" x14ac:dyDescent="0.3">
      <c r="A161" s="2">
        <v>5</v>
      </c>
      <c r="C161" s="27" t="s">
        <v>112</v>
      </c>
      <c r="D161" s="39">
        <f>SUM(D157:D160)</f>
        <v>74290</v>
      </c>
      <c r="E161" s="39">
        <f>SUM(E157:E160)</f>
        <v>245580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2020-12-07T10:10:41Z</dcterms:modified>
</cp:coreProperties>
</file>