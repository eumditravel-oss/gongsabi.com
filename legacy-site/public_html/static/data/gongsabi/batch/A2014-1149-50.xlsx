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D79" i="4"/>
  <c r="D94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7" i="4"/>
  <c r="E123" i="4"/>
  <c r="E117" i="4"/>
  <c r="E116" i="4"/>
  <c r="E115" i="4"/>
  <c r="E113" i="4"/>
  <c r="E112" i="4"/>
  <c r="E111" i="4"/>
  <c r="E110" i="4"/>
  <c r="E109" i="4"/>
  <c r="E107" i="4"/>
  <c r="E106" i="4"/>
  <c r="E105" i="4"/>
  <c r="E104" i="4"/>
  <c r="E103" i="4"/>
  <c r="E94" i="4"/>
  <c r="E93" i="4"/>
  <c r="E91" i="4"/>
  <c r="E88" i="4"/>
  <c r="E87" i="4"/>
  <c r="E86" i="4"/>
  <c r="E85" i="4"/>
  <c r="E84" i="4"/>
  <c r="E83" i="4"/>
  <c r="E82" i="4"/>
  <c r="E80" i="4"/>
  <c r="E79" i="4"/>
  <c r="E78" i="4"/>
  <c r="E77" i="4"/>
  <c r="E76" i="4"/>
  <c r="E74" i="4"/>
  <c r="E72" i="4"/>
  <c r="E70" i="4"/>
  <c r="E65" i="4"/>
  <c r="E64" i="4"/>
  <c r="E63" i="4"/>
  <c r="E66" i="4" s="1"/>
  <c r="E59" i="4"/>
  <c r="E57" i="4"/>
  <c r="E56" i="4"/>
  <c r="E54" i="4"/>
  <c r="E40" i="4"/>
  <c r="E154" i="4" l="1"/>
  <c r="E146" i="4"/>
  <c r="D118" i="4"/>
  <c r="E118" i="4" s="1"/>
  <c r="D101" i="4"/>
  <c r="E101" i="4" s="1"/>
  <c r="D99" i="4"/>
  <c r="E99" i="4" s="1"/>
  <c r="D108" i="4"/>
  <c r="E108" i="4" s="1"/>
  <c r="D102" i="4"/>
  <c r="E102" i="4" s="1"/>
  <c r="D98" i="4"/>
  <c r="E98" i="4" s="1"/>
  <c r="E119" i="4" s="1"/>
  <c r="D114" i="4"/>
  <c r="E114" i="4" s="1"/>
  <c r="D100" i="4"/>
  <c r="E100" i="4" s="1"/>
  <c r="D69" i="4"/>
  <c r="E69" i="4" s="1"/>
  <c r="E95" i="4" s="1"/>
  <c r="D81" i="4"/>
  <c r="E81" i="4" s="1"/>
  <c r="D92" i="4"/>
  <c r="E92" i="4" s="1"/>
  <c r="D89" i="4"/>
  <c r="E89" i="4" s="1"/>
  <c r="D90" i="4"/>
  <c r="E90" i="4" s="1"/>
  <c r="D75" i="4"/>
  <c r="E75" i="4" s="1"/>
  <c r="D71" i="4"/>
  <c r="E71" i="4" s="1"/>
  <c r="D73" i="4"/>
  <c r="E73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E60" i="4" s="1"/>
  <c r="D37" i="4"/>
  <c r="E37" i="4" s="1"/>
  <c r="D132" i="4"/>
  <c r="E132" i="4" s="1"/>
  <c r="D126" i="4"/>
  <c r="E126" i="4" s="1"/>
  <c r="D130" i="4"/>
  <c r="E130" i="4" s="1"/>
  <c r="D128" i="4"/>
  <c r="E128" i="4" s="1"/>
  <c r="D125" i="4"/>
  <c r="E125" i="4" s="1"/>
  <c r="D124" i="4"/>
  <c r="E124" i="4" s="1"/>
  <c r="D122" i="4"/>
  <c r="E122" i="4" s="1"/>
  <c r="D152" i="4"/>
  <c r="E152" i="4" s="1"/>
  <c r="D159" i="4"/>
  <c r="E159" i="4" s="1"/>
  <c r="E161" i="4" s="1"/>
  <c r="E133" i="4" l="1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<sst xmlns="http://schemas.openxmlformats.org/spreadsheetml/2006/main" count="392" uniqueCount="267">
  <si>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</si>
  <si>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</si>
  <si>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</si>
  <si>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</si>
  <si>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</si>
  <si>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</si>
  <si>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</si>
  <si>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</si>
  <si>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</si>
  <si>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</si>
  <si>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</si>
  <si>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</si>
  <si>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</si>
  <si>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</si>
  <si>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</si>
  <si>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</si>
  <si>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</si>
  <si>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</si>
  <si>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</si>
  <si>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</si>
  <si>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</si>
  <si>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</si>
  <si>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</si>
  <si>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</si>
  <si>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</si>
  <si>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</si>
  <si>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</si>
  <si>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</si>
  <si>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</si>
  <si>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</si>
  <si>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</si>
  <si>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</si>
  <si>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</si>
  <si>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</si>
  <si>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</si>
  <si>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</si>
  <si>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</si>
  <si>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</si>
  <si>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</si>
  <si>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</si>
  <si>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</si>
  <si>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</si>
  <si>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</si>
  <si>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</si>
  <si>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</si>
  <si>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</si>
  <si>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</si>
  <si>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</si>
  <si>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</si>
  <si>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</si>
  <si>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</si>
  <si>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</si>
  <si>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</si>
  <si>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</si>
  <si>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</si>
  <si>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</si>
  <si>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</si>
  <si>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</si>
  <si>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</si>
  <si>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</si>
  <si>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</si>
  <si>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</si>
  <si>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</si>
  <si>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</si>
  <si>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</si>
  <si>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</si>
  <si>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</si>
  <si>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</si>
  <si>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</si>
  <si>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</si>
  <si>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</si>
  <si>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</si>
  <si>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</si>
  <si>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</si>
  <si>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</si>
  <si>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</si>
  <si>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</si>
  <si>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</si>
  <si>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</si>
  <si>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</si>
  <si>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</si>
  <si>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</si>
  <si>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</si>
  <si>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</si>
  <si>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</si>
  <si>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</si>
  <si>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</si>
  <si>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</si>
  <si>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</si>
  <si>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</si>
  <si>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</si>
  <si>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</si>
  <si>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</si>
  <si>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</si>
  <si>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</si>
  <si>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</si>
  <si>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</si>
  <si>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</si>
  <si>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</si>
  <si>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</si>
  <si>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</si>
  <si>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</si>
  <si>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</si>
  <si>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</si>
  <si>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</si>
  <si>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</si>
  <si>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</si>
  <si>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</si>
  <si>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</si>
  <si>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</si>
  <si>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</si>
  <si>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</si>
  <si>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</si>
  <si>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</si>
  <si>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</si>
  <si>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</si>
  <si>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</si>
  <si>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</si>
  <si>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</si>
  <si>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</si>
  <si>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</si>
  <si>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</si>
  <si>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</si>
  <si>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</si>
  <si>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</si>
  <si>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</si>
  <si>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</si>
  <si>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</si>
  <si>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</si>
  <si>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</si>
  <si>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</si>
  <si>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</si>
  <si>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</si>
  <si>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</si>
  <si>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</si>
  <si>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</si>
  <si>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</si>
  <si>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</si>
  <si>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</si>
  <si>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</si>
  <si>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</si>
  <si>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</si>
  <si>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</si>
  <si>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</si>
  <si>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</si>
  <si>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</si>
  <si>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</si>
  <si>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</si>
  <si>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</si>
  <si>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</si>
  <si>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</si>
  <si>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</si>
  <si>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</si>
  <si>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</si>
  <si>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</si>
  <si>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</si>
  <si>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</si>
  <si>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</si>
  <si>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</si>
  <si>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</si>
  <si>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</si>
  <si>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</si>
  <si>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</si>
  <si>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</si>
  <si>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</si>
  <si>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</si>
  <si>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</si>
  <si>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</si>
  <si>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</si>
  <si>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</si>
  <si>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</si>
  <si>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</si>
  <si>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</si>
  <si>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</si>
  <si>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</si>
  <si>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</si>
  <si>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</si>
  <si>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</si>
  <si>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</si>
  <si>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</si>
  <si>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</si>
  <si>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</si>
  <si>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</si>
  <si>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</si>
  <si>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</si>
  <si>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</si>
  <si>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</si>
  <si>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</si>
  <si>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</si>
  <si>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</si>
  <si>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</si>
  <si>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</si>
  <si>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</si>
  <si>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</si>
  <si>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</si>
  <si>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</si>
  <si>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</si>
  <si>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</si>
  <si>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</si>
  <si>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</si>
  <si>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</si>
  <si>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</si>
  <si>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</si>
  <si>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</si>
  <si>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</si>
  <si>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</si>
  <si>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</si>
  <si>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</si>
  <si>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</si>
  <si>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</si>
  <si>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</si>
  <si>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</si>
  <si>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</si>
  <si>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</si>
  <si>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</si>
  <si>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</si>
  <si>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</si>
  <si>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</si>
  <si>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</si>
  <si>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</si>
  <si>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</si>
  <si>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</si>
  <si>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</si>
  <si>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</si>
  <si>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</si>
  <si>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</si>
  <si>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</si>
  <si>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</si>
  <si>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</si>
  <si>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</si>
  <si>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</si>
  <si>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</si>
  <si>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</si>
  <si>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</si>
  <si>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</si>
  <si>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</si>
  <si>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</si>
  <si>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</si>
  <si>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</si>
  <si>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</si>
  <si>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</si>
  <si>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</si>
  <si>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</si>
  <si>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</si>
  <si>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</si>
  <si>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</si>
  <si>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</si>
  <si>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</si>
  <si>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00중학교 교사 신축공사</t>
    <phoneticPr fontId="2" type="noConversion"/>
  </si>
  <si>
    <t>교육연구</t>
  </si>
  <si>
    <t>광주시</t>
  </si>
  <si>
    <t>부대토목공사(흙막이공사포함)</t>
    <phoneticPr fontId="2" type="noConversion"/>
  </si>
  <si>
    <t>부대조경공사</t>
    <phoneticPr fontId="2" type="noConversion"/>
  </si>
  <si>
    <t>토및파일공사,기타공사,골재및운반공사,작업부산물,품질시험비</t>
    <phoneticPr fontId="2" type="noConversion"/>
  </si>
  <si>
    <t>냉난방전원설비공사</t>
    <phoneticPr fontId="2" type="noConversion"/>
  </si>
  <si>
    <t>급식실동력설비공사,기계실동력설비공사</t>
    <phoneticPr fontId="2" type="noConversion"/>
  </si>
  <si>
    <t>강당승하강조명설비공사</t>
    <phoneticPr fontId="2" type="noConversion"/>
  </si>
  <si>
    <t>태양광발전설비공사,환기유니트전원설비공사</t>
    <phoneticPr fontId="2" type="noConversion"/>
  </si>
  <si>
    <t>배관보온공사,스리브설치공사,옥외위생배관공사,주방기구,초절전온수난방</t>
    <phoneticPr fontId="2" type="noConversion"/>
  </si>
  <si>
    <t>환기덕트공사</t>
    <phoneticPr fontId="2" type="noConversion"/>
  </si>
  <si>
    <t>전기소방공사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</si>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</sst>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10170</v>
      </c>
      <c r="D7" s="36">
        <f>+C7/3.3058</f>
        <v>3076.4111561497971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43320</v>
      </c>
      <c r="E24" s="58">
        <f t="shared" ref="E24:E33" si="0">TRUNC(+D24*3.3058,-1)</f>
        <v>143200</v>
      </c>
    </row>
    <row r="25" spans="1:5" x14ac:dyDescent="0.3">
      <c r="B25" s="2">
        <v>2</v>
      </c>
      <c r="C25" s="35" t="s">
        <v>111</v>
      </c>
      <c r="D25" s="45">
        <f>+D60</f>
        <v>535200</v>
      </c>
      <c r="E25" s="59">
        <f t="shared" si="0"/>
        <v>1769260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53190</v>
      </c>
      <c r="E27" s="59">
        <f t="shared" si="0"/>
        <v>175830</v>
      </c>
    </row>
    <row r="28" spans="1:5" x14ac:dyDescent="0.3">
      <c r="B28" s="2">
        <v>5</v>
      </c>
      <c r="C28" s="35" t="s">
        <v>97</v>
      </c>
      <c r="D28" s="45">
        <f>+D119</f>
        <v>70110</v>
      </c>
      <c r="E28" s="59">
        <f t="shared" si="0"/>
        <v>231760</v>
      </c>
    </row>
    <row r="29" spans="1:5" x14ac:dyDescent="0.3">
      <c r="B29" s="2">
        <v>6</v>
      </c>
      <c r="C29" s="35" t="s">
        <v>98</v>
      </c>
      <c r="D29" s="45">
        <f>+D133</f>
        <v>31710</v>
      </c>
      <c r="E29" s="59">
        <f t="shared" si="0"/>
        <v>104820</v>
      </c>
    </row>
    <row r="30" spans="1:5" x14ac:dyDescent="0.3">
      <c r="B30" s="2">
        <v>7</v>
      </c>
      <c r="C30" s="35" t="s">
        <v>99</v>
      </c>
      <c r="D30" s="45">
        <f>+D146</f>
        <v>39380</v>
      </c>
      <c r="E30" s="59">
        <f t="shared" si="0"/>
        <v>130180</v>
      </c>
    </row>
    <row r="31" spans="1:5" x14ac:dyDescent="0.3">
      <c r="B31" s="2">
        <v>8</v>
      </c>
      <c r="C31" s="35" t="s">
        <v>100</v>
      </c>
      <c r="D31" s="45">
        <f>+D154</f>
        <v>61710</v>
      </c>
      <c r="E31" s="59">
        <f t="shared" si="0"/>
        <v>204000</v>
      </c>
    </row>
    <row r="32" spans="1:5" x14ac:dyDescent="0.3">
      <c r="B32" s="2">
        <v>9</v>
      </c>
      <c r="C32" s="35" t="s">
        <v>101</v>
      </c>
      <c r="D32" s="45">
        <f>+D161</f>
        <v>29130</v>
      </c>
      <c r="E32" s="59">
        <f t="shared" si="0"/>
        <v>96290</v>
      </c>
    </row>
    <row r="33" spans="1:7" x14ac:dyDescent="0.3">
      <c r="B33" s="2">
        <v>10</v>
      </c>
      <c r="C33" s="35" t="s">
        <v>154</v>
      </c>
      <c r="D33" s="53">
        <f>TRUNC(SUM(D24:D32)*0.275,-1)</f>
        <v>237530</v>
      </c>
      <c r="E33" s="60">
        <f t="shared" si="0"/>
        <v>785220</v>
      </c>
    </row>
    <row r="34" spans="1:7" x14ac:dyDescent="0.3">
      <c r="C34" s="35" t="s">
        <v>112</v>
      </c>
      <c r="D34" s="44">
        <f>SUM(D24:D33)</f>
        <v>1101280</v>
      </c>
      <c r="E34" s="44">
        <f>SUM(E24:E33)</f>
        <v>3640560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TRUNC(43323,-1)</f>
        <v>43320</v>
      </c>
      <c r="E37" s="61">
        <f>TRUNC(+D37*3.3058,-1)</f>
        <v>143200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v>0</v>
      </c>
      <c r="E40" s="62">
        <f t="shared" ref="E40:E59" si="1">TRUNC(+D40*3.3058,-1)</f>
        <v>0</v>
      </c>
    </row>
    <row r="41" spans="1:7" x14ac:dyDescent="0.3">
      <c r="A41" s="2">
        <v>2</v>
      </c>
      <c r="C41" s="38" t="s">
        <v>13</v>
      </c>
      <c r="D41" s="42">
        <f>TRUNC(110571,-1)</f>
        <v>110570</v>
      </c>
      <c r="E41" s="63">
        <f t="shared" si="1"/>
        <v>365520</v>
      </c>
    </row>
    <row r="42" spans="1:7" x14ac:dyDescent="0.3">
      <c r="A42" s="2">
        <v>3</v>
      </c>
      <c r="C42" s="38" t="s">
        <v>14</v>
      </c>
      <c r="D42" s="42">
        <f>TRUNC(9913,-1)</f>
        <v>9910</v>
      </c>
      <c r="E42" s="63">
        <f t="shared" si="1"/>
        <v>32760</v>
      </c>
    </row>
    <row r="43" spans="1:7" x14ac:dyDescent="0.3">
      <c r="A43" s="2">
        <v>4</v>
      </c>
      <c r="C43" s="38" t="s">
        <v>16</v>
      </c>
      <c r="D43" s="42">
        <f>TRUNC(22346,-1)</f>
        <v>22340</v>
      </c>
      <c r="E43" s="63">
        <f t="shared" si="1"/>
        <v>73850</v>
      </c>
    </row>
    <row r="44" spans="1:7" x14ac:dyDescent="0.3">
      <c r="A44" s="2">
        <v>5</v>
      </c>
      <c r="C44" s="38" t="s">
        <v>17</v>
      </c>
      <c r="D44" s="42">
        <f>TRUNC(26520,-1)</f>
        <v>26520</v>
      </c>
      <c r="E44" s="63">
        <f t="shared" si="1"/>
        <v>87660</v>
      </c>
    </row>
    <row r="45" spans="1:7" x14ac:dyDescent="0.3">
      <c r="A45" s="2">
        <v>6</v>
      </c>
      <c r="C45" s="38" t="s">
        <v>18</v>
      </c>
      <c r="D45" s="42">
        <f>TRUNC(3748,-1)</f>
        <v>3740</v>
      </c>
      <c r="E45" s="63">
        <f t="shared" si="1"/>
        <v>12360</v>
      </c>
    </row>
    <row r="46" spans="1:7" x14ac:dyDescent="0.3">
      <c r="A46" s="2">
        <v>7</v>
      </c>
      <c r="C46" s="38" t="s">
        <v>19</v>
      </c>
      <c r="D46" s="42">
        <f>TRUNC(4114,-1)</f>
        <v>4110</v>
      </c>
      <c r="E46" s="63">
        <f t="shared" si="1"/>
        <v>13580</v>
      </c>
    </row>
    <row r="47" spans="1:7" x14ac:dyDescent="0.3">
      <c r="A47" s="2">
        <v>8</v>
      </c>
      <c r="C47" s="38" t="s">
        <v>20</v>
      </c>
      <c r="D47" s="42">
        <f>TRUNC(17208,-1)</f>
        <v>17200</v>
      </c>
      <c r="E47" s="63">
        <f t="shared" si="1"/>
        <v>56850</v>
      </c>
    </row>
    <row r="48" spans="1:7" x14ac:dyDescent="0.3">
      <c r="A48" s="2">
        <v>9</v>
      </c>
      <c r="C48" s="38" t="s">
        <v>21</v>
      </c>
      <c r="D48" s="42">
        <f>TRUNC(103427,-1)</f>
        <v>103420</v>
      </c>
      <c r="E48" s="63">
        <f t="shared" si="1"/>
        <v>341880</v>
      </c>
    </row>
    <row r="49" spans="1:7" x14ac:dyDescent="0.3">
      <c r="A49" s="2">
        <v>10</v>
      </c>
      <c r="C49" s="38" t="s">
        <v>22</v>
      </c>
      <c r="D49" s="42">
        <f>TRUNC(16365,-1)</f>
        <v>16360</v>
      </c>
      <c r="E49" s="63">
        <f t="shared" si="1"/>
        <v>54080</v>
      </c>
    </row>
    <row r="50" spans="1:7" x14ac:dyDescent="0.3">
      <c r="A50" s="2">
        <v>11</v>
      </c>
      <c r="C50" s="38" t="s">
        <v>155</v>
      </c>
      <c r="D50" s="42">
        <f>TRUNC(25758,-1)</f>
        <v>25750</v>
      </c>
      <c r="E50" s="63">
        <f t="shared" si="1"/>
        <v>85120</v>
      </c>
    </row>
    <row r="51" spans="1:7" x14ac:dyDescent="0.3">
      <c r="A51" s="2">
        <v>12</v>
      </c>
      <c r="C51" s="38" t="s">
        <v>23</v>
      </c>
      <c r="D51" s="42">
        <f>TRUNC(31140,-1)</f>
        <v>31140</v>
      </c>
      <c r="E51" s="63">
        <f t="shared" si="1"/>
        <v>102940</v>
      </c>
    </row>
    <row r="52" spans="1:7" x14ac:dyDescent="0.3">
      <c r="A52" s="2">
        <v>13</v>
      </c>
      <c r="C52" s="38" t="s">
        <v>24</v>
      </c>
      <c r="D52" s="42">
        <f>TRUNC(6471,-1)</f>
        <v>6470</v>
      </c>
      <c r="E52" s="63">
        <f t="shared" si="1"/>
        <v>21380</v>
      </c>
    </row>
    <row r="53" spans="1:7" x14ac:dyDescent="0.3">
      <c r="A53" s="2">
        <v>14</v>
      </c>
      <c r="C53" s="38" t="s">
        <v>25</v>
      </c>
      <c r="D53" s="42">
        <f>TRUNC(118819,-1)</f>
        <v>118810</v>
      </c>
      <c r="E53" s="63">
        <f t="shared" si="1"/>
        <v>392760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TRUNC(17548,-1)</f>
        <v>17540</v>
      </c>
      <c r="E55" s="63">
        <f t="shared" si="1"/>
        <v>57980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TRUNC(9918+6130+5754-930+449,-1)</f>
        <v>21320</v>
      </c>
      <c r="E58" s="63">
        <f t="shared" si="1"/>
        <v>70470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535200</v>
      </c>
      <c r="E60" s="39">
        <f>SUM(E40:E59)</f>
        <v>1769190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TRUNC(8507,-1)</f>
        <v>8500</v>
      </c>
      <c r="E69" s="62">
        <f t="shared" ref="E69:E94" si="2">TRUNC(+D69*3.3058,-1)</f>
        <v>28090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TRUNC(6387,-1)</f>
        <v>6380</v>
      </c>
      <c r="E71" s="63">
        <f t="shared" si="2"/>
        <v>21090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TRUNC(7643,-1)</f>
        <v>7640</v>
      </c>
      <c r="E73" s="63">
        <f t="shared" si="2"/>
        <v>25250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TRUNC(174,-1)</f>
        <v>170</v>
      </c>
      <c r="E75" s="63">
        <f t="shared" si="2"/>
        <v>560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TRUNC(6208,-1)</f>
        <v>6200</v>
      </c>
      <c r="E79" s="63">
        <f t="shared" si="2"/>
        <v>20490</v>
      </c>
      <c r="F79" s="2" t="s">
        <v>259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TRUNC(3389,-1)</f>
        <v>3380</v>
      </c>
      <c r="E81" s="63">
        <f t="shared" si="2"/>
        <v>11170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TRUNC(3980,-1)</f>
        <v>3980</v>
      </c>
      <c r="E89" s="63">
        <f t="shared" si="2"/>
        <v>13150</v>
      </c>
    </row>
    <row r="90" spans="1:7" x14ac:dyDescent="0.3">
      <c r="A90" s="2">
        <v>22</v>
      </c>
      <c r="C90" s="38" t="s">
        <v>36</v>
      </c>
      <c r="D90" s="42">
        <f>TRUNC(560,-1)</f>
        <v>560</v>
      </c>
      <c r="E90" s="63">
        <f t="shared" si="2"/>
        <v>1850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TRUNC(9047,-1)</f>
        <v>9040</v>
      </c>
      <c r="E92" s="63">
        <f t="shared" si="2"/>
        <v>29880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TRUNC(3842+894+980+1289+343,-1)</f>
        <v>7340</v>
      </c>
      <c r="E94" s="64">
        <f t="shared" si="2"/>
        <v>24260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53190</v>
      </c>
      <c r="E95" s="39">
        <f>SUM(E69:E94)</f>
        <v>175790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TRUNC(14093,-1)</f>
        <v>14090</v>
      </c>
      <c r="E98" s="62">
        <f t="shared" ref="E98:E118" si="3">TRUNC(+D98*3.3058,-1)</f>
        <v>46570</v>
      </c>
    </row>
    <row r="99" spans="1:7" x14ac:dyDescent="0.3">
      <c r="A99" s="2">
        <v>2</v>
      </c>
      <c r="C99" s="38" t="s">
        <v>40</v>
      </c>
      <c r="D99" s="42">
        <f>TRUNC(1226+1059,-1)</f>
        <v>2280</v>
      </c>
      <c r="E99" s="63">
        <f t="shared" si="3"/>
        <v>7530</v>
      </c>
      <c r="F99" s="2" t="s">
        <v>255</v>
      </c>
    </row>
    <row r="100" spans="1:7" x14ac:dyDescent="0.3">
      <c r="A100" s="2">
        <v>3</v>
      </c>
      <c r="C100" s="38" t="s">
        <v>41</v>
      </c>
      <c r="D100" s="42">
        <f>TRUNC(23096,-1)</f>
        <v>23090</v>
      </c>
      <c r="E100" s="63">
        <f t="shared" si="3"/>
        <v>76330</v>
      </c>
    </row>
    <row r="101" spans="1:7" x14ac:dyDescent="0.3">
      <c r="A101" s="2">
        <v>4</v>
      </c>
      <c r="C101" s="38" t="s">
        <v>42</v>
      </c>
      <c r="D101" s="42">
        <f>TRUNC(4992,-1)</f>
        <v>4990</v>
      </c>
      <c r="E101" s="63">
        <f t="shared" si="3"/>
        <v>16490</v>
      </c>
      <c r="F101" s="2" t="s">
        <v>256</v>
      </c>
    </row>
    <row r="102" spans="1:7" x14ac:dyDescent="0.3">
      <c r="A102" s="2">
        <v>5</v>
      </c>
      <c r="C102" s="38" t="s">
        <v>43</v>
      </c>
      <c r="D102" s="42">
        <f>TRUNC(11154,-1)</f>
        <v>11150</v>
      </c>
      <c r="E102" s="63">
        <f t="shared" si="3"/>
        <v>36850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TRUNC(3559,-1)</f>
        <v>3550</v>
      </c>
      <c r="E108" s="63">
        <f t="shared" si="3"/>
        <v>11730</v>
      </c>
      <c r="F108" s="2" t="s">
        <v>254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TRUNC(5200,-1)</f>
        <v>5200</v>
      </c>
      <c r="E114" s="63">
        <f t="shared" si="3"/>
        <v>17190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TRUNC(1591+4178,-1)</f>
        <v>5760</v>
      </c>
      <c r="E118" s="64">
        <f t="shared" si="3"/>
        <v>19040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70110</v>
      </c>
      <c r="E119" s="39">
        <f>SUM(E98:E118)</f>
        <v>231730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TRUNC(1446,-1)</f>
        <v>1440</v>
      </c>
      <c r="E122" s="62">
        <f t="shared" ref="E122:E132" si="4">TRUNC(+D122*3.3058,-1)</f>
        <v>4760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TRUNC(1065,-1)</f>
        <v>1060</v>
      </c>
      <c r="E124" s="63">
        <f t="shared" si="4"/>
        <v>3500</v>
      </c>
    </row>
    <row r="125" spans="1:7" x14ac:dyDescent="0.3">
      <c r="A125" s="2">
        <v>4</v>
      </c>
      <c r="C125" s="38" t="s">
        <v>138</v>
      </c>
      <c r="D125" s="42">
        <f>TRUNC(6079,-1)</f>
        <v>6070</v>
      </c>
      <c r="E125" s="63">
        <f t="shared" si="4"/>
        <v>20060</v>
      </c>
    </row>
    <row r="126" spans="1:7" x14ac:dyDescent="0.3">
      <c r="A126" s="2">
        <v>5</v>
      </c>
      <c r="C126" s="38" t="s">
        <v>53</v>
      </c>
      <c r="D126" s="42">
        <f>TRUNC(2949,-1)</f>
        <v>2940</v>
      </c>
      <c r="E126" s="63">
        <f t="shared" si="4"/>
        <v>9710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TRUNC(3208,-1)</f>
        <v>3200</v>
      </c>
      <c r="E128" s="63">
        <f t="shared" si="4"/>
        <v>10570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TRUNC(13198,-1)</f>
        <v>13190</v>
      </c>
      <c r="E130" s="63">
        <f t="shared" si="4"/>
        <v>43600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TRUNC(3813,-1)</f>
        <v>3810</v>
      </c>
      <c r="E132" s="64">
        <f t="shared" si="4"/>
        <v>12590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31710</v>
      </c>
      <c r="E133" s="39">
        <f>SUM(E122:E132)</f>
        <v>104790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TRUNC(18325,-1)</f>
        <v>18320</v>
      </c>
      <c r="E136" s="62">
        <f t="shared" ref="E136:E145" si="5">TRUNC(+D136*3.3058,-1)</f>
        <v>60560</v>
      </c>
      <c r="F136" s="2" t="s">
        <v>261</v>
      </c>
    </row>
    <row r="137" spans="1:7" x14ac:dyDescent="0.3">
      <c r="A137" s="2">
        <v>2</v>
      </c>
      <c r="C137" s="38" t="s">
        <v>47</v>
      </c>
      <c r="D137" s="42">
        <f>TRUNC(21068,-1)</f>
        <v>21060</v>
      </c>
      <c r="E137" s="63">
        <f t="shared" si="5"/>
        <v>69620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39380</v>
      </c>
      <c r="E146" s="39">
        <f>SUM(E136:E145)</f>
        <v>130180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TRUNC(61716,-1)</f>
        <v>61710</v>
      </c>
      <c r="E152" s="63">
        <f>TRUNC(+D152*3.3058,-1)</f>
        <v>204000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61710</v>
      </c>
      <c r="E154" s="39">
        <f>SUM(E149:E153)</f>
        <v>204000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TRUNC(29131,-1)</f>
        <v>29130</v>
      </c>
      <c r="E159" s="63">
        <f>TRUNC(+D159*3.3058,-1)</f>
        <v>96290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29130</v>
      </c>
      <c r="E161" s="39">
        <f>SUM(E157:E160)</f>
        <v>96290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2020-12-07T09:41:54Z</dcterms:modified>
</cp:coreProperties>
</file>