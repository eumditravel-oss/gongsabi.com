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51" i="4"/>
  <c r="D149" i="4"/>
  <c r="D144" i="4"/>
  <c r="D143" i="4"/>
  <c r="D142" i="4"/>
  <c r="D140" i="4"/>
  <c r="D137" i="4"/>
  <c r="D132" i="4"/>
  <c r="D131" i="4"/>
  <c r="D130" i="4"/>
  <c r="D125" i="4"/>
  <c r="D118" i="4"/>
  <c r="D117" i="4"/>
  <c r="D116" i="4"/>
  <c r="D104" i="4"/>
  <c r="D103" i="4"/>
  <c r="D102" i="4"/>
  <c r="D100" i="4"/>
  <c r="D99" i="4"/>
  <c r="D98" i="4"/>
  <c r="D94" i="4"/>
  <c r="D93" i="4"/>
  <c r="D91" i="4"/>
  <c r="D89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<sst xmlns="http://schemas.openxmlformats.org/spreadsheetml/2006/main" count="390" uniqueCount="264">
  <si>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</si>
  <si>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</si>
  <si>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</si>
  <si>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</si>
  <si>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</si>
  <si>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</si>
  <si>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</si>
  <si>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</si>
  <si>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</si>
  <si>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</si>
  <si>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</si>
  <si>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</si>
  <si>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</si>
  <si>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</si>
  <si>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</si>
  <si>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</si>
  <si>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</si>
  <si>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</si>
  <si>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</si>
  <si>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</si>
  <si>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</si>
  <si>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</si>
  <si>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</si>
  <si>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</si>
  <si>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</si>
  <si>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</si>
  <si>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</si>
  <si>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</si>
  <si>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</si>
  <si>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</si>
  <si>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</si>
  <si>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</si>
  <si>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</si>
  <si>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</si>
  <si>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</si>
  <si>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</si>
  <si>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</si>
  <si>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</si>
  <si>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</si>
  <si>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</si>
  <si>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</si>
  <si>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</si>
  <si>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</si>
  <si>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</si>
  <si>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</si>
  <si>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</si>
  <si>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</si>
  <si>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</si>
  <si>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</si>
  <si>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</si>
  <si>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</si>
  <si>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</si>
  <si>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</si>
  <si>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</si>
  <si>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</si>
  <si>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</si>
  <si>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</si>
  <si>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</si>
  <si>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</si>
  <si>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</si>
  <si>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</si>
  <si>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</si>
  <si>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</si>
  <si>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</si>
  <si>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</si>
  <si>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</si>
  <si>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</si>
  <si>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</si>
  <si>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</si>
  <si>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</si>
  <si>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</si>
  <si>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</si>
  <si>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</si>
  <si>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</si>
  <si>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</si>
  <si>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</si>
  <si>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</si>
  <si>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</si>
  <si>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</si>
  <si>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</si>
  <si>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</si>
  <si>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</si>
  <si>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</si>
  <si>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</si>
  <si>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</si>
  <si>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</si>
  <si>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</si>
  <si>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</si>
  <si>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</si>
  <si>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</si>
  <si>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</si>
  <si>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</si>
  <si>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</si>
  <si>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</si>
  <si>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</si>
  <si>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</si>
  <si>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</si>
  <si>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</si>
  <si>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</si>
  <si>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</si>
  <si>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</si>
  <si>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</si>
  <si>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</si>
  <si>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</si>
  <si>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</si>
  <si>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</si>
  <si>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</si>
  <si>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</si>
  <si>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</si>
  <si>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</si>
  <si>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</si>
  <si>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</si>
  <si>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</si>
  <si>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</si>
  <si>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</si>
  <si>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</si>
  <si>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</si>
  <si>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</si>
  <si>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</si>
  <si>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</si>
  <si>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</si>
  <si>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</si>
  <si>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</si>
  <si>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</si>
  <si>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</si>
  <si>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</si>
  <si>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</si>
  <si>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</si>
  <si>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</si>
  <si>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</si>
  <si>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</si>
  <si>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</si>
  <si>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</si>
  <si>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</si>
  <si>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</si>
  <si>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</si>
  <si>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</si>
  <si>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</si>
  <si>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</si>
  <si>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</si>
  <si>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</si>
  <si>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</si>
  <si>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</si>
  <si>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</si>
  <si>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</si>
  <si>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</si>
  <si>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</si>
  <si>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</si>
  <si>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</si>
  <si>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</si>
  <si>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</si>
  <si>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</si>
  <si>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</si>
  <si>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</si>
  <si>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</si>
  <si>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</si>
  <si>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</si>
  <si>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</si>
  <si>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</si>
  <si>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</si>
  <si>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</si>
  <si>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</si>
  <si>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</si>
  <si>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</si>
  <si>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</si>
  <si>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</si>
  <si>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</si>
  <si>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</si>
  <si>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</si>
  <si>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</si>
  <si>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</si>
  <si>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</si>
  <si>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</si>
  <si>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</si>
  <si>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</si>
  <si>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</si>
  <si>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</si>
  <si>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</si>
  <si>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</si>
  <si>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</si>
  <si>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</si>
  <si>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</si>
  <si>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</si>
  <si>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</si>
  <si>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</si>
  <si>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</si>
  <si>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</si>
  <si>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</si>
  <si>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</si>
  <si>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</si>
  <si>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</si>
  <si>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</si>
  <si>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</si>
  <si>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</si>
  <si>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</si>
  <si>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</si>
  <si>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</si>
  <si>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</si>
  <si>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</si>
  <si>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</si>
  <si>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</si>
  <si>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</si>
  <si>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</si>
  <si>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</si>
  <si>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</si>
  <si>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</si>
  <si>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</si>
  <si>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</si>
  <si>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</si>
  <si>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</si>
  <si>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</si>
  <si>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</si>
  <si>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</si>
  <si>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</si>
  <si>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</si>
  <si>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</si>
  <si>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</si>
  <si>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</si>
  <si>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</si>
  <si>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</si>
  <si>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</si>
  <si>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</si>
  <si>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</si>
  <si>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</si>
  <si>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</si>
  <si>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</si>
  <si>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</si>
  <si>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</si>
  <si>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</si>
  <si>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</si>
  <si>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</si>
  <si>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</si>
  <si>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</si>
  <si>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</si>
  <si>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</si>
  <si>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</si>
  <si>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</si>
  <si>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</si>
  <si>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</si>
  <si>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</si>
  <si>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</si>
  <si>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</si>
  <si>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</si>
  <si>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</si>
  <si>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</si>
  <si>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</si>
  <si>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</si>
  <si>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</si>
  <si>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</si>
  <si>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</si>
  <si>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</si>
  <si>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</si>
  <si>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기타공사</t>
    <phoneticPr fontId="2" type="noConversion"/>
  </si>
  <si>
    <t>전기인입 및 수변전 설비공사</t>
    <phoneticPr fontId="2" type="noConversion"/>
  </si>
  <si>
    <t>기타</t>
  </si>
  <si>
    <t>서해해양경비안전본부 무안격납고 신축공사</t>
    <phoneticPr fontId="2" type="noConversion"/>
  </si>
  <si>
    <t>전라도</t>
  </si>
  <si>
    <t>우수처리시설공사,바닥난방공사</t>
    <phoneticPr fontId="2" type="noConversion"/>
  </si>
  <si>
    <t>CCTV설비공사</t>
    <phoneticPr fontId="2" type="noConversion"/>
  </si>
  <si>
    <t>펌프실배관공사, 기타공사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</si>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</sst>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2930</v>
      </c>
      <c r="D7" s="36">
        <f>+C7/3.3058</f>
        <v>886.32101155544797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867590</v>
      </c>
      <c r="E25" s="59">
        <f t="shared" si="0"/>
        <v>2868070</v>
      </c>
    </row>
    <row r="26" spans="1:5" x14ac:dyDescent="0.3">
      <c r="B26" s="2">
        <v>3</v>
      </c>
      <c r="C26" s="35" t="s">
        <v>95</v>
      </c>
      <c r="D26" s="45">
        <f>+D66</f>
        <v>39770</v>
      </c>
      <c r="E26" s="59">
        <f t="shared" si="0"/>
        <v>131470</v>
      </c>
    </row>
    <row r="27" spans="1:5" x14ac:dyDescent="0.3">
      <c r="B27" s="2">
        <v>4</v>
      </c>
      <c r="C27" s="35" t="s">
        <v>96</v>
      </c>
      <c r="D27" s="45">
        <f>+D95</f>
        <v>37480</v>
      </c>
      <c r="E27" s="59">
        <f t="shared" si="0"/>
        <v>123900</v>
      </c>
    </row>
    <row r="28" spans="1:5" x14ac:dyDescent="0.3">
      <c r="B28" s="2">
        <v>5</v>
      </c>
      <c r="C28" s="35" t="s">
        <v>97</v>
      </c>
      <c r="D28" s="45">
        <f>+D119</f>
        <v>186340</v>
      </c>
      <c r="E28" s="59">
        <f t="shared" si="0"/>
        <v>616000</v>
      </c>
    </row>
    <row r="29" spans="1:5" x14ac:dyDescent="0.3">
      <c r="B29" s="2">
        <v>6</v>
      </c>
      <c r="C29" s="35" t="s">
        <v>98</v>
      </c>
      <c r="D29" s="45">
        <f>+D133</f>
        <v>192160</v>
      </c>
      <c r="E29" s="59">
        <f t="shared" si="0"/>
        <v>635240</v>
      </c>
    </row>
    <row r="30" spans="1:5" x14ac:dyDescent="0.3">
      <c r="B30" s="2">
        <v>7</v>
      </c>
      <c r="C30" s="35" t="s">
        <v>99</v>
      </c>
      <c r="D30" s="45">
        <f>+D146</f>
        <v>97830</v>
      </c>
      <c r="E30" s="59">
        <f t="shared" si="0"/>
        <v>323400</v>
      </c>
    </row>
    <row r="31" spans="1:5" x14ac:dyDescent="0.3">
      <c r="B31" s="2">
        <v>8</v>
      </c>
      <c r="C31" s="35" t="s">
        <v>100</v>
      </c>
      <c r="D31" s="45">
        <f>+D154</f>
        <v>260970</v>
      </c>
      <c r="E31" s="59">
        <f t="shared" si="0"/>
        <v>862710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462580</v>
      </c>
      <c r="E33" s="60">
        <f t="shared" si="0"/>
        <v>1529190</v>
      </c>
    </row>
    <row r="34" spans="1:7" x14ac:dyDescent="0.3">
      <c r="C34" s="35" t="s">
        <v>112</v>
      </c>
      <c r="D34" s="44">
        <f>SUM(D24:D33)</f>
        <v>2144720</v>
      </c>
      <c r="E34" s="44">
        <f>SUM(E24:E33)</f>
        <v>7089980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v>22010</v>
      </c>
      <c r="E40" s="62">
        <f t="shared" ref="E40:E59" si="1">TRUNC(+D40*3.3058,-1)</f>
        <v>72760</v>
      </c>
    </row>
    <row r="41" spans="1:7" x14ac:dyDescent="0.3">
      <c r="A41" s="2">
        <v>2</v>
      </c>
      <c r="C41" s="38" t="s">
        <v>13</v>
      </c>
      <c r="D41" s="42">
        <f>TRUNC(49438,-1)</f>
        <v>49430</v>
      </c>
      <c r="E41" s="63">
        <f t="shared" si="1"/>
        <v>163400</v>
      </c>
    </row>
    <row r="42" spans="1:7" x14ac:dyDescent="0.3">
      <c r="A42" s="2">
        <v>3</v>
      </c>
      <c r="C42" s="38" t="s">
        <v>14</v>
      </c>
      <c r="D42" s="42">
        <f>TRUNC(243641,-1)</f>
        <v>243640</v>
      </c>
      <c r="E42" s="63">
        <f t="shared" si="1"/>
        <v>805420</v>
      </c>
    </row>
    <row r="43" spans="1:7" x14ac:dyDescent="0.3">
      <c r="A43" s="2">
        <v>4</v>
      </c>
      <c r="C43" s="38" t="s">
        <v>16</v>
      </c>
      <c r="D43" s="42">
        <f>TRUNC(3317,-1)</f>
        <v>3310</v>
      </c>
      <c r="E43" s="63">
        <f t="shared" si="1"/>
        <v>10940</v>
      </c>
    </row>
    <row r="44" spans="1:7" x14ac:dyDescent="0.3">
      <c r="A44" s="2">
        <v>5</v>
      </c>
      <c r="C44" s="38" t="s">
        <v>17</v>
      </c>
      <c r="D44" s="42">
        <f>TRUNC(7493,-1)</f>
        <v>7490</v>
      </c>
      <c r="E44" s="63">
        <f t="shared" si="1"/>
        <v>24760</v>
      </c>
    </row>
    <row r="45" spans="1:7" x14ac:dyDescent="0.3">
      <c r="A45" s="2">
        <v>6</v>
      </c>
      <c r="C45" s="38" t="s">
        <v>18</v>
      </c>
      <c r="D45" s="42">
        <f>TRUNC(4166,-1)</f>
        <v>4160</v>
      </c>
      <c r="E45" s="63">
        <f t="shared" si="1"/>
        <v>13750</v>
      </c>
    </row>
    <row r="46" spans="1:7" x14ac:dyDescent="0.3">
      <c r="A46" s="2">
        <v>7</v>
      </c>
      <c r="C46" s="38" t="s">
        <v>19</v>
      </c>
      <c r="D46" s="42">
        <f>TRUNC(681,-1)</f>
        <v>680</v>
      </c>
      <c r="E46" s="63">
        <f t="shared" si="1"/>
        <v>2240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TRUNC(179753,-1)</f>
        <v>179750</v>
      </c>
      <c r="E48" s="63">
        <f t="shared" si="1"/>
        <v>594210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TRUNC(9839,-1)</f>
        <v>9830</v>
      </c>
      <c r="E49" s="63">
        <f t="shared" si="1"/>
        <v>32490</v>
      </c>
    </row>
    <row r="50" spans="1:7" x14ac:dyDescent="0.3">
      <c r="A50" s="2">
        <v>11</v>
      </c>
      <c r="C50" s="38" t="s">
        <v>156</v>
      </c>
      <c r="D50" s="42">
        <f>TRUNC(23031,-1)</f>
        <v>23030</v>
      </c>
      <c r="E50" s="63">
        <f t="shared" si="1"/>
        <v>76130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TRUNC(24025,-1)</f>
        <v>24020</v>
      </c>
      <c r="E52" s="63">
        <f t="shared" si="1"/>
        <v>79400</v>
      </c>
    </row>
    <row r="53" spans="1:7" x14ac:dyDescent="0.3">
      <c r="A53" s="2">
        <v>14</v>
      </c>
      <c r="C53" s="38" t="s">
        <v>25</v>
      </c>
      <c r="D53" s="42">
        <f>TRUNC(17529,-1)</f>
        <v>17520</v>
      </c>
      <c r="E53" s="63">
        <f t="shared" si="1"/>
        <v>57910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TRUNC(46995+7999-1760+83731,-1)</f>
        <v>136960</v>
      </c>
      <c r="E58" s="63">
        <f t="shared" si="1"/>
        <v>452760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f>TRUNC(145762,-1)</f>
        <v>145760</v>
      </c>
      <c r="E59" s="64">
        <f t="shared" si="1"/>
        <v>481850</v>
      </c>
    </row>
    <row r="60" spans="1:7" x14ac:dyDescent="0.3">
      <c r="A60" s="2">
        <v>21</v>
      </c>
      <c r="C60" s="27" t="s">
        <v>112</v>
      </c>
      <c r="D60" s="39">
        <f>SUM(D40:D59)</f>
        <v>867590</v>
      </c>
      <c r="E60" s="39">
        <f>SUM(E40:E59)</f>
        <v>2868020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TRUNC(39773,-1)</f>
        <v>39770</v>
      </c>
      <c r="E63" s="62">
        <f>TRUNC(+D63*3.3058,-1)</f>
        <v>131470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39770</v>
      </c>
      <c r="E66" s="65">
        <f>SUM(E63:E65)</f>
        <v>131470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TRUNC(491,-1)</f>
        <v>490</v>
      </c>
      <c r="E89" s="63">
        <f t="shared" si="2"/>
        <v>1610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TRUNC(7025,-1)</f>
        <v>7020</v>
      </c>
      <c r="E91" s="63">
        <f t="shared" si="2"/>
        <v>23200</v>
      </c>
    </row>
    <row r="92" spans="1:7" x14ac:dyDescent="0.3">
      <c r="A92" s="2">
        <v>24</v>
      </c>
      <c r="C92" s="38" t="s">
        <v>38</v>
      </c>
      <c r="D92" s="42">
        <v>12640</v>
      </c>
      <c r="E92" s="63">
        <f t="shared" si="2"/>
        <v>41780</v>
      </c>
    </row>
    <row r="93" spans="1:7" x14ac:dyDescent="0.3">
      <c r="A93" s="2">
        <v>25</v>
      </c>
      <c r="C93" s="38" t="s">
        <v>149</v>
      </c>
      <c r="D93" s="42">
        <f>TRUNC(14228,-1)</f>
        <v>14220</v>
      </c>
      <c r="E93" s="63">
        <f t="shared" si="2"/>
        <v>47000</v>
      </c>
    </row>
    <row r="94" spans="1:7" ht="17.25" thickBot="1" x14ac:dyDescent="0.35">
      <c r="A94" s="2">
        <v>26</v>
      </c>
      <c r="C94" s="38" t="s">
        <v>47</v>
      </c>
      <c r="D94" s="43">
        <f>TRUNC(995+2123,-1)</f>
        <v>3110</v>
      </c>
      <c r="E94" s="64">
        <f t="shared" si="2"/>
        <v>10280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37480</v>
      </c>
      <c r="E95" s="39">
        <f>SUM(E69:E94)</f>
        <v>123870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TRUNC(11138,-1)</f>
        <v>11130</v>
      </c>
      <c r="E98" s="62">
        <f t="shared" ref="E98:E118" si="3">TRUNC(+D98*3.3058,-1)</f>
        <v>36790</v>
      </c>
    </row>
    <row r="99" spans="1:7" x14ac:dyDescent="0.3">
      <c r="A99" s="2">
        <v>2</v>
      </c>
      <c r="C99" s="38" t="s">
        <v>40</v>
      </c>
      <c r="D99" s="42">
        <f>TRUNC(7956,-1)</f>
        <v>7950</v>
      </c>
      <c r="E99" s="63">
        <f t="shared" si="3"/>
        <v>26280</v>
      </c>
    </row>
    <row r="100" spans="1:7" x14ac:dyDescent="0.3">
      <c r="A100" s="2">
        <v>3</v>
      </c>
      <c r="C100" s="38" t="s">
        <v>41</v>
      </c>
      <c r="D100" s="42">
        <f>TRUNC(16082,-1)</f>
        <v>16080</v>
      </c>
      <c r="E100" s="63">
        <f t="shared" si="3"/>
        <v>53150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TRUNC(6476,-1)</f>
        <v>6470</v>
      </c>
      <c r="E102" s="63">
        <f t="shared" si="3"/>
        <v>21380</v>
      </c>
    </row>
    <row r="103" spans="1:7" x14ac:dyDescent="0.3">
      <c r="A103" s="2">
        <v>6</v>
      </c>
      <c r="C103" s="38" t="s">
        <v>44</v>
      </c>
      <c r="D103" s="42">
        <f>TRUNC(1545,-1)</f>
        <v>1540</v>
      </c>
      <c r="E103" s="63">
        <f t="shared" si="3"/>
        <v>5090</v>
      </c>
    </row>
    <row r="104" spans="1:7" x14ac:dyDescent="0.3">
      <c r="A104" s="2">
        <v>7</v>
      </c>
      <c r="C104" s="38" t="s">
        <v>45</v>
      </c>
      <c r="D104" s="42">
        <f>TRUNC(4811,-1)</f>
        <v>4810</v>
      </c>
      <c r="E104" s="63">
        <f t="shared" si="3"/>
        <v>15900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TRUNC(11828,-1)</f>
        <v>11820</v>
      </c>
      <c r="E116" s="63">
        <f t="shared" si="3"/>
        <v>39070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TRUNC(105041,-1)</f>
        <v>105040</v>
      </c>
      <c r="E117" s="63">
        <f t="shared" si="3"/>
        <v>347240</v>
      </c>
    </row>
    <row r="118" spans="1:7" ht="17.25" thickBot="1" x14ac:dyDescent="0.35">
      <c r="A118" s="2">
        <v>21</v>
      </c>
      <c r="C118" s="38" t="s">
        <v>47</v>
      </c>
      <c r="D118" s="43">
        <f>TRUNC(21509,-1)</f>
        <v>21500</v>
      </c>
      <c r="E118" s="64">
        <f t="shared" si="3"/>
        <v>71070</v>
      </c>
    </row>
    <row r="119" spans="1:7" x14ac:dyDescent="0.3">
      <c r="A119" s="2">
        <v>22</v>
      </c>
      <c r="C119" s="27" t="s">
        <v>112</v>
      </c>
      <c r="D119" s="39">
        <f>SUM(D98:D118)</f>
        <v>186340</v>
      </c>
      <c r="E119" s="39">
        <f>SUM(E98:E118)</f>
        <v>615970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TRUNC(3814,-1)</f>
        <v>3810</v>
      </c>
      <c r="E125" s="63">
        <f t="shared" si="4"/>
        <v>12590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TRUNC(15648,-1)</f>
        <v>15640</v>
      </c>
      <c r="E130" s="63">
        <f t="shared" si="4"/>
        <v>51700</v>
      </c>
    </row>
    <row r="131" spans="1:7" x14ac:dyDescent="0.3">
      <c r="A131" s="2">
        <v>10</v>
      </c>
      <c r="C131" s="38" t="s">
        <v>149</v>
      </c>
      <c r="D131" s="42">
        <f>TRUNC(171212,-1)</f>
        <v>171210</v>
      </c>
      <c r="E131" s="63">
        <f t="shared" si="4"/>
        <v>565980</v>
      </c>
    </row>
    <row r="132" spans="1:7" ht="18" thickBot="1" x14ac:dyDescent="0.35">
      <c r="A132" s="2">
        <v>11</v>
      </c>
      <c r="C132" s="38" t="s">
        <v>47</v>
      </c>
      <c r="D132" s="43">
        <f>TRUNC(1507,-1)</f>
        <v>1500</v>
      </c>
      <c r="E132" s="64">
        <f t="shared" si="4"/>
        <v>4950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192160</v>
      </c>
      <c r="E133" s="39">
        <f>SUM(E122:E132)</f>
        <v>635220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TRUNC(23419+12794,-1)</f>
        <v>36210</v>
      </c>
      <c r="E137" s="63">
        <f t="shared" si="5"/>
        <v>119700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TRUNC(34579,-1)</f>
        <v>34570</v>
      </c>
      <c r="E140" s="63">
        <f t="shared" si="5"/>
        <v>114280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TRUNC(5154,-1)</f>
        <v>5150</v>
      </c>
      <c r="E142" s="63">
        <f t="shared" si="5"/>
        <v>17020</v>
      </c>
    </row>
    <row r="143" spans="1:7" x14ac:dyDescent="0.3">
      <c r="A143" s="2">
        <v>8</v>
      </c>
      <c r="C143" s="38" t="s">
        <v>62</v>
      </c>
      <c r="D143" s="42">
        <f>TRUNC(2653,-1)</f>
        <v>2650</v>
      </c>
      <c r="E143" s="63">
        <f t="shared" si="5"/>
        <v>8760</v>
      </c>
    </row>
    <row r="144" spans="1:7" x14ac:dyDescent="0.3">
      <c r="A144" s="2">
        <v>9</v>
      </c>
      <c r="C144" s="38" t="s">
        <v>63</v>
      </c>
      <c r="D144" s="42">
        <f>TRUNC(19259,-1)</f>
        <v>19250</v>
      </c>
      <c r="E144" s="63">
        <f t="shared" si="5"/>
        <v>63630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97830</v>
      </c>
      <c r="E146" s="39">
        <f>SUM(E136:E145)</f>
        <v>323390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TRUNC(29056+2212,-1)</f>
        <v>31260</v>
      </c>
      <c r="E149" s="62">
        <f>TRUNC(+D149*3.3058,-1)</f>
        <v>103330</v>
      </c>
    </row>
    <row r="150" spans="1:7" x14ac:dyDescent="0.3">
      <c r="A150" s="2">
        <v>2</v>
      </c>
      <c r="C150" s="38" t="s">
        <v>49</v>
      </c>
      <c r="D150" s="42">
        <v>53210</v>
      </c>
      <c r="E150" s="63">
        <f>TRUNC(+D150*3.3058,-1)</f>
        <v>175900</v>
      </c>
    </row>
    <row r="151" spans="1:7" x14ac:dyDescent="0.3">
      <c r="A151" s="2">
        <v>3</v>
      </c>
      <c r="C151" s="38" t="s">
        <v>50</v>
      </c>
      <c r="D151" s="42">
        <f>TRUNC(51817,-1)</f>
        <v>51810</v>
      </c>
      <c r="E151" s="63">
        <f>TRUNC(+D151*3.3058,-1)</f>
        <v>171270</v>
      </c>
    </row>
    <row r="152" spans="1:7" x14ac:dyDescent="0.3">
      <c r="A152" s="2">
        <v>4</v>
      </c>
      <c r="C152" s="38" t="s">
        <v>47</v>
      </c>
      <c r="D152" s="42">
        <f>TRUNC(655+12998,-1)</f>
        <v>13650</v>
      </c>
      <c r="E152" s="63">
        <f>TRUNC(+D152*3.3058,-1)</f>
        <v>45120</v>
      </c>
      <c r="F152" s="2" t="s">
        <v>260</v>
      </c>
    </row>
    <row r="153" spans="1:7" ht="17.25" thickBot="1" x14ac:dyDescent="0.35">
      <c r="A153" s="2">
        <v>5</v>
      </c>
      <c r="C153" s="38" t="s">
        <v>149</v>
      </c>
      <c r="D153" s="43">
        <f>TRUNC(111046,-1)</f>
        <v>111040</v>
      </c>
      <c r="E153" s="64">
        <f>TRUNC(+D153*3.3058,-1)</f>
        <v>367070</v>
      </c>
    </row>
    <row r="154" spans="1:7" x14ac:dyDescent="0.3">
      <c r="A154" s="2">
        <v>6</v>
      </c>
      <c r="C154" s="27" t="s">
        <v>112</v>
      </c>
      <c r="D154" s="39">
        <f>SUM(D149:D153)</f>
        <v>260970</v>
      </c>
      <c r="E154" s="39">
        <f>SUM(E149:E153)</f>
        <v>862690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2020-12-08T01:33:26Z</dcterms:modified>
</cp:coreProperties>
</file>