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0" i="4"/>
  <c r="D149" i="4"/>
  <c r="D144" i="4"/>
  <c r="D143" i="4"/>
  <c r="D142" i="4"/>
  <c r="D141" i="4"/>
  <c r="D140" i="4"/>
  <c r="D139" i="4"/>
  <c r="D131" i="4"/>
  <c r="D132" i="4"/>
  <c r="D59" i="4"/>
  <c r="D58" i="4"/>
  <c r="D137" i="4"/>
  <c r="D130" i="4"/>
  <c r="D128" i="4"/>
  <c r="D126" i="4"/>
  <c r="D125" i="4"/>
  <c r="D124" i="4"/>
  <c r="D122" i="4"/>
  <c r="D118" i="4"/>
  <c r="D116" i="4"/>
  <c r="D105" i="4"/>
  <c r="D104" i="4"/>
  <c r="D102" i="4"/>
  <c r="D100" i="4"/>
  <c r="D99" i="4"/>
  <c r="D98" i="4"/>
  <c r="D94" i="4"/>
  <c r="D92" i="4"/>
  <c r="D91" i="4"/>
  <c r="D90" i="4"/>
  <c r="D89" i="4"/>
  <c r="D75" i="4"/>
  <c r="D73" i="4"/>
  <c r="D72" i="4"/>
  <c r="D71" i="4"/>
  <c r="D69" i="4"/>
  <c r="D65" i="4"/>
  <c r="D63" i="4"/>
  <c r="D52" i="4"/>
  <c r="D50" i="4"/>
  <c r="D49" i="4"/>
  <c r="D48" i="4"/>
  <c r="D46" i="4"/>
  <c r="D45" i="4"/>
  <c r="D44" i="4"/>
  <c r="D43" i="4"/>
  <c r="D41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<sst xmlns="http://schemas.openxmlformats.org/spreadsheetml/2006/main" count="392" uniqueCount="269">
  <si>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</si>
  <si>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</si>
  <si>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</si>
  <si>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</si>
  <si>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</si>
  <si>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</si>
  <si>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</si>
  <si>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</si>
  <si>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</si>
  <si>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</si>
  <si>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</si>
  <si>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</si>
  <si>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</si>
  <si>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</si>
  <si>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</si>
  <si>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</si>
  <si>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</si>
  <si>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</si>
  <si>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</si>
  <si>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</si>
  <si>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</si>
  <si>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</si>
  <si>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</si>
  <si>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</si>
  <si>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</si>
  <si>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</si>
  <si>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</si>
  <si>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</si>
  <si>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</si>
  <si>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</si>
  <si>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</si>
  <si>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</si>
  <si>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</si>
  <si>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</si>
  <si>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</si>
  <si>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</si>
  <si>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</si>
  <si>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</si>
  <si>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</si>
  <si>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</si>
  <si>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</si>
  <si>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</si>
  <si>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</si>
  <si>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</si>
  <si>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</si>
  <si>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</si>
  <si>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</si>
  <si>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</si>
  <si>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</si>
  <si>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</si>
  <si>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</si>
  <si>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</si>
  <si>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</si>
  <si>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</si>
  <si>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</si>
  <si>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</si>
  <si>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</si>
  <si>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</si>
  <si>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</si>
  <si>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</si>
  <si>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</si>
  <si>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</si>
  <si>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</si>
  <si>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</si>
  <si>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</si>
  <si>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</si>
  <si>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</si>
  <si>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</si>
  <si>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</si>
  <si>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</si>
  <si>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</si>
  <si>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</si>
  <si>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</si>
  <si>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</si>
  <si>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</si>
  <si>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</si>
  <si>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</si>
  <si>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</si>
  <si>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</si>
  <si>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</si>
  <si>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</si>
  <si>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</si>
  <si>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</si>
  <si>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</si>
  <si>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</si>
  <si>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</si>
  <si>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</si>
  <si>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</si>
  <si>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</si>
  <si>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</si>
  <si>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</si>
  <si>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</si>
  <si>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</si>
  <si>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</si>
  <si>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</si>
  <si>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</si>
  <si>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</si>
  <si>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</si>
  <si>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</si>
  <si>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</si>
  <si>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</si>
  <si>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</si>
  <si>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</si>
  <si>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</si>
  <si>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</si>
  <si>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</si>
  <si>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</si>
  <si>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</si>
  <si>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</si>
  <si>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</si>
  <si>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</si>
  <si>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</si>
  <si>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</si>
  <si>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</si>
  <si>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</si>
  <si>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</si>
  <si>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</si>
  <si>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</si>
  <si>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</si>
  <si>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</si>
  <si>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</si>
  <si>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</si>
  <si>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</si>
  <si>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</si>
  <si>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</si>
  <si>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</si>
  <si>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</si>
  <si>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</si>
  <si>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</si>
  <si>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</si>
  <si>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</si>
  <si>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</si>
  <si>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</si>
  <si>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</si>
  <si>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</si>
  <si>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</si>
  <si>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</si>
  <si>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</si>
  <si>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</si>
  <si>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</si>
  <si>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</si>
  <si>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</si>
  <si>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</si>
  <si>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</si>
  <si>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</si>
  <si>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</si>
  <si>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</si>
  <si>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</si>
  <si>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</si>
  <si>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</si>
  <si>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</si>
  <si>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</si>
  <si>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</si>
  <si>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</si>
  <si>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</si>
  <si>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</si>
  <si>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</si>
  <si>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</si>
  <si>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</si>
  <si>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</si>
  <si>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</si>
  <si>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</si>
  <si>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</si>
  <si>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</si>
  <si>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</si>
  <si>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</si>
  <si>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</si>
  <si>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</si>
  <si>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</si>
  <si>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</si>
  <si>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</si>
  <si>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</si>
  <si>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</si>
  <si>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</si>
  <si>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</si>
  <si>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</si>
  <si>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</si>
  <si>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</si>
  <si>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</si>
  <si>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</si>
  <si>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</si>
  <si>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</si>
  <si>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</si>
  <si>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</si>
  <si>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</si>
  <si>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</si>
  <si>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</si>
  <si>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</si>
  <si>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</si>
  <si>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</si>
  <si>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</si>
  <si>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</si>
  <si>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</si>
  <si>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</si>
  <si>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</si>
  <si>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</si>
  <si>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</si>
  <si>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</si>
  <si>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</si>
  <si>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</si>
  <si>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</si>
  <si>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</si>
  <si>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</si>
  <si>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</si>
  <si>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</si>
  <si>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</si>
  <si>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</si>
  <si>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</si>
  <si>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</si>
  <si>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</si>
  <si>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</si>
  <si>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</si>
  <si>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</si>
  <si>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</si>
  <si>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</si>
  <si>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</si>
  <si>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</si>
  <si>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</si>
  <si>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</si>
  <si>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</si>
  <si>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</si>
  <si>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</si>
  <si>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</si>
  <si>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</si>
  <si>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</si>
  <si>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</si>
  <si>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</si>
  <si>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</si>
  <si>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</si>
  <si>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</si>
  <si>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</si>
  <si>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</si>
  <si>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</si>
  <si>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</si>
  <si>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</si>
  <si>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</si>
  <si>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</si>
  <si>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</si>
  <si>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</si>
  <si>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</si>
  <si>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</si>
  <si>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</si>
  <si>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</si>
  <si>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</si>
  <si>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</si>
  <si>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</si>
  <si>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</si>
  <si>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</si>
  <si>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</si>
  <si>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</si>
  <si>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</si>
  <si>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</si>
  <si>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</si>
  <si>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</si>
  <si>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업무</t>
  </si>
  <si>
    <t>경찰특공대 청사 신축공사</t>
    <phoneticPr fontId="2" type="noConversion"/>
  </si>
  <si>
    <t>서울</t>
  </si>
  <si>
    <t>기초공사, 해체및철거공사, 골재비및운반비, 작업부산물, 품질시험비, 기타공사</t>
    <phoneticPr fontId="2" type="noConversion"/>
  </si>
  <si>
    <t>공조배관공사, 우수처리시설공사, 바닥난방공사, 기타공사</t>
    <phoneticPr fontId="2" type="noConversion"/>
  </si>
  <si>
    <t>CCTV설비공사, 기타공사</t>
    <phoneticPr fontId="2" type="noConversion"/>
  </si>
  <si>
    <t xml:space="preserve"> 상수도공사, 사급자재비, 운반비, 기타공사</t>
    <phoneticPr fontId="2" type="noConversion"/>
  </si>
  <si>
    <t>옥외소화배관공사, 펌프실배관공사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</si>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</sst>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13788.78</v>
      </c>
      <c r="D7" s="36">
        <f>+C7/3.3058</f>
        <v>4171.0871801076901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622560</v>
      </c>
      <c r="E25" s="59">
        <f t="shared" si="0"/>
        <v>2058050</v>
      </c>
    </row>
    <row r="26" spans="1:5" x14ac:dyDescent="0.3">
      <c r="B26" s="2">
        <v>3</v>
      </c>
      <c r="C26" s="35" t="s">
        <v>95</v>
      </c>
      <c r="D26" s="45">
        <f>+D66</f>
        <v>93020</v>
      </c>
      <c r="E26" s="59">
        <f t="shared" si="0"/>
        <v>307500</v>
      </c>
    </row>
    <row r="27" spans="1:5" x14ac:dyDescent="0.3">
      <c r="B27" s="2">
        <v>4</v>
      </c>
      <c r="C27" s="35" t="s">
        <v>96</v>
      </c>
      <c r="D27" s="45">
        <f>+D95</f>
        <v>89730</v>
      </c>
      <c r="E27" s="59">
        <f t="shared" si="0"/>
        <v>296620</v>
      </c>
    </row>
    <row r="28" spans="1:5" x14ac:dyDescent="0.3">
      <c r="B28" s="2">
        <v>5</v>
      </c>
      <c r="C28" s="35" t="s">
        <v>97</v>
      </c>
      <c r="D28" s="45">
        <f>+D119</f>
        <v>129930</v>
      </c>
      <c r="E28" s="59">
        <f t="shared" si="0"/>
        <v>429520</v>
      </c>
    </row>
    <row r="29" spans="1:5" x14ac:dyDescent="0.3">
      <c r="B29" s="2">
        <v>6</v>
      </c>
      <c r="C29" s="35" t="s">
        <v>98</v>
      </c>
      <c r="D29" s="45">
        <f>+D133</f>
        <v>83890</v>
      </c>
      <c r="E29" s="59">
        <f t="shared" si="0"/>
        <v>277320</v>
      </c>
    </row>
    <row r="30" spans="1:5" x14ac:dyDescent="0.3">
      <c r="B30" s="2">
        <v>7</v>
      </c>
      <c r="C30" s="35" t="s">
        <v>99</v>
      </c>
      <c r="D30" s="45">
        <f>+D146</f>
        <v>30790</v>
      </c>
      <c r="E30" s="59">
        <f t="shared" si="0"/>
        <v>101780</v>
      </c>
    </row>
    <row r="31" spans="1:5" x14ac:dyDescent="0.3">
      <c r="B31" s="2">
        <v>8</v>
      </c>
      <c r="C31" s="35" t="s">
        <v>100</v>
      </c>
      <c r="D31" s="45">
        <f>+D154</f>
        <v>70010</v>
      </c>
      <c r="E31" s="59">
        <f t="shared" si="0"/>
        <v>231430</v>
      </c>
    </row>
    <row r="32" spans="1:5" x14ac:dyDescent="0.3">
      <c r="B32" s="2">
        <v>9</v>
      </c>
      <c r="C32" s="35" t="s">
        <v>101</v>
      </c>
      <c r="D32" s="45">
        <f>+D161</f>
        <v>15910</v>
      </c>
      <c r="E32" s="59">
        <f t="shared" si="0"/>
        <v>52590</v>
      </c>
    </row>
    <row r="33" spans="1:7" x14ac:dyDescent="0.3">
      <c r="B33" s="2">
        <v>10</v>
      </c>
      <c r="C33" s="35" t="s">
        <v>154</v>
      </c>
      <c r="D33" s="53">
        <f>TRUNC(SUM(D24:D32)*0.275,-1)</f>
        <v>312350</v>
      </c>
      <c r="E33" s="60">
        <f t="shared" si="0"/>
        <v>1032560</v>
      </c>
    </row>
    <row r="34" spans="1:7" x14ac:dyDescent="0.3">
      <c r="C34" s="35" t="s">
        <v>112</v>
      </c>
      <c r="D34" s="44">
        <f>SUM(D24:D33)</f>
        <v>1448190</v>
      </c>
      <c r="E34" s="44">
        <f>SUM(E24:E33)</f>
        <v>4787370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262</v>
      </c>
      <c r="C39" s="56" t="s">
        <v>263</v>
      </c>
      <c r="D39" s="57" t="s">
        <v>264</v>
      </c>
      <c r="E39" s="57" t="s">
        <v>265</v>
      </c>
      <c r="G39" s="55"/>
    </row>
    <row r="40" spans="1:7" x14ac:dyDescent="0.3">
      <c r="A40" s="2">
        <v>1</v>
      </c>
      <c r="C40" s="38" t="s">
        <v>15</v>
      </c>
      <c r="D40" s="40">
        <v>50850</v>
      </c>
      <c r="E40" s="62">
        <f t="shared" ref="E40:E59" si="1">TRUNC(+D40*3.3058,-1)</f>
        <v>168090</v>
      </c>
    </row>
    <row r="41" spans="1:7" x14ac:dyDescent="0.3">
      <c r="A41" s="2">
        <v>2</v>
      </c>
      <c r="C41" s="38" t="s">
        <v>13</v>
      </c>
      <c r="D41" s="42">
        <f>TRUNC(110135,-1)</f>
        <v>110130</v>
      </c>
      <c r="E41" s="63">
        <f t="shared" si="1"/>
        <v>364060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TRUNC(11647,-1)</f>
        <v>11640</v>
      </c>
      <c r="E43" s="63">
        <f t="shared" si="1"/>
        <v>38470</v>
      </c>
    </row>
    <row r="44" spans="1:7" x14ac:dyDescent="0.3">
      <c r="A44" s="2">
        <v>5</v>
      </c>
      <c r="C44" s="38" t="s">
        <v>17</v>
      </c>
      <c r="D44" s="42">
        <f>TRUNC(15756,-1)</f>
        <v>15750</v>
      </c>
      <c r="E44" s="63">
        <f t="shared" si="1"/>
        <v>52060</v>
      </c>
    </row>
    <row r="45" spans="1:7" x14ac:dyDescent="0.3">
      <c r="A45" s="2">
        <v>6</v>
      </c>
      <c r="C45" s="38" t="s">
        <v>18</v>
      </c>
      <c r="D45" s="42">
        <f>TRUNC(13489,-1)</f>
        <v>13480</v>
      </c>
      <c r="E45" s="63">
        <f t="shared" si="1"/>
        <v>44560</v>
      </c>
    </row>
    <row r="46" spans="1:7" x14ac:dyDescent="0.3">
      <c r="A46" s="2">
        <v>7</v>
      </c>
      <c r="C46" s="38" t="s">
        <v>19</v>
      </c>
      <c r="D46" s="42">
        <f>TRUNC(28775,-1)</f>
        <v>28770</v>
      </c>
      <c r="E46" s="63">
        <f t="shared" si="1"/>
        <v>95100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TRUNC(20429,-1)</f>
        <v>20420</v>
      </c>
      <c r="E48" s="63">
        <f t="shared" si="1"/>
        <v>67500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TRUNC(8874,-1)</f>
        <v>8870</v>
      </c>
      <c r="E49" s="63">
        <f t="shared" si="1"/>
        <v>29320</v>
      </c>
    </row>
    <row r="50" spans="1:7" x14ac:dyDescent="0.3">
      <c r="A50" s="2">
        <v>11</v>
      </c>
      <c r="C50" s="38" t="s">
        <v>155</v>
      </c>
      <c r="D50" s="42">
        <f>TRUNC(32456,-1)</f>
        <v>32450</v>
      </c>
      <c r="E50" s="63">
        <f t="shared" si="1"/>
        <v>107270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TRUNC(17415,-1)</f>
        <v>17410</v>
      </c>
      <c r="E52" s="63">
        <f t="shared" si="1"/>
        <v>57550</v>
      </c>
    </row>
    <row r="53" spans="1:7" x14ac:dyDescent="0.3">
      <c r="A53" s="2">
        <v>14</v>
      </c>
      <c r="C53" s="38" t="s">
        <v>25</v>
      </c>
      <c r="D53" s="42">
        <v>103380</v>
      </c>
      <c r="E53" s="63">
        <f t="shared" si="1"/>
        <v>341750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TRUNC(257+10047+1414-357+306+6711,-1)</f>
        <v>18370</v>
      </c>
      <c r="E58" s="63">
        <f t="shared" si="1"/>
        <v>60720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f>TRUNC(191045,-1)</f>
        <v>191040</v>
      </c>
      <c r="E59" s="64">
        <f t="shared" si="1"/>
        <v>631540</v>
      </c>
    </row>
    <row r="60" spans="1:7" x14ac:dyDescent="0.3">
      <c r="A60" s="2">
        <v>21</v>
      </c>
      <c r="C60" s="27" t="s">
        <v>112</v>
      </c>
      <c r="D60" s="39">
        <f>SUM(D40:D59)</f>
        <v>622560</v>
      </c>
      <c r="E60" s="39">
        <f>SUM(E40:E59)</f>
        <v>2057990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TRUNC(42437,-1)</f>
        <v>42430</v>
      </c>
      <c r="E63" s="62">
        <f>TRUNC(+D63*3.3058,-1)</f>
        <v>140260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TRUNC(50591,-1)</f>
        <v>50590</v>
      </c>
      <c r="E65" s="64">
        <f>TRUNC(+D65*3.3058,-1)</f>
        <v>167240</v>
      </c>
    </row>
    <row r="66" spans="1:7" x14ac:dyDescent="0.3">
      <c r="A66" s="2">
        <v>4</v>
      </c>
      <c r="C66" s="27" t="s">
        <v>112</v>
      </c>
      <c r="D66" s="39">
        <f>SUM(D63:D65)</f>
        <v>93020</v>
      </c>
      <c r="E66" s="65">
        <f>SUM(E63:E65)</f>
        <v>307500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TRUNC(10276,-1)</f>
        <v>10270</v>
      </c>
      <c r="E69" s="62">
        <f t="shared" ref="E69:E94" si="2">TRUNC(+D69*3.3058,-1)</f>
        <v>33950</v>
      </c>
    </row>
    <row r="70" spans="1:7" ht="16.5" customHeight="1" x14ac:dyDescent="0.3">
      <c r="A70" s="2">
        <v>2</v>
      </c>
      <c r="C70" s="38" t="s">
        <v>31</v>
      </c>
      <c r="D70" s="42">
        <v>1290</v>
      </c>
      <c r="E70" s="63">
        <f t="shared" si="2"/>
        <v>4260</v>
      </c>
    </row>
    <row r="71" spans="1:7" x14ac:dyDescent="0.3">
      <c r="A71" s="2">
        <v>3</v>
      </c>
      <c r="C71" s="38" t="s">
        <v>32</v>
      </c>
      <c r="D71" s="42">
        <f>TRUNC(14928,-1)</f>
        <v>14920</v>
      </c>
      <c r="E71" s="63">
        <f t="shared" si="2"/>
        <v>49320</v>
      </c>
    </row>
    <row r="72" spans="1:7" x14ac:dyDescent="0.3">
      <c r="A72" s="2">
        <v>4</v>
      </c>
      <c r="C72" s="38" t="s">
        <v>33</v>
      </c>
      <c r="D72" s="42">
        <f>TRUNC(5696,-1)</f>
        <v>5690</v>
      </c>
      <c r="E72" s="63">
        <f t="shared" si="2"/>
        <v>18810</v>
      </c>
    </row>
    <row r="73" spans="1:7" x14ac:dyDescent="0.3">
      <c r="A73" s="2">
        <v>5</v>
      </c>
      <c r="C73" s="38" t="s">
        <v>34</v>
      </c>
      <c r="D73" s="42">
        <f>TRUNC(6137,-1)</f>
        <v>6130</v>
      </c>
      <c r="E73" s="63">
        <f t="shared" si="2"/>
        <v>20260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TRUNC(605,-1)</f>
        <v>600</v>
      </c>
      <c r="E75" s="63">
        <f t="shared" si="2"/>
        <v>1980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TRUNC(8506,-1)</f>
        <v>8500</v>
      </c>
      <c r="E89" s="63">
        <f t="shared" si="2"/>
        <v>28090</v>
      </c>
    </row>
    <row r="90" spans="1:7" x14ac:dyDescent="0.3">
      <c r="A90" s="2">
        <v>22</v>
      </c>
      <c r="C90" s="38" t="s">
        <v>36</v>
      </c>
      <c r="D90" s="42">
        <f>TRUNC(1992,-1)</f>
        <v>1990</v>
      </c>
      <c r="E90" s="63">
        <f t="shared" si="2"/>
        <v>6570</v>
      </c>
    </row>
    <row r="91" spans="1:7" x14ac:dyDescent="0.3">
      <c r="A91" s="2">
        <v>23</v>
      </c>
      <c r="C91" s="38" t="s">
        <v>37</v>
      </c>
      <c r="D91" s="42">
        <f>TRUNC(9257,-1)</f>
        <v>9250</v>
      </c>
      <c r="E91" s="63">
        <f t="shared" si="2"/>
        <v>30570</v>
      </c>
    </row>
    <row r="92" spans="1:7" x14ac:dyDescent="0.3">
      <c r="A92" s="2">
        <v>24</v>
      </c>
      <c r="C92" s="38" t="s">
        <v>38</v>
      </c>
      <c r="D92" s="42">
        <f>TRUNC(3646,-1)</f>
        <v>3640</v>
      </c>
      <c r="E92" s="63">
        <f t="shared" si="2"/>
        <v>12030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TRUNC(9617+12210+3180+2451,-1)</f>
        <v>27450</v>
      </c>
      <c r="E94" s="64">
        <f t="shared" si="2"/>
        <v>90740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89730</v>
      </c>
      <c r="E95" s="39">
        <f>SUM(E69:E94)</f>
        <v>296580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TRUNC(9051,-1)</f>
        <v>9050</v>
      </c>
      <c r="E98" s="62">
        <f t="shared" ref="E98:E118" si="3">TRUNC(+D98*3.3058,-1)</f>
        <v>29910</v>
      </c>
    </row>
    <row r="99" spans="1:7" x14ac:dyDescent="0.3">
      <c r="A99" s="2">
        <v>2</v>
      </c>
      <c r="C99" s="38" t="s">
        <v>40</v>
      </c>
      <c r="D99" s="42">
        <f>TRUNC(13224,-1)</f>
        <v>13220</v>
      </c>
      <c r="E99" s="63">
        <f t="shared" si="3"/>
        <v>43700</v>
      </c>
    </row>
    <row r="100" spans="1:7" x14ac:dyDescent="0.3">
      <c r="A100" s="2">
        <v>3</v>
      </c>
      <c r="C100" s="38" t="s">
        <v>41</v>
      </c>
      <c r="D100" s="42">
        <f>TRUNC(20071,-1)</f>
        <v>20070</v>
      </c>
      <c r="E100" s="63">
        <f t="shared" si="3"/>
        <v>66340</v>
      </c>
    </row>
    <row r="101" spans="1:7" x14ac:dyDescent="0.3">
      <c r="A101" s="2">
        <v>4</v>
      </c>
      <c r="C101" s="38" t="s">
        <v>42</v>
      </c>
      <c r="D101" s="42">
        <v>170</v>
      </c>
      <c r="E101" s="63">
        <f t="shared" si="3"/>
        <v>560</v>
      </c>
    </row>
    <row r="102" spans="1:7" x14ac:dyDescent="0.3">
      <c r="A102" s="2">
        <v>5</v>
      </c>
      <c r="C102" s="38" t="s">
        <v>43</v>
      </c>
      <c r="D102" s="42">
        <f>TRUNC(7551,-1)</f>
        <v>7550</v>
      </c>
      <c r="E102" s="63">
        <f t="shared" si="3"/>
        <v>24950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TRUNC(4242,-1)</f>
        <v>4240</v>
      </c>
      <c r="E104" s="63">
        <f t="shared" si="3"/>
        <v>14010</v>
      </c>
    </row>
    <row r="105" spans="1:7" x14ac:dyDescent="0.3">
      <c r="A105" s="2">
        <v>8</v>
      </c>
      <c r="C105" s="38" t="s">
        <v>46</v>
      </c>
      <c r="D105" s="42">
        <f>TRUNC(3365,-1)</f>
        <v>3360</v>
      </c>
      <c r="E105" s="63">
        <f t="shared" si="3"/>
        <v>11100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TRUNC(24961,-1)</f>
        <v>24960</v>
      </c>
      <c r="E116" s="63">
        <f t="shared" si="3"/>
        <v>82510</v>
      </c>
      <c r="F116" s="2" t="s">
        <v>251</v>
      </c>
    </row>
    <row r="117" spans="1:7" x14ac:dyDescent="0.3">
      <c r="A117" s="2">
        <v>20</v>
      </c>
      <c r="C117" s="38" t="s">
        <v>148</v>
      </c>
      <c r="D117" s="42">
        <v>46600</v>
      </c>
      <c r="E117" s="63">
        <f t="shared" si="3"/>
        <v>154050</v>
      </c>
    </row>
    <row r="118" spans="1:7" ht="17.25" thickBot="1" x14ac:dyDescent="0.35">
      <c r="A118" s="2">
        <v>21</v>
      </c>
      <c r="C118" s="38" t="s">
        <v>47</v>
      </c>
      <c r="D118" s="43">
        <f>TRUNC(712,-1)</f>
        <v>710</v>
      </c>
      <c r="E118" s="64">
        <f t="shared" si="3"/>
        <v>2340</v>
      </c>
    </row>
    <row r="119" spans="1:7" x14ac:dyDescent="0.3">
      <c r="A119" s="2">
        <v>22</v>
      </c>
      <c r="C119" s="27" t="s">
        <v>112</v>
      </c>
      <c r="D119" s="39">
        <f>SUM(D98:D118)</f>
        <v>129930</v>
      </c>
      <c r="E119" s="39">
        <f>SUM(E98:E118)</f>
        <v>429470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TRUNC(3074,-1)</f>
        <v>3070</v>
      </c>
      <c r="E122" s="62">
        <f t="shared" ref="E122:E132" si="4">TRUNC(+D122*3.3058,-1)</f>
        <v>10140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TRUNC(303,-1)</f>
        <v>300</v>
      </c>
      <c r="E124" s="63">
        <f t="shared" si="4"/>
        <v>990</v>
      </c>
    </row>
    <row r="125" spans="1:7" x14ac:dyDescent="0.3">
      <c r="A125" s="2">
        <v>4</v>
      </c>
      <c r="C125" s="38" t="s">
        <v>138</v>
      </c>
      <c r="D125" s="42">
        <f>TRUNC(3687,-1)</f>
        <v>3680</v>
      </c>
      <c r="E125" s="63">
        <f t="shared" si="4"/>
        <v>12160</v>
      </c>
    </row>
    <row r="126" spans="1:7" x14ac:dyDescent="0.3">
      <c r="A126" s="2">
        <v>5</v>
      </c>
      <c r="C126" s="38" t="s">
        <v>53</v>
      </c>
      <c r="D126" s="42">
        <f>TRUNC(4852,-1)</f>
        <v>4850</v>
      </c>
      <c r="E126" s="63">
        <f t="shared" si="4"/>
        <v>16030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TRUNC(3161,-1)</f>
        <v>3160</v>
      </c>
      <c r="E128" s="63">
        <f t="shared" si="4"/>
        <v>10440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TRUNC(14857,-1)</f>
        <v>14850</v>
      </c>
      <c r="E130" s="63">
        <f t="shared" si="4"/>
        <v>49090</v>
      </c>
    </row>
    <row r="131" spans="1:7" x14ac:dyDescent="0.3">
      <c r="A131" s="2">
        <v>10</v>
      </c>
      <c r="C131" s="38" t="s">
        <v>148</v>
      </c>
      <c r="D131" s="42">
        <f>TRUNC(49787,-1)</f>
        <v>49780</v>
      </c>
      <c r="E131" s="63">
        <f t="shared" si="4"/>
        <v>164560</v>
      </c>
    </row>
    <row r="132" spans="1:7" ht="18" thickBot="1" x14ac:dyDescent="0.35">
      <c r="A132" s="2">
        <v>11</v>
      </c>
      <c r="C132" s="38" t="s">
        <v>47</v>
      </c>
      <c r="D132" s="43">
        <f>TRUNC(2275+1926,-1)</f>
        <v>4200</v>
      </c>
      <c r="E132" s="64">
        <f t="shared" si="4"/>
        <v>13880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83890</v>
      </c>
      <c r="E133" s="39">
        <f>SUM(E122:E132)</f>
        <v>277290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TRUNC(130+1589,-1)</f>
        <v>1710</v>
      </c>
      <c r="E137" s="63">
        <f t="shared" si="5"/>
        <v>5650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TRUNC(2249,-1)</f>
        <v>2240</v>
      </c>
      <c r="E139" s="63">
        <f t="shared" si="5"/>
        <v>7400</v>
      </c>
    </row>
    <row r="140" spans="1:7" x14ac:dyDescent="0.3">
      <c r="A140" s="2">
        <v>5</v>
      </c>
      <c r="C140" s="38" t="s">
        <v>57</v>
      </c>
      <c r="D140" s="42">
        <f>TRUNC(1219,-1)</f>
        <v>1210</v>
      </c>
      <c r="E140" s="63">
        <f t="shared" si="5"/>
        <v>4000</v>
      </c>
    </row>
    <row r="141" spans="1:7" x14ac:dyDescent="0.3">
      <c r="A141" s="2">
        <v>6</v>
      </c>
      <c r="C141" s="38" t="s">
        <v>59</v>
      </c>
      <c r="D141" s="42">
        <f>TRUNC(8273,-1)</f>
        <v>8270</v>
      </c>
      <c r="E141" s="63">
        <f t="shared" si="5"/>
        <v>27330</v>
      </c>
    </row>
    <row r="142" spans="1:7" x14ac:dyDescent="0.3">
      <c r="A142" s="2">
        <v>7</v>
      </c>
      <c r="C142" s="38" t="s">
        <v>58</v>
      </c>
      <c r="D142" s="42">
        <f>TRUNC(2418,-1)</f>
        <v>2410</v>
      </c>
      <c r="E142" s="63">
        <f t="shared" si="5"/>
        <v>7960</v>
      </c>
    </row>
    <row r="143" spans="1:7" x14ac:dyDescent="0.3">
      <c r="A143" s="2">
        <v>8</v>
      </c>
      <c r="C143" s="38" t="s">
        <v>62</v>
      </c>
      <c r="D143" s="42">
        <f>TRUNC(3265,-1)</f>
        <v>3260</v>
      </c>
      <c r="E143" s="63">
        <f t="shared" si="5"/>
        <v>10770</v>
      </c>
    </row>
    <row r="144" spans="1:7" x14ac:dyDescent="0.3">
      <c r="A144" s="2">
        <v>9</v>
      </c>
      <c r="C144" s="38" t="s">
        <v>63</v>
      </c>
      <c r="D144" s="42">
        <f>TRUNC(11692,-1)</f>
        <v>11690</v>
      </c>
      <c r="E144" s="63">
        <f t="shared" si="5"/>
        <v>38640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30790</v>
      </c>
      <c r="E146" s="39">
        <f>SUM(E136:E145)</f>
        <v>101750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TRUNC(13950+1474,-1)</f>
        <v>15420</v>
      </c>
      <c r="E149" s="62">
        <f>TRUNC(+D149*3.3058,-1)</f>
        <v>50970</v>
      </c>
    </row>
    <row r="150" spans="1:7" x14ac:dyDescent="0.3">
      <c r="A150" s="2">
        <v>2</v>
      </c>
      <c r="C150" s="38" t="s">
        <v>49</v>
      </c>
      <c r="D150" s="42">
        <f>TRUNC(4592,-1)</f>
        <v>4590</v>
      </c>
      <c r="E150" s="63">
        <f>TRUNC(+D150*3.3058,-1)</f>
        <v>15170</v>
      </c>
    </row>
    <row r="151" spans="1:7" x14ac:dyDescent="0.3">
      <c r="A151" s="2">
        <v>3</v>
      </c>
      <c r="C151" s="38" t="s">
        <v>50</v>
      </c>
      <c r="D151" s="42">
        <v>15450</v>
      </c>
      <c r="E151" s="63">
        <f>TRUNC(+D151*3.3058,-1)</f>
        <v>51070</v>
      </c>
    </row>
    <row r="152" spans="1:7" x14ac:dyDescent="0.3">
      <c r="A152" s="2">
        <v>4</v>
      </c>
      <c r="C152" s="38" t="s">
        <v>47</v>
      </c>
      <c r="D152" s="42">
        <f>TRUNC(727+17512+1045+15272,-1)</f>
        <v>34550</v>
      </c>
      <c r="E152" s="63">
        <f>TRUNC(+D152*3.3058,-1)</f>
        <v>114210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70010</v>
      </c>
      <c r="E154" s="39">
        <f>SUM(E149:E153)</f>
        <v>231420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TRUNC(3762,-1)</f>
        <v>3760</v>
      </c>
      <c r="E157" s="62">
        <f>TRUNC(+D157*3.3058,-1)</f>
        <v>12420</v>
      </c>
    </row>
    <row r="158" spans="1:7" x14ac:dyDescent="0.3">
      <c r="A158" s="2">
        <v>2</v>
      </c>
      <c r="C158" s="38" t="s">
        <v>52</v>
      </c>
      <c r="D158" s="42">
        <f>TRUNC(1645,-1)</f>
        <v>1640</v>
      </c>
      <c r="E158" s="63">
        <f>TRUNC(+D158*3.3058,-1)</f>
        <v>5420</v>
      </c>
    </row>
    <row r="159" spans="1:7" x14ac:dyDescent="0.3">
      <c r="A159" s="2">
        <v>3</v>
      </c>
      <c r="C159" s="38" t="s">
        <v>47</v>
      </c>
      <c r="D159" s="42">
        <f>TRUNC(7699+2811,-1)</f>
        <v>10510</v>
      </c>
      <c r="E159" s="63">
        <f>TRUNC(+D159*3.3058,-1)</f>
        <v>34740</v>
      </c>
      <c r="F159" s="2" t="s">
        <v>253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15910</v>
      </c>
      <c r="E161" s="39">
        <f>SUM(E157:E160)</f>
        <v>52580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2020-12-08T01:43:29Z</dcterms:modified>
</cp:coreProperties>
</file>