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1" i="4"/>
  <c r="D142" i="4"/>
  <c r="D140" i="4"/>
  <c r="D137" i="4"/>
  <c r="D131" i="4"/>
  <c r="D132" i="4"/>
  <c r="D128" i="4"/>
  <c r="D124" i="4"/>
  <c r="D125" i="4"/>
  <c r="D122" i="4"/>
  <c r="D130" i="4"/>
  <c r="D126" i="4"/>
  <c r="D105" i="4"/>
  <c r="D104" i="4"/>
  <c r="D102" i="4"/>
  <c r="D101" i="4"/>
  <c r="D118" i="4"/>
  <c r="D100" i="4"/>
  <c r="D99" i="4"/>
  <c r="D114" i="4"/>
  <c r="D98" i="4"/>
  <c r="D116" i="4"/>
  <c r="D76" i="4"/>
  <c r="D75" i="4"/>
  <c r="D92" i="4"/>
  <c r="D91" i="4"/>
  <c r="D90" i="4"/>
  <c r="D89" i="4"/>
  <c r="D73" i="4"/>
  <c r="D72" i="4"/>
  <c r="D71" i="4"/>
  <c r="D70" i="4"/>
  <c r="D69" i="4"/>
  <c r="D94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45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<sst xmlns="http://schemas.openxmlformats.org/spreadsheetml/2006/main" count="395" uniqueCount="270">
  <si>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</si>
  <si>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</si>
  <si>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</si>
  <si>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</si>
  <si>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</si>
  <si>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</si>
  <si>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</si>
  <si>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</si>
  <si>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</si>
  <si>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</si>
  <si>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</si>
  <si>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</si>
  <si>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</si>
  <si>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</si>
  <si>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</si>
  <si>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</si>
  <si>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</si>
  <si>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</si>
  <si>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</si>
  <si>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</si>
  <si>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</si>
  <si>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</si>
  <si>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</si>
  <si>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</si>
  <si>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</si>
  <si>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</si>
  <si>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</si>
  <si>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</si>
  <si>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</si>
  <si>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</si>
  <si>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</si>
  <si>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</si>
  <si>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</si>
  <si>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</si>
  <si>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</si>
  <si>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</si>
  <si>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</si>
  <si>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</si>
  <si>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</si>
  <si>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</si>
  <si>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</si>
  <si>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</si>
  <si>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</si>
  <si>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</si>
  <si>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</si>
  <si>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</si>
  <si>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</si>
  <si>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</si>
  <si>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</si>
  <si>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</si>
  <si>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</si>
  <si>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</si>
  <si>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</si>
  <si>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</si>
  <si>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</si>
  <si>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</si>
  <si>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</si>
  <si>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</si>
  <si>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</si>
  <si>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</si>
  <si>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</si>
  <si>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</si>
  <si>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</si>
  <si>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</si>
  <si>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</si>
  <si>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</si>
  <si>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</si>
  <si>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</si>
  <si>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</si>
  <si>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</si>
  <si>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</si>
  <si>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</si>
  <si>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</si>
  <si>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</si>
  <si>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</si>
  <si>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</si>
  <si>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</si>
  <si>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</si>
  <si>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</si>
  <si>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</si>
  <si>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</si>
  <si>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</si>
  <si>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</si>
  <si>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</si>
  <si>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</si>
  <si>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</si>
  <si>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</si>
  <si>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</si>
  <si>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</si>
  <si>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</si>
  <si>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</si>
  <si>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</si>
  <si>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</si>
  <si>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</si>
  <si>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</si>
  <si>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</si>
  <si>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</si>
  <si>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</si>
  <si>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</si>
  <si>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</si>
  <si>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</si>
  <si>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</si>
  <si>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</si>
  <si>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</si>
  <si>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</si>
  <si>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</si>
  <si>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</si>
  <si>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</si>
  <si>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</si>
  <si>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</si>
  <si>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</si>
  <si>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</si>
  <si>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</si>
  <si>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</si>
  <si>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</si>
  <si>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</si>
  <si>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</si>
  <si>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</si>
  <si>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</si>
  <si>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</si>
  <si>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</si>
  <si>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</si>
  <si>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</si>
  <si>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</si>
  <si>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</si>
  <si>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</si>
  <si>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</si>
  <si>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</si>
  <si>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</si>
  <si>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</si>
  <si>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</si>
  <si>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</si>
  <si>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</si>
  <si>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</si>
  <si>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</si>
  <si>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</si>
  <si>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</si>
  <si>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</si>
  <si>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</si>
  <si>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</si>
  <si>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</si>
  <si>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</si>
  <si>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</si>
  <si>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</si>
  <si>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</si>
  <si>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</si>
  <si>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</si>
  <si>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</si>
  <si>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</si>
  <si>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</si>
  <si>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</si>
  <si>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</si>
  <si>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</si>
  <si>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</si>
  <si>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</si>
  <si>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</si>
  <si>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</si>
  <si>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</si>
  <si>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</si>
  <si>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</si>
  <si>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</si>
  <si>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</si>
  <si>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</si>
  <si>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</si>
  <si>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</si>
  <si>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</si>
  <si>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</si>
  <si>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</si>
  <si>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</si>
  <si>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</si>
  <si>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</si>
  <si>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</si>
  <si>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</si>
  <si>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</si>
  <si>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</si>
  <si>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</si>
  <si>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</si>
  <si>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</si>
  <si>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</si>
  <si>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</si>
  <si>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</si>
  <si>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</si>
  <si>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</si>
  <si>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</si>
  <si>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</si>
  <si>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</si>
  <si>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</si>
  <si>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</si>
  <si>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</si>
  <si>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</si>
  <si>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</si>
  <si>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</si>
  <si>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</si>
  <si>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</si>
  <si>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</si>
  <si>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</si>
  <si>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</si>
  <si>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</si>
  <si>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</si>
  <si>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</si>
  <si>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</si>
  <si>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</si>
  <si>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</si>
  <si>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</si>
  <si>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</si>
  <si>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</si>
  <si>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</si>
  <si>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</si>
  <si>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</si>
  <si>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</si>
  <si>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</si>
  <si>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</si>
  <si>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</si>
  <si>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</si>
  <si>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</si>
  <si>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</si>
  <si>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</si>
  <si>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</si>
  <si>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</si>
  <si>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</si>
  <si>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</si>
  <si>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</si>
  <si>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</si>
  <si>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</si>
  <si>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</si>
  <si>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</si>
  <si>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</si>
  <si>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</si>
  <si>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</si>
  <si>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</si>
  <si>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</si>
  <si>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</si>
  <si>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</si>
  <si>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</si>
  <si>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</si>
  <si>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</si>
  <si>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</si>
  <si>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</si>
  <si>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</si>
  <si>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</si>
  <si>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</si>
  <si>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</si>
  <si>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</si>
  <si>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</si>
  <si>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</si>
  <si>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</si>
  <si>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</si>
  <si>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</si>
  <si>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</si>
  <si>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3생활권 광역복지지원센터 건립공사</t>
    <phoneticPr fontId="2" type="noConversion"/>
  </si>
  <si>
    <t>세종시</t>
  </si>
  <si>
    <t>기초공사,폐기물처리비,골재비및운반비,작업부산물,품질시험비,기타공사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</si>
  <si>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</si>
  <si>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</si>
  <si>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</si>
  <si>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공조배관공사,난방배관공사,우수처리시설공사,기타공사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</si>
  <si>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</si>
  <si>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</si>
  <si>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</si>
  <si>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</si>
  <si>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옥외소화배관공사,펌프실배관공사,제연덕트설치공사,무선통신보조설비공사,기타공사</t>
    <phoneticPr fontId="2" type="noConversion"/>
  </si>
  <si>
    <t>우수공사</t>
    <phoneticPr fontId="2" type="noConversion"/>
  </si>
  <si>
    <t>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</si>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</sst>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14931</v>
      </c>
      <c r="D7" s="36">
        <f>+C7/3.3058</f>
        <v>4516.6071752677108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1048190</v>
      </c>
      <c r="E25" s="59">
        <f t="shared" si="0"/>
        <v>3465100</v>
      </c>
    </row>
    <row r="26" spans="1:5" x14ac:dyDescent="0.3">
      <c r="B26" s="2">
        <v>3</v>
      </c>
      <c r="C26" s="35" t="s">
        <v>95</v>
      </c>
      <c r="D26" s="45">
        <f>+D66</f>
        <v>31010</v>
      </c>
      <c r="E26" s="59">
        <f t="shared" si="0"/>
        <v>102510</v>
      </c>
    </row>
    <row r="27" spans="1:5" x14ac:dyDescent="0.3">
      <c r="B27" s="2">
        <v>4</v>
      </c>
      <c r="C27" s="35" t="s">
        <v>96</v>
      </c>
      <c r="D27" s="45">
        <f>+D95</f>
        <v>169740</v>
      </c>
      <c r="E27" s="59">
        <f t="shared" si="0"/>
        <v>561120</v>
      </c>
    </row>
    <row r="28" spans="1:5" x14ac:dyDescent="0.3">
      <c r="B28" s="2">
        <v>5</v>
      </c>
      <c r="C28" s="35" t="s">
        <v>97</v>
      </c>
      <c r="D28" s="45">
        <f>+D119</f>
        <v>172670</v>
      </c>
      <c r="E28" s="59">
        <f t="shared" si="0"/>
        <v>570810</v>
      </c>
    </row>
    <row r="29" spans="1:5" x14ac:dyDescent="0.3">
      <c r="B29" s="2">
        <v>6</v>
      </c>
      <c r="C29" s="35" t="s">
        <v>98</v>
      </c>
      <c r="D29" s="45">
        <f>+D133</f>
        <v>80500</v>
      </c>
      <c r="E29" s="59">
        <f t="shared" si="0"/>
        <v>266110</v>
      </c>
    </row>
    <row r="30" spans="1:5" x14ac:dyDescent="0.3">
      <c r="B30" s="2">
        <v>7</v>
      </c>
      <c r="C30" s="35" t="s">
        <v>99</v>
      </c>
      <c r="D30" s="45">
        <f>+D146</f>
        <v>85690</v>
      </c>
      <c r="E30" s="59">
        <f t="shared" si="0"/>
        <v>283270</v>
      </c>
    </row>
    <row r="31" spans="1:5" x14ac:dyDescent="0.3">
      <c r="B31" s="2">
        <v>8</v>
      </c>
      <c r="C31" s="35" t="s">
        <v>100</v>
      </c>
      <c r="D31" s="45">
        <f>+D154</f>
        <v>10510</v>
      </c>
      <c r="E31" s="59">
        <f t="shared" si="0"/>
        <v>34740</v>
      </c>
    </row>
    <row r="32" spans="1:5" x14ac:dyDescent="0.3">
      <c r="B32" s="2">
        <v>9</v>
      </c>
      <c r="C32" s="35" t="s">
        <v>101</v>
      </c>
      <c r="D32" s="45">
        <f>+D161</f>
        <v>73570</v>
      </c>
      <c r="E32" s="59">
        <f t="shared" si="0"/>
        <v>243200</v>
      </c>
    </row>
    <row r="33" spans="1:7" x14ac:dyDescent="0.3">
      <c r="B33" s="2">
        <v>10</v>
      </c>
      <c r="C33" s="35" t="s">
        <v>154</v>
      </c>
      <c r="D33" s="53">
        <f>TRUNC(SUM(D24:D32)*0.275,-1)</f>
        <v>459760</v>
      </c>
      <c r="E33" s="60">
        <f t="shared" si="0"/>
        <v>1519870</v>
      </c>
    </row>
    <row r="34" spans="1:7" x14ac:dyDescent="0.3">
      <c r="C34" s="35" t="s">
        <v>112</v>
      </c>
      <c r="D34" s="44">
        <f>SUM(D24:D33)</f>
        <v>2131640</v>
      </c>
      <c r="E34" s="44">
        <f>SUM(E24:E33)</f>
        <v>7046730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TRUNC(65276,-1)</f>
        <v>65270</v>
      </c>
      <c r="E40" s="62">
        <f t="shared" ref="E40:E59" si="1">TRUNC(+D40*3.3058,-1)</f>
        <v>215760</v>
      </c>
    </row>
    <row r="41" spans="1:7" x14ac:dyDescent="0.3">
      <c r="A41" s="2">
        <v>2</v>
      </c>
      <c r="C41" s="38" t="s">
        <v>13</v>
      </c>
      <c r="D41" s="42">
        <f>TRUNC(143615,-1)</f>
        <v>143610</v>
      </c>
      <c r="E41" s="63">
        <f t="shared" si="1"/>
        <v>474740</v>
      </c>
    </row>
    <row r="42" spans="1:7" x14ac:dyDescent="0.3">
      <c r="A42" s="2">
        <v>3</v>
      </c>
      <c r="C42" s="38" t="s">
        <v>14</v>
      </c>
      <c r="D42" s="42">
        <f>TRUNC(27817,-1)</f>
        <v>27810</v>
      </c>
      <c r="E42" s="63">
        <f t="shared" si="1"/>
        <v>91930</v>
      </c>
    </row>
    <row r="43" spans="1:7" x14ac:dyDescent="0.3">
      <c r="A43" s="2">
        <v>4</v>
      </c>
      <c r="C43" s="38" t="s">
        <v>16</v>
      </c>
      <c r="D43" s="42">
        <f>TRUNC(25514,-1)</f>
        <v>25510</v>
      </c>
      <c r="E43" s="63">
        <f t="shared" si="1"/>
        <v>84330</v>
      </c>
    </row>
    <row r="44" spans="1:7" x14ac:dyDescent="0.3">
      <c r="A44" s="2">
        <v>5</v>
      </c>
      <c r="C44" s="38" t="s">
        <v>17</v>
      </c>
      <c r="D44" s="42">
        <f>TRUNC(38940,-1)</f>
        <v>38940</v>
      </c>
      <c r="E44" s="63">
        <f t="shared" si="1"/>
        <v>128720</v>
      </c>
    </row>
    <row r="45" spans="1:7" x14ac:dyDescent="0.3">
      <c r="A45" s="2">
        <v>6</v>
      </c>
      <c r="C45" s="38" t="s">
        <v>18</v>
      </c>
      <c r="D45" s="42">
        <f>TRUNC(7699,-1)</f>
        <v>7690</v>
      </c>
      <c r="E45" s="63">
        <f t="shared" si="1"/>
        <v>25420</v>
      </c>
    </row>
    <row r="46" spans="1:7" x14ac:dyDescent="0.3">
      <c r="A46" s="2">
        <v>7</v>
      </c>
      <c r="C46" s="38" t="s">
        <v>19</v>
      </c>
      <c r="D46" s="42">
        <f>TRUNC(3645,-1)</f>
        <v>3640</v>
      </c>
      <c r="E46" s="63">
        <f t="shared" si="1"/>
        <v>12030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TRUNC(48924,-1)</f>
        <v>48920</v>
      </c>
      <c r="E48" s="63">
        <f t="shared" si="1"/>
        <v>161710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TRUNC(13383,-1)</f>
        <v>13380</v>
      </c>
      <c r="E49" s="63">
        <f t="shared" si="1"/>
        <v>44230</v>
      </c>
    </row>
    <row r="50" spans="1:7" x14ac:dyDescent="0.3">
      <c r="A50" s="2">
        <v>11</v>
      </c>
      <c r="C50" s="38" t="s">
        <v>155</v>
      </c>
      <c r="D50" s="42">
        <f>TRUNC(79152,-1)</f>
        <v>79150</v>
      </c>
      <c r="E50" s="63">
        <f t="shared" si="1"/>
        <v>261650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TRUNC(13719,-1)</f>
        <v>13710</v>
      </c>
      <c r="E52" s="63">
        <f t="shared" si="1"/>
        <v>45320</v>
      </c>
    </row>
    <row r="53" spans="1:7" x14ac:dyDescent="0.3">
      <c r="A53" s="2">
        <v>14</v>
      </c>
      <c r="C53" s="38" t="s">
        <v>25</v>
      </c>
      <c r="D53" s="42">
        <f>TRUNC(105029,-1)</f>
        <v>105020</v>
      </c>
      <c r="E53" s="63">
        <f t="shared" si="1"/>
        <v>347170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TRUNC(19260+30+3706-1187+1243+12077,-1)</f>
        <v>35120</v>
      </c>
      <c r="E58" s="63">
        <f t="shared" si="1"/>
        <v>116090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TRUNC(440420,-1)</f>
        <v>440420</v>
      </c>
      <c r="E59" s="64">
        <f t="shared" si="1"/>
        <v>1455940</v>
      </c>
    </row>
    <row r="60" spans="1:7" x14ac:dyDescent="0.3">
      <c r="A60" s="2">
        <v>21</v>
      </c>
      <c r="C60" s="27" t="s">
        <v>112</v>
      </c>
      <c r="D60" s="39">
        <f>SUM(D40:D59)</f>
        <v>1048190</v>
      </c>
      <c r="E60" s="39">
        <f>SUM(E40:E59)</f>
        <v>3465040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TRUNC(23527,-1)</f>
        <v>23520</v>
      </c>
      <c r="E63" s="62">
        <f>TRUNC(+D63*3.3058,-1)</f>
        <v>77750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TRUNC(7499,-1)</f>
        <v>7490</v>
      </c>
      <c r="E65" s="64">
        <f>TRUNC(+D65*3.3058,-1)</f>
        <v>24760</v>
      </c>
    </row>
    <row r="66" spans="1:7" x14ac:dyDescent="0.3">
      <c r="A66" s="2">
        <v>4</v>
      </c>
      <c r="C66" s="27" t="s">
        <v>112</v>
      </c>
      <c r="D66" s="39">
        <f>SUM(D63:D65)</f>
        <v>31010</v>
      </c>
      <c r="E66" s="65">
        <f>SUM(E63:E65)</f>
        <v>102510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TRUNC(16129,-1)</f>
        <v>16120</v>
      </c>
      <c r="E69" s="62">
        <f t="shared" ref="E69:E94" si="2">TRUNC(+D69*3.3058,-1)</f>
        <v>53280</v>
      </c>
    </row>
    <row r="70" spans="1:7" ht="16.5" customHeight="1" x14ac:dyDescent="0.3">
      <c r="A70" s="2">
        <v>2</v>
      </c>
      <c r="C70" s="38" t="s">
        <v>31</v>
      </c>
      <c r="D70" s="42">
        <f>TRUNC(659,-1)</f>
        <v>650</v>
      </c>
      <c r="E70" s="63">
        <f t="shared" si="2"/>
        <v>2140</v>
      </c>
    </row>
    <row r="71" spans="1:7" x14ac:dyDescent="0.3">
      <c r="A71" s="2">
        <v>3</v>
      </c>
      <c r="C71" s="38" t="s">
        <v>32</v>
      </c>
      <c r="D71" s="42">
        <f>TRUNC(26024,-1)</f>
        <v>26020</v>
      </c>
      <c r="E71" s="63">
        <f t="shared" si="2"/>
        <v>86010</v>
      </c>
    </row>
    <row r="72" spans="1:7" x14ac:dyDescent="0.3">
      <c r="A72" s="2">
        <v>4</v>
      </c>
      <c r="C72" s="38" t="s">
        <v>33</v>
      </c>
      <c r="D72" s="42">
        <f>TRUNC(891,-1)</f>
        <v>890</v>
      </c>
      <c r="E72" s="63">
        <f t="shared" si="2"/>
        <v>2940</v>
      </c>
    </row>
    <row r="73" spans="1:7" x14ac:dyDescent="0.3">
      <c r="A73" s="2">
        <v>5</v>
      </c>
      <c r="C73" s="38" t="s">
        <v>34</v>
      </c>
      <c r="D73" s="42">
        <f>TRUNC(10430,-1)</f>
        <v>10430</v>
      </c>
      <c r="E73" s="63">
        <f t="shared" si="2"/>
        <v>34470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TRUNC(435,-1)</f>
        <v>430</v>
      </c>
      <c r="E75" s="63">
        <f t="shared" si="2"/>
        <v>1420</v>
      </c>
    </row>
    <row r="76" spans="1:7" x14ac:dyDescent="0.3">
      <c r="A76" s="2">
        <v>8</v>
      </c>
      <c r="C76" s="38" t="s">
        <v>119</v>
      </c>
      <c r="D76" s="42">
        <f>TRUNC(18241,-1)</f>
        <v>18240</v>
      </c>
      <c r="E76" s="63">
        <f t="shared" si="2"/>
        <v>60290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TRUNC(3426,-1)</f>
        <v>3420</v>
      </c>
      <c r="E89" s="63">
        <f t="shared" si="2"/>
        <v>11300</v>
      </c>
    </row>
    <row r="90" spans="1:7" x14ac:dyDescent="0.3">
      <c r="A90" s="2">
        <v>22</v>
      </c>
      <c r="C90" s="38" t="s">
        <v>36</v>
      </c>
      <c r="D90" s="42">
        <f>TRUNC(920,-1)</f>
        <v>920</v>
      </c>
      <c r="E90" s="63">
        <f t="shared" si="2"/>
        <v>3040</v>
      </c>
    </row>
    <row r="91" spans="1:7" x14ac:dyDescent="0.3">
      <c r="A91" s="2">
        <v>23</v>
      </c>
      <c r="C91" s="38" t="s">
        <v>37</v>
      </c>
      <c r="D91" s="42">
        <f>TRUNC(19191,-1)</f>
        <v>19190</v>
      </c>
      <c r="E91" s="63">
        <f t="shared" si="2"/>
        <v>63430</v>
      </c>
    </row>
    <row r="92" spans="1:7" x14ac:dyDescent="0.3">
      <c r="A92" s="2">
        <v>24</v>
      </c>
      <c r="C92" s="38" t="s">
        <v>38</v>
      </c>
      <c r="D92" s="42">
        <f>TRUNC(4653,-1)</f>
        <v>4650</v>
      </c>
      <c r="E92" s="63">
        <f t="shared" si="2"/>
        <v>15370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TRUNC(36589+3163+6291+22742,-1)</f>
        <v>68780</v>
      </c>
      <c r="E94" s="64">
        <f t="shared" si="2"/>
        <v>227370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169740</v>
      </c>
      <c r="E95" s="39">
        <f>SUM(E69:E94)</f>
        <v>561060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TRUNC(15701,-1)</f>
        <v>15700</v>
      </c>
      <c r="E98" s="62">
        <f t="shared" ref="E98:E118" si="3">TRUNC(+D98*3.3058,-1)</f>
        <v>51900</v>
      </c>
    </row>
    <row r="99" spans="1:7" x14ac:dyDescent="0.3">
      <c r="A99" s="2">
        <v>2</v>
      </c>
      <c r="C99" s="38" t="s">
        <v>40</v>
      </c>
      <c r="D99" s="42">
        <f>TRUNC(12502,-1)</f>
        <v>12500</v>
      </c>
      <c r="E99" s="63">
        <f t="shared" si="3"/>
        <v>41320</v>
      </c>
    </row>
    <row r="100" spans="1:7" x14ac:dyDescent="0.3">
      <c r="A100" s="2">
        <v>3</v>
      </c>
      <c r="C100" s="38" t="s">
        <v>41</v>
      </c>
      <c r="D100" s="42">
        <f>TRUNC(34841,-1)</f>
        <v>34840</v>
      </c>
      <c r="E100" s="63">
        <f t="shared" si="3"/>
        <v>115170</v>
      </c>
    </row>
    <row r="101" spans="1:7" x14ac:dyDescent="0.3">
      <c r="A101" s="2">
        <v>4</v>
      </c>
      <c r="C101" s="38" t="s">
        <v>42</v>
      </c>
      <c r="D101" s="42">
        <f>TRUNC(1292,-1)</f>
        <v>1290</v>
      </c>
      <c r="E101" s="63">
        <f t="shared" si="3"/>
        <v>4260</v>
      </c>
    </row>
    <row r="102" spans="1:7" x14ac:dyDescent="0.3">
      <c r="A102" s="2">
        <v>5</v>
      </c>
      <c r="C102" s="38" t="s">
        <v>43</v>
      </c>
      <c r="D102" s="42">
        <f>TRUNC(10553,-1)</f>
        <v>10550</v>
      </c>
      <c r="E102" s="63">
        <f t="shared" si="3"/>
        <v>34870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TRUNC(3081,-1)</f>
        <v>3080</v>
      </c>
      <c r="E104" s="63">
        <f t="shared" si="3"/>
        <v>10180</v>
      </c>
    </row>
    <row r="105" spans="1:7" x14ac:dyDescent="0.3">
      <c r="A105" s="2">
        <v>8</v>
      </c>
      <c r="C105" s="38" t="s">
        <v>46</v>
      </c>
      <c r="D105" s="42">
        <f>TRUNC(3551,-1)</f>
        <v>3550</v>
      </c>
      <c r="E105" s="63">
        <f t="shared" si="3"/>
        <v>11730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TRUNC(6141,-1)</f>
        <v>6140</v>
      </c>
      <c r="E114" s="63">
        <f t="shared" si="3"/>
        <v>20290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TRUNC(6881,-1)</f>
        <v>6880</v>
      </c>
      <c r="E116" s="63">
        <f t="shared" si="3"/>
        <v>22740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TRUNC(75869,-1)</f>
        <v>75860</v>
      </c>
      <c r="E117" s="63">
        <f t="shared" si="3"/>
        <v>250770</v>
      </c>
    </row>
    <row r="118" spans="1:7" ht="17.25" thickBot="1" x14ac:dyDescent="0.35">
      <c r="A118" s="2">
        <v>21</v>
      </c>
      <c r="C118" s="38" t="s">
        <v>47</v>
      </c>
      <c r="D118" s="43">
        <f>TRUNC(1519+770,-1)</f>
        <v>2280</v>
      </c>
      <c r="E118" s="64">
        <f t="shared" si="3"/>
        <v>7530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172670</v>
      </c>
      <c r="E119" s="39">
        <f>SUM(E98:E118)</f>
        <v>570760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TRUNC(4885,-1)</f>
        <v>4880</v>
      </c>
      <c r="E122" s="62">
        <f t="shared" ref="E122:E132" si="4">TRUNC(+D122*3.3058,-1)</f>
        <v>16130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TRUNC(2186,-1)</f>
        <v>2180</v>
      </c>
      <c r="E124" s="63">
        <f t="shared" si="4"/>
        <v>7200</v>
      </c>
    </row>
    <row r="125" spans="1:7" x14ac:dyDescent="0.3">
      <c r="A125" s="2">
        <v>4</v>
      </c>
      <c r="C125" s="38" t="s">
        <v>138</v>
      </c>
      <c r="D125" s="42">
        <f>TRUNC(8048,-1)</f>
        <v>8040</v>
      </c>
      <c r="E125" s="63">
        <f t="shared" si="4"/>
        <v>26570</v>
      </c>
    </row>
    <row r="126" spans="1:7" x14ac:dyDescent="0.3">
      <c r="A126" s="2">
        <v>5</v>
      </c>
      <c r="C126" s="38" t="s">
        <v>53</v>
      </c>
      <c r="D126" s="42">
        <f>TRUNC(1798,-1)</f>
        <v>1790</v>
      </c>
      <c r="E126" s="63">
        <f t="shared" si="4"/>
        <v>5910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TRUNC(4362,-1)</f>
        <v>4360</v>
      </c>
      <c r="E128" s="63">
        <f t="shared" si="4"/>
        <v>14410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TRUNC(24618,-1)</f>
        <v>24610</v>
      </c>
      <c r="E130" s="63">
        <f t="shared" si="4"/>
        <v>81350</v>
      </c>
    </row>
    <row r="131" spans="1:7" x14ac:dyDescent="0.3">
      <c r="A131" s="2">
        <v>10</v>
      </c>
      <c r="C131" s="38" t="s">
        <v>148</v>
      </c>
      <c r="D131" s="42">
        <f>TRUNC(29343,-1)</f>
        <v>29340</v>
      </c>
      <c r="E131" s="63">
        <f t="shared" si="4"/>
        <v>96990</v>
      </c>
    </row>
    <row r="132" spans="1:7" ht="18" thickBot="1" x14ac:dyDescent="0.35">
      <c r="A132" s="2">
        <v>11</v>
      </c>
      <c r="C132" s="38" t="s">
        <v>47</v>
      </c>
      <c r="D132" s="43">
        <f>TRUNC(2563+1550+1187,-1)</f>
        <v>5300</v>
      </c>
      <c r="E132" s="64">
        <f t="shared" si="4"/>
        <v>17520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80500</v>
      </c>
      <c r="E133" s="39">
        <f>SUM(E122:E132)</f>
        <v>266080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TRUNC(254+1319+9405+3231+19290,-1)</f>
        <v>33490</v>
      </c>
      <c r="E137" s="63">
        <f t="shared" si="5"/>
        <v>110710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TRUNC(2081,-1)</f>
        <v>2080</v>
      </c>
      <c r="E140" s="63">
        <f t="shared" si="5"/>
        <v>6870</v>
      </c>
    </row>
    <row r="141" spans="1:7" x14ac:dyDescent="0.3">
      <c r="A141" s="2">
        <v>6</v>
      </c>
      <c r="C141" s="38" t="s">
        <v>59</v>
      </c>
      <c r="D141" s="42">
        <f>TRUNC(27290,-1)</f>
        <v>27290</v>
      </c>
      <c r="E141" s="63">
        <f t="shared" si="5"/>
        <v>90210</v>
      </c>
    </row>
    <row r="142" spans="1:7" x14ac:dyDescent="0.3">
      <c r="A142" s="2">
        <v>7</v>
      </c>
      <c r="C142" s="38" t="s">
        <v>58</v>
      </c>
      <c r="D142" s="42">
        <f>TRUNC(5502,-1)</f>
        <v>5500</v>
      </c>
      <c r="E142" s="63">
        <f t="shared" si="5"/>
        <v>18180</v>
      </c>
    </row>
    <row r="143" spans="1:7" x14ac:dyDescent="0.3">
      <c r="A143" s="2">
        <v>8</v>
      </c>
      <c r="C143" s="38" t="s">
        <v>62</v>
      </c>
      <c r="D143" s="42">
        <f>TRUNC(4319,-1)</f>
        <v>4310</v>
      </c>
      <c r="E143" s="63">
        <f t="shared" si="5"/>
        <v>14240</v>
      </c>
    </row>
    <row r="144" spans="1:7" x14ac:dyDescent="0.3">
      <c r="A144" s="2">
        <v>9</v>
      </c>
      <c r="C144" s="38" t="s">
        <v>63</v>
      </c>
      <c r="D144" s="42">
        <f>TRUNC(9408,-1)</f>
        <v>9400</v>
      </c>
      <c r="E144" s="63">
        <f t="shared" si="5"/>
        <v>31070</v>
      </c>
    </row>
    <row r="145" spans="1:7" ht="17.25" thickBot="1" x14ac:dyDescent="0.35">
      <c r="A145" s="2">
        <v>10</v>
      </c>
      <c r="C145" s="38" t="s">
        <v>148</v>
      </c>
      <c r="D145" s="43">
        <f>TRUNC(3623,-1)</f>
        <v>3620</v>
      </c>
      <c r="E145" s="64">
        <f t="shared" si="5"/>
        <v>11960</v>
      </c>
    </row>
    <row r="146" spans="1:7" x14ac:dyDescent="0.3">
      <c r="A146" s="2">
        <v>11</v>
      </c>
      <c r="C146" s="27" t="s">
        <v>112</v>
      </c>
      <c r="D146" s="39">
        <f>SUM(D136:D145)</f>
        <v>85690</v>
      </c>
      <c r="E146" s="39">
        <f>SUM(E136:E145)</f>
        <v>283240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TRUNC(5846,-1)</f>
        <v>5840</v>
      </c>
      <c r="E149" s="62">
        <f>TRUNC(+D149*3.3058,-1)</f>
        <v>19300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TRUNC(1898,-1)</f>
        <v>1890</v>
      </c>
      <c r="E150" s="63">
        <f>TRUNC(+D150*3.3058,-1)</f>
        <v>6240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TRUNC(2295+413+78,-1)</f>
        <v>2780</v>
      </c>
      <c r="E152" s="63">
        <f>TRUNC(+D152*3.3058,-1)</f>
        <v>9190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10510</v>
      </c>
      <c r="E154" s="39">
        <f>SUM(E149:E153)</f>
        <v>34730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TRUNC(18063,-1)</f>
        <v>18060</v>
      </c>
      <c r="E157" s="62">
        <f>TRUNC(+D157*3.3058,-1)</f>
        <v>59700</v>
      </c>
    </row>
    <row r="158" spans="1:7" x14ac:dyDescent="0.3">
      <c r="A158" s="2">
        <v>2</v>
      </c>
      <c r="C158" s="38" t="s">
        <v>52</v>
      </c>
      <c r="D158" s="42">
        <f>TRUNC(28404,-1)</f>
        <v>28400</v>
      </c>
      <c r="E158" s="63">
        <f>TRUNC(+D158*3.3058,-1)</f>
        <v>93880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TRUNC(13581+13538,-1)</f>
        <v>27110</v>
      </c>
      <c r="E159" s="63">
        <f>TRUNC(+D159*3.3058,-1)</f>
        <v>89620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73570</v>
      </c>
      <c r="E161" s="39">
        <f>SUM(E157:E160)</f>
        <v>243200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2020-12-08T02:34:45Z</dcterms:modified>
</cp:coreProperties>
</file>