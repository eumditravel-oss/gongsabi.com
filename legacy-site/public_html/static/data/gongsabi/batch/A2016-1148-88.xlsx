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0" i="4"/>
  <c r="D139" i="4"/>
  <c r="D137" i="4"/>
  <c r="D132" i="4"/>
  <c r="D131" i="4"/>
  <c r="D130" i="4"/>
  <c r="D128" i="4"/>
  <c r="D125" i="4"/>
  <c r="D122" i="4"/>
  <c r="D118" i="4"/>
  <c r="D116" i="4"/>
  <c r="D114" i="4"/>
  <c r="D104" i="4"/>
  <c r="D103" i="4"/>
  <c r="D102" i="4"/>
  <c r="D101" i="4"/>
  <c r="D100" i="4"/>
  <c r="D99" i="4"/>
  <c r="D98" i="4"/>
  <c r="D94" i="4"/>
  <c r="D93" i="4"/>
  <c r="D92" i="4"/>
  <c r="D91" i="4"/>
  <c r="D89" i="4"/>
  <c r="D76" i="4"/>
  <c r="D73" i="4"/>
  <c r="D72" i="4"/>
  <c r="D71" i="4"/>
  <c r="D70" i="4"/>
  <c r="D69" i="4"/>
  <c r="D63" i="4"/>
  <c r="D59" i="4"/>
  <c r="D58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<sst xmlns="http://schemas.openxmlformats.org/spreadsheetml/2006/main" count="392" uniqueCount="266">
  <si>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</si>
  <si>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</si>
  <si>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</si>
  <si>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</si>
  <si>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</si>
  <si>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</si>
  <si>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</si>
  <si>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</si>
  <si>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</si>
  <si>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</si>
  <si>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</si>
  <si>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</si>
  <si>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</si>
  <si>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</si>
  <si>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</si>
  <si>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</si>
  <si>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</si>
  <si>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</si>
  <si>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</si>
  <si>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</si>
  <si>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</si>
  <si>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</si>
  <si>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</si>
  <si>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</si>
  <si>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</si>
  <si>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</si>
  <si>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</si>
  <si>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</si>
  <si>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</si>
  <si>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</si>
  <si>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</si>
  <si>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</si>
  <si>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</si>
  <si>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</si>
  <si>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</si>
  <si>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</si>
  <si>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</si>
  <si>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</si>
  <si>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</si>
  <si>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</si>
  <si>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</si>
  <si>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</si>
  <si>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</si>
  <si>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</si>
  <si>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</si>
  <si>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</si>
  <si>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</si>
  <si>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</si>
  <si>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</si>
  <si>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</si>
  <si>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</si>
  <si>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</si>
  <si>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</si>
  <si>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</si>
  <si>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</si>
  <si>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</si>
  <si>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</si>
  <si>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</si>
  <si>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</si>
  <si>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</si>
  <si>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</si>
  <si>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</si>
  <si>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</si>
  <si>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</si>
  <si>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</si>
  <si>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</si>
  <si>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</si>
  <si>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</si>
  <si>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</si>
  <si>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</si>
  <si>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</si>
  <si>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</si>
  <si>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</si>
  <si>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</si>
  <si>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</si>
  <si>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</si>
  <si>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</si>
  <si>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</si>
  <si>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</si>
  <si>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</si>
  <si>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</si>
  <si>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</si>
  <si>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</si>
  <si>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</si>
  <si>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</si>
  <si>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</si>
  <si>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</si>
  <si>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</si>
  <si>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</si>
  <si>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</si>
  <si>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</si>
  <si>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</si>
  <si>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</si>
  <si>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</si>
  <si>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</si>
  <si>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</si>
  <si>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</si>
  <si>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</si>
  <si>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</si>
  <si>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</si>
  <si>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</si>
  <si>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</si>
  <si>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</si>
  <si>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</si>
  <si>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</si>
  <si>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</si>
  <si>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</si>
  <si>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</si>
  <si>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</si>
  <si>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</si>
  <si>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</si>
  <si>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</si>
  <si>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</si>
  <si>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</si>
  <si>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</si>
  <si>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</si>
  <si>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</si>
  <si>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</si>
  <si>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</si>
  <si>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</si>
  <si>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</si>
  <si>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</si>
  <si>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</si>
  <si>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</si>
  <si>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</si>
  <si>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</si>
  <si>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</si>
  <si>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</si>
  <si>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</si>
  <si>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</si>
  <si>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</si>
  <si>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</si>
  <si>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</si>
  <si>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</si>
  <si>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</si>
  <si>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</si>
  <si>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</si>
  <si>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</si>
  <si>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</si>
  <si>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</si>
  <si>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</si>
  <si>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</si>
  <si>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</si>
  <si>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</si>
  <si>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</si>
  <si>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</si>
  <si>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</si>
  <si>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</si>
  <si>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</si>
  <si>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</si>
  <si>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</si>
  <si>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</si>
  <si>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</si>
  <si>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</si>
  <si>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</si>
  <si>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</si>
  <si>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</si>
  <si>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</si>
  <si>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</si>
  <si>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</si>
  <si>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</si>
  <si>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</si>
  <si>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</si>
  <si>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</si>
  <si>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</si>
  <si>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</si>
  <si>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</si>
  <si>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</si>
  <si>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</si>
  <si>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</si>
  <si>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</si>
  <si>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</si>
  <si>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</si>
  <si>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</si>
  <si>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</si>
  <si>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</si>
  <si>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</si>
  <si>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</si>
  <si>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</si>
  <si>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</si>
  <si>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</si>
  <si>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</si>
  <si>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</si>
  <si>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</si>
  <si>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</si>
  <si>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</si>
  <si>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</si>
  <si>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</si>
  <si>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</si>
  <si>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</si>
  <si>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</si>
  <si>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</si>
  <si>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</si>
  <si>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</si>
  <si>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</si>
  <si>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</si>
  <si>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</si>
  <si>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</si>
  <si>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</si>
  <si>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</si>
  <si>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</si>
  <si>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</si>
  <si>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</si>
  <si>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</si>
  <si>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</si>
  <si>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</si>
  <si>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</si>
  <si>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</si>
  <si>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</si>
  <si>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</si>
  <si>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</si>
  <si>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</si>
  <si>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</si>
  <si>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</si>
  <si>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</si>
  <si>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</si>
  <si>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</si>
  <si>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</si>
  <si>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</si>
  <si>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</si>
  <si>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</si>
  <si>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</si>
  <si>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</si>
  <si>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</si>
  <si>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</si>
  <si>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</si>
  <si>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</si>
  <si>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</si>
  <si>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</si>
  <si>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</si>
  <si>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</si>
  <si>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</si>
  <si>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</si>
  <si>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</si>
  <si>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</si>
  <si>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</si>
  <si>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</si>
  <si>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</si>
  <si>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</si>
  <si>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</si>
  <si>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</si>
  <si>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</si>
  <si>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</si>
  <si>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</si>
  <si>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</si>
  <si>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</si>
  <si>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</si>
  <si>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</si>
  <si>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</si>
  <si>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</si>
  <si>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</si>
  <si>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</si>
  <si>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</si>
  <si>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</si>
  <si>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</si>
  <si>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</si>
  <si>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</si>
  <si>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대평유·초등학교 신축공사</t>
    <phoneticPr fontId="2" type="noConversion"/>
  </si>
  <si>
    <t>세종시</t>
  </si>
  <si>
    <t>교육연구</t>
  </si>
  <si>
    <t>기초공사, 골재비및운반비, 작업부산물, 기타공사</t>
    <phoneticPr fontId="2" type="noConversion"/>
  </si>
  <si>
    <t>CCTV설비공사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</si>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</sst>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17917.47</v>
      </c>
      <c r="D7" s="36">
        <f>+C7/3.3058</f>
        <v>5420.0102849537179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754880</v>
      </c>
      <c r="E25" s="59">
        <f t="shared" si="0"/>
        <v>2495480</v>
      </c>
    </row>
    <row r="26" spans="1:5" x14ac:dyDescent="0.3">
      <c r="B26" s="2">
        <v>3</v>
      </c>
      <c r="C26" s="35" t="s">
        <v>95</v>
      </c>
      <c r="D26" s="45">
        <f>+D66</f>
        <v>10460</v>
      </c>
      <c r="E26" s="59">
        <f t="shared" si="0"/>
        <v>34570</v>
      </c>
    </row>
    <row r="27" spans="1:5" x14ac:dyDescent="0.3">
      <c r="B27" s="2">
        <v>4</v>
      </c>
      <c r="C27" s="35" t="s">
        <v>96</v>
      </c>
      <c r="D27" s="45">
        <f>+D95</f>
        <v>188980</v>
      </c>
      <c r="E27" s="59">
        <f t="shared" si="0"/>
        <v>624730</v>
      </c>
    </row>
    <row r="28" spans="1:5" x14ac:dyDescent="0.3">
      <c r="B28" s="2">
        <v>5</v>
      </c>
      <c r="C28" s="35" t="s">
        <v>97</v>
      </c>
      <c r="D28" s="45">
        <f>+D119</f>
        <v>158450</v>
      </c>
      <c r="E28" s="59">
        <f t="shared" si="0"/>
        <v>523800</v>
      </c>
    </row>
    <row r="29" spans="1:5" x14ac:dyDescent="0.3">
      <c r="B29" s="2">
        <v>6</v>
      </c>
      <c r="C29" s="35" t="s">
        <v>98</v>
      </c>
      <c r="D29" s="45">
        <f>+D133</f>
        <v>57560</v>
      </c>
      <c r="E29" s="59">
        <f t="shared" si="0"/>
        <v>190280</v>
      </c>
    </row>
    <row r="30" spans="1:5" x14ac:dyDescent="0.3">
      <c r="B30" s="2">
        <v>7</v>
      </c>
      <c r="C30" s="35" t="s">
        <v>99</v>
      </c>
      <c r="D30" s="45">
        <f>+D146</f>
        <v>51880</v>
      </c>
      <c r="E30" s="59">
        <f t="shared" si="0"/>
        <v>171500</v>
      </c>
    </row>
    <row r="31" spans="1:5" x14ac:dyDescent="0.3">
      <c r="B31" s="2">
        <v>8</v>
      </c>
      <c r="C31" s="35" t="s">
        <v>100</v>
      </c>
      <c r="D31" s="45">
        <f>+D154</f>
        <v>28920</v>
      </c>
      <c r="E31" s="59">
        <f t="shared" si="0"/>
        <v>95600</v>
      </c>
    </row>
    <row r="32" spans="1:5" x14ac:dyDescent="0.3">
      <c r="B32" s="2">
        <v>9</v>
      </c>
      <c r="C32" s="35" t="s">
        <v>101</v>
      </c>
      <c r="D32" s="45">
        <f>+D161</f>
        <v>19890</v>
      </c>
      <c r="E32" s="59">
        <f t="shared" si="0"/>
        <v>65750</v>
      </c>
    </row>
    <row r="33" spans="1:7" x14ac:dyDescent="0.3">
      <c r="B33" s="2">
        <v>10</v>
      </c>
      <c r="C33" s="35" t="s">
        <v>155</v>
      </c>
      <c r="D33" s="53">
        <f>TRUNC(SUM(D24:D32)*0.275,-1)</f>
        <v>349530</v>
      </c>
      <c r="E33" s="60">
        <f t="shared" si="0"/>
        <v>1155470</v>
      </c>
    </row>
    <row r="34" spans="1:7" x14ac:dyDescent="0.3">
      <c r="C34" s="35" t="s">
        <v>112</v>
      </c>
      <c r="D34" s="44">
        <f>SUM(D24:D33)</f>
        <v>1620550</v>
      </c>
      <c r="E34" s="44">
        <f>SUM(E24:E33)</f>
        <v>5357180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TRUNC(43234,-1)</f>
        <v>43230</v>
      </c>
      <c r="E40" s="62">
        <f t="shared" ref="E40:E59" si="1">TRUNC(+D40*3.3058,-1)</f>
        <v>142900</v>
      </c>
    </row>
    <row r="41" spans="1:7" x14ac:dyDescent="0.3">
      <c r="A41" s="2">
        <v>2</v>
      </c>
      <c r="C41" s="38" t="s">
        <v>13</v>
      </c>
      <c r="D41" s="42">
        <f>TRUNC(134153,-1)</f>
        <v>134150</v>
      </c>
      <c r="E41" s="63">
        <f t="shared" si="1"/>
        <v>443470</v>
      </c>
    </row>
    <row r="42" spans="1:7" x14ac:dyDescent="0.3">
      <c r="A42" s="2">
        <v>3</v>
      </c>
      <c r="C42" s="38" t="s">
        <v>14</v>
      </c>
      <c r="D42" s="42">
        <f>TRUNC(7098,-1)</f>
        <v>7090</v>
      </c>
      <c r="E42" s="63">
        <f t="shared" si="1"/>
        <v>23430</v>
      </c>
    </row>
    <row r="43" spans="1:7" x14ac:dyDescent="0.3">
      <c r="A43" s="2">
        <v>4</v>
      </c>
      <c r="C43" s="38" t="s">
        <v>16</v>
      </c>
      <c r="D43" s="42">
        <f>TRUNC(39857,-1)</f>
        <v>39850</v>
      </c>
      <c r="E43" s="63">
        <f t="shared" si="1"/>
        <v>131730</v>
      </c>
    </row>
    <row r="44" spans="1:7" x14ac:dyDescent="0.3">
      <c r="A44" s="2">
        <v>5</v>
      </c>
      <c r="C44" s="38" t="s">
        <v>17</v>
      </c>
      <c r="D44" s="42">
        <f>TRUNC(20028,-1)</f>
        <v>20020</v>
      </c>
      <c r="E44" s="63">
        <f t="shared" si="1"/>
        <v>66180</v>
      </c>
    </row>
    <row r="45" spans="1:7" x14ac:dyDescent="0.3">
      <c r="A45" s="2">
        <v>6</v>
      </c>
      <c r="C45" s="38" t="s">
        <v>18</v>
      </c>
      <c r="D45" s="42">
        <f>TRUNC(10069,-1)</f>
        <v>10060</v>
      </c>
      <c r="E45" s="63">
        <f t="shared" si="1"/>
        <v>33250</v>
      </c>
    </row>
    <row r="46" spans="1:7" x14ac:dyDescent="0.3">
      <c r="A46" s="2">
        <v>7</v>
      </c>
      <c r="C46" s="38" t="s">
        <v>19</v>
      </c>
      <c r="D46" s="42">
        <f>TRUNC(20418,-1)</f>
        <v>20410</v>
      </c>
      <c r="E46" s="63">
        <f t="shared" si="1"/>
        <v>67470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TRUNC(32103,-1)</f>
        <v>32100</v>
      </c>
      <c r="E48" s="63">
        <f t="shared" si="1"/>
        <v>106110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TRUNC(21632,-1)</f>
        <v>21630</v>
      </c>
      <c r="E49" s="63">
        <f t="shared" si="1"/>
        <v>71500</v>
      </c>
    </row>
    <row r="50" spans="1:7" x14ac:dyDescent="0.3">
      <c r="A50" s="2">
        <v>11</v>
      </c>
      <c r="C50" s="38" t="s">
        <v>156</v>
      </c>
      <c r="D50" s="42">
        <f>TRUNC(27857,-1)</f>
        <v>27850</v>
      </c>
      <c r="E50" s="63">
        <f t="shared" si="1"/>
        <v>92060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10200</v>
      </c>
      <c r="E52" s="63">
        <f t="shared" si="1"/>
        <v>33710</v>
      </c>
    </row>
    <row r="53" spans="1:7" x14ac:dyDescent="0.3">
      <c r="A53" s="2">
        <v>14</v>
      </c>
      <c r="C53" s="38" t="s">
        <v>25</v>
      </c>
      <c r="D53" s="42">
        <f>TRUNC(70786,-1)</f>
        <v>70780</v>
      </c>
      <c r="E53" s="63">
        <f t="shared" si="1"/>
        <v>233980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TRUNC(34422+6162-413+10332,-1)</f>
        <v>50500</v>
      </c>
      <c r="E58" s="63">
        <f t="shared" si="1"/>
        <v>166940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TRUNC(267013,-1)</f>
        <v>267010</v>
      </c>
      <c r="E59" s="64">
        <f t="shared" si="1"/>
        <v>882680</v>
      </c>
    </row>
    <row r="60" spans="1:7" x14ac:dyDescent="0.3">
      <c r="A60" s="2">
        <v>21</v>
      </c>
      <c r="C60" s="27" t="s">
        <v>112</v>
      </c>
      <c r="D60" s="39">
        <f>SUM(D40:D59)</f>
        <v>754880</v>
      </c>
      <c r="E60" s="39">
        <f>SUM(E40:E59)</f>
        <v>2495410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TRUNC(10466,-1)</f>
        <v>10460</v>
      </c>
      <c r="E63" s="62">
        <f>TRUNC(+D63*3.3058,-1)</f>
        <v>34570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10460</v>
      </c>
      <c r="E66" s="65">
        <f>SUM(E63:E65)</f>
        <v>34570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TRUNC(11513,-1)</f>
        <v>11510</v>
      </c>
      <c r="E69" s="62">
        <f t="shared" ref="E69:E94" si="2">TRUNC(+D69*3.3058,-1)</f>
        <v>38040</v>
      </c>
    </row>
    <row r="70" spans="1:7" ht="16.5" customHeight="1" x14ac:dyDescent="0.3">
      <c r="A70" s="2">
        <v>2</v>
      </c>
      <c r="C70" s="38" t="s">
        <v>31</v>
      </c>
      <c r="D70" s="42">
        <f>TRUNC(8594,-1)</f>
        <v>8590</v>
      </c>
      <c r="E70" s="63">
        <f t="shared" si="2"/>
        <v>28390</v>
      </c>
    </row>
    <row r="71" spans="1:7" x14ac:dyDescent="0.3">
      <c r="A71" s="2">
        <v>3</v>
      </c>
      <c r="C71" s="38" t="s">
        <v>32</v>
      </c>
      <c r="D71" s="42">
        <f>TRUNC(6734,-1)</f>
        <v>6730</v>
      </c>
      <c r="E71" s="63">
        <f t="shared" si="2"/>
        <v>22240</v>
      </c>
    </row>
    <row r="72" spans="1:7" x14ac:dyDescent="0.3">
      <c r="A72" s="2">
        <v>4</v>
      </c>
      <c r="C72" s="38" t="s">
        <v>33</v>
      </c>
      <c r="D72" s="42">
        <f>TRUNC(3286,-1)</f>
        <v>3280</v>
      </c>
      <c r="E72" s="63">
        <f t="shared" si="2"/>
        <v>10840</v>
      </c>
    </row>
    <row r="73" spans="1:7" x14ac:dyDescent="0.3">
      <c r="A73" s="2">
        <v>5</v>
      </c>
      <c r="C73" s="38" t="s">
        <v>34</v>
      </c>
      <c r="D73" s="42">
        <f>TRUNC(18469,-1)</f>
        <v>18460</v>
      </c>
      <c r="E73" s="63">
        <f t="shared" si="2"/>
        <v>61020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TRUNC(17283,-1)</f>
        <v>17280</v>
      </c>
      <c r="E76" s="63">
        <f t="shared" si="2"/>
        <v>57120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TRUNC(8351,-1)</f>
        <v>8350</v>
      </c>
      <c r="E89" s="63">
        <f t="shared" si="2"/>
        <v>27600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TRUNC(4428,-1)</f>
        <v>4420</v>
      </c>
      <c r="E91" s="63">
        <f t="shared" si="2"/>
        <v>14610</v>
      </c>
    </row>
    <row r="92" spans="1:7" x14ac:dyDescent="0.3">
      <c r="A92" s="2">
        <v>24</v>
      </c>
      <c r="C92" s="38" t="s">
        <v>38</v>
      </c>
      <c r="D92" s="42">
        <f>TRUNC(10373,-1)</f>
        <v>10370</v>
      </c>
      <c r="E92" s="63">
        <f t="shared" si="2"/>
        <v>34280</v>
      </c>
    </row>
    <row r="93" spans="1:7" x14ac:dyDescent="0.3">
      <c r="A93" s="2">
        <v>25</v>
      </c>
      <c r="C93" s="38" t="s">
        <v>149</v>
      </c>
      <c r="D93" s="42">
        <f>TRUNC(78429,-1)</f>
        <v>78420</v>
      </c>
      <c r="E93" s="63">
        <f t="shared" si="2"/>
        <v>259240</v>
      </c>
    </row>
    <row r="94" spans="1:7" ht="17.25" thickBot="1" x14ac:dyDescent="0.35">
      <c r="A94" s="2">
        <v>26</v>
      </c>
      <c r="C94" s="38" t="s">
        <v>47</v>
      </c>
      <c r="D94" s="43">
        <f>TRUNC(1046+6934+861+12738,-1)</f>
        <v>21570</v>
      </c>
      <c r="E94" s="64">
        <f t="shared" si="2"/>
        <v>71300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188980</v>
      </c>
      <c r="E95" s="39">
        <f>SUM(E69:E94)</f>
        <v>624680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TRUNC(12865,-1)</f>
        <v>12860</v>
      </c>
      <c r="E98" s="62">
        <f t="shared" ref="E98:E118" si="3">TRUNC(+D98*3.3058,-1)</f>
        <v>42510</v>
      </c>
    </row>
    <row r="99" spans="1:7" x14ac:dyDescent="0.3">
      <c r="A99" s="2">
        <v>2</v>
      </c>
      <c r="C99" s="38" t="s">
        <v>40</v>
      </c>
      <c r="D99" s="42">
        <f>TRUNC(6666,-1)</f>
        <v>6660</v>
      </c>
      <c r="E99" s="63">
        <f t="shared" si="3"/>
        <v>22010</v>
      </c>
    </row>
    <row r="100" spans="1:7" x14ac:dyDescent="0.3">
      <c r="A100" s="2">
        <v>3</v>
      </c>
      <c r="C100" s="38" t="s">
        <v>41</v>
      </c>
      <c r="D100" s="42">
        <f>TRUNC(27962,-1)</f>
        <v>27960</v>
      </c>
      <c r="E100" s="63">
        <f t="shared" si="3"/>
        <v>92430</v>
      </c>
    </row>
    <row r="101" spans="1:7" x14ac:dyDescent="0.3">
      <c r="A101" s="2">
        <v>4</v>
      </c>
      <c r="C101" s="38" t="s">
        <v>42</v>
      </c>
      <c r="D101" s="42">
        <f>TRUNC(419,-1)</f>
        <v>410</v>
      </c>
      <c r="E101" s="63">
        <f t="shared" si="3"/>
        <v>1350</v>
      </c>
    </row>
    <row r="102" spans="1:7" x14ac:dyDescent="0.3">
      <c r="A102" s="2">
        <v>5</v>
      </c>
      <c r="C102" s="38" t="s">
        <v>43</v>
      </c>
      <c r="D102" s="42">
        <f>TRUNC(13634,-1)</f>
        <v>13630</v>
      </c>
      <c r="E102" s="63">
        <f t="shared" si="3"/>
        <v>45050</v>
      </c>
    </row>
    <row r="103" spans="1:7" x14ac:dyDescent="0.3">
      <c r="A103" s="2">
        <v>6</v>
      </c>
      <c r="C103" s="38" t="s">
        <v>44</v>
      </c>
      <c r="D103" s="42">
        <f>TRUNC(5315,-1)</f>
        <v>5310</v>
      </c>
      <c r="E103" s="63">
        <f t="shared" si="3"/>
        <v>17550</v>
      </c>
    </row>
    <row r="104" spans="1:7" x14ac:dyDescent="0.3">
      <c r="A104" s="2">
        <v>7</v>
      </c>
      <c r="C104" s="38" t="s">
        <v>45</v>
      </c>
      <c r="D104" s="42">
        <f>TRUNC(2736,-1)</f>
        <v>2730</v>
      </c>
      <c r="E104" s="63">
        <f t="shared" si="3"/>
        <v>9020</v>
      </c>
    </row>
    <row r="105" spans="1:7" x14ac:dyDescent="0.3">
      <c r="A105" s="2">
        <v>8</v>
      </c>
      <c r="C105" s="38" t="s">
        <v>46</v>
      </c>
      <c r="D105" s="42">
        <v>4810</v>
      </c>
      <c r="E105" s="63">
        <f t="shared" si="3"/>
        <v>15900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TRUNC(2024,-1)</f>
        <v>2020</v>
      </c>
      <c r="E114" s="63">
        <f t="shared" si="3"/>
        <v>6670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TRUNC(2885,-1)</f>
        <v>2880</v>
      </c>
      <c r="E116" s="63">
        <f t="shared" si="3"/>
        <v>9520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v>77900</v>
      </c>
      <c r="E117" s="63">
        <f t="shared" si="3"/>
        <v>257520</v>
      </c>
    </row>
    <row r="118" spans="1:7" ht="17.25" thickBot="1" x14ac:dyDescent="0.35">
      <c r="A118" s="2">
        <v>21</v>
      </c>
      <c r="C118" s="38" t="s">
        <v>47</v>
      </c>
      <c r="D118" s="43">
        <f>TRUNC(1285,-1)</f>
        <v>1280</v>
      </c>
      <c r="E118" s="64">
        <f t="shared" si="3"/>
        <v>4230</v>
      </c>
    </row>
    <row r="119" spans="1:7" x14ac:dyDescent="0.3">
      <c r="A119" s="2">
        <v>22</v>
      </c>
      <c r="C119" s="27" t="s">
        <v>112</v>
      </c>
      <c r="D119" s="39">
        <f>SUM(D98:D118)</f>
        <v>158450</v>
      </c>
      <c r="E119" s="39">
        <f>SUM(E98:E118)</f>
        <v>523760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TRUNC(3609,-1)</f>
        <v>3600</v>
      </c>
      <c r="E122" s="62">
        <f t="shared" ref="E122:E132" si="4">TRUNC(+D122*3.3058,-1)</f>
        <v>11900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1040</v>
      </c>
      <c r="E124" s="63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TRUNC(8656,-1)</f>
        <v>8650</v>
      </c>
      <c r="E125" s="63">
        <f t="shared" si="4"/>
        <v>28590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TRUNC(5877,-1)</f>
        <v>5870</v>
      </c>
      <c r="E128" s="63">
        <f t="shared" si="4"/>
        <v>19400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TRUNC(12879,-1)</f>
        <v>12870</v>
      </c>
      <c r="E130" s="63">
        <f t="shared" si="4"/>
        <v>42540</v>
      </c>
    </row>
    <row r="131" spans="1:7" x14ac:dyDescent="0.3">
      <c r="A131" s="2">
        <v>10</v>
      </c>
      <c r="C131" s="38" t="s">
        <v>149</v>
      </c>
      <c r="D131" s="42">
        <f>TRUNC(22174,-1)</f>
        <v>22170</v>
      </c>
      <c r="E131" s="63">
        <f t="shared" si="4"/>
        <v>73280</v>
      </c>
    </row>
    <row r="132" spans="1:7" ht="18" thickBot="1" x14ac:dyDescent="0.35">
      <c r="A132" s="2">
        <v>11</v>
      </c>
      <c r="C132" s="38" t="s">
        <v>47</v>
      </c>
      <c r="D132" s="43">
        <f>TRUNC(3368,-1)</f>
        <v>3360</v>
      </c>
      <c r="E132" s="64">
        <f t="shared" si="4"/>
        <v>11100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57560</v>
      </c>
      <c r="E133" s="39">
        <f>SUM(E122:E132)</f>
        <v>190240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TRUNC(6986,-1)</f>
        <v>6980</v>
      </c>
      <c r="E137" s="63">
        <f t="shared" si="5"/>
        <v>23070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TRUNC(2228,-1)</f>
        <v>2220</v>
      </c>
      <c r="E139" s="63">
        <f t="shared" si="5"/>
        <v>7330</v>
      </c>
    </row>
    <row r="140" spans="1:7" x14ac:dyDescent="0.3">
      <c r="A140" s="2">
        <v>5</v>
      </c>
      <c r="C140" s="38" t="s">
        <v>57</v>
      </c>
      <c r="D140" s="42">
        <f>TRUNC(5676,-1)</f>
        <v>5670</v>
      </c>
      <c r="E140" s="63">
        <f t="shared" si="5"/>
        <v>18740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TRUNC(21964,-1)</f>
        <v>21960</v>
      </c>
      <c r="E142" s="63">
        <f t="shared" si="5"/>
        <v>72590</v>
      </c>
    </row>
    <row r="143" spans="1:7" x14ac:dyDescent="0.3">
      <c r="A143" s="2">
        <v>8</v>
      </c>
      <c r="C143" s="38" t="s">
        <v>62</v>
      </c>
      <c r="D143" s="42">
        <f>TRUNC(8222,-1)</f>
        <v>8220</v>
      </c>
      <c r="E143" s="63">
        <f t="shared" si="5"/>
        <v>27170</v>
      </c>
    </row>
    <row r="144" spans="1:7" x14ac:dyDescent="0.3">
      <c r="A144" s="2">
        <v>9</v>
      </c>
      <c r="C144" s="38" t="s">
        <v>63</v>
      </c>
      <c r="D144" s="42">
        <v>6830</v>
      </c>
      <c r="E144" s="63">
        <f t="shared" si="5"/>
        <v>22570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51880</v>
      </c>
      <c r="E146" s="39">
        <f>SUM(E136:E145)</f>
        <v>171470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TRUNC(6267+3104,-1)</f>
        <v>9370</v>
      </c>
      <c r="E149" s="62">
        <f>TRUNC(+D149*3.3058,-1)</f>
        <v>30970</v>
      </c>
    </row>
    <row r="150" spans="1:7" x14ac:dyDescent="0.3">
      <c r="A150" s="2">
        <v>2</v>
      </c>
      <c r="C150" s="38" t="s">
        <v>49</v>
      </c>
      <c r="D150" s="42">
        <f>TRUNC(5964,-1)</f>
        <v>5960</v>
      </c>
      <c r="E150" s="63">
        <f>TRUNC(+D150*3.3058,-1)</f>
        <v>19700</v>
      </c>
    </row>
    <row r="151" spans="1:7" x14ac:dyDescent="0.3">
      <c r="A151" s="2">
        <v>3</v>
      </c>
      <c r="C151" s="38" t="s">
        <v>50</v>
      </c>
      <c r="D151" s="42">
        <f>TRUNC(13126,-1)</f>
        <v>13120</v>
      </c>
      <c r="E151" s="63">
        <f>TRUNC(+D151*3.3058,-1)</f>
        <v>43370</v>
      </c>
    </row>
    <row r="152" spans="1:7" x14ac:dyDescent="0.3">
      <c r="A152" s="2">
        <v>4</v>
      </c>
      <c r="C152" s="38" t="s">
        <v>47</v>
      </c>
      <c r="D152" s="42">
        <f>TRUNC(97+374,-1)</f>
        <v>470</v>
      </c>
      <c r="E152" s="63">
        <f>TRUNC(+D152*3.3058,-1)</f>
        <v>1550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28920</v>
      </c>
      <c r="E154" s="39">
        <f>SUM(E149:E153)</f>
        <v>95590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TRUNC(17172,-1)</f>
        <v>17170</v>
      </c>
      <c r="E157" s="62">
        <f>TRUNC(+D157*3.3058,-1)</f>
        <v>56760</v>
      </c>
    </row>
    <row r="158" spans="1:7" x14ac:dyDescent="0.3">
      <c r="A158" s="2">
        <v>2</v>
      </c>
      <c r="C158" s="38" t="s">
        <v>52</v>
      </c>
      <c r="D158" s="42">
        <f>TRUNC(2286,-1)</f>
        <v>2280</v>
      </c>
      <c r="E158" s="63">
        <f>TRUNC(+D158*3.3058,-1)</f>
        <v>7530</v>
      </c>
    </row>
    <row r="159" spans="1:7" x14ac:dyDescent="0.3">
      <c r="A159" s="2">
        <v>3</v>
      </c>
      <c r="C159" s="38" t="s">
        <v>47</v>
      </c>
      <c r="D159" s="42">
        <f>TRUNC(445,-1)</f>
        <v>440</v>
      </c>
      <c r="E159" s="63">
        <f>TRUNC(+D159*3.3058,-1)</f>
        <v>1450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19890</v>
      </c>
      <c r="E161" s="39">
        <f>SUM(E157:E160)</f>
        <v>65740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2020-12-08T01:15:53Z</dcterms:modified>
</cp:coreProperties>
</file>