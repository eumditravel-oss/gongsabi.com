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61" i="4"/>
  <c r="E119" i="4"/>
  <c r="E95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30" i="4"/>
  <c r="E30" i="4" s="1"/>
  <c r="D26" i="4"/>
  <c r="D25" i="4"/>
  <c r="E25" i="4" s="1"/>
  <c r="D24" i="4"/>
  <c r="E24" i="4" s="1"/>
  <c r="D7" i="4"/>
  <c r="D33" i="4" l="1"/>
  <c r="E33" i="4" s="1"/>
  <c r="E26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<sst xmlns="http://schemas.openxmlformats.org/spreadsheetml/2006/main" count="386" uniqueCount="261">
  <si>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</si>
  <si>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</si>
  <si>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</si>
  <si>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</si>
  <si>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</si>
  <si>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</si>
  <si>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</si>
  <si>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</si>
  <si>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</si>
  <si>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</si>
  <si>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</si>
  <si>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</si>
  <si>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</si>
  <si>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</si>
  <si>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</si>
  <si>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</si>
  <si>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</si>
  <si>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</si>
  <si>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</si>
  <si>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</si>
  <si>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</si>
  <si>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</si>
  <si>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</si>
  <si>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</si>
  <si>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</si>
  <si>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</si>
  <si>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</si>
  <si>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</si>
  <si>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</si>
  <si>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</si>
  <si>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</si>
  <si>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</si>
  <si>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</si>
  <si>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</si>
  <si>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</si>
  <si>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</si>
  <si>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</si>
  <si>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</si>
  <si>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</si>
  <si>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</si>
  <si>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</si>
  <si>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</si>
  <si>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</si>
  <si>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</si>
  <si>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</si>
  <si>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</si>
  <si>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</si>
  <si>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</si>
  <si>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</si>
  <si>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</si>
  <si>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</si>
  <si>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</si>
  <si>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</si>
  <si>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</si>
  <si>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</si>
  <si>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</si>
  <si>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</si>
  <si>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</si>
  <si>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</si>
  <si>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</si>
  <si>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</si>
  <si>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</si>
  <si>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</si>
  <si>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</si>
  <si>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</si>
  <si>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</si>
  <si>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</si>
  <si>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</si>
  <si>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</si>
  <si>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</si>
  <si>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</si>
  <si>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</si>
  <si>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</si>
  <si>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</si>
  <si>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</si>
  <si>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</si>
  <si>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</si>
  <si>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</si>
  <si>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</si>
  <si>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</si>
  <si>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</si>
  <si>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</si>
  <si>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</si>
  <si>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</si>
  <si>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</si>
  <si>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</si>
  <si>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</si>
  <si>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</si>
  <si>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</si>
  <si>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</si>
  <si>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</si>
  <si>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</si>
  <si>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</si>
  <si>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</si>
  <si>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</si>
  <si>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</si>
  <si>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</si>
  <si>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</si>
  <si>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</si>
  <si>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</si>
  <si>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</si>
  <si>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</si>
  <si>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</si>
  <si>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</si>
  <si>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</si>
  <si>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</si>
  <si>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</si>
  <si>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</si>
  <si>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</si>
  <si>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</si>
  <si>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</si>
  <si>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</si>
  <si>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</si>
  <si>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</si>
  <si>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</si>
  <si>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</si>
  <si>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</si>
  <si>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</si>
  <si>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</si>
  <si>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</si>
  <si>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</si>
  <si>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</si>
  <si>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</si>
  <si>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</si>
  <si>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</si>
  <si>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</si>
  <si>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</si>
  <si>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</si>
  <si>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</si>
  <si>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</si>
  <si>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</si>
  <si>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</si>
  <si>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</si>
  <si>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</si>
  <si>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</si>
  <si>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</si>
  <si>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</si>
  <si>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</si>
  <si>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</si>
  <si>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</si>
  <si>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</si>
  <si>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</si>
  <si>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</si>
  <si>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</si>
  <si>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</si>
  <si>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</si>
  <si>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</si>
  <si>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</si>
  <si>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</si>
  <si>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</si>
  <si>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</si>
  <si>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</si>
  <si>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</si>
  <si>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</si>
  <si>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</si>
  <si>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</si>
  <si>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</si>
  <si>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</si>
  <si>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</si>
  <si>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</si>
  <si>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</si>
  <si>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</si>
  <si>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</si>
  <si>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</si>
  <si>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</si>
  <si>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</si>
  <si>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</si>
  <si>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</si>
  <si>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</si>
  <si>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</si>
  <si>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</si>
  <si>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</si>
  <si>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</si>
  <si>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</si>
  <si>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</si>
  <si>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</si>
  <si>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</si>
  <si>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</si>
  <si>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</si>
  <si>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</si>
  <si>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</si>
  <si>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</si>
  <si>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</si>
  <si>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</si>
  <si>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</si>
  <si>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</si>
  <si>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</si>
  <si>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</si>
  <si>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</si>
  <si>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</si>
  <si>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</si>
  <si>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</si>
  <si>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</si>
  <si>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</si>
  <si>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</si>
  <si>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</si>
  <si>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</si>
  <si>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</si>
  <si>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</si>
  <si>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</si>
  <si>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</si>
  <si>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</si>
  <si>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</si>
  <si>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</si>
  <si>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</si>
  <si>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</si>
  <si>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</si>
  <si>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</si>
  <si>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</si>
  <si>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</si>
  <si>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</si>
  <si>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</si>
  <si>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</si>
  <si>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</si>
  <si>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</si>
  <si>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</si>
  <si>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</si>
  <si>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</si>
  <si>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</si>
  <si>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</si>
  <si>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</si>
  <si>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</si>
  <si>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</si>
  <si>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</si>
  <si>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</si>
  <si>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</si>
  <si>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</si>
  <si>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</si>
  <si>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</si>
  <si>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</si>
  <si>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</si>
  <si>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</si>
  <si>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</si>
  <si>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</si>
  <si>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</si>
  <si>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</si>
  <si>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</si>
  <si>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</si>
  <si>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</si>
  <si>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</si>
  <si>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</si>
  <si>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</si>
  <si>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</si>
  <si>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</si>
  <si>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</si>
  <si>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</si>
  <si>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</si>
  <si>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</si>
  <si>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울산시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</si>
  <si>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</si>
  <si>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</si>
  <si>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</si>
  <si>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</si>
  <si>
    <t>기타설비</t>
    <phoneticPr fontId="2" type="noConversion"/>
  </si>
  <si>
    <t>전기소방</t>
    <phoneticPr fontId="2" type="noConversion"/>
  </si>
  <si>
    <t>울산광역시 소재 00 우체국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</si>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</sst>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4931</v>
      </c>
      <c r="D7" s="36">
        <f>+C7/3.3058</f>
        <v>1491.6207877064553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606630</v>
      </c>
      <c r="E25" s="59">
        <f t="shared" si="0"/>
        <v>2005390</v>
      </c>
    </row>
    <row r="26" spans="1:5" x14ac:dyDescent="0.3">
      <c r="B26" s="2">
        <v>3</v>
      </c>
      <c r="C26" s="35" t="s">
        <v>95</v>
      </c>
      <c r="D26" s="45">
        <f>+D66</f>
        <v>15110</v>
      </c>
      <c r="E26" s="59">
        <f t="shared" si="0"/>
        <v>49950</v>
      </c>
    </row>
    <row r="27" spans="1:5" x14ac:dyDescent="0.3">
      <c r="B27" s="2">
        <v>4</v>
      </c>
      <c r="C27" s="35" t="s">
        <v>96</v>
      </c>
      <c r="D27" s="45">
        <f>+D95</f>
        <v>215990</v>
      </c>
      <c r="E27" s="59">
        <f t="shared" si="0"/>
        <v>714010</v>
      </c>
    </row>
    <row r="28" spans="1:5" x14ac:dyDescent="0.3">
      <c r="B28" s="2">
        <v>5</v>
      </c>
      <c r="C28" s="35" t="s">
        <v>97</v>
      </c>
      <c r="D28" s="45">
        <f>+D119</f>
        <v>119870</v>
      </c>
      <c r="E28" s="59">
        <f t="shared" si="0"/>
        <v>396260</v>
      </c>
    </row>
    <row r="29" spans="1:5" x14ac:dyDescent="0.3">
      <c r="B29" s="2">
        <v>6</v>
      </c>
      <c r="C29" s="35" t="s">
        <v>98</v>
      </c>
      <c r="D29" s="45">
        <f>+D133</f>
        <v>50570</v>
      </c>
      <c r="E29" s="59">
        <f t="shared" si="0"/>
        <v>167170</v>
      </c>
    </row>
    <row r="30" spans="1:5" x14ac:dyDescent="0.3">
      <c r="B30" s="2">
        <v>7</v>
      </c>
      <c r="C30" s="35" t="s">
        <v>99</v>
      </c>
      <c r="D30" s="45">
        <f>+D146</f>
        <v>23340</v>
      </c>
      <c r="E30" s="59">
        <f t="shared" si="0"/>
        <v>77150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283660</v>
      </c>
      <c r="E33" s="60">
        <f t="shared" si="0"/>
        <v>937720</v>
      </c>
    </row>
    <row r="34" spans="1:7" x14ac:dyDescent="0.3">
      <c r="C34" s="35" t="s">
        <v>112</v>
      </c>
      <c r="D34" s="44">
        <f>SUM(D24:D33)</f>
        <v>1315170</v>
      </c>
      <c r="E34" s="44">
        <f>SUM(E24:E33)</f>
        <v>4347650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34820</v>
      </c>
      <c r="E40" s="62">
        <f t="shared" ref="E40:E59" si="1">TRUNC(+D40*3.3058,-1)</f>
        <v>115100</v>
      </c>
    </row>
    <row r="41" spans="1:7" x14ac:dyDescent="0.3">
      <c r="A41" s="2">
        <v>2</v>
      </c>
      <c r="C41" s="38" t="s">
        <v>13</v>
      </c>
      <c r="D41" s="42">
        <v>270370</v>
      </c>
      <c r="E41" s="63">
        <f t="shared" si="1"/>
        <v>893780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301440</v>
      </c>
      <c r="E58" s="63">
        <f t="shared" si="1"/>
        <v>996500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606630</v>
      </c>
      <c r="E60" s="39">
        <f>SUM(E40:E59)</f>
        <v>2005380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15110</v>
      </c>
      <c r="E63" s="62">
        <f>TRUNC(+D63*3.3058,-1)</f>
        <v>49950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15110</v>
      </c>
      <c r="E66" s="57">
        <f>SUM(E63:E65)</f>
        <v>49950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94240</v>
      </c>
      <c r="E69" s="62">
        <f>TRUNC(+D69*3.3058,-1)</f>
        <v>311530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1410</v>
      </c>
      <c r="E90" s="63">
        <f>TRUNC(+D90*3.3058,-1)</f>
        <v>4660</v>
      </c>
    </row>
    <row r="91" spans="1:7" x14ac:dyDescent="0.3">
      <c r="A91" s="2">
        <v>23</v>
      </c>
      <c r="C91" s="38" t="s">
        <v>37</v>
      </c>
      <c r="D91" s="42">
        <v>59320</v>
      </c>
      <c r="E91" s="63">
        <f>TRUNC(+D91*3.3058,-1)</f>
        <v>196100</v>
      </c>
    </row>
    <row r="92" spans="1:7" x14ac:dyDescent="0.3">
      <c r="A92" s="2">
        <v>24</v>
      </c>
      <c r="C92" s="38" t="s">
        <v>38</v>
      </c>
      <c r="D92" s="42">
        <v>30850</v>
      </c>
      <c r="E92" s="63">
        <f>TRUNC(+D92*3.3058,-1)</f>
        <v>101980</v>
      </c>
    </row>
    <row r="93" spans="1:7" x14ac:dyDescent="0.3">
      <c r="A93" s="2">
        <v>25</v>
      </c>
      <c r="C93" s="38" t="s">
        <v>148</v>
      </c>
      <c r="D93" s="42">
        <v>30170</v>
      </c>
      <c r="E93" s="63">
        <f>TRUNC(+D93*3.3058,-1)</f>
        <v>99730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215990</v>
      </c>
      <c r="E95" s="39">
        <f>SUM(E69:E94)</f>
        <v>714000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26070</v>
      </c>
      <c r="E100" s="63">
        <f t="shared" si="4"/>
        <v>86180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18600</v>
      </c>
      <c r="E116" s="63">
        <f t="shared" si="4"/>
        <v>61480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72880</v>
      </c>
      <c r="E117" s="63">
        <f t="shared" si="4"/>
        <v>240920</v>
      </c>
    </row>
    <row r="118" spans="1:7" ht="17.25" thickBot="1" x14ac:dyDescent="0.35">
      <c r="A118" s="2">
        <v>21</v>
      </c>
      <c r="C118" s="38" t="s">
        <v>47</v>
      </c>
      <c r="D118" s="43">
        <v>2320</v>
      </c>
      <c r="E118" s="64">
        <f t="shared" si="4"/>
        <v>7660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119870</v>
      </c>
      <c r="E119" s="39">
        <f>SUM(E98:E118)</f>
        <v>396240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12800</v>
      </c>
      <c r="E125" s="63">
        <f t="shared" si="5"/>
        <v>42310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12310</v>
      </c>
      <c r="E130" s="63">
        <f t="shared" si="5"/>
        <v>40690</v>
      </c>
    </row>
    <row r="131" spans="1:7" x14ac:dyDescent="0.3">
      <c r="A131" s="2">
        <v>10</v>
      </c>
      <c r="C131" s="38" t="s">
        <v>148</v>
      </c>
      <c r="D131" s="42">
        <v>23860</v>
      </c>
      <c r="E131" s="63">
        <f t="shared" si="5"/>
        <v>78870</v>
      </c>
    </row>
    <row r="132" spans="1:7" ht="17.25" thickBot="1" x14ac:dyDescent="0.35">
      <c r="A132" s="2">
        <v>11</v>
      </c>
      <c r="C132" s="38" t="s">
        <v>47</v>
      </c>
      <c r="D132" s="43">
        <v>1600</v>
      </c>
      <c r="E132" s="64">
        <f t="shared" si="5"/>
        <v>5280</v>
      </c>
    </row>
    <row r="133" spans="1:7" x14ac:dyDescent="0.3">
      <c r="A133" s="2">
        <v>12</v>
      </c>
      <c r="C133" s="27" t="s">
        <v>112</v>
      </c>
      <c r="D133" s="39">
        <f>SUM(D122:D132)</f>
        <v>50570</v>
      </c>
      <c r="E133" s="39">
        <f>SUM(E122:E132)</f>
        <v>167150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14210</v>
      </c>
      <c r="E136" s="62">
        <f t="shared" ref="E136:E145" si="6">TRUNC(+D136*3.3058,-1)</f>
        <v>46970</v>
      </c>
    </row>
    <row r="137" spans="1:7" x14ac:dyDescent="0.3">
      <c r="A137" s="2">
        <v>2</v>
      </c>
      <c r="C137" s="38" t="s">
        <v>47</v>
      </c>
      <c r="D137" s="42">
        <v>9130</v>
      </c>
      <c r="E137" s="63">
        <f t="shared" si="6"/>
        <v>30180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23340</v>
      </c>
      <c r="E146" s="39">
        <f>SUM(E136:E145)</f>
        <v>77150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2020-12-07T08:55:58Z</dcterms:modified>
</cp:coreProperties>
</file>