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2" i="4"/>
  <c r="D141" i="4"/>
  <c r="D140" i="4"/>
  <c r="D138" i="4"/>
  <c r="D137" i="4"/>
  <c r="D132" i="4"/>
  <c r="D130" i="4"/>
  <c r="D128" i="4"/>
  <c r="D126" i="4"/>
  <c r="D125" i="4"/>
  <c r="D124" i="4"/>
  <c r="D122" i="4"/>
  <c r="D118" i="4"/>
  <c r="D116" i="4"/>
  <c r="D114" i="4"/>
  <c r="D104" i="4"/>
  <c r="D102" i="4"/>
  <c r="D101" i="4"/>
  <c r="D100" i="4"/>
  <c r="D99" i="4"/>
  <c r="D98" i="4"/>
  <c r="D94" i="4"/>
  <c r="D91" i="4"/>
  <c r="D90" i="4"/>
  <c r="D89" i="4"/>
  <c r="D75" i="4"/>
  <c r="D73" i="4"/>
  <c r="D72" i="4"/>
  <c r="D69" i="4"/>
  <c r="D59" i="4"/>
  <c r="D58" i="4"/>
  <c r="D53" i="4"/>
  <c r="D52" i="4"/>
  <c r="D50" i="4"/>
  <c r="D49" i="4"/>
  <c r="D48" i="4"/>
  <c r="D46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D34" i="4" l="1"/>
  <c r="E34" i="4"/>
</calcChain>
</file>

<file path=xl/sharedStrings.xml><?xml version="1.0" encoding="utf-8"?>
<sst xmlns="http://schemas.openxmlformats.org/spreadsheetml/2006/main" count="394" uniqueCount="270">
  <si>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</si>
  <si>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</si>
  <si>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</si>
  <si>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</si>
  <si>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</si>
  <si>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</si>
  <si>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</si>
  <si>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</si>
  <si>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</si>
  <si>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</si>
  <si>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</si>
  <si>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</si>
  <si>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</si>
  <si>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</si>
  <si>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</si>
  <si>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</si>
  <si>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</si>
  <si>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</si>
  <si>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</si>
  <si>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</si>
  <si>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</si>
  <si>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</si>
  <si>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</si>
  <si>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</si>
  <si>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</si>
  <si>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</si>
  <si>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</si>
  <si>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</si>
  <si>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</si>
  <si>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</si>
  <si>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</si>
  <si>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</si>
  <si>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</si>
  <si>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</si>
  <si>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</si>
  <si>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</si>
  <si>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</si>
  <si>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</si>
  <si>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</si>
  <si>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</si>
  <si>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</si>
  <si>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</si>
  <si>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</si>
  <si>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</si>
  <si>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</si>
  <si>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</si>
  <si>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</si>
  <si>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</si>
  <si>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</si>
  <si>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</si>
  <si>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</si>
  <si>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</si>
  <si>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</si>
  <si>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</si>
  <si>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</si>
  <si>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</si>
  <si>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</si>
  <si>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</si>
  <si>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</si>
  <si>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</si>
  <si>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</si>
  <si>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</si>
  <si>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</si>
  <si>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</si>
  <si>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</si>
  <si>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</si>
  <si>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</si>
  <si>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</si>
  <si>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</si>
  <si>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</si>
  <si>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</si>
  <si>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</si>
  <si>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</si>
  <si>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</si>
  <si>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</si>
  <si>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</si>
  <si>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</si>
  <si>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</si>
  <si>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</si>
  <si>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</si>
  <si>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</si>
  <si>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</si>
  <si>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</si>
  <si>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</si>
  <si>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</si>
  <si>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</si>
  <si>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</si>
  <si>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</si>
  <si>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</si>
  <si>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</si>
  <si>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</si>
  <si>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</si>
  <si>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</si>
  <si>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</si>
  <si>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</si>
  <si>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</si>
  <si>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</si>
  <si>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</si>
  <si>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</si>
  <si>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</si>
  <si>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</si>
  <si>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</si>
  <si>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</si>
  <si>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</si>
  <si>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</si>
  <si>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</si>
  <si>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</si>
  <si>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</si>
  <si>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</si>
  <si>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</si>
  <si>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</si>
  <si>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</si>
  <si>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</si>
  <si>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</si>
  <si>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</si>
  <si>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</si>
  <si>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</si>
  <si>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</si>
  <si>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</si>
  <si>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</si>
  <si>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</si>
  <si>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</si>
  <si>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</si>
  <si>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</si>
  <si>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</si>
  <si>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</si>
  <si>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</si>
  <si>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</si>
  <si>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</si>
  <si>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</si>
  <si>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</si>
  <si>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</si>
  <si>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</si>
  <si>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</si>
  <si>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</si>
  <si>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</si>
  <si>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</si>
  <si>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</si>
  <si>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</si>
  <si>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</si>
  <si>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</si>
  <si>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</si>
  <si>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</si>
  <si>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</si>
  <si>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</si>
  <si>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</si>
  <si>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</si>
  <si>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</si>
  <si>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</si>
  <si>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</si>
  <si>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</si>
  <si>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</si>
  <si>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</si>
  <si>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</si>
  <si>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</si>
  <si>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</si>
  <si>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</si>
  <si>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</si>
  <si>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</si>
  <si>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</si>
  <si>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</si>
  <si>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</si>
  <si>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</si>
  <si>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</si>
  <si>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</si>
  <si>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</si>
  <si>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</si>
  <si>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</si>
  <si>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</si>
  <si>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</si>
  <si>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</si>
  <si>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</si>
  <si>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</si>
  <si>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</si>
  <si>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</si>
  <si>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</si>
  <si>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</si>
  <si>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</si>
  <si>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</si>
  <si>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</si>
  <si>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</si>
  <si>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</si>
  <si>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</si>
  <si>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</si>
  <si>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</si>
  <si>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</si>
  <si>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</si>
  <si>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</si>
  <si>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</si>
  <si>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</si>
  <si>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</si>
  <si>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</si>
  <si>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</si>
  <si>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</si>
  <si>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</si>
  <si>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</si>
  <si>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</si>
  <si>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</si>
  <si>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</si>
  <si>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</si>
  <si>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</si>
  <si>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</si>
  <si>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</si>
  <si>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</si>
  <si>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</si>
  <si>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</si>
  <si>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</si>
  <si>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</si>
  <si>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</si>
  <si>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</si>
  <si>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</si>
  <si>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</si>
  <si>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</si>
  <si>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</si>
  <si>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</si>
  <si>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</si>
  <si>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</si>
  <si>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</si>
  <si>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</si>
  <si>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</si>
  <si>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</si>
  <si>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</si>
  <si>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</si>
  <si>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</si>
  <si>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</si>
  <si>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</si>
  <si>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</si>
  <si>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</si>
  <si>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</si>
  <si>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</si>
  <si>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</si>
  <si>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</si>
  <si>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</si>
  <si>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</si>
  <si>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</si>
  <si>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</si>
  <si>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</si>
  <si>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</si>
  <si>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</si>
  <si>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</si>
  <si>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</si>
  <si>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</si>
  <si>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</si>
  <si>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</si>
  <si>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</si>
  <si>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</si>
  <si>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</si>
  <si>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</si>
  <si>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</si>
  <si>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</si>
  <si>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</si>
  <si>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</si>
  <si>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</si>
  <si>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</si>
  <si>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</si>
  <si>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</si>
  <si>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</si>
  <si>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</si>
  <si>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한국해양과학기술원 부산 신청사 건립공사</t>
    <phoneticPr fontId="2" type="noConversion"/>
  </si>
  <si>
    <t>부산시</t>
  </si>
  <si>
    <t>기초공사, 골재비및운반비, 품질시험비, 기타공사</t>
    <phoneticPr fontId="2" type="noConversion"/>
  </si>
  <si>
    <t>공조배관공사,우수처리시설공사, 바닥난방공사,기타공사</t>
    <phoneticPr fontId="2" type="noConversion"/>
  </si>
  <si>
    <t>옥외보안등설비공사</t>
    <phoneticPr fontId="2" type="noConversion"/>
  </si>
  <si>
    <t>원격검침 설비공사, 기타공사</t>
    <phoneticPr fontId="2" type="noConversion"/>
  </si>
  <si>
    <t>CCTV설비공사, 주차관제설비공사, 기타공사</t>
    <phoneticPr fontId="2" type="noConversion"/>
  </si>
  <si>
    <t>상수도공사, 사급자재비, 기타공사</t>
    <phoneticPr fontId="2" type="noConversion"/>
  </si>
  <si>
    <t>포장공사,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</si>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</sst>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43536.42</v>
      </c>
      <c r="D7" s="36">
        <f>+C7/3.3058</f>
        <v>13169.707786314961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1256620</v>
      </c>
      <c r="E25" s="59">
        <f t="shared" si="0"/>
        <v>4154130</v>
      </c>
    </row>
    <row r="26" spans="1:5" x14ac:dyDescent="0.3">
      <c r="B26" s="2">
        <v>3</v>
      </c>
      <c r="C26" s="35" t="s">
        <v>95</v>
      </c>
      <c r="D26" s="45">
        <f>+D66</f>
        <v>24040</v>
      </c>
      <c r="E26" s="59">
        <f t="shared" si="0"/>
        <v>79470</v>
      </c>
    </row>
    <row r="27" spans="1:5" x14ac:dyDescent="0.3">
      <c r="B27" s="2">
        <v>4</v>
      </c>
      <c r="C27" s="35" t="s">
        <v>96</v>
      </c>
      <c r="D27" s="45">
        <f>+D95</f>
        <v>242970</v>
      </c>
      <c r="E27" s="59">
        <f t="shared" si="0"/>
        <v>803210</v>
      </c>
    </row>
    <row r="28" spans="1:5" x14ac:dyDescent="0.3">
      <c r="B28" s="2">
        <v>5</v>
      </c>
      <c r="C28" s="35" t="s">
        <v>97</v>
      </c>
      <c r="D28" s="45">
        <f>+D119</f>
        <v>131970</v>
      </c>
      <c r="E28" s="59">
        <f t="shared" si="0"/>
        <v>436260</v>
      </c>
    </row>
    <row r="29" spans="1:5" x14ac:dyDescent="0.3">
      <c r="B29" s="2">
        <v>6</v>
      </c>
      <c r="C29" s="35" t="s">
        <v>98</v>
      </c>
      <c r="D29" s="45">
        <f>+D133</f>
        <v>65880</v>
      </c>
      <c r="E29" s="59">
        <f t="shared" si="0"/>
        <v>217780</v>
      </c>
    </row>
    <row r="30" spans="1:5" x14ac:dyDescent="0.3">
      <c r="B30" s="2">
        <v>7</v>
      </c>
      <c r="C30" s="35" t="s">
        <v>99</v>
      </c>
      <c r="D30" s="45">
        <f>+D146</f>
        <v>44130</v>
      </c>
      <c r="E30" s="59">
        <f t="shared" si="0"/>
        <v>145880</v>
      </c>
    </row>
    <row r="31" spans="1:5" x14ac:dyDescent="0.3">
      <c r="B31" s="2">
        <v>8</v>
      </c>
      <c r="C31" s="35" t="s">
        <v>100</v>
      </c>
      <c r="D31" s="45">
        <f>+D154</f>
        <v>51040</v>
      </c>
      <c r="E31" s="59">
        <f t="shared" si="0"/>
        <v>168720</v>
      </c>
    </row>
    <row r="32" spans="1:5" x14ac:dyDescent="0.3">
      <c r="B32" s="2">
        <v>9</v>
      </c>
      <c r="C32" s="35" t="s">
        <v>101</v>
      </c>
      <c r="D32" s="45">
        <f>+D161</f>
        <v>52920</v>
      </c>
      <c r="E32" s="59">
        <f t="shared" si="0"/>
        <v>174940</v>
      </c>
    </row>
    <row r="33" spans="1:7" x14ac:dyDescent="0.3">
      <c r="B33" s="2">
        <v>10</v>
      </c>
      <c r="C33" s="35" t="s">
        <v>154</v>
      </c>
      <c r="D33" s="53">
        <f>TRUNC(SUM(D24:D32)*0.275,-1)</f>
        <v>514130</v>
      </c>
      <c r="E33" s="60">
        <f t="shared" si="0"/>
        <v>1699610</v>
      </c>
    </row>
    <row r="34" spans="1:7" x14ac:dyDescent="0.3">
      <c r="C34" s="35" t="s">
        <v>112</v>
      </c>
      <c r="D34" s="44">
        <f>SUM(D24:D33)</f>
        <v>2383700</v>
      </c>
      <c r="E34" s="44">
        <f>SUM(E24:E33)</f>
        <v>7880000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TRUNC(77198,-1)</f>
        <v>77190</v>
      </c>
      <c r="E40" s="62">
        <f t="shared" ref="E40:E59" si="1">TRUNC(+D40*3.3058,-1)</f>
        <v>255170</v>
      </c>
    </row>
    <row r="41" spans="1:7" x14ac:dyDescent="0.3">
      <c r="A41" s="2">
        <v>2</v>
      </c>
      <c r="C41" s="38" t="s">
        <v>13</v>
      </c>
      <c r="D41" s="42">
        <f>TRUNC(124621,-1)</f>
        <v>124620</v>
      </c>
      <c r="E41" s="63">
        <f t="shared" si="1"/>
        <v>411960</v>
      </c>
    </row>
    <row r="42" spans="1:7" x14ac:dyDescent="0.3">
      <c r="A42" s="2">
        <v>3</v>
      </c>
      <c r="C42" s="38" t="s">
        <v>14</v>
      </c>
      <c r="D42" s="42">
        <f>TRUNC(20129,-1)</f>
        <v>20120</v>
      </c>
      <c r="E42" s="63">
        <f t="shared" si="1"/>
        <v>66510</v>
      </c>
    </row>
    <row r="43" spans="1:7" x14ac:dyDescent="0.3">
      <c r="A43" s="2">
        <v>4</v>
      </c>
      <c r="C43" s="38" t="s">
        <v>16</v>
      </c>
      <c r="D43" s="42">
        <f>TRUNC(8721,-1)</f>
        <v>8720</v>
      </c>
      <c r="E43" s="63">
        <f t="shared" si="1"/>
        <v>28820</v>
      </c>
    </row>
    <row r="44" spans="1:7" x14ac:dyDescent="0.3">
      <c r="A44" s="2">
        <v>5</v>
      </c>
      <c r="C44" s="38" t="s">
        <v>17</v>
      </c>
      <c r="D44" s="42">
        <f>TRUNC(18567,-1)</f>
        <v>18560</v>
      </c>
      <c r="E44" s="63">
        <f t="shared" si="1"/>
        <v>61350</v>
      </c>
    </row>
    <row r="45" spans="1:7" x14ac:dyDescent="0.3">
      <c r="A45" s="2">
        <v>6</v>
      </c>
      <c r="C45" s="38" t="s">
        <v>18</v>
      </c>
      <c r="D45" s="42">
        <v>3960</v>
      </c>
      <c r="E45" s="63">
        <f t="shared" si="1"/>
        <v>13090</v>
      </c>
    </row>
    <row r="46" spans="1:7" x14ac:dyDescent="0.3">
      <c r="A46" s="2">
        <v>7</v>
      </c>
      <c r="C46" s="38" t="s">
        <v>19</v>
      </c>
      <c r="D46" s="42">
        <f>TRUNC(79,-1)</f>
        <v>70</v>
      </c>
      <c r="E46" s="63">
        <f t="shared" si="1"/>
        <v>230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TRUNC(35232,-1)</f>
        <v>35230</v>
      </c>
      <c r="E48" s="63">
        <f t="shared" si="1"/>
        <v>116460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TRUNC(8196,-1)</f>
        <v>8190</v>
      </c>
      <c r="E49" s="63">
        <f t="shared" si="1"/>
        <v>27070</v>
      </c>
    </row>
    <row r="50" spans="1:7" x14ac:dyDescent="0.3">
      <c r="A50" s="2">
        <v>11</v>
      </c>
      <c r="C50" s="38" t="s">
        <v>155</v>
      </c>
      <c r="D50" s="42">
        <f>TRUNC(40639,-1)</f>
        <v>40630</v>
      </c>
      <c r="E50" s="63">
        <f t="shared" si="1"/>
        <v>134310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TRUNC(17437,-1)</f>
        <v>17430</v>
      </c>
      <c r="E52" s="63">
        <f t="shared" si="1"/>
        <v>57620</v>
      </c>
    </row>
    <row r="53" spans="1:7" x14ac:dyDescent="0.3">
      <c r="A53" s="2">
        <v>14</v>
      </c>
      <c r="C53" s="38" t="s">
        <v>25</v>
      </c>
      <c r="D53" s="42">
        <f>TRUNC(63365,-1)</f>
        <v>63360</v>
      </c>
      <c r="E53" s="63">
        <f t="shared" si="1"/>
        <v>209450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TRUNC(44084+1674+926+26225,-1)</f>
        <v>72900</v>
      </c>
      <c r="E58" s="63">
        <f t="shared" si="1"/>
        <v>240990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TRUNC(765641,-1)</f>
        <v>765640</v>
      </c>
      <c r="E59" s="64">
        <f t="shared" si="1"/>
        <v>2531050</v>
      </c>
    </row>
    <row r="60" spans="1:7" x14ac:dyDescent="0.3">
      <c r="A60" s="2">
        <v>21</v>
      </c>
      <c r="C60" s="27" t="s">
        <v>112</v>
      </c>
      <c r="D60" s="39">
        <f>SUM(D40:D59)</f>
        <v>1256620</v>
      </c>
      <c r="E60" s="39">
        <f>SUM(E40:E59)</f>
        <v>4154080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3760</v>
      </c>
      <c r="E63" s="62">
        <f>TRUNC(+D63*3.3058,-1)</f>
        <v>12420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20280</v>
      </c>
      <c r="E65" s="64">
        <f>TRUNC(+D65*3.3058,-1)</f>
        <v>67040</v>
      </c>
    </row>
    <row r="66" spans="1:7" x14ac:dyDescent="0.3">
      <c r="A66" s="2">
        <v>4</v>
      </c>
      <c r="C66" s="27" t="s">
        <v>112</v>
      </c>
      <c r="D66" s="39">
        <f>SUM(D63:D65)</f>
        <v>24040</v>
      </c>
      <c r="E66" s="65">
        <f>SUM(E63:E65)</f>
        <v>79460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TRUNC(21645,-1)</f>
        <v>21640</v>
      </c>
      <c r="E69" s="62">
        <f t="shared" ref="E69:E94" si="2">TRUNC(+D69*3.3058,-1)</f>
        <v>71530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32870</v>
      </c>
      <c r="E71" s="63">
        <f t="shared" si="2"/>
        <v>108660</v>
      </c>
    </row>
    <row r="72" spans="1:7" x14ac:dyDescent="0.3">
      <c r="A72" s="2">
        <v>4</v>
      </c>
      <c r="C72" s="38" t="s">
        <v>33</v>
      </c>
      <c r="D72" s="42">
        <f>TRUNC(4056,-1)</f>
        <v>4050</v>
      </c>
      <c r="E72" s="63">
        <f t="shared" si="2"/>
        <v>13380</v>
      </c>
    </row>
    <row r="73" spans="1:7" x14ac:dyDescent="0.3">
      <c r="A73" s="2">
        <v>5</v>
      </c>
      <c r="C73" s="38" t="s">
        <v>34</v>
      </c>
      <c r="D73" s="42">
        <f>TRUNC(12797,-1)</f>
        <v>12790</v>
      </c>
      <c r="E73" s="63">
        <f t="shared" si="2"/>
        <v>42280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TRUNC(7937,-1)</f>
        <v>7930</v>
      </c>
      <c r="E75" s="63">
        <f t="shared" si="2"/>
        <v>26210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TRUNC(9324,-1)</f>
        <v>9320</v>
      </c>
      <c r="E89" s="63">
        <f t="shared" si="2"/>
        <v>30810</v>
      </c>
    </row>
    <row r="90" spans="1:7" x14ac:dyDescent="0.3">
      <c r="A90" s="2">
        <v>22</v>
      </c>
      <c r="C90" s="38" t="s">
        <v>36</v>
      </c>
      <c r="D90" s="42">
        <f>TRUNC(2818,-1)</f>
        <v>2810</v>
      </c>
      <c r="E90" s="63">
        <f t="shared" si="2"/>
        <v>9280</v>
      </c>
    </row>
    <row r="91" spans="1:7" x14ac:dyDescent="0.3">
      <c r="A91" s="2">
        <v>23</v>
      </c>
      <c r="C91" s="38" t="s">
        <v>37</v>
      </c>
      <c r="D91" s="42">
        <f>TRUNC(58176,-1)</f>
        <v>58170</v>
      </c>
      <c r="E91" s="63">
        <f t="shared" si="2"/>
        <v>192290</v>
      </c>
    </row>
    <row r="92" spans="1:7" x14ac:dyDescent="0.3">
      <c r="A92" s="2">
        <v>24</v>
      </c>
      <c r="C92" s="38" t="s">
        <v>38</v>
      </c>
      <c r="D92" s="42">
        <v>4030</v>
      </c>
      <c r="E92" s="63">
        <f t="shared" si="2"/>
        <v>13320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TRUNC(62286+8840+83+18155,-1)</f>
        <v>89360</v>
      </c>
      <c r="E94" s="64">
        <f t="shared" si="2"/>
        <v>295400</v>
      </c>
      <c r="F94" s="2" t="s">
        <v>261</v>
      </c>
    </row>
    <row r="95" spans="1:7" x14ac:dyDescent="0.3">
      <c r="A95" s="2">
        <v>27</v>
      </c>
      <c r="C95" s="27" t="s">
        <v>112</v>
      </c>
      <c r="D95" s="39">
        <f>SUM(D69:D94)</f>
        <v>242970</v>
      </c>
      <c r="E95" s="39">
        <f>SUM(E69:E94)</f>
        <v>803160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TRUNC(47668,-1)</f>
        <v>47660</v>
      </c>
      <c r="E98" s="62">
        <f t="shared" ref="E98:E118" si="3">TRUNC(+D98*3.3058,-1)</f>
        <v>157550</v>
      </c>
    </row>
    <row r="99" spans="1:7" x14ac:dyDescent="0.3">
      <c r="A99" s="2">
        <v>2</v>
      </c>
      <c r="C99" s="38" t="s">
        <v>40</v>
      </c>
      <c r="D99" s="42">
        <f>TRUNC(18653,-1)</f>
        <v>18650</v>
      </c>
      <c r="E99" s="63">
        <f t="shared" si="3"/>
        <v>61650</v>
      </c>
    </row>
    <row r="100" spans="1:7" x14ac:dyDescent="0.3">
      <c r="A100" s="2">
        <v>3</v>
      </c>
      <c r="C100" s="38" t="s">
        <v>41</v>
      </c>
      <c r="D100" s="42">
        <f>TRUNC(24931,-1)</f>
        <v>24930</v>
      </c>
      <c r="E100" s="63">
        <f t="shared" si="3"/>
        <v>82410</v>
      </c>
    </row>
    <row r="101" spans="1:7" x14ac:dyDescent="0.3">
      <c r="A101" s="2">
        <v>4</v>
      </c>
      <c r="C101" s="38" t="s">
        <v>42</v>
      </c>
      <c r="D101" s="42">
        <f>TRUNC(575,-1)</f>
        <v>570</v>
      </c>
      <c r="E101" s="63">
        <f t="shared" si="3"/>
        <v>1880</v>
      </c>
    </row>
    <row r="102" spans="1:7" x14ac:dyDescent="0.3">
      <c r="A102" s="2">
        <v>5</v>
      </c>
      <c r="C102" s="38" t="s">
        <v>43</v>
      </c>
      <c r="D102" s="42">
        <f>TRUNC(14617,-1)</f>
        <v>14610</v>
      </c>
      <c r="E102" s="63">
        <f t="shared" si="3"/>
        <v>48290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TRUNC(3791,-1)</f>
        <v>3790</v>
      </c>
      <c r="E104" s="63">
        <f t="shared" si="3"/>
        <v>12520</v>
      </c>
    </row>
    <row r="105" spans="1:7" x14ac:dyDescent="0.3">
      <c r="A105" s="2">
        <v>8</v>
      </c>
      <c r="C105" s="38" t="s">
        <v>46</v>
      </c>
      <c r="D105" s="42">
        <v>8710</v>
      </c>
      <c r="E105" s="63">
        <f t="shared" si="3"/>
        <v>28790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TRUNC(3254,-1)</f>
        <v>3250</v>
      </c>
      <c r="E114" s="63">
        <f t="shared" si="3"/>
        <v>10740</v>
      </c>
      <c r="F114" s="2" t="s">
        <v>262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TRUNC(4451,-1)</f>
        <v>4450</v>
      </c>
      <c r="E116" s="63">
        <f t="shared" si="3"/>
        <v>14710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TRUNC(545+4809,-1)</f>
        <v>5350</v>
      </c>
      <c r="E118" s="64">
        <f t="shared" si="3"/>
        <v>17680</v>
      </c>
      <c r="F118" s="2" t="s">
        <v>263</v>
      </c>
    </row>
    <row r="119" spans="1:7" x14ac:dyDescent="0.3">
      <c r="A119" s="2">
        <v>22</v>
      </c>
      <c r="C119" s="27" t="s">
        <v>112</v>
      </c>
      <c r="D119" s="39">
        <f>SUM(D98:D118)</f>
        <v>131970</v>
      </c>
      <c r="E119" s="39">
        <f>SUM(E98:E118)</f>
        <v>436220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TRUNC(2639,-1)</f>
        <v>2630</v>
      </c>
      <c r="E122" s="62">
        <f t="shared" ref="E122:E132" si="4">TRUNC(+D122*3.3058,-1)</f>
        <v>8690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TRUNC(1296,-1)</f>
        <v>1290</v>
      </c>
      <c r="E124" s="63">
        <f t="shared" si="4"/>
        <v>4260</v>
      </c>
    </row>
    <row r="125" spans="1:7" x14ac:dyDescent="0.3">
      <c r="A125" s="2">
        <v>4</v>
      </c>
      <c r="C125" s="38" t="s">
        <v>138</v>
      </c>
      <c r="D125" s="42">
        <f>TRUNC(6956,-1)</f>
        <v>6950</v>
      </c>
      <c r="E125" s="63">
        <f t="shared" si="4"/>
        <v>22970</v>
      </c>
    </row>
    <row r="126" spans="1:7" x14ac:dyDescent="0.3">
      <c r="A126" s="2">
        <v>5</v>
      </c>
      <c r="C126" s="38" t="s">
        <v>53</v>
      </c>
      <c r="D126" s="42">
        <f>TRUNC(9631,-1)</f>
        <v>9630</v>
      </c>
      <c r="E126" s="63">
        <f t="shared" si="4"/>
        <v>31830</v>
      </c>
    </row>
    <row r="127" spans="1:7" x14ac:dyDescent="0.3">
      <c r="A127" s="2">
        <v>6</v>
      </c>
      <c r="C127" s="38" t="s">
        <v>56</v>
      </c>
      <c r="D127" s="42">
        <v>1970</v>
      </c>
      <c r="E127" s="63">
        <f t="shared" si="4"/>
        <v>6510</v>
      </c>
    </row>
    <row r="128" spans="1:7" x14ac:dyDescent="0.3">
      <c r="A128" s="2">
        <v>7</v>
      </c>
      <c r="C128" s="38" t="s">
        <v>46</v>
      </c>
      <c r="D128" s="42">
        <f>TRUNC(5121,-1)</f>
        <v>5120</v>
      </c>
      <c r="E128" s="63">
        <f t="shared" si="4"/>
        <v>16920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TRUNC(35605,-1)</f>
        <v>35600</v>
      </c>
      <c r="E130" s="63">
        <f t="shared" si="4"/>
        <v>117680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TRUNC(1445+94+1158,-1)</f>
        <v>2690</v>
      </c>
      <c r="E132" s="64">
        <f t="shared" si="4"/>
        <v>8890</v>
      </c>
      <c r="F132" s="54" t="s">
        <v>264</v>
      </c>
    </row>
    <row r="133" spans="1:7" x14ac:dyDescent="0.3">
      <c r="A133" s="2">
        <v>12</v>
      </c>
      <c r="C133" s="27" t="s">
        <v>112</v>
      </c>
      <c r="D133" s="39">
        <f>SUM(D122:D132)</f>
        <v>65880</v>
      </c>
      <c r="E133" s="39">
        <f>SUM(E122:E132)</f>
        <v>217750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TRUNC(844+1391+934,-1)</f>
        <v>3160</v>
      </c>
      <c r="E137" s="63">
        <f t="shared" si="5"/>
        <v>10440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f>TRUNC(2051,-1)</f>
        <v>2050</v>
      </c>
      <c r="E138" s="63">
        <f t="shared" si="5"/>
        <v>6770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TRUNC(848,-1)</f>
        <v>840</v>
      </c>
      <c r="E140" s="63">
        <f t="shared" si="5"/>
        <v>2770</v>
      </c>
    </row>
    <row r="141" spans="1:7" x14ac:dyDescent="0.3">
      <c r="A141" s="2">
        <v>6</v>
      </c>
      <c r="C141" s="38" t="s">
        <v>59</v>
      </c>
      <c r="D141" s="42">
        <f>TRUNC(16115,-1)</f>
        <v>16110</v>
      </c>
      <c r="E141" s="63">
        <f t="shared" si="5"/>
        <v>53250</v>
      </c>
    </row>
    <row r="142" spans="1:7" x14ac:dyDescent="0.3">
      <c r="A142" s="2">
        <v>7</v>
      </c>
      <c r="C142" s="38" t="s">
        <v>58</v>
      </c>
      <c r="D142" s="42">
        <f>TRUNC(5377,-1)</f>
        <v>5370</v>
      </c>
      <c r="E142" s="63">
        <f t="shared" si="5"/>
        <v>17750</v>
      </c>
    </row>
    <row r="143" spans="1:7" x14ac:dyDescent="0.3">
      <c r="A143" s="2">
        <v>8</v>
      </c>
      <c r="C143" s="38" t="s">
        <v>62</v>
      </c>
      <c r="D143" s="42">
        <v>3680</v>
      </c>
      <c r="E143" s="63">
        <f t="shared" si="5"/>
        <v>12160</v>
      </c>
    </row>
    <row r="144" spans="1:7" x14ac:dyDescent="0.3">
      <c r="A144" s="2">
        <v>9</v>
      </c>
      <c r="C144" s="38" t="s">
        <v>63</v>
      </c>
      <c r="D144" s="42">
        <f>TRUNC(12921,-1)</f>
        <v>12920</v>
      </c>
      <c r="E144" s="63">
        <f t="shared" si="5"/>
        <v>42710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44130</v>
      </c>
      <c r="E146" s="39">
        <f>SUM(E136:E145)</f>
        <v>145850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TRUNC(21869+1980,-1)</f>
        <v>23840</v>
      </c>
      <c r="E149" s="62">
        <f>TRUNC(+D149*3.3058,-1)</f>
        <v>78810</v>
      </c>
    </row>
    <row r="150" spans="1:7" x14ac:dyDescent="0.3">
      <c r="A150" s="2">
        <v>2</v>
      </c>
      <c r="C150" s="38" t="s">
        <v>49</v>
      </c>
      <c r="D150" s="42">
        <f>TRUNC(5702,-1)</f>
        <v>5700</v>
      </c>
      <c r="E150" s="63">
        <f>TRUNC(+D150*3.3058,-1)</f>
        <v>18840</v>
      </c>
    </row>
    <row r="151" spans="1:7" x14ac:dyDescent="0.3">
      <c r="A151" s="2">
        <v>3</v>
      </c>
      <c r="C151" s="38" t="s">
        <v>50</v>
      </c>
      <c r="D151" s="42">
        <v>750</v>
      </c>
      <c r="E151" s="63">
        <f>TRUNC(+D151*3.3058,-1)</f>
        <v>2470</v>
      </c>
    </row>
    <row r="152" spans="1:7" x14ac:dyDescent="0.3">
      <c r="A152" s="2">
        <v>4</v>
      </c>
      <c r="C152" s="38" t="s">
        <v>47</v>
      </c>
      <c r="D152" s="42">
        <f>TRUNC(870+10277+9609,-1)</f>
        <v>20750</v>
      </c>
      <c r="E152" s="63">
        <f>TRUNC(+D152*3.3058,-1)</f>
        <v>68590</v>
      </c>
      <c r="F152" s="2" t="s">
        <v>265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51040</v>
      </c>
      <c r="E154" s="39">
        <f>SUM(E149:E153)</f>
        <v>168710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TRUNC(36039,-1)</f>
        <v>36030</v>
      </c>
      <c r="E157" s="62">
        <f>TRUNC(+D157*3.3058,-1)</f>
        <v>119100</v>
      </c>
    </row>
    <row r="158" spans="1:7" x14ac:dyDescent="0.3">
      <c r="A158" s="2">
        <v>2</v>
      </c>
      <c r="C158" s="38" t="s">
        <v>52</v>
      </c>
      <c r="D158" s="42">
        <f>TRUNC(148,-1)</f>
        <v>140</v>
      </c>
      <c r="E158" s="63">
        <f>TRUNC(+D158*3.3058,-1)</f>
        <v>460</v>
      </c>
    </row>
    <row r="159" spans="1:7" x14ac:dyDescent="0.3">
      <c r="A159" s="2">
        <v>3</v>
      </c>
      <c r="C159" s="38" t="s">
        <v>47</v>
      </c>
      <c r="D159" s="42">
        <f>TRUNC(10893+5861,-1)</f>
        <v>16750</v>
      </c>
      <c r="E159" s="63">
        <f>TRUNC(+D159*3.3058,-1)</f>
        <v>55370</v>
      </c>
      <c r="F159" s="2" t="s">
        <v>266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52920</v>
      </c>
      <c r="E161" s="39">
        <f>SUM(E157:E160)</f>
        <v>174930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2020-12-07T10:01:36Z</dcterms:modified>
</cp:coreProperties>
</file>