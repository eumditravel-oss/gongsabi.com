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5" i="4" l="1"/>
  <c r="D159" i="4"/>
  <c r="D158" i="4"/>
  <c r="D157" i="4"/>
  <c r="D151" i="4"/>
  <c r="D150" i="4"/>
  <c r="D149" i="4"/>
  <c r="D144" i="4"/>
  <c r="D143" i="4"/>
  <c r="D142" i="4"/>
  <c r="D141" i="4"/>
  <c r="D140" i="4"/>
  <c r="D139" i="4"/>
  <c r="D137" i="4"/>
  <c r="D132" i="4"/>
  <c r="D131" i="4"/>
  <c r="D130" i="4"/>
  <c r="D126" i="4"/>
  <c r="D125" i="4"/>
  <c r="D124" i="4"/>
  <c r="D122" i="4"/>
  <c r="D118" i="4"/>
  <c r="D117" i="4"/>
  <c r="D116" i="4"/>
  <c r="D114" i="4"/>
  <c r="D104" i="4"/>
  <c r="D103" i="4"/>
  <c r="D102" i="4"/>
  <c r="D101" i="4"/>
  <c r="D100" i="4"/>
  <c r="D99" i="4"/>
  <c r="D98" i="4"/>
  <c r="D94" i="4"/>
  <c r="D92" i="4"/>
  <c r="D91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2" i="4"/>
  <c r="D41" i="4"/>
  <c r="D40" i="4"/>
  <c r="D152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<sst xmlns="http://schemas.openxmlformats.org/spreadsheetml/2006/main" count="393" uniqueCount="269">
  <si>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</si>
  <si>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</si>
  <si>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</si>
  <si>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</si>
  <si>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</si>
  <si>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</si>
  <si>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</si>
  <si>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</si>
  <si>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</si>
  <si>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</si>
  <si>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</si>
  <si>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</si>
  <si>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</si>
  <si>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</si>
  <si>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</si>
  <si>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</si>
  <si>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</si>
  <si>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</si>
  <si>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</si>
  <si>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</si>
  <si>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</si>
  <si>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</si>
  <si>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</si>
  <si>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</si>
  <si>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</si>
  <si>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</si>
  <si>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</si>
  <si>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</si>
  <si>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</si>
  <si>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</si>
  <si>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</si>
  <si>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</si>
  <si>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</si>
  <si>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</si>
  <si>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</si>
  <si>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</si>
  <si>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</si>
  <si>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</si>
  <si>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</si>
  <si>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</si>
  <si>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</si>
  <si>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</si>
  <si>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</si>
  <si>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</si>
  <si>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</si>
  <si>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</si>
  <si>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</si>
  <si>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</si>
  <si>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</si>
  <si>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</si>
  <si>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</si>
  <si>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</si>
  <si>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</si>
  <si>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</si>
  <si>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</si>
  <si>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</si>
  <si>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</si>
  <si>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</si>
  <si>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</si>
  <si>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</si>
  <si>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</si>
  <si>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</si>
  <si>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</si>
  <si>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</si>
  <si>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</si>
  <si>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</si>
  <si>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</si>
  <si>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</si>
  <si>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</si>
  <si>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</si>
  <si>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</si>
  <si>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</si>
  <si>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</si>
  <si>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</si>
  <si>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</si>
  <si>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</si>
  <si>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</si>
  <si>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</si>
  <si>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</si>
  <si>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</si>
  <si>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</si>
  <si>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</si>
  <si>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</si>
  <si>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</si>
  <si>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</si>
  <si>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</si>
  <si>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</si>
  <si>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</si>
  <si>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</si>
  <si>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</si>
  <si>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</si>
  <si>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</si>
  <si>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</si>
  <si>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</si>
  <si>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</si>
  <si>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</si>
  <si>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</si>
  <si>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</si>
  <si>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</si>
  <si>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</si>
  <si>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</si>
  <si>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</si>
  <si>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</si>
  <si>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</si>
  <si>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</si>
  <si>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</si>
  <si>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</si>
  <si>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</si>
  <si>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</si>
  <si>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</si>
  <si>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</si>
  <si>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</si>
  <si>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</si>
  <si>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</si>
  <si>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</si>
  <si>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</si>
  <si>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</si>
  <si>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</si>
  <si>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</si>
  <si>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</si>
  <si>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</si>
  <si>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</si>
  <si>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</si>
  <si>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</si>
  <si>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</si>
  <si>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</si>
  <si>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</si>
  <si>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</si>
  <si>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</si>
  <si>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</si>
  <si>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</si>
  <si>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</si>
  <si>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</si>
  <si>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</si>
  <si>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</si>
  <si>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</si>
  <si>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</si>
  <si>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</si>
  <si>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</si>
  <si>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</si>
  <si>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</si>
  <si>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</si>
  <si>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</si>
  <si>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</si>
  <si>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</si>
  <si>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</si>
  <si>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</si>
  <si>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</si>
  <si>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</si>
  <si>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</si>
  <si>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</si>
  <si>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</si>
  <si>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</si>
  <si>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</si>
  <si>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</si>
  <si>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</si>
  <si>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</si>
  <si>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</si>
  <si>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</si>
  <si>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</si>
  <si>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</si>
  <si>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</si>
  <si>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</si>
  <si>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</si>
  <si>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</si>
  <si>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</si>
  <si>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</si>
  <si>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</si>
  <si>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</si>
  <si>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</si>
  <si>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</si>
  <si>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</si>
  <si>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</si>
  <si>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</si>
  <si>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</si>
  <si>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</si>
  <si>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</si>
  <si>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</si>
  <si>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</si>
  <si>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</si>
  <si>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</si>
  <si>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</si>
  <si>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</si>
  <si>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</si>
  <si>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</si>
  <si>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</si>
  <si>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</si>
  <si>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</si>
  <si>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</si>
  <si>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</si>
  <si>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</si>
  <si>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</si>
  <si>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</si>
  <si>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</si>
  <si>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</si>
  <si>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</si>
  <si>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</si>
  <si>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</si>
  <si>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</si>
  <si>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</si>
  <si>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</si>
  <si>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</si>
  <si>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</si>
  <si>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</si>
  <si>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</si>
  <si>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</si>
  <si>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</si>
  <si>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</si>
  <si>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</si>
  <si>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</si>
  <si>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</si>
  <si>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</si>
  <si>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</si>
  <si>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</si>
  <si>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</si>
  <si>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</si>
  <si>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</si>
  <si>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</si>
  <si>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</si>
  <si>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</si>
  <si>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</si>
  <si>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</si>
  <si>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</si>
  <si>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</si>
  <si>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</si>
  <si>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</si>
  <si>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</si>
  <si>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</si>
  <si>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</si>
  <si>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</si>
  <si>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</si>
  <si>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</si>
  <si>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</si>
  <si>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</si>
  <si>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</si>
  <si>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</si>
  <si>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</si>
  <si>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</si>
  <si>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</si>
  <si>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</si>
  <si>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</si>
  <si>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</si>
  <si>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</si>
  <si>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</si>
  <si>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</si>
  <si>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</si>
  <si>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</si>
  <si>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</si>
  <si>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</si>
  <si>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</si>
  <si>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</si>
  <si>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</si>
  <si>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</si>
  <si>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</si>
  <si>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</si>
  <si>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교육연구</t>
  </si>
  <si>
    <t>건축</t>
    <phoneticPr fontId="2" type="noConversion"/>
  </si>
  <si>
    <t>원/ m2</t>
    <phoneticPr fontId="2" type="noConversion"/>
  </si>
  <si>
    <t>원 /평</t>
    <phoneticPr fontId="2" type="noConversion"/>
  </si>
  <si>
    <t>(가칭)기업초등학교 신축공사</t>
    <phoneticPr fontId="2" type="noConversion"/>
  </si>
  <si>
    <t>강원도</t>
  </si>
  <si>
    <t>기초공사, 골재비및운반비, 작업부산물, 기타공사</t>
    <phoneticPr fontId="2" type="noConversion"/>
  </si>
  <si>
    <t>원격검침 설비공사, 기타공사</t>
    <phoneticPr fontId="2" type="noConversion"/>
  </si>
  <si>
    <t>CCTV설비공사, 기타공사</t>
    <phoneticPr fontId="2" type="noConversion"/>
  </si>
  <si>
    <t>옥외소화배관공사, 펌프실배관공사</t>
    <phoneticPr fontId="2" type="noConversion"/>
  </si>
  <si>
    <t>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</si>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</sst>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12221.36</v>
      </c>
      <c r="D7" s="36">
        <f>+C7/3.3058</f>
        <v>3696.9447637485632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1284880</v>
      </c>
      <c r="E25" s="59">
        <f t="shared" si="0"/>
        <v>4247550</v>
      </c>
    </row>
    <row r="26" spans="1:5" x14ac:dyDescent="0.3">
      <c r="B26" s="2">
        <v>3</v>
      </c>
      <c r="C26" s="35" t="s">
        <v>95</v>
      </c>
      <c r="D26" s="45">
        <f>+D66</f>
        <v>9220</v>
      </c>
      <c r="E26" s="59">
        <f t="shared" si="0"/>
        <v>30470</v>
      </c>
    </row>
    <row r="27" spans="1:5" x14ac:dyDescent="0.3">
      <c r="B27" s="2">
        <v>4</v>
      </c>
      <c r="C27" s="35" t="s">
        <v>96</v>
      </c>
      <c r="D27" s="45">
        <f>+D95</f>
        <v>64250</v>
      </c>
      <c r="E27" s="59">
        <f t="shared" si="0"/>
        <v>212390</v>
      </c>
    </row>
    <row r="28" spans="1:5" x14ac:dyDescent="0.3">
      <c r="B28" s="2">
        <v>5</v>
      </c>
      <c r="C28" s="35" t="s">
        <v>97</v>
      </c>
      <c r="D28" s="45">
        <f>+D119</f>
        <v>294530</v>
      </c>
      <c r="E28" s="59">
        <f t="shared" si="0"/>
        <v>973650</v>
      </c>
    </row>
    <row r="29" spans="1:5" x14ac:dyDescent="0.3">
      <c r="B29" s="2">
        <v>6</v>
      </c>
      <c r="C29" s="35" t="s">
        <v>98</v>
      </c>
      <c r="D29" s="45">
        <f>+D133</f>
        <v>94440</v>
      </c>
      <c r="E29" s="59">
        <f t="shared" si="0"/>
        <v>312190</v>
      </c>
    </row>
    <row r="30" spans="1:5" x14ac:dyDescent="0.3">
      <c r="B30" s="2">
        <v>7</v>
      </c>
      <c r="C30" s="35" t="s">
        <v>99</v>
      </c>
      <c r="D30" s="45">
        <f>+D146</f>
        <v>36590</v>
      </c>
      <c r="E30" s="59">
        <f t="shared" si="0"/>
        <v>120950</v>
      </c>
    </row>
    <row r="31" spans="1:5" x14ac:dyDescent="0.3">
      <c r="B31" s="2">
        <v>8</v>
      </c>
      <c r="C31" s="35" t="s">
        <v>100</v>
      </c>
      <c r="D31" s="45">
        <f>+D154</f>
        <v>25760</v>
      </c>
      <c r="E31" s="59">
        <f t="shared" si="0"/>
        <v>85150</v>
      </c>
    </row>
    <row r="32" spans="1:5" x14ac:dyDescent="0.3">
      <c r="B32" s="2">
        <v>9</v>
      </c>
      <c r="C32" s="35" t="s">
        <v>101</v>
      </c>
      <c r="D32" s="45">
        <f>+D161</f>
        <v>22330</v>
      </c>
      <c r="E32" s="59">
        <f t="shared" si="0"/>
        <v>73810</v>
      </c>
    </row>
    <row r="33" spans="1:7" x14ac:dyDescent="0.3">
      <c r="B33" s="2">
        <v>10</v>
      </c>
      <c r="C33" s="35" t="s">
        <v>154</v>
      </c>
      <c r="D33" s="53">
        <f>TRUNC(SUM(D24:D32)*0.275,-1)</f>
        <v>503800</v>
      </c>
      <c r="E33" s="60">
        <f t="shared" si="0"/>
        <v>1665460</v>
      </c>
    </row>
    <row r="34" spans="1:7" x14ac:dyDescent="0.3">
      <c r="C34" s="35" t="s">
        <v>112</v>
      </c>
      <c r="D34" s="44">
        <f>SUM(D24:D33)</f>
        <v>2335800</v>
      </c>
      <c r="E34" s="44">
        <f>SUM(E24:E33)</f>
        <v>7721620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256</v>
      </c>
      <c r="C39" s="56" t="s">
        <v>238</v>
      </c>
      <c r="D39" s="57" t="s">
        <v>257</v>
      </c>
      <c r="E39" s="57" t="s">
        <v>258</v>
      </c>
      <c r="G39" s="55"/>
    </row>
    <row r="40" spans="1:7" x14ac:dyDescent="0.3">
      <c r="A40" s="2">
        <v>1</v>
      </c>
      <c r="C40" s="38" t="s">
        <v>15</v>
      </c>
      <c r="D40" s="40">
        <f>TRUNC(59306,-1)</f>
        <v>59300</v>
      </c>
      <c r="E40" s="62">
        <f t="shared" ref="E40:E59" si="1">TRUNC(+D40*3.3058,-1)</f>
        <v>196030</v>
      </c>
    </row>
    <row r="41" spans="1:7" x14ac:dyDescent="0.3">
      <c r="A41" s="2">
        <v>2</v>
      </c>
      <c r="C41" s="38" t="s">
        <v>13</v>
      </c>
      <c r="D41" s="42">
        <f>TRUNC(137522,-1)</f>
        <v>137520</v>
      </c>
      <c r="E41" s="63">
        <f t="shared" si="1"/>
        <v>454610</v>
      </c>
    </row>
    <row r="42" spans="1:7" x14ac:dyDescent="0.3">
      <c r="A42" s="2">
        <v>3</v>
      </c>
      <c r="C42" s="38" t="s">
        <v>14</v>
      </c>
      <c r="D42" s="42">
        <f>TRUNC(9183,-1)</f>
        <v>9180</v>
      </c>
      <c r="E42" s="63">
        <f t="shared" si="1"/>
        <v>30340</v>
      </c>
    </row>
    <row r="43" spans="1:7" x14ac:dyDescent="0.3">
      <c r="A43" s="2">
        <v>4</v>
      </c>
      <c r="C43" s="38" t="s">
        <v>16</v>
      </c>
      <c r="D43" s="42">
        <v>31510</v>
      </c>
      <c r="E43" s="63">
        <f t="shared" si="1"/>
        <v>104160</v>
      </c>
    </row>
    <row r="44" spans="1:7" x14ac:dyDescent="0.3">
      <c r="A44" s="2">
        <v>5</v>
      </c>
      <c r="C44" s="38" t="s">
        <v>17</v>
      </c>
      <c r="D44" s="42">
        <v>27060</v>
      </c>
      <c r="E44" s="63">
        <f t="shared" si="1"/>
        <v>89450</v>
      </c>
    </row>
    <row r="45" spans="1:7" x14ac:dyDescent="0.3">
      <c r="A45" s="2">
        <v>6</v>
      </c>
      <c r="C45" s="38" t="s">
        <v>18</v>
      </c>
      <c r="D45" s="42">
        <f>TRUNC(11629,-1)</f>
        <v>11620</v>
      </c>
      <c r="E45" s="63">
        <f t="shared" si="1"/>
        <v>38410</v>
      </c>
    </row>
    <row r="46" spans="1:7" x14ac:dyDescent="0.3">
      <c r="A46" s="2">
        <v>7</v>
      </c>
      <c r="C46" s="38" t="s">
        <v>19</v>
      </c>
      <c r="D46" s="42">
        <v>39690</v>
      </c>
      <c r="E46" s="63">
        <f t="shared" si="1"/>
        <v>131200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TRUNC(77265,-1)</f>
        <v>77260</v>
      </c>
      <c r="E48" s="63">
        <f t="shared" si="1"/>
        <v>255400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TRUNC(24038,-1)</f>
        <v>24030</v>
      </c>
      <c r="E49" s="63">
        <f t="shared" si="1"/>
        <v>79430</v>
      </c>
    </row>
    <row r="50" spans="1:7" x14ac:dyDescent="0.3">
      <c r="A50" s="2">
        <v>11</v>
      </c>
      <c r="C50" s="38" t="s">
        <v>155</v>
      </c>
      <c r="D50" s="42">
        <f>TRUNC(64215,-1)</f>
        <v>64210</v>
      </c>
      <c r="E50" s="63">
        <f t="shared" si="1"/>
        <v>212260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TRUNC(10128,-1)</f>
        <v>10120</v>
      </c>
      <c r="E52" s="63">
        <f t="shared" si="1"/>
        <v>33450</v>
      </c>
    </row>
    <row r="53" spans="1:7" x14ac:dyDescent="0.3">
      <c r="A53" s="2">
        <v>14</v>
      </c>
      <c r="C53" s="38" t="s">
        <v>25</v>
      </c>
      <c r="D53" s="42">
        <f>TRUNC(118594,-1)</f>
        <v>118590</v>
      </c>
      <c r="E53" s="63">
        <f t="shared" si="1"/>
        <v>392030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TRUNC(28722+5092-709+26347,-1)</f>
        <v>59450</v>
      </c>
      <c r="E58" s="63">
        <f t="shared" si="1"/>
        <v>196520</v>
      </c>
      <c r="F58" s="2" t="s">
        <v>261</v>
      </c>
    </row>
    <row r="59" spans="1:7" ht="17.25" thickBot="1" x14ac:dyDescent="0.35">
      <c r="A59" s="2">
        <v>20</v>
      </c>
      <c r="C59" s="38" t="s">
        <v>148</v>
      </c>
      <c r="D59" s="43">
        <v>615340</v>
      </c>
      <c r="E59" s="64">
        <f t="shared" si="1"/>
        <v>2034190</v>
      </c>
    </row>
    <row r="60" spans="1:7" x14ac:dyDescent="0.3">
      <c r="A60" s="2">
        <v>21</v>
      </c>
      <c r="C60" s="27" t="s">
        <v>112</v>
      </c>
      <c r="D60" s="39">
        <f>SUM(D40:D59)</f>
        <v>1284880</v>
      </c>
      <c r="E60" s="39">
        <f>SUM(E40:E59)</f>
        <v>4247480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TRUNC(9228,-1)</f>
        <v>9220</v>
      </c>
      <c r="E63" s="62">
        <f>TRUNC(+D63*3.3058,-1)</f>
        <v>30470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9220</v>
      </c>
      <c r="E66" s="65">
        <f>SUM(E63:E65)</f>
        <v>30470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TRUNC(5211,-1)</f>
        <v>5210</v>
      </c>
      <c r="E69" s="62">
        <f t="shared" ref="E69:E94" si="2">TRUNC(+D69*3.3058,-1)</f>
        <v>17220</v>
      </c>
    </row>
    <row r="70" spans="1:7" ht="16.5" customHeight="1" x14ac:dyDescent="0.3">
      <c r="A70" s="2">
        <v>2</v>
      </c>
      <c r="C70" s="38" t="s">
        <v>31</v>
      </c>
      <c r="D70" s="42">
        <f>TRUNC(2256,-1)</f>
        <v>2250</v>
      </c>
      <c r="E70" s="63">
        <f t="shared" si="2"/>
        <v>7430</v>
      </c>
    </row>
    <row r="71" spans="1:7" x14ac:dyDescent="0.3">
      <c r="A71" s="2">
        <v>3</v>
      </c>
      <c r="C71" s="38" t="s">
        <v>32</v>
      </c>
      <c r="D71" s="42">
        <f>TRUNC(8369,-1)</f>
        <v>8360</v>
      </c>
      <c r="E71" s="63">
        <f t="shared" si="2"/>
        <v>27630</v>
      </c>
    </row>
    <row r="72" spans="1:7" x14ac:dyDescent="0.3">
      <c r="A72" s="2">
        <v>4</v>
      </c>
      <c r="C72" s="38" t="s">
        <v>33</v>
      </c>
      <c r="D72" s="42">
        <f>TRUNC(3855,-1)</f>
        <v>3850</v>
      </c>
      <c r="E72" s="63">
        <f t="shared" si="2"/>
        <v>12720</v>
      </c>
    </row>
    <row r="73" spans="1:7" x14ac:dyDescent="0.3">
      <c r="A73" s="2">
        <v>5</v>
      </c>
      <c r="C73" s="38" t="s">
        <v>34</v>
      </c>
      <c r="D73" s="42">
        <f>TRUNC(17346,-1)</f>
        <v>17340</v>
      </c>
      <c r="E73" s="63">
        <f t="shared" si="2"/>
        <v>57320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TRUNC(6919,-1)</f>
        <v>6910</v>
      </c>
      <c r="E89" s="63">
        <f t="shared" si="2"/>
        <v>22840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TRUNC(9393,-1)</f>
        <v>9390</v>
      </c>
      <c r="E91" s="63">
        <f t="shared" si="2"/>
        <v>31040</v>
      </c>
    </row>
    <row r="92" spans="1:7" x14ac:dyDescent="0.3">
      <c r="A92" s="2">
        <v>24</v>
      </c>
      <c r="C92" s="38" t="s">
        <v>38</v>
      </c>
      <c r="D92" s="42">
        <f>TRUNC(10716,-1)</f>
        <v>10710</v>
      </c>
      <c r="E92" s="63">
        <f t="shared" si="2"/>
        <v>35400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TRUNC(236,-1)</f>
        <v>230</v>
      </c>
      <c r="E94" s="64">
        <f t="shared" si="2"/>
        <v>760</v>
      </c>
    </row>
    <row r="95" spans="1:7" x14ac:dyDescent="0.3">
      <c r="A95" s="2">
        <v>27</v>
      </c>
      <c r="C95" s="27" t="s">
        <v>112</v>
      </c>
      <c r="D95" s="39">
        <f>SUM(D69:D94)</f>
        <v>64250</v>
      </c>
      <c r="E95" s="39">
        <f>SUM(E69:E94)</f>
        <v>212360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TRUNC(29211,-1)</f>
        <v>29210</v>
      </c>
      <c r="E98" s="62">
        <f t="shared" ref="E98:E118" si="3">TRUNC(+D98*3.3058,-1)</f>
        <v>96560</v>
      </c>
    </row>
    <row r="99" spans="1:7" x14ac:dyDescent="0.3">
      <c r="A99" s="2">
        <v>2</v>
      </c>
      <c r="C99" s="38" t="s">
        <v>40</v>
      </c>
      <c r="D99" s="42">
        <f>TRUNC(3488,-1)</f>
        <v>3480</v>
      </c>
      <c r="E99" s="63">
        <f t="shared" si="3"/>
        <v>11500</v>
      </c>
    </row>
    <row r="100" spans="1:7" x14ac:dyDescent="0.3">
      <c r="A100" s="2">
        <v>3</v>
      </c>
      <c r="C100" s="38" t="s">
        <v>41</v>
      </c>
      <c r="D100" s="42">
        <f>TRUNC(31152,-1)</f>
        <v>31150</v>
      </c>
      <c r="E100" s="63">
        <f t="shared" si="3"/>
        <v>102970</v>
      </c>
    </row>
    <row r="101" spans="1:7" x14ac:dyDescent="0.3">
      <c r="A101" s="2">
        <v>4</v>
      </c>
      <c r="C101" s="38" t="s">
        <v>42</v>
      </c>
      <c r="D101" s="42">
        <f>TRUNC(1236,-1)</f>
        <v>1230</v>
      </c>
      <c r="E101" s="63">
        <f t="shared" si="3"/>
        <v>4060</v>
      </c>
    </row>
    <row r="102" spans="1:7" x14ac:dyDescent="0.3">
      <c r="A102" s="2">
        <v>5</v>
      </c>
      <c r="C102" s="38" t="s">
        <v>43</v>
      </c>
      <c r="D102" s="42">
        <f>TRUNC(14771,-1)</f>
        <v>14770</v>
      </c>
      <c r="E102" s="63">
        <f t="shared" si="3"/>
        <v>48820</v>
      </c>
    </row>
    <row r="103" spans="1:7" x14ac:dyDescent="0.3">
      <c r="A103" s="2">
        <v>6</v>
      </c>
      <c r="C103" s="38" t="s">
        <v>44</v>
      </c>
      <c r="D103" s="42">
        <f>TRUNC(12747,-1)</f>
        <v>12740</v>
      </c>
      <c r="E103" s="63">
        <f t="shared" si="3"/>
        <v>42110</v>
      </c>
    </row>
    <row r="104" spans="1:7" x14ac:dyDescent="0.3">
      <c r="A104" s="2">
        <v>7</v>
      </c>
      <c r="C104" s="38" t="s">
        <v>45</v>
      </c>
      <c r="D104" s="42">
        <f>TRUNC(5518,-1)</f>
        <v>5510</v>
      </c>
      <c r="E104" s="63">
        <f t="shared" si="3"/>
        <v>18210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TRUNC(1668,-1)</f>
        <v>1660</v>
      </c>
      <c r="E114" s="63">
        <f t="shared" si="3"/>
        <v>5480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TRUNC(3369,-1)</f>
        <v>3360</v>
      </c>
      <c r="E116" s="63">
        <f t="shared" si="3"/>
        <v>11100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TRUNC(178327,-1)</f>
        <v>178320</v>
      </c>
      <c r="E117" s="63">
        <f t="shared" si="3"/>
        <v>589490</v>
      </c>
    </row>
    <row r="118" spans="1:7" ht="17.25" thickBot="1" x14ac:dyDescent="0.35">
      <c r="A118" s="2">
        <v>21</v>
      </c>
      <c r="C118" s="38" t="s">
        <v>47</v>
      </c>
      <c r="D118" s="43">
        <f>TRUNC(862+12241,-1)</f>
        <v>13100</v>
      </c>
      <c r="E118" s="64">
        <f t="shared" si="3"/>
        <v>43300</v>
      </c>
      <c r="F118" s="2" t="s">
        <v>262</v>
      </c>
    </row>
    <row r="119" spans="1:7" x14ac:dyDescent="0.3">
      <c r="A119" s="2">
        <v>22</v>
      </c>
      <c r="C119" s="27" t="s">
        <v>112</v>
      </c>
      <c r="D119" s="39">
        <f>SUM(D98:D118)</f>
        <v>294530</v>
      </c>
      <c r="E119" s="39">
        <f>SUM(E98:E118)</f>
        <v>973600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TRUNC(5633,-1)</f>
        <v>5630</v>
      </c>
      <c r="E122" s="62">
        <f t="shared" ref="E122:E132" si="4">TRUNC(+D122*3.3058,-1)</f>
        <v>18610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TRUNC(908,-1)</f>
        <v>900</v>
      </c>
      <c r="E124" s="63">
        <f t="shared" si="4"/>
        <v>2970</v>
      </c>
    </row>
    <row r="125" spans="1:7" x14ac:dyDescent="0.3">
      <c r="A125" s="2">
        <v>4</v>
      </c>
      <c r="C125" s="38" t="s">
        <v>138</v>
      </c>
      <c r="D125" s="42">
        <f>TRUNC(8172,-1)</f>
        <v>8170</v>
      </c>
      <c r="E125" s="63">
        <f t="shared" si="4"/>
        <v>27000</v>
      </c>
    </row>
    <row r="126" spans="1:7" x14ac:dyDescent="0.3">
      <c r="A126" s="2">
        <v>5</v>
      </c>
      <c r="C126" s="38" t="s">
        <v>53</v>
      </c>
      <c r="D126" s="42">
        <f>TRUNC(884,-1)</f>
        <v>880</v>
      </c>
      <c r="E126" s="63">
        <f t="shared" si="4"/>
        <v>2900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TRUNC(19376,-1)</f>
        <v>19370</v>
      </c>
      <c r="E130" s="63">
        <f t="shared" si="4"/>
        <v>64030</v>
      </c>
    </row>
    <row r="131" spans="1:7" x14ac:dyDescent="0.3">
      <c r="A131" s="2">
        <v>10</v>
      </c>
      <c r="C131" s="38" t="s">
        <v>148</v>
      </c>
      <c r="D131" s="42">
        <f>TRUNC(56779,-1)</f>
        <v>56770</v>
      </c>
      <c r="E131" s="63">
        <f t="shared" si="4"/>
        <v>187670</v>
      </c>
    </row>
    <row r="132" spans="1:7" ht="18" thickBot="1" x14ac:dyDescent="0.35">
      <c r="A132" s="2">
        <v>11</v>
      </c>
      <c r="C132" s="38" t="s">
        <v>47</v>
      </c>
      <c r="D132" s="43">
        <f>TRUNC(2243+483,-1)</f>
        <v>2720</v>
      </c>
      <c r="E132" s="64">
        <f t="shared" si="4"/>
        <v>8990</v>
      </c>
      <c r="F132" s="54" t="s">
        <v>263</v>
      </c>
    </row>
    <row r="133" spans="1:7" x14ac:dyDescent="0.3">
      <c r="A133" s="2">
        <v>12</v>
      </c>
      <c r="C133" s="27" t="s">
        <v>112</v>
      </c>
      <c r="D133" s="39">
        <f>SUM(D122:D132)</f>
        <v>94440</v>
      </c>
      <c r="E133" s="39">
        <f>SUM(E122:E132)</f>
        <v>312170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TRUNC(93+2575,-1)</f>
        <v>2660</v>
      </c>
      <c r="E137" s="63">
        <f t="shared" si="5"/>
        <v>8790</v>
      </c>
      <c r="F137" s="2" t="s">
        <v>264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TRUNC(1119,-1)</f>
        <v>1110</v>
      </c>
      <c r="E139" s="63">
        <f t="shared" si="5"/>
        <v>3660</v>
      </c>
    </row>
    <row r="140" spans="1:7" x14ac:dyDescent="0.3">
      <c r="A140" s="2">
        <v>5</v>
      </c>
      <c r="C140" s="38" t="s">
        <v>57</v>
      </c>
      <c r="D140" s="42">
        <f>TRUNC(1497,-1)</f>
        <v>1490</v>
      </c>
      <c r="E140" s="63">
        <f t="shared" si="5"/>
        <v>4920</v>
      </c>
    </row>
    <row r="141" spans="1:7" x14ac:dyDescent="0.3">
      <c r="A141" s="2">
        <v>6</v>
      </c>
      <c r="C141" s="38" t="s">
        <v>59</v>
      </c>
      <c r="D141" s="42">
        <f>TRUNC(4825,-1)</f>
        <v>4820</v>
      </c>
      <c r="E141" s="63">
        <f t="shared" si="5"/>
        <v>15930</v>
      </c>
    </row>
    <row r="142" spans="1:7" x14ac:dyDescent="0.3">
      <c r="A142" s="2">
        <v>7</v>
      </c>
      <c r="C142" s="38" t="s">
        <v>58</v>
      </c>
      <c r="D142" s="42">
        <f>TRUNC(6248,-1)</f>
        <v>6240</v>
      </c>
      <c r="E142" s="63">
        <f t="shared" si="5"/>
        <v>20620</v>
      </c>
    </row>
    <row r="143" spans="1:7" x14ac:dyDescent="0.3">
      <c r="A143" s="2">
        <v>8</v>
      </c>
      <c r="C143" s="38" t="s">
        <v>62</v>
      </c>
      <c r="D143" s="42">
        <f>TRUNC(4638,-1)</f>
        <v>4630</v>
      </c>
      <c r="E143" s="63">
        <f t="shared" si="5"/>
        <v>15300</v>
      </c>
    </row>
    <row r="144" spans="1:7" x14ac:dyDescent="0.3">
      <c r="A144" s="2">
        <v>9</v>
      </c>
      <c r="C144" s="38" t="s">
        <v>63</v>
      </c>
      <c r="D144" s="42">
        <f>TRUNC(15644,-1)</f>
        <v>15640</v>
      </c>
      <c r="E144" s="63">
        <f t="shared" si="5"/>
        <v>51700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36590</v>
      </c>
      <c r="E146" s="39">
        <f>SUM(E136:E145)</f>
        <v>120920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TRUNC(8406+1017,-1)</f>
        <v>9420</v>
      </c>
      <c r="E149" s="62">
        <f>TRUNC(+D149*3.3058,-1)</f>
        <v>31140</v>
      </c>
    </row>
    <row r="150" spans="1:7" x14ac:dyDescent="0.3">
      <c r="A150" s="2">
        <v>2</v>
      </c>
      <c r="C150" s="38" t="s">
        <v>49</v>
      </c>
      <c r="D150" s="42">
        <f>TRUNC(9855,-1)</f>
        <v>9850</v>
      </c>
      <c r="E150" s="63">
        <f>TRUNC(+D150*3.3058,-1)</f>
        <v>32560</v>
      </c>
    </row>
    <row r="151" spans="1:7" x14ac:dyDescent="0.3">
      <c r="A151" s="2">
        <v>3</v>
      </c>
      <c r="C151" s="38" t="s">
        <v>50</v>
      </c>
      <c r="D151" s="42">
        <f>TRUNC(1805,-1)</f>
        <v>1800</v>
      </c>
      <c r="E151" s="63">
        <f>TRUNC(+D151*3.3058,-1)</f>
        <v>5950</v>
      </c>
    </row>
    <row r="152" spans="1:7" x14ac:dyDescent="0.3">
      <c r="A152" s="2">
        <v>4</v>
      </c>
      <c r="C152" s="38" t="s">
        <v>47</v>
      </c>
      <c r="D152" s="42">
        <f>82+4608</f>
        <v>4690</v>
      </c>
      <c r="E152" s="63">
        <f>TRUNC(+D152*3.3058,-1)</f>
        <v>15500</v>
      </c>
      <c r="F152" s="2" t="s">
        <v>265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25760</v>
      </c>
      <c r="E154" s="39">
        <f>SUM(E149:E153)</f>
        <v>85150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TRUNC(15699,-1)</f>
        <v>15690</v>
      </c>
      <c r="E157" s="62">
        <f>TRUNC(+D157*3.3058,-1)</f>
        <v>51860</v>
      </c>
    </row>
    <row r="158" spans="1:7" x14ac:dyDescent="0.3">
      <c r="A158" s="2">
        <v>2</v>
      </c>
      <c r="C158" s="38" t="s">
        <v>52</v>
      </c>
      <c r="D158" s="42">
        <f>TRUNC(4575,-1)</f>
        <v>4570</v>
      </c>
      <c r="E158" s="63">
        <f>TRUNC(+D158*3.3058,-1)</f>
        <v>15100</v>
      </c>
    </row>
    <row r="159" spans="1:7" x14ac:dyDescent="0.3">
      <c r="A159" s="2">
        <v>3</v>
      </c>
      <c r="C159" s="38" t="s">
        <v>47</v>
      </c>
      <c r="D159" s="42">
        <f>TRUNC(2002+75,-1)</f>
        <v>2070</v>
      </c>
      <c r="E159" s="63">
        <f>TRUNC(+D159*3.3058,-1)</f>
        <v>6840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22330</v>
      </c>
      <c r="E161" s="39">
        <f>SUM(E157:E160)</f>
        <v>73800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2020-12-08T01:59:52Z</dcterms:modified>
</cp:coreProperties>
</file>