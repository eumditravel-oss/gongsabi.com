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99" i="4"/>
  <c r="D118" i="4"/>
  <c r="D79" i="4"/>
  <c r="D94" i="4"/>
  <c r="D64" i="4"/>
  <c r="D58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6" i="4"/>
  <c r="E123" i="4"/>
  <c r="E118" i="4"/>
  <c r="E117" i="4"/>
  <c r="E113" i="4"/>
  <c r="E112" i="4"/>
  <c r="E111" i="4"/>
  <c r="E110" i="4"/>
  <c r="E109" i="4"/>
  <c r="E107" i="4"/>
  <c r="E106" i="4"/>
  <c r="E103" i="4"/>
  <c r="E99" i="4"/>
  <c r="E94" i="4"/>
  <c r="E93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63" i="4"/>
  <c r="E59" i="4"/>
  <c r="E58" i="4"/>
  <c r="E57" i="4"/>
  <c r="E56" i="4"/>
  <c r="E54" i="4"/>
  <c r="E66" i="4" l="1"/>
  <c r="D132" i="4"/>
  <c r="E132" i="4" s="1"/>
  <c r="D128" i="4"/>
  <c r="E128" i="4" s="1"/>
  <c r="D127" i="4"/>
  <c r="E127" i="4" s="1"/>
  <c r="D125" i="4"/>
  <c r="E125" i="4" s="1"/>
  <c r="D124" i="4"/>
  <c r="E124" i="4" s="1"/>
  <c r="D122" i="4"/>
  <c r="E122" i="4" s="1"/>
  <c r="D116" i="4"/>
  <c r="E116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98" i="4"/>
  <c r="E98" i="4" s="1"/>
  <c r="E119" i="4" s="1"/>
  <c r="D101" i="4"/>
  <c r="E101" i="4" s="1"/>
  <c r="D100" i="4"/>
  <c r="E100" i="4" s="1"/>
  <c r="D90" i="4"/>
  <c r="E90" i="4" s="1"/>
  <c r="D72" i="4"/>
  <c r="E72" i="4" s="1"/>
  <c r="D71" i="4"/>
  <c r="E71" i="4" s="1"/>
  <c r="D70" i="4"/>
  <c r="E70" i="4" s="1"/>
  <c r="E95" i="4" s="1"/>
  <c r="D69" i="4"/>
  <c r="E6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D159" i="4"/>
  <c r="E159" i="4" s="1"/>
  <c r="E161" i="4" s="1"/>
  <c r="D152" i="4"/>
  <c r="E152" i="4" s="1"/>
  <c r="E154" i="4" s="1"/>
  <c r="E133" i="4" l="1"/>
  <c r="D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D95" i="4"/>
  <c r="D27" i="4" s="1"/>
  <c r="E27" i="4" s="1"/>
  <c r="D66" i="4"/>
  <c r="D25" i="4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<sst xmlns="http://schemas.openxmlformats.org/spreadsheetml/2006/main" count="391" uniqueCount="266">
  <si>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</si>
  <si>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</si>
  <si>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</si>
  <si>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</si>
  <si>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</si>
  <si>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</si>
  <si>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</si>
  <si>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</si>
  <si>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</si>
  <si>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</si>
  <si>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</si>
  <si>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</si>
  <si>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</si>
  <si>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</si>
  <si>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</si>
  <si>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</si>
  <si>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</si>
  <si>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</si>
  <si>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</si>
  <si>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</si>
  <si>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</si>
  <si>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</si>
  <si>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</si>
  <si>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</si>
  <si>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</si>
  <si>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</si>
  <si>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</si>
  <si>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</si>
  <si>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</si>
  <si>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</si>
  <si>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</si>
  <si>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</si>
  <si>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</si>
  <si>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</si>
  <si>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</si>
  <si>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</si>
  <si>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</si>
  <si>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</si>
  <si>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</si>
  <si>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</si>
  <si>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</si>
  <si>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</si>
  <si>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</si>
  <si>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</si>
  <si>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</si>
  <si>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</si>
  <si>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</si>
  <si>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</si>
  <si>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</si>
  <si>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</si>
  <si>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</si>
  <si>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</si>
  <si>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</si>
  <si>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</si>
  <si>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</si>
  <si>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</si>
  <si>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</si>
  <si>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</si>
  <si>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</si>
  <si>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</si>
  <si>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</si>
  <si>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</si>
  <si>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</si>
  <si>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</si>
  <si>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</si>
  <si>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</si>
  <si>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</si>
  <si>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</si>
  <si>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</si>
  <si>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</si>
  <si>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</si>
  <si>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</si>
  <si>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</si>
  <si>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</si>
  <si>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</si>
  <si>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</si>
  <si>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</si>
  <si>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</si>
  <si>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</si>
  <si>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</si>
  <si>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</si>
  <si>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</si>
  <si>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</si>
  <si>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</si>
  <si>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</si>
  <si>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</si>
  <si>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</si>
  <si>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</si>
  <si>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</si>
  <si>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</si>
  <si>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</si>
  <si>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</si>
  <si>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</si>
  <si>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</si>
  <si>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</si>
  <si>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</si>
  <si>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</si>
  <si>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</si>
  <si>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</si>
  <si>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</si>
  <si>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</si>
  <si>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</si>
  <si>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</si>
  <si>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</si>
  <si>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</si>
  <si>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</si>
  <si>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</si>
  <si>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</si>
  <si>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</si>
  <si>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</si>
  <si>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</si>
  <si>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</si>
  <si>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</si>
  <si>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</si>
  <si>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</si>
  <si>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</si>
  <si>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</si>
  <si>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</si>
  <si>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</si>
  <si>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</si>
  <si>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</si>
  <si>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</si>
  <si>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</si>
  <si>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</si>
  <si>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</si>
  <si>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</si>
  <si>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</si>
  <si>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</si>
  <si>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</si>
  <si>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</si>
  <si>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</si>
  <si>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</si>
  <si>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</si>
  <si>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</si>
  <si>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</si>
  <si>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</si>
  <si>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</si>
  <si>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</si>
  <si>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</si>
  <si>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</si>
  <si>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</si>
  <si>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</si>
  <si>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</si>
  <si>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</si>
  <si>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</si>
  <si>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</si>
  <si>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</si>
  <si>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</si>
  <si>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</si>
  <si>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</si>
  <si>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</si>
  <si>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</si>
  <si>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</si>
  <si>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</si>
  <si>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</si>
  <si>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</si>
  <si>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</si>
  <si>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</si>
  <si>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</si>
  <si>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</si>
  <si>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</si>
  <si>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</si>
  <si>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</si>
  <si>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</si>
  <si>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</si>
  <si>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</si>
  <si>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</si>
  <si>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</si>
  <si>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</si>
  <si>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</si>
  <si>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</si>
  <si>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</si>
  <si>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</si>
  <si>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</si>
  <si>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</si>
  <si>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</si>
  <si>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</si>
  <si>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</si>
  <si>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</si>
  <si>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</si>
  <si>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</si>
  <si>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</si>
  <si>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</si>
  <si>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</si>
  <si>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</si>
  <si>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</si>
  <si>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</si>
  <si>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</si>
  <si>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</si>
  <si>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</si>
  <si>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</si>
  <si>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</si>
  <si>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</si>
  <si>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</si>
  <si>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</si>
  <si>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</si>
  <si>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</si>
  <si>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</si>
  <si>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</si>
  <si>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</si>
  <si>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</si>
  <si>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</si>
  <si>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</si>
  <si>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</si>
  <si>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</si>
  <si>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</si>
  <si>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</si>
  <si>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</si>
  <si>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</si>
  <si>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</si>
  <si>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</si>
  <si>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</si>
  <si>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</si>
  <si>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</si>
  <si>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</si>
  <si>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</si>
  <si>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</si>
  <si>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</si>
  <si>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</si>
  <si>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</si>
  <si>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</si>
  <si>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</si>
  <si>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</si>
  <si>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</si>
  <si>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</si>
  <si>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</si>
  <si>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</si>
  <si>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</si>
  <si>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</si>
  <si>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</si>
  <si>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</si>
  <si>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</si>
  <si>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</si>
  <si>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</si>
  <si>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</si>
  <si>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</si>
  <si>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</si>
  <si>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</si>
  <si>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</si>
  <si>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</si>
  <si>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</si>
  <si>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</si>
  <si>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</si>
  <si>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</si>
  <si>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</si>
  <si>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</si>
  <si>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</si>
  <si>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 0000경찰서 신축공사</t>
    <phoneticPr fontId="2" type="noConversion"/>
  </si>
  <si>
    <t>업무</t>
  </si>
  <si>
    <t>경기도</t>
  </si>
  <si>
    <t>부대토목공사(흙막이공사포함)</t>
    <phoneticPr fontId="2" type="noConversion"/>
  </si>
  <si>
    <t>부대조경공사</t>
    <phoneticPr fontId="2" type="noConversion"/>
  </si>
  <si>
    <t>비상벨설비공사,정보통신설비공사,주차관제설비공사</t>
    <phoneticPr fontId="2" type="noConversion"/>
  </si>
  <si>
    <t>원 /평</t>
    <phoneticPr fontId="2" type="noConversion"/>
  </si>
  <si>
    <t>품질시험비,실내사격장,기타공사,주요자재비,운반비,자재비및운반비,작업부산물</t>
    <phoneticPr fontId="2" type="noConversion"/>
  </si>
  <si>
    <t>난방용전열관설치공사,위생배관공사</t>
    <phoneticPr fontId="2" type="noConversion"/>
  </si>
  <si>
    <t>환기덕트설치공사</t>
    <phoneticPr fontId="2" type="noConversion"/>
  </si>
  <si>
    <t>태양광설비공사</t>
    <phoneticPr fontId="2" type="noConversion"/>
  </si>
  <si>
    <t>동력설비공사,주방동력설비공사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</si>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</sst>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9255</v>
      </c>
      <c r="D7" s="36">
        <f>+C7/3.3058</f>
        <v>2799.6249016879424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253</v>
      </c>
    </row>
    <row r="24" spans="1:5" x14ac:dyDescent="0.3">
      <c r="B24" s="2">
        <v>1</v>
      </c>
      <c r="C24" s="35" t="s">
        <v>110</v>
      </c>
      <c r="D24" s="41">
        <f>+D37</f>
        <v>3710</v>
      </c>
      <c r="E24" s="58">
        <f t="shared" ref="E24:E33" si="0">TRUNC(+D24*3.3058,-1)</f>
        <v>12260</v>
      </c>
    </row>
    <row r="25" spans="1:5" x14ac:dyDescent="0.3">
      <c r="B25" s="2">
        <v>2</v>
      </c>
      <c r="C25" s="35" t="s">
        <v>111</v>
      </c>
      <c r="D25" s="45">
        <f>+D60</f>
        <v>463670</v>
      </c>
      <c r="E25" s="59">
        <f t="shared" si="0"/>
        <v>1532800</v>
      </c>
    </row>
    <row r="26" spans="1:5" x14ac:dyDescent="0.3">
      <c r="B26" s="2">
        <v>3</v>
      </c>
      <c r="C26" s="35" t="s">
        <v>95</v>
      </c>
      <c r="D26" s="45">
        <f>+D66</f>
        <v>18270</v>
      </c>
      <c r="E26" s="59">
        <f t="shared" si="0"/>
        <v>60390</v>
      </c>
    </row>
    <row r="27" spans="1:5" x14ac:dyDescent="0.3">
      <c r="B27" s="2">
        <v>4</v>
      </c>
      <c r="C27" s="35" t="s">
        <v>96</v>
      </c>
      <c r="D27" s="45">
        <f>+D95</f>
        <v>67420</v>
      </c>
      <c r="E27" s="59">
        <f t="shared" si="0"/>
        <v>222870</v>
      </c>
    </row>
    <row r="28" spans="1:5" x14ac:dyDescent="0.3">
      <c r="B28" s="2">
        <v>5</v>
      </c>
      <c r="C28" s="35" t="s">
        <v>97</v>
      </c>
      <c r="D28" s="45">
        <f>+D119</f>
        <v>76040</v>
      </c>
      <c r="E28" s="59">
        <f t="shared" si="0"/>
        <v>251370</v>
      </c>
    </row>
    <row r="29" spans="1:5" x14ac:dyDescent="0.3">
      <c r="B29" s="2">
        <v>6</v>
      </c>
      <c r="C29" s="35" t="s">
        <v>98</v>
      </c>
      <c r="D29" s="45">
        <f>+D133</f>
        <v>46150</v>
      </c>
      <c r="E29" s="59">
        <f t="shared" si="0"/>
        <v>152560</v>
      </c>
    </row>
    <row r="30" spans="1:5" x14ac:dyDescent="0.3">
      <c r="B30" s="2">
        <v>7</v>
      </c>
      <c r="C30" s="35" t="s">
        <v>99</v>
      </c>
      <c r="D30" s="45">
        <f>+D146</f>
        <v>33980</v>
      </c>
      <c r="E30" s="59">
        <f t="shared" si="0"/>
        <v>112330</v>
      </c>
    </row>
    <row r="31" spans="1:5" x14ac:dyDescent="0.3">
      <c r="B31" s="2">
        <v>8</v>
      </c>
      <c r="C31" s="35" t="s">
        <v>100</v>
      </c>
      <c r="D31" s="45">
        <f>+D154</f>
        <v>58500</v>
      </c>
      <c r="E31" s="59">
        <f t="shared" si="0"/>
        <v>193380</v>
      </c>
    </row>
    <row r="32" spans="1:5" x14ac:dyDescent="0.3">
      <c r="B32" s="2">
        <v>9</v>
      </c>
      <c r="C32" s="35" t="s">
        <v>101</v>
      </c>
      <c r="D32" s="45">
        <f>+D161</f>
        <v>26550</v>
      </c>
      <c r="E32" s="59">
        <f t="shared" si="0"/>
        <v>87760</v>
      </c>
    </row>
    <row r="33" spans="1:7" x14ac:dyDescent="0.3">
      <c r="B33" s="2">
        <v>10</v>
      </c>
      <c r="C33" s="35" t="s">
        <v>153</v>
      </c>
      <c r="D33" s="53">
        <f>TRUNC(SUM(D24:D32)*0.275,-1)</f>
        <v>218420</v>
      </c>
      <c r="E33" s="60">
        <f t="shared" si="0"/>
        <v>722050</v>
      </c>
    </row>
    <row r="34" spans="1:7" x14ac:dyDescent="0.3">
      <c r="C34" s="35" t="s">
        <v>112</v>
      </c>
      <c r="D34" s="44">
        <f>SUM(D24:D33)</f>
        <v>1012710</v>
      </c>
      <c r="E34" s="44">
        <f>SUM(E24:E33)</f>
        <v>3347770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253</v>
      </c>
      <c r="G36" s="55"/>
    </row>
    <row r="37" spans="1:7" ht="17.25" thickBot="1" x14ac:dyDescent="0.35">
      <c r="C37" s="38" t="s">
        <v>143</v>
      </c>
      <c r="D37" s="52">
        <f>TRUNC(3712,-1)</f>
        <v>3710</v>
      </c>
      <c r="E37" s="61">
        <f>TRUNC(+D37*3.3058,-1)</f>
        <v>12260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TRUNC(24077,-1)</f>
        <v>24070</v>
      </c>
      <c r="E40" s="62">
        <f t="shared" ref="E40:E59" si="1">TRUNC(+D40*3.3058,-1)</f>
        <v>79570</v>
      </c>
    </row>
    <row r="41" spans="1:7" x14ac:dyDescent="0.3">
      <c r="A41" s="2">
        <v>2</v>
      </c>
      <c r="C41" s="38" t="s">
        <v>13</v>
      </c>
      <c r="D41" s="42">
        <f>TRUNC(99010,-1)</f>
        <v>99010</v>
      </c>
      <c r="E41" s="63">
        <f t="shared" si="1"/>
        <v>327300</v>
      </c>
    </row>
    <row r="42" spans="1:7" x14ac:dyDescent="0.3">
      <c r="A42" s="2">
        <v>3</v>
      </c>
      <c r="C42" s="38" t="s">
        <v>14</v>
      </c>
      <c r="D42" s="42">
        <f>TRUNC(5843,-1)</f>
        <v>5840</v>
      </c>
      <c r="E42" s="63">
        <f t="shared" si="1"/>
        <v>19300</v>
      </c>
    </row>
    <row r="43" spans="1:7" x14ac:dyDescent="0.3">
      <c r="A43" s="2">
        <v>4</v>
      </c>
      <c r="C43" s="38" t="s">
        <v>16</v>
      </c>
      <c r="D43" s="42">
        <f>TRUNC(15056,-1)</f>
        <v>15050</v>
      </c>
      <c r="E43" s="63">
        <f t="shared" si="1"/>
        <v>49750</v>
      </c>
    </row>
    <row r="44" spans="1:7" x14ac:dyDescent="0.3">
      <c r="A44" s="2">
        <v>5</v>
      </c>
      <c r="C44" s="38" t="s">
        <v>17</v>
      </c>
      <c r="D44" s="42">
        <f>TRUNC(25677,-1)</f>
        <v>25670</v>
      </c>
      <c r="E44" s="63">
        <f t="shared" si="1"/>
        <v>84850</v>
      </c>
    </row>
    <row r="45" spans="1:7" x14ac:dyDescent="0.3">
      <c r="A45" s="2">
        <v>6</v>
      </c>
      <c r="C45" s="38" t="s">
        <v>18</v>
      </c>
      <c r="D45" s="42">
        <f>TRUNC(10478,-1)</f>
        <v>10470</v>
      </c>
      <c r="E45" s="63">
        <f t="shared" si="1"/>
        <v>34610</v>
      </c>
    </row>
    <row r="46" spans="1:7" x14ac:dyDescent="0.3">
      <c r="A46" s="2">
        <v>7</v>
      </c>
      <c r="C46" s="38" t="s">
        <v>19</v>
      </c>
      <c r="D46" s="42">
        <f>TRUNC(55376,-1)</f>
        <v>55370</v>
      </c>
      <c r="E46" s="63">
        <f t="shared" si="1"/>
        <v>183040</v>
      </c>
    </row>
    <row r="47" spans="1:7" x14ac:dyDescent="0.3">
      <c r="A47" s="2">
        <v>8</v>
      </c>
      <c r="C47" s="38" t="s">
        <v>20</v>
      </c>
      <c r="D47" s="42">
        <f>TRUNC(5753,-1)</f>
        <v>5750</v>
      </c>
      <c r="E47" s="63">
        <f t="shared" si="1"/>
        <v>19000</v>
      </c>
    </row>
    <row r="48" spans="1:7" x14ac:dyDescent="0.3">
      <c r="A48" s="2">
        <v>9</v>
      </c>
      <c r="C48" s="38" t="s">
        <v>21</v>
      </c>
      <c r="D48" s="42">
        <f>TRUNC(39160,-1)</f>
        <v>39160</v>
      </c>
      <c r="E48" s="63">
        <f t="shared" si="1"/>
        <v>129450</v>
      </c>
    </row>
    <row r="49" spans="1:7" x14ac:dyDescent="0.3">
      <c r="A49" s="2">
        <v>10</v>
      </c>
      <c r="C49" s="38" t="s">
        <v>22</v>
      </c>
      <c r="D49" s="42">
        <f>TRUNC(18670,-1)</f>
        <v>18670</v>
      </c>
      <c r="E49" s="63">
        <f t="shared" si="1"/>
        <v>61710</v>
      </c>
    </row>
    <row r="50" spans="1:7" x14ac:dyDescent="0.3">
      <c r="A50" s="2">
        <v>11</v>
      </c>
      <c r="C50" s="38" t="s">
        <v>154</v>
      </c>
      <c r="D50" s="42">
        <f>TRUNC(41149,-1)</f>
        <v>41140</v>
      </c>
      <c r="E50" s="63">
        <f t="shared" si="1"/>
        <v>136000</v>
      </c>
    </row>
    <row r="51" spans="1:7" x14ac:dyDescent="0.3">
      <c r="A51" s="2">
        <v>12</v>
      </c>
      <c r="C51" s="38" t="s">
        <v>23</v>
      </c>
      <c r="D51" s="42">
        <f>TRUNC(18831,-1)</f>
        <v>18830</v>
      </c>
      <c r="E51" s="63">
        <f t="shared" si="1"/>
        <v>62240</v>
      </c>
    </row>
    <row r="52" spans="1:7" x14ac:dyDescent="0.3">
      <c r="A52" s="2">
        <v>13</v>
      </c>
      <c r="C52" s="38" t="s">
        <v>24</v>
      </c>
      <c r="D52" s="42">
        <f>TRUNC(10126,-1)</f>
        <v>10120</v>
      </c>
      <c r="E52" s="63">
        <f t="shared" si="1"/>
        <v>33450</v>
      </c>
    </row>
    <row r="53" spans="1:7" x14ac:dyDescent="0.3">
      <c r="A53" s="2">
        <v>14</v>
      </c>
      <c r="C53" s="38" t="s">
        <v>25</v>
      </c>
      <c r="D53" s="42">
        <f>TRUNC(70096,-1)</f>
        <v>70090</v>
      </c>
      <c r="E53" s="63">
        <f t="shared" si="1"/>
        <v>231700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TRUNC(10937,-1)</f>
        <v>10930</v>
      </c>
      <c r="E55" s="63">
        <f t="shared" si="1"/>
        <v>36130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TRUNC(1648+5623+2726+1460+2091+646-689,-1)</f>
        <v>13500</v>
      </c>
      <c r="E58" s="63">
        <f t="shared" si="1"/>
        <v>44620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463670</v>
      </c>
      <c r="E60" s="39">
        <f>SUM(E40:E59)</f>
        <v>1532720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TRUNC(18275,-1)</f>
        <v>18270</v>
      </c>
      <c r="E64" s="63">
        <f>TRUNC(+D64*3.3058,-1)</f>
        <v>60390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18270</v>
      </c>
      <c r="E66" s="65">
        <f>SUM(E63:E65)</f>
        <v>60390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253</v>
      </c>
      <c r="G68" s="55"/>
    </row>
    <row r="69" spans="1:7" x14ac:dyDescent="0.3">
      <c r="A69" s="2">
        <v>1</v>
      </c>
      <c r="C69" s="38" t="s">
        <v>30</v>
      </c>
      <c r="D69" s="40">
        <f>TRUNC(19563,-1)</f>
        <v>19560</v>
      </c>
      <c r="E69" s="62">
        <f t="shared" ref="E69:E94" si="2">TRUNC(+D69*3.3058,-1)</f>
        <v>64660</v>
      </c>
    </row>
    <row r="70" spans="1:7" ht="16.5" customHeight="1" x14ac:dyDescent="0.3">
      <c r="A70" s="2">
        <v>2</v>
      </c>
      <c r="C70" s="38" t="s">
        <v>31</v>
      </c>
      <c r="D70" s="42">
        <f>TRUNC(2637,-1)</f>
        <v>2630</v>
      </c>
      <c r="E70" s="63">
        <f t="shared" si="2"/>
        <v>8690</v>
      </c>
    </row>
    <row r="71" spans="1:7" x14ac:dyDescent="0.3">
      <c r="A71" s="2">
        <v>3</v>
      </c>
      <c r="C71" s="38" t="s">
        <v>32</v>
      </c>
      <c r="D71" s="42">
        <f>TRUNC(7539,-1)</f>
        <v>7530</v>
      </c>
      <c r="E71" s="63">
        <f t="shared" si="2"/>
        <v>24890</v>
      </c>
    </row>
    <row r="72" spans="1:7" x14ac:dyDescent="0.3">
      <c r="A72" s="2">
        <v>4</v>
      </c>
      <c r="C72" s="38" t="s">
        <v>33</v>
      </c>
      <c r="D72" s="42">
        <f>TRUNC(4332,-1)</f>
        <v>4330</v>
      </c>
      <c r="E72" s="63">
        <f t="shared" si="2"/>
        <v>14310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TRUNC(9769,-1)</f>
        <v>9760</v>
      </c>
      <c r="E79" s="63">
        <f t="shared" si="2"/>
        <v>32260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TRUNC(708,-1)</f>
        <v>700</v>
      </c>
      <c r="E90" s="63">
        <f t="shared" si="2"/>
        <v>2310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TRUNC(1595+21318,-1)</f>
        <v>22910</v>
      </c>
      <c r="E94" s="64">
        <f t="shared" si="2"/>
        <v>75730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67420</v>
      </c>
      <c r="E95" s="39">
        <f>SUM(E69:E94)</f>
        <v>222850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253</v>
      </c>
      <c r="G97" s="55"/>
    </row>
    <row r="98" spans="1:7" x14ac:dyDescent="0.3">
      <c r="A98" s="2">
        <v>1</v>
      </c>
      <c r="C98" s="38" t="s">
        <v>39</v>
      </c>
      <c r="D98" s="40">
        <f>TRUNC(10284,-1)</f>
        <v>10280</v>
      </c>
      <c r="E98" s="62">
        <f t="shared" ref="E98:E118" si="3">TRUNC(+D98*3.3058,-1)</f>
        <v>33980</v>
      </c>
    </row>
    <row r="99" spans="1:7" x14ac:dyDescent="0.3">
      <c r="A99" s="2">
        <v>2</v>
      </c>
      <c r="C99" s="38" t="s">
        <v>40</v>
      </c>
      <c r="D99" s="42">
        <f>TRUNC(3675+401,-1)</f>
        <v>4070</v>
      </c>
      <c r="E99" s="63">
        <f t="shared" si="3"/>
        <v>13450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TRUNC(23625,-1)</f>
        <v>23620</v>
      </c>
      <c r="E100" s="63">
        <f t="shared" si="3"/>
        <v>78080</v>
      </c>
    </row>
    <row r="101" spans="1:7" x14ac:dyDescent="0.3">
      <c r="A101" s="2">
        <v>4</v>
      </c>
      <c r="C101" s="38" t="s">
        <v>42</v>
      </c>
      <c r="D101" s="42">
        <f>TRUNC(321,-1)</f>
        <v>320</v>
      </c>
      <c r="E101" s="63">
        <f t="shared" si="3"/>
        <v>1050</v>
      </c>
    </row>
    <row r="102" spans="1:7" x14ac:dyDescent="0.3">
      <c r="A102" s="2">
        <v>5</v>
      </c>
      <c r="C102" s="38" t="s">
        <v>43</v>
      </c>
      <c r="D102" s="42">
        <f>TRUNC(7148,-1)</f>
        <v>7140</v>
      </c>
      <c r="E102" s="63">
        <f t="shared" si="3"/>
        <v>23600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TRUNC(3088,-1)</f>
        <v>3080</v>
      </c>
      <c r="E104" s="63">
        <f t="shared" si="3"/>
        <v>10180</v>
      </c>
    </row>
    <row r="105" spans="1:7" x14ac:dyDescent="0.3">
      <c r="A105" s="2">
        <v>8</v>
      </c>
      <c r="C105" s="38" t="s">
        <v>46</v>
      </c>
      <c r="D105" s="42">
        <f>TRUNC(4644,-1)</f>
        <v>4640</v>
      </c>
      <c r="E105" s="63">
        <f t="shared" si="3"/>
        <v>15330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TRUNC(15750,-1)</f>
        <v>15750</v>
      </c>
      <c r="E108" s="63">
        <f t="shared" si="3"/>
        <v>52060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TRUNC(2086,-1)</f>
        <v>2080</v>
      </c>
      <c r="E114" s="63">
        <f t="shared" si="3"/>
        <v>6870</v>
      </c>
    </row>
    <row r="115" spans="1:7" x14ac:dyDescent="0.3">
      <c r="A115" s="2">
        <v>18</v>
      </c>
      <c r="C115" s="38" t="s">
        <v>116</v>
      </c>
      <c r="D115" s="42">
        <f>TRUNC(1587,-1)</f>
        <v>1580</v>
      </c>
      <c r="E115" s="63">
        <f t="shared" si="3"/>
        <v>5220</v>
      </c>
    </row>
    <row r="116" spans="1:7" x14ac:dyDescent="0.3">
      <c r="A116" s="2">
        <v>19</v>
      </c>
      <c r="C116" s="38" t="s">
        <v>115</v>
      </c>
      <c r="D116" s="42">
        <f>TRUNC(1302,-1)</f>
        <v>1300</v>
      </c>
      <c r="E116" s="63">
        <f t="shared" si="3"/>
        <v>4290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TRUNC(2186,-1)</f>
        <v>2180</v>
      </c>
      <c r="E118" s="64">
        <f t="shared" si="3"/>
        <v>7200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76040</v>
      </c>
      <c r="E119" s="39">
        <f>SUM(E98:E118)</f>
        <v>251310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253</v>
      </c>
      <c r="G121" s="55"/>
    </row>
    <row r="122" spans="1:7" x14ac:dyDescent="0.3">
      <c r="A122" s="2">
        <v>1</v>
      </c>
      <c r="C122" s="38" t="s">
        <v>55</v>
      </c>
      <c r="D122" s="40">
        <f>TRUNC(3557,-1)</f>
        <v>3550</v>
      </c>
      <c r="E122" s="62">
        <f t="shared" ref="E122:E132" si="4">TRUNC(+D122*3.3058,-1)</f>
        <v>11730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TRUNC(793,-1)</f>
        <v>790</v>
      </c>
      <c r="E124" s="63">
        <f t="shared" si="4"/>
        <v>2610</v>
      </c>
    </row>
    <row r="125" spans="1:7" x14ac:dyDescent="0.3">
      <c r="A125" s="2">
        <v>4</v>
      </c>
      <c r="C125" s="38" t="s">
        <v>138</v>
      </c>
      <c r="D125" s="42">
        <f>TRUNC(5875,-1)</f>
        <v>5870</v>
      </c>
      <c r="E125" s="63">
        <f t="shared" si="4"/>
        <v>19400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TRUNC(505,-1)</f>
        <v>500</v>
      </c>
      <c r="E127" s="63">
        <f t="shared" si="4"/>
        <v>1650</v>
      </c>
    </row>
    <row r="128" spans="1:7" x14ac:dyDescent="0.3">
      <c r="A128" s="2">
        <v>7</v>
      </c>
      <c r="C128" s="38" t="s">
        <v>46</v>
      </c>
      <c r="D128" s="42">
        <f>TRUNC(7846,-1)</f>
        <v>7840</v>
      </c>
      <c r="E128" s="63">
        <f t="shared" si="4"/>
        <v>25910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TRUNC(920+26629+60,-1)</f>
        <v>27600</v>
      </c>
      <c r="E132" s="64">
        <f t="shared" si="4"/>
        <v>91240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46150</v>
      </c>
      <c r="E133" s="39">
        <f>SUM(E122:E132)</f>
        <v>152540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253</v>
      </c>
      <c r="G135" s="55"/>
    </row>
    <row r="136" spans="1:7" x14ac:dyDescent="0.3">
      <c r="A136" s="2">
        <v>1</v>
      </c>
      <c r="C136" s="38" t="s">
        <v>131</v>
      </c>
      <c r="D136" s="40">
        <f>TRUNC(22232,-1)</f>
        <v>22230</v>
      </c>
      <c r="E136" s="62">
        <f t="shared" ref="E136:E145" si="5">TRUNC(+D136*3.3058,-1)</f>
        <v>73480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TRUNC(11757,-1)</f>
        <v>11750</v>
      </c>
      <c r="E137" s="63">
        <f t="shared" si="5"/>
        <v>38840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33980</v>
      </c>
      <c r="E146" s="39">
        <f>SUM(E136:E145)</f>
        <v>112320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TRUNC(58509,-1)</f>
        <v>58500</v>
      </c>
      <c r="E152" s="63">
        <f>TRUNC(+D152*3.3058,-1)</f>
        <v>193380</v>
      </c>
      <c r="F152" s="2" t="s">
        <v>250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58500</v>
      </c>
      <c r="E154" s="39">
        <f>SUM(E149:E153)</f>
        <v>193380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TRUNC(26552,-1)</f>
        <v>26550</v>
      </c>
      <c r="E159" s="63">
        <f>TRUNC(+D159*3.3058,-1)</f>
        <v>87760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26550</v>
      </c>
      <c r="E161" s="39">
        <f>SUM(E157:E160)</f>
        <v>87760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2020-12-07T09:44:24Z</dcterms:modified>
</cp:coreProperties>
</file>