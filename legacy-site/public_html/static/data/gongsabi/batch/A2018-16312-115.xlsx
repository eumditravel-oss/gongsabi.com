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0" i="4"/>
  <c r="D149" i="4"/>
  <c r="D145" i="4"/>
  <c r="D144" i="4"/>
  <c r="D143" i="4"/>
  <c r="D142" i="4"/>
  <c r="D141" i="4"/>
  <c r="D140" i="4"/>
  <c r="D137" i="4"/>
  <c r="D132" i="4"/>
  <c r="D131" i="4"/>
  <c r="D130" i="4"/>
  <c r="D128" i="4"/>
  <c r="D126" i="4"/>
  <c r="D125" i="4"/>
  <c r="D122" i="4"/>
  <c r="D117" i="4"/>
  <c r="D116" i="4"/>
  <c r="D114" i="4"/>
  <c r="D105" i="4"/>
  <c r="D103" i="4"/>
  <c r="D102" i="4"/>
  <c r="D100" i="4"/>
  <c r="D99" i="4"/>
  <c r="D98" i="4"/>
  <c r="D94" i="4"/>
  <c r="D93" i="4"/>
  <c r="D92" i="4"/>
  <c r="D91" i="4"/>
  <c r="D89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2" i="4"/>
  <c r="D41" i="4"/>
  <c r="D40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<sst xmlns="http://schemas.openxmlformats.org/spreadsheetml/2006/main" count="391" uniqueCount="266">
  <si>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</si>
  <si>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</si>
  <si>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</si>
  <si>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</si>
  <si>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</si>
  <si>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</si>
  <si>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</si>
  <si>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</si>
  <si>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</si>
  <si>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</si>
  <si>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</si>
  <si>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</si>
  <si>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</si>
  <si>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</si>
  <si>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</si>
  <si>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</si>
  <si>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</si>
  <si>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</si>
  <si>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</si>
  <si>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</si>
  <si>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</si>
  <si>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</si>
  <si>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</si>
  <si>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</si>
  <si>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</si>
  <si>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</si>
  <si>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</si>
  <si>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</si>
  <si>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</si>
  <si>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</si>
  <si>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</si>
  <si>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</si>
  <si>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</si>
  <si>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</si>
  <si>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</si>
  <si>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</si>
  <si>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</si>
  <si>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</si>
  <si>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</si>
  <si>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</si>
  <si>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</si>
  <si>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</si>
  <si>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</si>
  <si>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</si>
  <si>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</si>
  <si>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</si>
  <si>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</si>
  <si>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</si>
  <si>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</si>
  <si>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</si>
  <si>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</si>
  <si>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</si>
  <si>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</si>
  <si>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</si>
  <si>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</si>
  <si>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</si>
  <si>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</si>
  <si>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</si>
  <si>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</si>
  <si>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</si>
  <si>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</si>
  <si>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</si>
  <si>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</si>
  <si>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</si>
  <si>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</si>
  <si>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</si>
  <si>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</si>
  <si>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</si>
  <si>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</si>
  <si>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</si>
  <si>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</si>
  <si>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</si>
  <si>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</si>
  <si>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</si>
  <si>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</si>
  <si>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</si>
  <si>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</si>
  <si>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</si>
  <si>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</si>
  <si>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</si>
  <si>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</si>
  <si>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</si>
  <si>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</si>
  <si>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</si>
  <si>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</si>
  <si>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</si>
  <si>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</si>
  <si>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</si>
  <si>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</si>
  <si>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</si>
  <si>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</si>
  <si>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</si>
  <si>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</si>
  <si>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</si>
  <si>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</si>
  <si>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</si>
  <si>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</si>
  <si>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</si>
  <si>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</si>
  <si>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</si>
  <si>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</si>
  <si>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</si>
  <si>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</si>
  <si>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</si>
  <si>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</si>
  <si>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</si>
  <si>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</si>
  <si>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</si>
  <si>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</si>
  <si>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</si>
  <si>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</si>
  <si>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</si>
  <si>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</si>
  <si>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</si>
  <si>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</si>
  <si>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</si>
  <si>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</si>
  <si>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</si>
  <si>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</si>
  <si>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</si>
  <si>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</si>
  <si>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</si>
  <si>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</si>
  <si>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</si>
  <si>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</si>
  <si>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</si>
  <si>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</si>
  <si>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</si>
  <si>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</si>
  <si>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</si>
  <si>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</si>
  <si>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</si>
  <si>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</si>
  <si>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</si>
  <si>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</si>
  <si>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</si>
  <si>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</si>
  <si>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</si>
  <si>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</si>
  <si>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</si>
  <si>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</si>
  <si>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</si>
  <si>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</si>
  <si>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</si>
  <si>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</si>
  <si>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</si>
  <si>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</si>
  <si>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</si>
  <si>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</si>
  <si>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</si>
  <si>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</si>
  <si>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</si>
  <si>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</si>
  <si>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</si>
  <si>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</si>
  <si>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</si>
  <si>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</si>
  <si>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</si>
  <si>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</si>
  <si>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</si>
  <si>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</si>
  <si>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</si>
  <si>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</si>
  <si>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</si>
  <si>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</si>
  <si>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</si>
  <si>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</si>
  <si>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</si>
  <si>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</si>
  <si>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</si>
  <si>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</si>
  <si>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</si>
  <si>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</si>
  <si>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</si>
  <si>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</si>
  <si>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</si>
  <si>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</si>
  <si>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</si>
  <si>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</si>
  <si>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</si>
  <si>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</si>
  <si>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</si>
  <si>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</si>
  <si>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</si>
  <si>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</si>
  <si>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</si>
  <si>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</si>
  <si>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</si>
  <si>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</si>
  <si>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</si>
  <si>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</si>
  <si>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</si>
  <si>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</si>
  <si>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</si>
  <si>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</si>
  <si>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</si>
  <si>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</si>
  <si>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</si>
  <si>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</si>
  <si>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</si>
  <si>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</si>
  <si>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</si>
  <si>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</si>
  <si>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</si>
  <si>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</si>
  <si>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</si>
  <si>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</si>
  <si>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</si>
  <si>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</si>
  <si>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</si>
  <si>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</si>
  <si>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</si>
  <si>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</si>
  <si>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</si>
  <si>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</si>
  <si>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</si>
  <si>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</si>
  <si>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</si>
  <si>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</si>
  <si>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</si>
  <si>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</si>
  <si>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</si>
  <si>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</si>
  <si>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</si>
  <si>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</si>
  <si>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</si>
  <si>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</si>
  <si>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</si>
  <si>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</si>
  <si>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</si>
  <si>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</si>
  <si>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</si>
  <si>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</si>
  <si>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</si>
  <si>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</si>
  <si>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</si>
  <si>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</si>
  <si>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</si>
  <si>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</si>
  <si>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</si>
  <si>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</si>
  <si>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</si>
  <si>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</si>
  <si>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</si>
  <si>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</si>
  <si>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</si>
  <si>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</si>
  <si>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</si>
  <si>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영남권 종자종합처리센터 신축공사</t>
    <phoneticPr fontId="2" type="noConversion"/>
  </si>
  <si>
    <t>창고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</si>
  <si>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</si>
  <si>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</si>
  <si>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</t>
    <phoneticPr fontId="2" type="noConversion"/>
  </si>
  <si>
    <t>기초공사, 골재비및운반비, 작업부산물, 기타공사</t>
    <phoneticPr fontId="2" type="noConversion"/>
  </si>
  <si>
    <t>난방배관공사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</si>
  <si>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</si>
  <si>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</si>
  <si>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CCTV설비공사</t>
    <phoneticPr fontId="2" type="noConversion"/>
  </si>
  <si>
    <t>펌프실배관공사</t>
    <phoneticPr fontId="2" type="noConversion"/>
  </si>
  <si>
    <t>상수도공사, 사급자재비, 운반비, 기타공사</t>
    <phoneticPr fontId="2" type="noConversion"/>
  </si>
  <si>
    <t>경상도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</si>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</sst>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6510.88</v>
      </c>
      <c r="D7" s="36">
        <f>+C7/3.3058</f>
        <v>1969.5323371044831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573790</v>
      </c>
      <c r="E25" s="59">
        <f t="shared" si="0"/>
        <v>1896830</v>
      </c>
    </row>
    <row r="26" spans="1:5" x14ac:dyDescent="0.3">
      <c r="B26" s="2">
        <v>3</v>
      </c>
      <c r="C26" s="35" t="s">
        <v>95</v>
      </c>
      <c r="D26" s="45">
        <f>+D66</f>
        <v>18350</v>
      </c>
      <c r="E26" s="59">
        <f t="shared" si="0"/>
        <v>60660</v>
      </c>
    </row>
    <row r="27" spans="1:5" x14ac:dyDescent="0.3">
      <c r="B27" s="2">
        <v>4</v>
      </c>
      <c r="C27" s="35" t="s">
        <v>96</v>
      </c>
      <c r="D27" s="45">
        <f>+D95</f>
        <v>18020</v>
      </c>
      <c r="E27" s="59">
        <f t="shared" si="0"/>
        <v>59570</v>
      </c>
    </row>
    <row r="28" spans="1:5" x14ac:dyDescent="0.3">
      <c r="B28" s="2">
        <v>5</v>
      </c>
      <c r="C28" s="35" t="s">
        <v>97</v>
      </c>
      <c r="D28" s="45">
        <f>+D119</f>
        <v>142970</v>
      </c>
      <c r="E28" s="59">
        <f t="shared" si="0"/>
        <v>472630</v>
      </c>
    </row>
    <row r="29" spans="1:5" x14ac:dyDescent="0.3">
      <c r="B29" s="2">
        <v>6</v>
      </c>
      <c r="C29" s="35" t="s">
        <v>98</v>
      </c>
      <c r="D29" s="45">
        <f>+D133</f>
        <v>50660</v>
      </c>
      <c r="E29" s="59">
        <f t="shared" si="0"/>
        <v>167470</v>
      </c>
    </row>
    <row r="30" spans="1:5" x14ac:dyDescent="0.3">
      <c r="B30" s="2">
        <v>7</v>
      </c>
      <c r="C30" s="35" t="s">
        <v>99</v>
      </c>
      <c r="D30" s="45">
        <f>+D146</f>
        <v>66850</v>
      </c>
      <c r="E30" s="59">
        <f t="shared" si="0"/>
        <v>220990</v>
      </c>
    </row>
    <row r="31" spans="1:5" x14ac:dyDescent="0.3">
      <c r="B31" s="2">
        <v>8</v>
      </c>
      <c r="C31" s="35" t="s">
        <v>100</v>
      </c>
      <c r="D31" s="45">
        <f>+D154</f>
        <v>58830</v>
      </c>
      <c r="E31" s="59">
        <f t="shared" si="0"/>
        <v>194480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255600</v>
      </c>
      <c r="E33" s="60">
        <f t="shared" si="0"/>
        <v>844960</v>
      </c>
    </row>
    <row r="34" spans="1:7" x14ac:dyDescent="0.3">
      <c r="C34" s="35" t="s">
        <v>112</v>
      </c>
      <c r="D34" s="44">
        <f>SUM(D24:D33)</f>
        <v>1185070</v>
      </c>
      <c r="E34" s="44">
        <f>SUM(E24:E33)</f>
        <v>3917590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TRUNC(17986,-1)</f>
        <v>17980</v>
      </c>
      <c r="E40" s="62">
        <f t="shared" ref="E40:E59" si="1">TRUNC(+D40*3.3058,-1)</f>
        <v>59430</v>
      </c>
    </row>
    <row r="41" spans="1:7" x14ac:dyDescent="0.3">
      <c r="A41" s="2">
        <v>2</v>
      </c>
      <c r="C41" s="38" t="s">
        <v>13</v>
      </c>
      <c r="D41" s="42">
        <f>TRUNC(28751,-1)</f>
        <v>28750</v>
      </c>
      <c r="E41" s="63">
        <f t="shared" si="1"/>
        <v>95040</v>
      </c>
    </row>
    <row r="42" spans="1:7" x14ac:dyDescent="0.3">
      <c r="A42" s="2">
        <v>3</v>
      </c>
      <c r="C42" s="38" t="s">
        <v>14</v>
      </c>
      <c r="D42" s="42">
        <f>TRUNC(133037,-1)</f>
        <v>133030</v>
      </c>
      <c r="E42" s="63">
        <f t="shared" si="1"/>
        <v>439770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f>TRUNC(12757,-1)</f>
        <v>12750</v>
      </c>
      <c r="E44" s="63">
        <f t="shared" si="1"/>
        <v>42140</v>
      </c>
    </row>
    <row r="45" spans="1:7" x14ac:dyDescent="0.3">
      <c r="A45" s="2">
        <v>6</v>
      </c>
      <c r="C45" s="38" t="s">
        <v>18</v>
      </c>
      <c r="D45" s="42">
        <f>TRUNC(3804,-1)</f>
        <v>3800</v>
      </c>
      <c r="E45" s="63">
        <f t="shared" si="1"/>
        <v>12560</v>
      </c>
    </row>
    <row r="46" spans="1:7" x14ac:dyDescent="0.3">
      <c r="A46" s="2">
        <v>7</v>
      </c>
      <c r="C46" s="38" t="s">
        <v>19</v>
      </c>
      <c r="D46" s="42">
        <f>TRUNC(1628,-1)</f>
        <v>1620</v>
      </c>
      <c r="E46" s="63">
        <f t="shared" si="1"/>
        <v>5350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TRUNC(147407,-1)</f>
        <v>147400</v>
      </c>
      <c r="E48" s="63">
        <f t="shared" si="1"/>
        <v>487270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TRUNC(8532,-1)</f>
        <v>8530</v>
      </c>
      <c r="E49" s="63">
        <f t="shared" si="1"/>
        <v>28190</v>
      </c>
    </row>
    <row r="50" spans="1:7" x14ac:dyDescent="0.3">
      <c r="A50" s="2">
        <v>11</v>
      </c>
      <c r="C50" s="38" t="s">
        <v>155</v>
      </c>
      <c r="D50" s="42">
        <f>TRUNC(43963,-1)</f>
        <v>43960</v>
      </c>
      <c r="E50" s="63">
        <f t="shared" si="1"/>
        <v>145320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TRUNC(1609,-1)</f>
        <v>1600</v>
      </c>
      <c r="E52" s="63">
        <f t="shared" si="1"/>
        <v>5280</v>
      </c>
    </row>
    <row r="53" spans="1:7" x14ac:dyDescent="0.3">
      <c r="A53" s="2">
        <v>14</v>
      </c>
      <c r="C53" s="38" t="s">
        <v>25</v>
      </c>
      <c r="D53" s="42">
        <f>TRUNC(18807,-1)</f>
        <v>18800</v>
      </c>
      <c r="E53" s="63">
        <f t="shared" si="1"/>
        <v>62140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TRUNC(10588+3167-203+26761,-1)</f>
        <v>40310</v>
      </c>
      <c r="E58" s="63">
        <f t="shared" si="1"/>
        <v>133250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115260</v>
      </c>
      <c r="E59" s="64">
        <f t="shared" si="1"/>
        <v>381020</v>
      </c>
    </row>
    <row r="60" spans="1:7" x14ac:dyDescent="0.3">
      <c r="A60" s="2">
        <v>21</v>
      </c>
      <c r="C60" s="27" t="s">
        <v>112</v>
      </c>
      <c r="D60" s="39">
        <f>SUM(D40:D59)</f>
        <v>573790</v>
      </c>
      <c r="E60" s="39">
        <f>SUM(E40:E59)</f>
        <v>1896760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TRUNC(18352,-1)</f>
        <v>18350</v>
      </c>
      <c r="E63" s="62">
        <f>TRUNC(+D63*3.3058,-1)</f>
        <v>60660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18350</v>
      </c>
      <c r="E66" s="65">
        <f>SUM(E63:E65)</f>
        <v>60660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TRUNC(2167,-1)</f>
        <v>2160</v>
      </c>
      <c r="E69" s="62">
        <f t="shared" ref="E69:E94" si="2">TRUNC(+D69*3.3058,-1)</f>
        <v>7140</v>
      </c>
    </row>
    <row r="70" spans="1:7" ht="16.5" customHeight="1" x14ac:dyDescent="0.3">
      <c r="A70" s="2">
        <v>2</v>
      </c>
      <c r="C70" s="38" t="s">
        <v>31</v>
      </c>
      <c r="D70" s="42">
        <f>TRUNC(253,-1)</f>
        <v>250</v>
      </c>
      <c r="E70" s="63">
        <f t="shared" si="2"/>
        <v>820</v>
      </c>
    </row>
    <row r="71" spans="1:7" x14ac:dyDescent="0.3">
      <c r="A71" s="2">
        <v>3</v>
      </c>
      <c r="C71" s="38" t="s">
        <v>32</v>
      </c>
      <c r="D71" s="42">
        <f>TRUNC(1616,-1)</f>
        <v>1610</v>
      </c>
      <c r="E71" s="63">
        <f t="shared" si="2"/>
        <v>5320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1160</v>
      </c>
      <c r="E73" s="63">
        <f t="shared" si="2"/>
        <v>3830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TRUNC(1324,-1)</f>
        <v>1320</v>
      </c>
      <c r="E89" s="63">
        <f t="shared" si="2"/>
        <v>4360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TRUNC(1847,-1)</f>
        <v>1840</v>
      </c>
      <c r="E91" s="63">
        <f t="shared" si="2"/>
        <v>6080</v>
      </c>
    </row>
    <row r="92" spans="1:7" x14ac:dyDescent="0.3">
      <c r="A92" s="2">
        <v>24</v>
      </c>
      <c r="C92" s="38" t="s">
        <v>38</v>
      </c>
      <c r="D92" s="42">
        <f>TRUNC(1105,-1)</f>
        <v>1100</v>
      </c>
      <c r="E92" s="63">
        <f t="shared" si="2"/>
        <v>3630</v>
      </c>
    </row>
    <row r="93" spans="1:7" x14ac:dyDescent="0.3">
      <c r="A93" s="2">
        <v>25</v>
      </c>
      <c r="C93" s="38" t="s">
        <v>148</v>
      </c>
      <c r="D93" s="42">
        <f>TRUNC(8045,-1)</f>
        <v>8040</v>
      </c>
      <c r="E93" s="63">
        <f t="shared" si="2"/>
        <v>26570</v>
      </c>
    </row>
    <row r="94" spans="1:7" ht="17.25" thickBot="1" x14ac:dyDescent="0.35">
      <c r="A94" s="2">
        <v>26</v>
      </c>
      <c r="C94" s="38" t="s">
        <v>47</v>
      </c>
      <c r="D94" s="43">
        <f>TRUNC(549,-1)</f>
        <v>540</v>
      </c>
      <c r="E94" s="64">
        <f t="shared" si="2"/>
        <v>1780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18020</v>
      </c>
      <c r="E95" s="39">
        <f>SUM(E69:E94)</f>
        <v>59530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TRUNC(17778,-1)</f>
        <v>17770</v>
      </c>
      <c r="E98" s="62">
        <f t="shared" ref="E98:E118" si="3">TRUNC(+D98*3.3058,-1)</f>
        <v>58740</v>
      </c>
    </row>
    <row r="99" spans="1:7" x14ac:dyDescent="0.3">
      <c r="A99" s="2">
        <v>2</v>
      </c>
      <c r="C99" s="38" t="s">
        <v>40</v>
      </c>
      <c r="D99" s="42">
        <f>TRUNC(5492,-1)</f>
        <v>5490</v>
      </c>
      <c r="E99" s="63">
        <f t="shared" si="3"/>
        <v>18140</v>
      </c>
    </row>
    <row r="100" spans="1:7" x14ac:dyDescent="0.3">
      <c r="A100" s="2">
        <v>3</v>
      </c>
      <c r="C100" s="38" t="s">
        <v>41</v>
      </c>
      <c r="D100" s="42">
        <f>TRUNC(15761,-1)</f>
        <v>15760</v>
      </c>
      <c r="E100" s="63">
        <f t="shared" si="3"/>
        <v>52090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TRUNC(11627,-1)</f>
        <v>11620</v>
      </c>
      <c r="E102" s="63">
        <f t="shared" si="3"/>
        <v>38410</v>
      </c>
    </row>
    <row r="103" spans="1:7" x14ac:dyDescent="0.3">
      <c r="A103" s="2">
        <v>6</v>
      </c>
      <c r="C103" s="38" t="s">
        <v>44</v>
      </c>
      <c r="D103" s="42">
        <f>TRUNC(1067,-1)</f>
        <v>1060</v>
      </c>
      <c r="E103" s="63">
        <f t="shared" si="3"/>
        <v>3500</v>
      </c>
    </row>
    <row r="104" spans="1:7" x14ac:dyDescent="0.3">
      <c r="A104" s="2">
        <v>7</v>
      </c>
      <c r="C104" s="38" t="s">
        <v>45</v>
      </c>
      <c r="D104" s="42">
        <v>6120</v>
      </c>
      <c r="E104" s="63">
        <f t="shared" si="3"/>
        <v>20230</v>
      </c>
    </row>
    <row r="105" spans="1:7" x14ac:dyDescent="0.3">
      <c r="A105" s="2">
        <v>8</v>
      </c>
      <c r="C105" s="38" t="s">
        <v>46</v>
      </c>
      <c r="D105" s="42">
        <f>TRUNC(6454,-1)</f>
        <v>6450</v>
      </c>
      <c r="E105" s="63">
        <f t="shared" si="3"/>
        <v>21320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TRUNC(2936,-1)</f>
        <v>2930</v>
      </c>
      <c r="E114" s="63">
        <f t="shared" si="3"/>
        <v>9680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TRUNC(3352,-1)</f>
        <v>3350</v>
      </c>
      <c r="E116" s="63">
        <f t="shared" si="3"/>
        <v>11070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TRUNC(72426,-1)</f>
        <v>72420</v>
      </c>
      <c r="E117" s="63">
        <f t="shared" si="3"/>
        <v>239400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142970</v>
      </c>
      <c r="E119" s="39">
        <f>SUM(E98:E118)</f>
        <v>472580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TRUNC(1861,-1)</f>
        <v>1860</v>
      </c>
      <c r="E122" s="62">
        <f t="shared" ref="E122:E132" si="4">TRUNC(+D122*3.3058,-1)</f>
        <v>6140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TRUNC(6516,-1)</f>
        <v>6510</v>
      </c>
      <c r="E125" s="63">
        <f t="shared" si="4"/>
        <v>21520</v>
      </c>
    </row>
    <row r="126" spans="1:7" x14ac:dyDescent="0.3">
      <c r="A126" s="2">
        <v>5</v>
      </c>
      <c r="C126" s="38" t="s">
        <v>53</v>
      </c>
      <c r="D126" s="42">
        <f>TRUNC(5387,-1)</f>
        <v>5380</v>
      </c>
      <c r="E126" s="63">
        <f t="shared" si="4"/>
        <v>17780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TRUNC(2602,-1)</f>
        <v>2600</v>
      </c>
      <c r="E128" s="63">
        <f t="shared" si="4"/>
        <v>8590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TRUNC(6693,-1)</f>
        <v>6690</v>
      </c>
      <c r="E130" s="63">
        <f t="shared" si="4"/>
        <v>22110</v>
      </c>
    </row>
    <row r="131" spans="1:7" x14ac:dyDescent="0.3">
      <c r="A131" s="2">
        <v>10</v>
      </c>
      <c r="C131" s="38" t="s">
        <v>148</v>
      </c>
      <c r="D131" s="42">
        <f>TRUNC(24133,-1)</f>
        <v>24130</v>
      </c>
      <c r="E131" s="63">
        <f t="shared" si="4"/>
        <v>79760</v>
      </c>
    </row>
    <row r="132" spans="1:7" ht="18" thickBot="1" x14ac:dyDescent="0.35">
      <c r="A132" s="2">
        <v>11</v>
      </c>
      <c r="C132" s="38" t="s">
        <v>47</v>
      </c>
      <c r="D132" s="43">
        <f>TRUNC(3497,-1)</f>
        <v>3490</v>
      </c>
      <c r="E132" s="64">
        <f t="shared" si="4"/>
        <v>11530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50660</v>
      </c>
      <c r="E133" s="39">
        <f>SUM(E122:E132)</f>
        <v>167430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TRUNC(4805,-1)</f>
        <v>4800</v>
      </c>
      <c r="E137" s="63">
        <f t="shared" si="5"/>
        <v>15860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3100</v>
      </c>
      <c r="E139" s="63">
        <f t="shared" si="5"/>
        <v>10240</v>
      </c>
    </row>
    <row r="140" spans="1:7" x14ac:dyDescent="0.3">
      <c r="A140" s="2">
        <v>5</v>
      </c>
      <c r="C140" s="38" t="s">
        <v>57</v>
      </c>
      <c r="D140" s="42">
        <f>TRUNC(6458,-1)</f>
        <v>6450</v>
      </c>
      <c r="E140" s="63">
        <f t="shared" si="5"/>
        <v>21320</v>
      </c>
    </row>
    <row r="141" spans="1:7" x14ac:dyDescent="0.3">
      <c r="A141" s="2">
        <v>6</v>
      </c>
      <c r="C141" s="38" t="s">
        <v>59</v>
      </c>
      <c r="D141" s="42">
        <f>TRUNC(21776,-1)</f>
        <v>21770</v>
      </c>
      <c r="E141" s="63">
        <f t="shared" si="5"/>
        <v>71960</v>
      </c>
    </row>
    <row r="142" spans="1:7" x14ac:dyDescent="0.3">
      <c r="A142" s="2">
        <v>7</v>
      </c>
      <c r="C142" s="38" t="s">
        <v>58</v>
      </c>
      <c r="D142" s="42">
        <f>TRUNC(3085,-1)</f>
        <v>3080</v>
      </c>
      <c r="E142" s="63">
        <f t="shared" si="5"/>
        <v>10180</v>
      </c>
    </row>
    <row r="143" spans="1:7" x14ac:dyDescent="0.3">
      <c r="A143" s="2">
        <v>8</v>
      </c>
      <c r="C143" s="38" t="s">
        <v>62</v>
      </c>
      <c r="D143" s="42">
        <f>TRUNC(4456,-1)</f>
        <v>4450</v>
      </c>
      <c r="E143" s="63">
        <f t="shared" si="5"/>
        <v>14710</v>
      </c>
    </row>
    <row r="144" spans="1:7" x14ac:dyDescent="0.3">
      <c r="A144" s="2">
        <v>9</v>
      </c>
      <c r="C144" s="38" t="s">
        <v>63</v>
      </c>
      <c r="D144" s="42">
        <f>TRUNC(21682,-1)</f>
        <v>21680</v>
      </c>
      <c r="E144" s="63">
        <f t="shared" si="5"/>
        <v>71660</v>
      </c>
    </row>
    <row r="145" spans="1:7" ht="17.25" thickBot="1" x14ac:dyDescent="0.35">
      <c r="A145" s="2">
        <v>10</v>
      </c>
      <c r="C145" s="38" t="s">
        <v>148</v>
      </c>
      <c r="D145" s="43">
        <f>TRUNC(1526,-1)</f>
        <v>1520</v>
      </c>
      <c r="E145" s="64">
        <f t="shared" si="5"/>
        <v>5020</v>
      </c>
    </row>
    <row r="146" spans="1:7" x14ac:dyDescent="0.3">
      <c r="A146" s="2">
        <v>11</v>
      </c>
      <c r="C146" s="27" t="s">
        <v>112</v>
      </c>
      <c r="D146" s="39">
        <f>SUM(D136:D145)</f>
        <v>66850</v>
      </c>
      <c r="E146" s="39">
        <f>SUM(E136:E145)</f>
        <v>220950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TRUNC(4930+84,-1)</f>
        <v>5010</v>
      </c>
      <c r="E149" s="62">
        <f>TRUNC(+D149*3.3058,-1)</f>
        <v>16560</v>
      </c>
    </row>
    <row r="150" spans="1:7" x14ac:dyDescent="0.3">
      <c r="A150" s="2">
        <v>2</v>
      </c>
      <c r="C150" s="38" t="s">
        <v>49</v>
      </c>
      <c r="D150" s="42">
        <f>TRUNC(2814,-1)</f>
        <v>2810</v>
      </c>
      <c r="E150" s="63">
        <f>TRUNC(+D150*3.3058,-1)</f>
        <v>9280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123+5089+3544+1074</f>
        <v>9830</v>
      </c>
      <c r="E152" s="63">
        <f>TRUNC(+D152*3.3058,-1)</f>
        <v>32490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TRUNC(41183,-1)</f>
        <v>41180</v>
      </c>
      <c r="E153" s="64">
        <f>TRUNC(+D153*3.3058,-1)</f>
        <v>136130</v>
      </c>
    </row>
    <row r="154" spans="1:7" x14ac:dyDescent="0.3">
      <c r="A154" s="2">
        <v>6</v>
      </c>
      <c r="C154" s="27" t="s">
        <v>112</v>
      </c>
      <c r="D154" s="39">
        <f>SUM(D149:D153)</f>
        <v>58830</v>
      </c>
      <c r="E154" s="39">
        <f>SUM(E149:E153)</f>
        <v>194460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2020-12-08T04:06:41Z</dcterms:modified>
</cp:coreProperties>
</file>