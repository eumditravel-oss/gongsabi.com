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60" i="4"/>
  <c r="D159" i="4"/>
  <c r="D158" i="4"/>
  <c r="D157" i="4"/>
  <c r="D152" i="4"/>
  <c r="D151" i="4"/>
  <c r="D150" i="4"/>
  <c r="D149" i="4"/>
  <c r="D137" i="4"/>
  <c r="D144" i="4"/>
  <c r="D143" i="4"/>
  <c r="D139" i="4"/>
  <c r="D141" i="4"/>
  <c r="D142" i="4"/>
  <c r="D140" i="4"/>
  <c r="D132" i="4"/>
  <c r="D128" i="4"/>
  <c r="D127" i="4"/>
  <c r="D124" i="4"/>
  <c r="D125" i="4"/>
  <c r="D118" i="4"/>
  <c r="D130" i="4"/>
  <c r="D105" i="4"/>
  <c r="D104" i="4"/>
  <c r="D102" i="4"/>
  <c r="D101" i="4"/>
  <c r="D100" i="4"/>
  <c r="D99" i="4"/>
  <c r="D114" i="4"/>
  <c r="D98" i="4"/>
  <c r="D116" i="4"/>
  <c r="D94" i="4"/>
  <c r="D75" i="4"/>
  <c r="D92" i="4"/>
  <c r="D91" i="4"/>
  <c r="D89" i="4"/>
  <c r="D73" i="4"/>
  <c r="D72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<sst xmlns="http://schemas.openxmlformats.org/spreadsheetml/2006/main" count="394" uniqueCount="267">
  <si>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</si>
  <si>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</si>
  <si>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</si>
  <si>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</si>
  <si>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</si>
  <si>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</si>
  <si>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</si>
  <si>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</si>
  <si>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</si>
  <si>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</si>
  <si>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</si>
  <si>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</si>
  <si>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</si>
  <si>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</si>
  <si>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</si>
  <si>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</si>
  <si>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</si>
  <si>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</si>
  <si>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</si>
  <si>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</si>
  <si>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</si>
  <si>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</si>
  <si>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</si>
  <si>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</si>
  <si>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</si>
  <si>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</si>
  <si>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</si>
  <si>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</si>
  <si>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</si>
  <si>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</si>
  <si>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</si>
  <si>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</si>
  <si>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</si>
  <si>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</si>
  <si>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</si>
  <si>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</si>
  <si>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</si>
  <si>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</si>
  <si>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</si>
  <si>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</si>
  <si>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</si>
  <si>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</si>
  <si>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</si>
  <si>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</si>
  <si>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</si>
  <si>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</si>
  <si>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</si>
  <si>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</si>
  <si>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</si>
  <si>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</si>
  <si>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</si>
  <si>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</si>
  <si>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</si>
  <si>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</si>
  <si>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</si>
  <si>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</si>
  <si>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</si>
  <si>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</si>
  <si>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</si>
  <si>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</si>
  <si>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</si>
  <si>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</si>
  <si>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</si>
  <si>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</si>
  <si>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</si>
  <si>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</si>
  <si>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</si>
  <si>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</si>
  <si>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</si>
  <si>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</si>
  <si>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</si>
  <si>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</si>
  <si>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</si>
  <si>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</si>
  <si>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</si>
  <si>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</si>
  <si>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</si>
  <si>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</si>
  <si>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</si>
  <si>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</si>
  <si>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</si>
  <si>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</si>
  <si>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</si>
  <si>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</si>
  <si>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</si>
  <si>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</si>
  <si>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</si>
  <si>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</si>
  <si>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</si>
  <si>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</si>
  <si>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</si>
  <si>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</si>
  <si>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</si>
  <si>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</si>
  <si>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</si>
  <si>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</si>
  <si>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</si>
  <si>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</si>
  <si>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</si>
  <si>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</si>
  <si>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</si>
  <si>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</si>
  <si>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</si>
  <si>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</si>
  <si>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</si>
  <si>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</si>
  <si>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</si>
  <si>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</si>
  <si>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</si>
  <si>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</si>
  <si>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</si>
  <si>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</si>
  <si>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</si>
  <si>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</si>
  <si>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</si>
  <si>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</si>
  <si>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</si>
  <si>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</si>
  <si>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</si>
  <si>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</si>
  <si>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</si>
  <si>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</si>
  <si>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</si>
  <si>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</si>
  <si>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</si>
  <si>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</si>
  <si>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</si>
  <si>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</si>
  <si>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</si>
  <si>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</si>
  <si>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</si>
  <si>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</si>
  <si>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</si>
  <si>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</si>
  <si>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</si>
  <si>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</si>
  <si>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</si>
  <si>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</si>
  <si>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</si>
  <si>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</si>
  <si>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</si>
  <si>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</si>
  <si>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</si>
  <si>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</si>
  <si>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</si>
  <si>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</si>
  <si>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</si>
  <si>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</si>
  <si>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</si>
  <si>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</si>
  <si>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</si>
  <si>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</si>
  <si>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</si>
  <si>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</si>
  <si>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</si>
  <si>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</si>
  <si>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</si>
  <si>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</si>
  <si>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</si>
  <si>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</si>
  <si>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</si>
  <si>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</si>
  <si>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</si>
  <si>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</si>
  <si>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</si>
  <si>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</si>
  <si>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</si>
  <si>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</si>
  <si>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</si>
  <si>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</si>
  <si>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</si>
  <si>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</si>
  <si>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</si>
  <si>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</si>
  <si>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</si>
  <si>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</si>
  <si>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</si>
  <si>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</si>
  <si>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</si>
  <si>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</si>
  <si>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</si>
  <si>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</si>
  <si>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</si>
  <si>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</si>
  <si>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</si>
  <si>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</si>
  <si>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</si>
  <si>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</si>
  <si>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</si>
  <si>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</si>
  <si>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</si>
  <si>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</si>
  <si>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</si>
  <si>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</si>
  <si>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</si>
  <si>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</si>
  <si>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</si>
  <si>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</si>
  <si>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</si>
  <si>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</si>
  <si>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</si>
  <si>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</si>
  <si>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</si>
  <si>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</si>
  <si>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</si>
  <si>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</si>
  <si>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</si>
  <si>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</si>
  <si>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</si>
  <si>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</si>
  <si>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</si>
  <si>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</si>
  <si>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</si>
  <si>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</si>
  <si>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</si>
  <si>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</si>
  <si>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</si>
  <si>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</si>
  <si>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</si>
  <si>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</si>
  <si>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</si>
  <si>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</si>
  <si>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</si>
  <si>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</si>
  <si>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</si>
  <si>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</si>
  <si>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</si>
  <si>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</si>
  <si>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</si>
  <si>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</si>
  <si>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</si>
  <si>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</si>
  <si>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</si>
  <si>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</si>
  <si>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</si>
  <si>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</si>
  <si>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</si>
  <si>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</si>
  <si>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</si>
  <si>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</si>
  <si>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</si>
  <si>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</si>
  <si>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</si>
  <si>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</si>
  <si>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</si>
  <si>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</si>
  <si>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</si>
  <si>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</si>
  <si>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국립세계문자박물관 건축공사</t>
    <phoneticPr fontId="2" type="noConversion"/>
  </si>
  <si>
    <t>문화및집회</t>
  </si>
  <si>
    <t>인천시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</si>
  <si>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</si>
  <si>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</si>
  <si>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</si>
  <si>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</si>
  <si>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</si>
  <si>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기초공사,골재비및운반비,작업부산물,품질시험비.기타공사</t>
    <phoneticPr fontId="2" type="noConversion"/>
  </si>
  <si>
    <t>공조배관공사,우수처리시설공사,기타공사</t>
    <phoneticPr fontId="2" type="noConversion"/>
  </si>
  <si>
    <t>원격검침설비공사,기타공사</t>
    <phoneticPr fontId="2" type="noConversion"/>
  </si>
  <si>
    <t>CCTV설비공사,주차관제설비공사,기타공사</t>
    <phoneticPr fontId="2" type="noConversion"/>
  </si>
  <si>
    <t>옥외소화배관공사,펌프실배관공사,무선통신보조설비공사,기타공사</t>
    <phoneticPr fontId="2" type="noConversion"/>
  </si>
  <si>
    <t>상수도공사,사급자재비,운반비,기타공사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</si>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</sst>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15650</v>
      </c>
      <c r="D7" s="36">
        <f>+C7/3.3058</f>
        <v>4734.1036965333651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998700</v>
      </c>
      <c r="E25" s="59">
        <f t="shared" si="0"/>
        <v>3301500</v>
      </c>
    </row>
    <row r="26" spans="1:5" x14ac:dyDescent="0.3">
      <c r="B26" s="2">
        <v>3</v>
      </c>
      <c r="C26" s="35" t="s">
        <v>95</v>
      </c>
      <c r="D26" s="45">
        <f>+D66</f>
        <v>134870</v>
      </c>
      <c r="E26" s="59">
        <f t="shared" si="0"/>
        <v>445850</v>
      </c>
    </row>
    <row r="27" spans="1:5" x14ac:dyDescent="0.3">
      <c r="B27" s="2">
        <v>4</v>
      </c>
      <c r="C27" s="35" t="s">
        <v>96</v>
      </c>
      <c r="D27" s="45">
        <f>+D95</f>
        <v>434410</v>
      </c>
      <c r="E27" s="59">
        <f t="shared" si="0"/>
        <v>1436070</v>
      </c>
    </row>
    <row r="28" spans="1:5" x14ac:dyDescent="0.3">
      <c r="B28" s="2">
        <v>5</v>
      </c>
      <c r="C28" s="35" t="s">
        <v>97</v>
      </c>
      <c r="D28" s="45">
        <f>+D119</f>
        <v>237780</v>
      </c>
      <c r="E28" s="59">
        <f t="shared" si="0"/>
        <v>786050</v>
      </c>
    </row>
    <row r="29" spans="1:5" x14ac:dyDescent="0.3">
      <c r="B29" s="2">
        <v>6</v>
      </c>
      <c r="C29" s="35" t="s">
        <v>98</v>
      </c>
      <c r="D29" s="45">
        <f>+D133</f>
        <v>98600</v>
      </c>
      <c r="E29" s="59">
        <f t="shared" si="0"/>
        <v>325950</v>
      </c>
    </row>
    <row r="30" spans="1:5" x14ac:dyDescent="0.3">
      <c r="B30" s="2">
        <v>7</v>
      </c>
      <c r="C30" s="35" t="s">
        <v>99</v>
      </c>
      <c r="D30" s="45">
        <f>+D146</f>
        <v>104790</v>
      </c>
      <c r="E30" s="59">
        <f t="shared" si="0"/>
        <v>346410</v>
      </c>
    </row>
    <row r="31" spans="1:5" x14ac:dyDescent="0.3">
      <c r="B31" s="2">
        <v>8</v>
      </c>
      <c r="C31" s="35" t="s">
        <v>100</v>
      </c>
      <c r="D31" s="45">
        <f>+D154</f>
        <v>185090</v>
      </c>
      <c r="E31" s="59">
        <f t="shared" si="0"/>
        <v>611870</v>
      </c>
    </row>
    <row r="32" spans="1:5" x14ac:dyDescent="0.3">
      <c r="B32" s="2">
        <v>9</v>
      </c>
      <c r="C32" s="35" t="s">
        <v>101</v>
      </c>
      <c r="D32" s="45">
        <f>+D161</f>
        <v>89130</v>
      </c>
      <c r="E32" s="59">
        <f t="shared" si="0"/>
        <v>294640</v>
      </c>
    </row>
    <row r="33" spans="1:7" x14ac:dyDescent="0.3">
      <c r="B33" s="2">
        <v>10</v>
      </c>
      <c r="C33" s="35" t="s">
        <v>154</v>
      </c>
      <c r="D33" s="53">
        <f>TRUNC(SUM(D24:D32)*0.275,-1)</f>
        <v>627920</v>
      </c>
      <c r="E33" s="60">
        <f t="shared" si="0"/>
        <v>2075770</v>
      </c>
    </row>
    <row r="34" spans="1:7" x14ac:dyDescent="0.3">
      <c r="C34" s="35" t="s">
        <v>112</v>
      </c>
      <c r="D34" s="44">
        <f>SUM(D24:D33)</f>
        <v>2911290</v>
      </c>
      <c r="E34" s="44">
        <f>SUM(E24:E33)</f>
        <v>9624110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238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TRUNC(62123,-1)</f>
        <v>62120</v>
      </c>
      <c r="E40" s="62">
        <f t="shared" ref="E40:E59" si="1">TRUNC(+D40*3.3058,-1)</f>
        <v>205350</v>
      </c>
    </row>
    <row r="41" spans="1:7" x14ac:dyDescent="0.3">
      <c r="A41" s="2">
        <v>2</v>
      </c>
      <c r="C41" s="38" t="s">
        <v>13</v>
      </c>
      <c r="D41" s="42">
        <f>TRUNC(203537,-1)</f>
        <v>203530</v>
      </c>
      <c r="E41" s="63">
        <f t="shared" si="1"/>
        <v>672820</v>
      </c>
    </row>
    <row r="42" spans="1:7" x14ac:dyDescent="0.3">
      <c r="A42" s="2">
        <v>3</v>
      </c>
      <c r="C42" s="38" t="s">
        <v>14</v>
      </c>
      <c r="D42" s="42">
        <f>TRUNC(10006,-1)</f>
        <v>10000</v>
      </c>
      <c r="E42" s="63">
        <f t="shared" si="1"/>
        <v>33050</v>
      </c>
    </row>
    <row r="43" spans="1:7" x14ac:dyDescent="0.3">
      <c r="A43" s="2">
        <v>4</v>
      </c>
      <c r="C43" s="38" t="s">
        <v>16</v>
      </c>
      <c r="D43" s="42">
        <f>TRUNC(33705,-1)</f>
        <v>33700</v>
      </c>
      <c r="E43" s="63">
        <f t="shared" si="1"/>
        <v>111400</v>
      </c>
    </row>
    <row r="44" spans="1:7" x14ac:dyDescent="0.3">
      <c r="A44" s="2">
        <v>5</v>
      </c>
      <c r="C44" s="38" t="s">
        <v>17</v>
      </c>
      <c r="D44" s="42">
        <f>TRUNC(57375,-1)</f>
        <v>57370</v>
      </c>
      <c r="E44" s="63">
        <f t="shared" si="1"/>
        <v>189650</v>
      </c>
    </row>
    <row r="45" spans="1:7" x14ac:dyDescent="0.3">
      <c r="A45" s="2">
        <v>6</v>
      </c>
      <c r="C45" s="38" t="s">
        <v>18</v>
      </c>
      <c r="D45" s="42">
        <f>TRUNC(3275,-1)</f>
        <v>3270</v>
      </c>
      <c r="E45" s="63">
        <f t="shared" si="1"/>
        <v>10800</v>
      </c>
    </row>
    <row r="46" spans="1:7" x14ac:dyDescent="0.3">
      <c r="A46" s="2">
        <v>7</v>
      </c>
      <c r="C46" s="38" t="s">
        <v>19</v>
      </c>
      <c r="D46" s="42">
        <f>TRUNC(13171,-1)</f>
        <v>13170</v>
      </c>
      <c r="E46" s="63">
        <f t="shared" si="1"/>
        <v>43530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TRUNC(57806,-1)</f>
        <v>57800</v>
      </c>
      <c r="E48" s="63">
        <f t="shared" si="1"/>
        <v>191070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TRUNC(20743,-1)</f>
        <v>20740</v>
      </c>
      <c r="E49" s="63">
        <f t="shared" si="1"/>
        <v>68560</v>
      </c>
    </row>
    <row r="50" spans="1:7" x14ac:dyDescent="0.3">
      <c r="A50" s="2">
        <v>11</v>
      </c>
      <c r="C50" s="38" t="s">
        <v>155</v>
      </c>
      <c r="D50" s="42">
        <f>TRUNC(29513,-1)</f>
        <v>29510</v>
      </c>
      <c r="E50" s="63">
        <f t="shared" si="1"/>
        <v>97550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TRUNC(12360,-1)</f>
        <v>12360</v>
      </c>
      <c r="E52" s="63">
        <f t="shared" si="1"/>
        <v>40850</v>
      </c>
    </row>
    <row r="53" spans="1:7" x14ac:dyDescent="0.3">
      <c r="A53" s="2">
        <v>14</v>
      </c>
      <c r="C53" s="38" t="s">
        <v>25</v>
      </c>
      <c r="D53" s="42">
        <f>TRUNC(104921,-1)</f>
        <v>104920</v>
      </c>
      <c r="E53" s="63">
        <f t="shared" si="1"/>
        <v>346840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TRUNC(83175+8689-901+2192+7546,-1)</f>
        <v>100700</v>
      </c>
      <c r="E58" s="63">
        <f t="shared" si="1"/>
        <v>332890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f>TRUNC(289511,-1)</f>
        <v>289510</v>
      </c>
      <c r="E59" s="64">
        <f t="shared" si="1"/>
        <v>957060</v>
      </c>
    </row>
    <row r="60" spans="1:7" x14ac:dyDescent="0.3">
      <c r="A60" s="2">
        <v>21</v>
      </c>
      <c r="C60" s="27" t="s">
        <v>112</v>
      </c>
      <c r="D60" s="39">
        <f>SUM(D40:D59)</f>
        <v>998700</v>
      </c>
      <c r="E60" s="39">
        <f>SUM(E40:E59)</f>
        <v>3301420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TRUNC(12670,-1)</f>
        <v>12670</v>
      </c>
      <c r="E63" s="62">
        <f>TRUNC(+D63*3.3058,-1)</f>
        <v>41880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TRUNC(122200,-1)</f>
        <v>122200</v>
      </c>
      <c r="E65" s="64">
        <f>TRUNC(+D65*3.3058,-1)</f>
        <v>403960</v>
      </c>
    </row>
    <row r="66" spans="1:7" x14ac:dyDescent="0.3">
      <c r="A66" s="2">
        <v>4</v>
      </c>
      <c r="C66" s="27" t="s">
        <v>112</v>
      </c>
      <c r="D66" s="39">
        <f>SUM(D63:D65)</f>
        <v>134870</v>
      </c>
      <c r="E66" s="65">
        <f>SUM(E63:E65)</f>
        <v>445840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TRUNC(32048,-1)</f>
        <v>32040</v>
      </c>
      <c r="E69" s="62">
        <f t="shared" ref="E69:E94" si="2">TRUNC(+D69*3.3058,-1)</f>
        <v>105910</v>
      </c>
    </row>
    <row r="70" spans="1:7" ht="16.5" customHeight="1" x14ac:dyDescent="0.3">
      <c r="A70" s="2">
        <v>2</v>
      </c>
      <c r="C70" s="38" t="s">
        <v>31</v>
      </c>
      <c r="D70" s="42">
        <f>TRUNC(131,-1)</f>
        <v>130</v>
      </c>
      <c r="E70" s="63">
        <f t="shared" si="2"/>
        <v>420</v>
      </c>
    </row>
    <row r="71" spans="1:7" x14ac:dyDescent="0.3">
      <c r="A71" s="2">
        <v>3</v>
      </c>
      <c r="C71" s="38" t="s">
        <v>32</v>
      </c>
      <c r="D71" s="42">
        <f>TRUNC(35804,-1)</f>
        <v>35800</v>
      </c>
      <c r="E71" s="63">
        <f t="shared" si="2"/>
        <v>118340</v>
      </c>
    </row>
    <row r="72" spans="1:7" x14ac:dyDescent="0.3">
      <c r="A72" s="2">
        <v>4</v>
      </c>
      <c r="C72" s="38" t="s">
        <v>33</v>
      </c>
      <c r="D72" s="42">
        <f>TRUNC(703,-1)</f>
        <v>700</v>
      </c>
      <c r="E72" s="63">
        <f t="shared" si="2"/>
        <v>2310</v>
      </c>
    </row>
    <row r="73" spans="1:7" x14ac:dyDescent="0.3">
      <c r="A73" s="2">
        <v>5</v>
      </c>
      <c r="C73" s="38" t="s">
        <v>34</v>
      </c>
      <c r="D73" s="42">
        <f>TRUNC(6666,-1)</f>
        <v>6660</v>
      </c>
      <c r="E73" s="63">
        <f t="shared" si="2"/>
        <v>22010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TRUNC(2846,-1)</f>
        <v>2840</v>
      </c>
      <c r="E75" s="63">
        <f t="shared" si="2"/>
        <v>9380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TRUNC(8915,-1)</f>
        <v>8910</v>
      </c>
      <c r="E89" s="63">
        <f t="shared" si="2"/>
        <v>29450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TRUNC(73086,-1)</f>
        <v>73080</v>
      </c>
      <c r="E91" s="63">
        <f t="shared" si="2"/>
        <v>241580</v>
      </c>
    </row>
    <row r="92" spans="1:7" x14ac:dyDescent="0.3">
      <c r="A92" s="2">
        <v>24</v>
      </c>
      <c r="C92" s="38" t="s">
        <v>38</v>
      </c>
      <c r="D92" s="42">
        <f>TRUNC(1690,-1)</f>
        <v>1690</v>
      </c>
      <c r="E92" s="63">
        <f t="shared" si="2"/>
        <v>5580</v>
      </c>
    </row>
    <row r="93" spans="1:7" x14ac:dyDescent="0.3">
      <c r="A93" s="2">
        <v>25</v>
      </c>
      <c r="C93" s="38" t="s">
        <v>148</v>
      </c>
      <c r="D93" s="42">
        <f>TRUNC(232658,-1)</f>
        <v>232650</v>
      </c>
      <c r="E93" s="63">
        <f t="shared" si="2"/>
        <v>769090</v>
      </c>
    </row>
    <row r="94" spans="1:7" ht="17.25" thickBot="1" x14ac:dyDescent="0.35">
      <c r="A94" s="2">
        <v>26</v>
      </c>
      <c r="C94" s="38" t="s">
        <v>47</v>
      </c>
      <c r="D94" s="43">
        <f>TRUNC(9240+2542+28134,-1)</f>
        <v>39910</v>
      </c>
      <c r="E94" s="64">
        <f t="shared" si="2"/>
        <v>131930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434410</v>
      </c>
      <c r="E95" s="39">
        <f>SUM(E69:E94)</f>
        <v>1436000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TRUNC(17524,-1)</f>
        <v>17520</v>
      </c>
      <c r="E98" s="62">
        <f t="shared" ref="E98:E118" si="3">TRUNC(+D98*3.3058,-1)</f>
        <v>57910</v>
      </c>
    </row>
    <row r="99" spans="1:7" x14ac:dyDescent="0.3">
      <c r="A99" s="2">
        <v>2</v>
      </c>
      <c r="C99" s="38" t="s">
        <v>40</v>
      </c>
      <c r="D99" s="42">
        <f>TRUNC(12025,-1)</f>
        <v>12020</v>
      </c>
      <c r="E99" s="63">
        <f t="shared" si="3"/>
        <v>39730</v>
      </c>
    </row>
    <row r="100" spans="1:7" x14ac:dyDescent="0.3">
      <c r="A100" s="2">
        <v>3</v>
      </c>
      <c r="C100" s="38" t="s">
        <v>41</v>
      </c>
      <c r="D100" s="42">
        <f>TRUNC(25211,-1)</f>
        <v>25210</v>
      </c>
      <c r="E100" s="63">
        <f t="shared" si="3"/>
        <v>83330</v>
      </c>
    </row>
    <row r="101" spans="1:7" x14ac:dyDescent="0.3">
      <c r="A101" s="2">
        <v>4</v>
      </c>
      <c r="C101" s="38" t="s">
        <v>42</v>
      </c>
      <c r="D101" s="42">
        <f>TRUNC(2605,-1)</f>
        <v>2600</v>
      </c>
      <c r="E101" s="63">
        <f t="shared" si="3"/>
        <v>8590</v>
      </c>
    </row>
    <row r="102" spans="1:7" x14ac:dyDescent="0.3">
      <c r="A102" s="2">
        <v>5</v>
      </c>
      <c r="C102" s="38" t="s">
        <v>43</v>
      </c>
      <c r="D102" s="42">
        <f>TRUNC(8629,-1)</f>
        <v>8620</v>
      </c>
      <c r="E102" s="63">
        <f t="shared" si="3"/>
        <v>28490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TRUNC(3734,-1)</f>
        <v>3730</v>
      </c>
      <c r="E104" s="63">
        <f t="shared" si="3"/>
        <v>12330</v>
      </c>
    </row>
    <row r="105" spans="1:7" x14ac:dyDescent="0.3">
      <c r="A105" s="2">
        <v>8</v>
      </c>
      <c r="C105" s="38" t="s">
        <v>46</v>
      </c>
      <c r="D105" s="42">
        <f>TRUNC(6536,-1)</f>
        <v>6530</v>
      </c>
      <c r="E105" s="63">
        <f t="shared" si="3"/>
        <v>21580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TRUNC(6647,-1)</f>
        <v>6640</v>
      </c>
      <c r="E114" s="63">
        <f t="shared" si="3"/>
        <v>21950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TRUNC(3274,-1)</f>
        <v>3270</v>
      </c>
      <c r="E116" s="63">
        <f t="shared" si="3"/>
        <v>10800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TRUNC(150350,-1)</f>
        <v>150350</v>
      </c>
      <c r="E117" s="63">
        <f t="shared" si="3"/>
        <v>497020</v>
      </c>
    </row>
    <row r="118" spans="1:7" ht="17.25" thickBot="1" x14ac:dyDescent="0.35">
      <c r="A118" s="2">
        <v>21</v>
      </c>
      <c r="C118" s="38" t="s">
        <v>47</v>
      </c>
      <c r="D118" s="43">
        <f>TRUNC(1093+201,-1)</f>
        <v>1290</v>
      </c>
      <c r="E118" s="64">
        <f t="shared" si="3"/>
        <v>4260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237780</v>
      </c>
      <c r="E119" s="39">
        <f>SUM(E98:E118)</f>
        <v>785990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TRUNC(1803,-1)</f>
        <v>1800</v>
      </c>
      <c r="E124" s="63">
        <f t="shared" si="4"/>
        <v>5950</v>
      </c>
    </row>
    <row r="125" spans="1:7" x14ac:dyDescent="0.3">
      <c r="A125" s="2">
        <v>4</v>
      </c>
      <c r="C125" s="38" t="s">
        <v>138</v>
      </c>
      <c r="D125" s="42">
        <f>TRUNC(4984,-1)</f>
        <v>4980</v>
      </c>
      <c r="E125" s="63">
        <f t="shared" si="4"/>
        <v>16460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TRUNC(4219,-1)</f>
        <v>4210</v>
      </c>
      <c r="E127" s="63">
        <f t="shared" si="4"/>
        <v>13910</v>
      </c>
    </row>
    <row r="128" spans="1:7" x14ac:dyDescent="0.3">
      <c r="A128" s="2">
        <v>7</v>
      </c>
      <c r="C128" s="38" t="s">
        <v>46</v>
      </c>
      <c r="D128" s="42">
        <f>TRUNC(6906,-1)</f>
        <v>6900</v>
      </c>
      <c r="E128" s="63">
        <f t="shared" si="4"/>
        <v>22810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TRUNC(12921,-1)</f>
        <v>12920</v>
      </c>
      <c r="E130" s="63">
        <f t="shared" si="4"/>
        <v>42710</v>
      </c>
    </row>
    <row r="131" spans="1:7" x14ac:dyDescent="0.3">
      <c r="A131" s="2">
        <v>10</v>
      </c>
      <c r="C131" s="38" t="s">
        <v>148</v>
      </c>
      <c r="D131" s="42">
        <f>TRUNC(63894,-1)</f>
        <v>63890</v>
      </c>
      <c r="E131" s="63">
        <f t="shared" si="4"/>
        <v>211200</v>
      </c>
    </row>
    <row r="132" spans="1:7" ht="18" thickBot="1" x14ac:dyDescent="0.35">
      <c r="A132" s="2">
        <v>11</v>
      </c>
      <c r="C132" s="38" t="s">
        <v>47</v>
      </c>
      <c r="D132" s="43">
        <f>TRUNC(3051+685+169,-1)</f>
        <v>3900</v>
      </c>
      <c r="E132" s="64">
        <f t="shared" si="4"/>
        <v>12890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98600</v>
      </c>
      <c r="E133" s="39">
        <f>SUM(E122:E132)</f>
        <v>325930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TRUNC(100+1668+2368+40340,-1)</f>
        <v>44470</v>
      </c>
      <c r="E137" s="63">
        <f t="shared" si="5"/>
        <v>147000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TRUNC(1144,-1)</f>
        <v>1140</v>
      </c>
      <c r="E139" s="63">
        <f t="shared" si="5"/>
        <v>3760</v>
      </c>
    </row>
    <row r="140" spans="1:7" x14ac:dyDescent="0.3">
      <c r="A140" s="2">
        <v>5</v>
      </c>
      <c r="C140" s="38" t="s">
        <v>57</v>
      </c>
      <c r="D140" s="42">
        <f>TRUNC(1289,-1)</f>
        <v>1280</v>
      </c>
      <c r="E140" s="63">
        <f t="shared" si="5"/>
        <v>4230</v>
      </c>
    </row>
    <row r="141" spans="1:7" x14ac:dyDescent="0.3">
      <c r="A141" s="2">
        <v>6</v>
      </c>
      <c r="C141" s="38" t="s">
        <v>59</v>
      </c>
      <c r="D141" s="42">
        <f>TRUNC(23895,-1)</f>
        <v>23890</v>
      </c>
      <c r="E141" s="63">
        <f t="shared" si="5"/>
        <v>78970</v>
      </c>
    </row>
    <row r="142" spans="1:7" x14ac:dyDescent="0.3">
      <c r="A142" s="2">
        <v>7</v>
      </c>
      <c r="C142" s="38" t="s">
        <v>58</v>
      </c>
      <c r="D142" s="42">
        <f>TRUNC(5462,-1)</f>
        <v>5460</v>
      </c>
      <c r="E142" s="63">
        <f t="shared" si="5"/>
        <v>18040</v>
      </c>
    </row>
    <row r="143" spans="1:7" x14ac:dyDescent="0.3">
      <c r="A143" s="2">
        <v>8</v>
      </c>
      <c r="C143" s="38" t="s">
        <v>62</v>
      </c>
      <c r="D143" s="42">
        <f>TRUNC(6304,-1)</f>
        <v>6300</v>
      </c>
      <c r="E143" s="63">
        <f t="shared" si="5"/>
        <v>20820</v>
      </c>
    </row>
    <row r="144" spans="1:7" x14ac:dyDescent="0.3">
      <c r="A144" s="2">
        <v>9</v>
      </c>
      <c r="C144" s="38" t="s">
        <v>63</v>
      </c>
      <c r="D144" s="42">
        <f>TRUNC(22257,-1)</f>
        <v>22250</v>
      </c>
      <c r="E144" s="63">
        <f t="shared" si="5"/>
        <v>73550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104790</v>
      </c>
      <c r="E146" s="39">
        <f>SUM(E136:E145)</f>
        <v>346370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TRUNC(2428+109,-1)</f>
        <v>2530</v>
      </c>
      <c r="E149" s="62">
        <f>TRUNC(+D149*3.3058,-1)</f>
        <v>8360</v>
      </c>
    </row>
    <row r="150" spans="1:7" x14ac:dyDescent="0.3">
      <c r="A150" s="2">
        <v>2</v>
      </c>
      <c r="C150" s="38" t="s">
        <v>49</v>
      </c>
      <c r="D150" s="42">
        <f>TRUNC(15814,-1)</f>
        <v>15810</v>
      </c>
      <c r="E150" s="63">
        <f>TRUNC(+D150*3.3058,-1)</f>
        <v>52260</v>
      </c>
    </row>
    <row r="151" spans="1:7" x14ac:dyDescent="0.3">
      <c r="A151" s="2">
        <v>3</v>
      </c>
      <c r="C151" s="38" t="s">
        <v>50</v>
      </c>
      <c r="D151" s="42">
        <f>TRUNC(106,-1)</f>
        <v>100</v>
      </c>
      <c r="E151" s="63">
        <f>TRUNC(+D151*3.3058,-1)</f>
        <v>330</v>
      </c>
    </row>
    <row r="152" spans="1:7" x14ac:dyDescent="0.3">
      <c r="A152" s="2">
        <v>4</v>
      </c>
      <c r="C152" s="38" t="s">
        <v>47</v>
      </c>
      <c r="D152" s="42">
        <f>TRUNC(421+2339+5+963,-1)</f>
        <v>3720</v>
      </c>
      <c r="E152" s="63">
        <f>TRUNC(+D152*3.3058,-1)</f>
        <v>12290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TRUNC(162933,-1)</f>
        <v>162930</v>
      </c>
      <c r="E153" s="64">
        <f>TRUNC(+D153*3.3058,-1)</f>
        <v>538610</v>
      </c>
    </row>
    <row r="154" spans="1:7" x14ac:dyDescent="0.3">
      <c r="A154" s="2">
        <v>6</v>
      </c>
      <c r="C154" s="27" t="s">
        <v>112</v>
      </c>
      <c r="D154" s="39">
        <f>SUM(D149:D153)</f>
        <v>185090</v>
      </c>
      <c r="E154" s="39">
        <f>SUM(E149:E153)</f>
        <v>611850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TRUNC(46474,-1)</f>
        <v>46470</v>
      </c>
      <c r="E157" s="62">
        <f>TRUNC(+D157*3.3058,-1)</f>
        <v>153620</v>
      </c>
    </row>
    <row r="158" spans="1:7" x14ac:dyDescent="0.3">
      <c r="A158" s="2">
        <v>2</v>
      </c>
      <c r="C158" s="38" t="s">
        <v>52</v>
      </c>
      <c r="D158" s="42">
        <f>TRUNC(9455,-1)</f>
        <v>9450</v>
      </c>
      <c r="E158" s="63">
        <f>TRUNC(+D158*3.3058,-1)</f>
        <v>31230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f>TRUNC(11361+10124,-1)</f>
        <v>21480</v>
      </c>
      <c r="E159" s="63">
        <f>TRUNC(+D159*3.3058,-1)</f>
        <v>71000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f>TRUNC(11736,-1)</f>
        <v>11730</v>
      </c>
      <c r="E160" s="64">
        <f>TRUNC(+D160*3.3058,-1)</f>
        <v>38770</v>
      </c>
    </row>
    <row r="161" spans="1:5" x14ac:dyDescent="0.3">
      <c r="A161" s="2">
        <v>5</v>
      </c>
      <c r="C161" s="27" t="s">
        <v>112</v>
      </c>
      <c r="D161" s="39">
        <f>SUM(D157:D160)</f>
        <v>89130</v>
      </c>
      <c r="E161" s="39">
        <f>SUM(E157:E160)</f>
        <v>294620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2020-12-08T04:24:01Z</dcterms:modified>
</cp:coreProperties>
</file>