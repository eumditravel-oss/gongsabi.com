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2" i="4" l="1"/>
  <c r="D150" i="4"/>
  <c r="D149" i="4"/>
  <c r="D144" i="4"/>
  <c r="D143" i="4"/>
  <c r="D139" i="4"/>
  <c r="D141" i="4"/>
  <c r="D137" i="4"/>
  <c r="D140" i="4"/>
  <c r="D132" i="4"/>
  <c r="D122" i="4"/>
  <c r="D130" i="4"/>
  <c r="D126" i="4"/>
  <c r="D103" i="4"/>
  <c r="D102" i="4"/>
  <c r="D100" i="4"/>
  <c r="D99" i="4"/>
  <c r="D98" i="4"/>
  <c r="D116" i="4"/>
  <c r="D94" i="4"/>
  <c r="D92" i="4"/>
  <c r="D91" i="4"/>
  <c r="D90" i="4"/>
  <c r="D89" i="4"/>
  <c r="D73" i="4"/>
  <c r="D72" i="4"/>
  <c r="D71" i="4"/>
  <c r="D70" i="4"/>
  <c r="D69" i="4"/>
  <c r="D63" i="4"/>
  <c r="D58" i="4"/>
  <c r="D53" i="4"/>
  <c r="D52" i="4"/>
  <c r="D50" i="4"/>
  <c r="D49" i="4"/>
  <c r="D48" i="4"/>
  <c r="D46" i="4"/>
  <c r="D45" i="4"/>
  <c r="D44" i="4"/>
  <c r="D43" i="4"/>
  <c r="D41" i="4"/>
  <c r="D40" i="4"/>
  <c r="D131" i="4"/>
  <c r="D117" i="4"/>
  <c r="D59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95" i="4"/>
  <c r="E60" i="4"/>
  <c r="E119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D24" i="4"/>
  <c r="E24" i="4" s="1"/>
  <c r="D26" i="4"/>
  <c r="E26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<sst xmlns="http://schemas.openxmlformats.org/spreadsheetml/2006/main" count="392" uniqueCount="269">
  <si>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</si>
  <si>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</si>
  <si>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</si>
  <si>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</si>
  <si>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</si>
  <si>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</si>
  <si>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</si>
  <si>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</si>
  <si>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</si>
  <si>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</si>
  <si>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</si>
  <si>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</si>
  <si>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</si>
  <si>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</si>
  <si>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</si>
  <si>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</si>
  <si>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</si>
  <si>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</si>
  <si>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</si>
  <si>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</si>
  <si>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</si>
  <si>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</si>
  <si>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</si>
  <si>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</si>
  <si>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</si>
  <si>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</si>
  <si>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</si>
  <si>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</si>
  <si>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</si>
  <si>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</si>
  <si>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</si>
  <si>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</si>
  <si>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</si>
  <si>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</si>
  <si>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</si>
  <si>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</si>
  <si>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</si>
  <si>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</si>
  <si>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</si>
  <si>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</si>
  <si>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</si>
  <si>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</si>
  <si>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</si>
  <si>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</si>
  <si>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</si>
  <si>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</si>
  <si>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</si>
  <si>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</si>
  <si>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</si>
  <si>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</si>
  <si>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</si>
  <si>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</si>
  <si>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</si>
  <si>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</si>
  <si>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</si>
  <si>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</si>
  <si>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</si>
  <si>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</si>
  <si>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</si>
  <si>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</si>
  <si>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</si>
  <si>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</si>
  <si>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</si>
  <si>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</si>
  <si>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</si>
  <si>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</si>
  <si>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</si>
  <si>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</si>
  <si>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</si>
  <si>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</si>
  <si>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</si>
  <si>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</si>
  <si>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</si>
  <si>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</si>
  <si>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</si>
  <si>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</si>
  <si>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</si>
  <si>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</si>
  <si>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</si>
  <si>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</si>
  <si>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</si>
  <si>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</si>
  <si>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</si>
  <si>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</si>
  <si>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</si>
  <si>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</si>
  <si>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</si>
  <si>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</si>
  <si>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</si>
  <si>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</si>
  <si>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</si>
  <si>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</si>
  <si>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</si>
  <si>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</si>
  <si>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</si>
  <si>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</si>
  <si>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</si>
  <si>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</si>
  <si>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</si>
  <si>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</si>
  <si>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</si>
  <si>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</si>
  <si>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</si>
  <si>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</si>
  <si>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</si>
  <si>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</si>
  <si>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</si>
  <si>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</si>
  <si>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</si>
  <si>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</si>
  <si>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</si>
  <si>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</si>
  <si>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</si>
  <si>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</si>
  <si>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</si>
  <si>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</si>
  <si>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</si>
  <si>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</si>
  <si>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</si>
  <si>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</si>
  <si>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</si>
  <si>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</si>
  <si>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</si>
  <si>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</si>
  <si>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</si>
  <si>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</si>
  <si>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</si>
  <si>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</si>
  <si>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</si>
  <si>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</si>
  <si>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</si>
  <si>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</si>
  <si>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</si>
  <si>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</si>
  <si>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</si>
  <si>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</si>
  <si>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</si>
  <si>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</si>
  <si>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</si>
  <si>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</si>
  <si>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</si>
  <si>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</si>
  <si>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</si>
  <si>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</si>
  <si>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</si>
  <si>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</si>
  <si>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</si>
  <si>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</si>
  <si>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</si>
  <si>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</si>
  <si>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</si>
  <si>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</si>
  <si>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</si>
  <si>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</si>
  <si>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</si>
  <si>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</si>
  <si>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</si>
  <si>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</si>
  <si>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</si>
  <si>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</si>
  <si>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</si>
  <si>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</si>
  <si>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</si>
  <si>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</si>
  <si>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</si>
  <si>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</si>
  <si>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</si>
  <si>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</si>
  <si>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</si>
  <si>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</si>
  <si>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</si>
  <si>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</si>
  <si>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</si>
  <si>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</si>
  <si>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</si>
  <si>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</si>
  <si>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</si>
  <si>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</si>
  <si>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</si>
  <si>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</si>
  <si>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</si>
  <si>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</si>
  <si>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</si>
  <si>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</si>
  <si>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</si>
  <si>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</si>
  <si>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</si>
  <si>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</si>
  <si>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</si>
  <si>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</si>
  <si>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</si>
  <si>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</si>
  <si>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</si>
  <si>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</si>
  <si>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</si>
  <si>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</si>
  <si>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</si>
  <si>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</si>
  <si>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</si>
  <si>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</si>
  <si>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</si>
  <si>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</si>
  <si>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</si>
  <si>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</si>
  <si>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</si>
  <si>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</si>
  <si>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</si>
  <si>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</si>
  <si>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</si>
  <si>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</si>
  <si>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</si>
  <si>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</si>
  <si>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</si>
  <si>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</si>
  <si>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</si>
  <si>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</si>
  <si>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</si>
  <si>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</si>
  <si>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</si>
  <si>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</si>
  <si>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</si>
  <si>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</si>
  <si>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</si>
  <si>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</si>
  <si>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</si>
  <si>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</si>
  <si>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</si>
  <si>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</si>
  <si>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</si>
  <si>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</si>
  <si>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</si>
  <si>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</si>
  <si>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</si>
  <si>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</si>
  <si>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</si>
  <si>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</si>
  <si>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</si>
  <si>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</si>
  <si>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</si>
  <si>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</si>
  <si>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</si>
  <si>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</si>
  <si>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</si>
  <si>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</si>
  <si>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</si>
  <si>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</si>
  <si>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</si>
  <si>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</si>
  <si>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종합환경연구단지 제2어린이집 건립공사</t>
    <phoneticPr fontId="2" type="noConversion"/>
  </si>
  <si>
    <t>기타</t>
  </si>
  <si>
    <t>인천시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</si>
  <si>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</si>
  <si>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</si>
  <si>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</si>
  <si>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기초공사,골재비및운반비,품질시험비,기타공사</t>
    <phoneticPr fontId="2" type="noConversion"/>
  </si>
  <si>
    <t>기타공사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</si>
  <si>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</si>
  <si>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</si>
  <si>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</t>
    <phoneticPr fontId="2" type="noConversion"/>
  </si>
  <si>
    <t>옥외소화배관공사,펌프실배관공사</t>
    <phoneticPr fontId="2" type="noConversion"/>
  </si>
  <si>
    <t>우수공사,오수공사</t>
    <phoneticPr fontId="2" type="noConversion"/>
  </si>
  <si>
    <t>운반비,기타공사</t>
    <phoneticPr fontId="2" type="noConversion"/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</si>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</sst>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1390.24</v>
      </c>
      <c r="D7" s="36">
        <f>+C7/3.3058</f>
        <v>420.54570754431603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1374690</v>
      </c>
      <c r="E25" s="59">
        <f t="shared" si="0"/>
        <v>4544450</v>
      </c>
    </row>
    <row r="26" spans="1:5" x14ac:dyDescent="0.3">
      <c r="B26" s="2">
        <v>3</v>
      </c>
      <c r="C26" s="35" t="s">
        <v>95</v>
      </c>
      <c r="D26" s="45">
        <f>+D66</f>
        <v>1900</v>
      </c>
      <c r="E26" s="59">
        <f t="shared" si="0"/>
        <v>6280</v>
      </c>
    </row>
    <row r="27" spans="1:5" x14ac:dyDescent="0.3">
      <c r="B27" s="2">
        <v>4</v>
      </c>
      <c r="C27" s="35" t="s">
        <v>96</v>
      </c>
      <c r="D27" s="45">
        <f>+D95</f>
        <v>108280</v>
      </c>
      <c r="E27" s="59">
        <f t="shared" si="0"/>
        <v>357950</v>
      </c>
    </row>
    <row r="28" spans="1:5" x14ac:dyDescent="0.3">
      <c r="B28" s="2">
        <v>5</v>
      </c>
      <c r="C28" s="35" t="s">
        <v>97</v>
      </c>
      <c r="D28" s="45">
        <f>+D119</f>
        <v>220020</v>
      </c>
      <c r="E28" s="59">
        <f t="shared" si="0"/>
        <v>727340</v>
      </c>
    </row>
    <row r="29" spans="1:5" x14ac:dyDescent="0.3">
      <c r="B29" s="2">
        <v>6</v>
      </c>
      <c r="C29" s="35" t="s">
        <v>98</v>
      </c>
      <c r="D29" s="45">
        <f>+D133</f>
        <v>76110</v>
      </c>
      <c r="E29" s="59">
        <f t="shared" si="0"/>
        <v>251600</v>
      </c>
    </row>
    <row r="30" spans="1:5" x14ac:dyDescent="0.3">
      <c r="B30" s="2">
        <v>7</v>
      </c>
      <c r="C30" s="35" t="s">
        <v>99</v>
      </c>
      <c r="D30" s="45">
        <f>+D146</f>
        <v>107100</v>
      </c>
      <c r="E30" s="59">
        <f t="shared" si="0"/>
        <v>354050</v>
      </c>
    </row>
    <row r="31" spans="1:5" x14ac:dyDescent="0.3">
      <c r="B31" s="2">
        <v>8</v>
      </c>
      <c r="C31" s="35" t="s">
        <v>100</v>
      </c>
      <c r="D31" s="45">
        <f>+D154</f>
        <v>34310</v>
      </c>
      <c r="E31" s="59">
        <f t="shared" si="0"/>
        <v>113420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528660</v>
      </c>
      <c r="E33" s="60">
        <f t="shared" si="0"/>
        <v>1747640</v>
      </c>
    </row>
    <row r="34" spans="1:7" x14ac:dyDescent="0.3">
      <c r="C34" s="35" t="s">
        <v>112</v>
      </c>
      <c r="D34" s="44">
        <f>SUM(D24:D33)</f>
        <v>2451070</v>
      </c>
      <c r="E34" s="44">
        <f>SUM(E24:E33)</f>
        <v>8102730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262</v>
      </c>
      <c r="C39" s="56" t="s">
        <v>263</v>
      </c>
      <c r="D39" s="57" t="s">
        <v>264</v>
      </c>
      <c r="E39" s="57" t="s">
        <v>265</v>
      </c>
      <c r="G39" s="55"/>
    </row>
    <row r="40" spans="1:7" x14ac:dyDescent="0.3">
      <c r="A40" s="2">
        <v>1</v>
      </c>
      <c r="C40" s="38" t="s">
        <v>15</v>
      </c>
      <c r="D40" s="40">
        <f>TRUNC(52842,-1)</f>
        <v>52840</v>
      </c>
      <c r="E40" s="62">
        <f t="shared" ref="E40:E59" si="1">TRUNC(+D40*3.3058,-1)</f>
        <v>174670</v>
      </c>
    </row>
    <row r="41" spans="1:7" x14ac:dyDescent="0.3">
      <c r="A41" s="2">
        <v>2</v>
      </c>
      <c r="C41" s="38" t="s">
        <v>13</v>
      </c>
      <c r="D41" s="42">
        <f>TRUNC(208690,-1)</f>
        <v>208690</v>
      </c>
      <c r="E41" s="63">
        <f t="shared" si="1"/>
        <v>689880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TRUNC(35237,-1)</f>
        <v>35230</v>
      </c>
      <c r="E43" s="63">
        <f t="shared" si="1"/>
        <v>116460</v>
      </c>
    </row>
    <row r="44" spans="1:7" x14ac:dyDescent="0.3">
      <c r="A44" s="2">
        <v>5</v>
      </c>
      <c r="C44" s="38" t="s">
        <v>17</v>
      </c>
      <c r="D44" s="42">
        <f>TRUNC(28476,-1)</f>
        <v>28470</v>
      </c>
      <c r="E44" s="63">
        <f t="shared" si="1"/>
        <v>94110</v>
      </c>
    </row>
    <row r="45" spans="1:7" x14ac:dyDescent="0.3">
      <c r="A45" s="2">
        <v>6</v>
      </c>
      <c r="C45" s="38" t="s">
        <v>18</v>
      </c>
      <c r="D45" s="42">
        <f>TRUNC(14786,-1)</f>
        <v>14780</v>
      </c>
      <c r="E45" s="63">
        <f t="shared" si="1"/>
        <v>48850</v>
      </c>
    </row>
    <row r="46" spans="1:7" x14ac:dyDescent="0.3">
      <c r="A46" s="2">
        <v>7</v>
      </c>
      <c r="C46" s="38" t="s">
        <v>19</v>
      </c>
      <c r="D46" s="42">
        <f>TRUNC(5205,-1)</f>
        <v>5200</v>
      </c>
      <c r="E46" s="63">
        <f t="shared" si="1"/>
        <v>17190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TRUNC(166035,-1)</f>
        <v>166030</v>
      </c>
      <c r="E48" s="63">
        <f t="shared" si="1"/>
        <v>548860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TRUNC(44358,-1)</f>
        <v>44350</v>
      </c>
      <c r="E49" s="63">
        <f t="shared" si="1"/>
        <v>146610</v>
      </c>
    </row>
    <row r="50" spans="1:7" x14ac:dyDescent="0.3">
      <c r="A50" s="2">
        <v>11</v>
      </c>
      <c r="C50" s="38" t="s">
        <v>155</v>
      </c>
      <c r="D50" s="42">
        <f>TRUNC(30772,-1)</f>
        <v>30770</v>
      </c>
      <c r="E50" s="63">
        <f t="shared" si="1"/>
        <v>101710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TRUNC(19989,-1)</f>
        <v>19980</v>
      </c>
      <c r="E52" s="63">
        <f t="shared" si="1"/>
        <v>66040</v>
      </c>
    </row>
    <row r="53" spans="1:7" x14ac:dyDescent="0.3">
      <c r="A53" s="2">
        <v>14</v>
      </c>
      <c r="C53" s="38" t="s">
        <v>25</v>
      </c>
      <c r="D53" s="42">
        <f>TRUNC(104864,-1)</f>
        <v>104860</v>
      </c>
      <c r="E53" s="63">
        <f t="shared" si="1"/>
        <v>346640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TRUNC(89204+6393+2423+1751,-1)</f>
        <v>99770</v>
      </c>
      <c r="E58" s="63">
        <f t="shared" si="1"/>
        <v>329810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TRUNC(563729,-1)</f>
        <v>563720</v>
      </c>
      <c r="E59" s="64">
        <f t="shared" si="1"/>
        <v>1863540</v>
      </c>
    </row>
    <row r="60" spans="1:7" x14ac:dyDescent="0.3">
      <c r="A60" s="2">
        <v>21</v>
      </c>
      <c r="C60" s="27" t="s">
        <v>112</v>
      </c>
      <c r="D60" s="39">
        <f>SUM(D40:D59)</f>
        <v>1374690</v>
      </c>
      <c r="E60" s="39">
        <f>SUM(E40:E59)</f>
        <v>4544370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TRUNC(1900,-1)</f>
        <v>1900</v>
      </c>
      <c r="E63" s="62">
        <f>TRUNC(+D63*3.3058,-1)</f>
        <v>6280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1900</v>
      </c>
      <c r="E66" s="65">
        <f>SUM(E63:E65)</f>
        <v>6280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TRUNC(10604,-1)</f>
        <v>10600</v>
      </c>
      <c r="E69" s="62">
        <f t="shared" ref="E69:E94" si="2">TRUNC(+D69*3.3058,-1)</f>
        <v>35040</v>
      </c>
    </row>
    <row r="70" spans="1:7" ht="16.5" customHeight="1" x14ac:dyDescent="0.3">
      <c r="A70" s="2">
        <v>2</v>
      </c>
      <c r="C70" s="38" t="s">
        <v>31</v>
      </c>
      <c r="D70" s="42">
        <f>TRUNC(661,-1)</f>
        <v>660</v>
      </c>
      <c r="E70" s="63">
        <f t="shared" si="2"/>
        <v>2180</v>
      </c>
    </row>
    <row r="71" spans="1:7" x14ac:dyDescent="0.3">
      <c r="A71" s="2">
        <v>3</v>
      </c>
      <c r="C71" s="38" t="s">
        <v>32</v>
      </c>
      <c r="D71" s="42">
        <f>TRUNC(7599,-1)</f>
        <v>7590</v>
      </c>
      <c r="E71" s="63">
        <f t="shared" si="2"/>
        <v>25090</v>
      </c>
    </row>
    <row r="72" spans="1:7" x14ac:dyDescent="0.3">
      <c r="A72" s="2">
        <v>4</v>
      </c>
      <c r="C72" s="38" t="s">
        <v>33</v>
      </c>
      <c r="D72" s="42">
        <f>TRUNC(8424,-1)</f>
        <v>8420</v>
      </c>
      <c r="E72" s="63">
        <f t="shared" si="2"/>
        <v>27830</v>
      </c>
    </row>
    <row r="73" spans="1:7" x14ac:dyDescent="0.3">
      <c r="A73" s="2">
        <v>5</v>
      </c>
      <c r="C73" s="38" t="s">
        <v>34</v>
      </c>
      <c r="D73" s="42">
        <f>TRUNC(32705,-1)</f>
        <v>32700</v>
      </c>
      <c r="E73" s="63">
        <f t="shared" si="2"/>
        <v>108090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TRUNC(11575,-1)</f>
        <v>11570</v>
      </c>
      <c r="E89" s="63">
        <f t="shared" si="2"/>
        <v>38240</v>
      </c>
    </row>
    <row r="90" spans="1:7" x14ac:dyDescent="0.3">
      <c r="A90" s="2">
        <v>22</v>
      </c>
      <c r="C90" s="38" t="s">
        <v>36</v>
      </c>
      <c r="D90" s="42">
        <f>TRUNC(3085,-1)</f>
        <v>3080</v>
      </c>
      <c r="E90" s="63">
        <f t="shared" si="2"/>
        <v>10180</v>
      </c>
    </row>
    <row r="91" spans="1:7" x14ac:dyDescent="0.3">
      <c r="A91" s="2">
        <v>23</v>
      </c>
      <c r="C91" s="38" t="s">
        <v>37</v>
      </c>
      <c r="D91" s="42">
        <f>TRUNC(7509,-1)</f>
        <v>7500</v>
      </c>
      <c r="E91" s="63">
        <f t="shared" si="2"/>
        <v>24790</v>
      </c>
    </row>
    <row r="92" spans="1:7" x14ac:dyDescent="0.3">
      <c r="A92" s="2">
        <v>24</v>
      </c>
      <c r="C92" s="38" t="s">
        <v>38</v>
      </c>
      <c r="D92" s="42">
        <f>TRUNC(13591,-1)</f>
        <v>13590</v>
      </c>
      <c r="E92" s="63">
        <f t="shared" si="2"/>
        <v>44920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TRUNC(12571,-1)</f>
        <v>12570</v>
      </c>
      <c r="E94" s="64">
        <f t="shared" si="2"/>
        <v>41550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108280</v>
      </c>
      <c r="E95" s="39">
        <f>SUM(E69:E94)</f>
        <v>357910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TRUNC(19788,-1)</f>
        <v>19780</v>
      </c>
      <c r="E98" s="62">
        <f t="shared" ref="E98:E118" si="3">TRUNC(+D98*3.3058,-1)</f>
        <v>65380</v>
      </c>
    </row>
    <row r="99" spans="1:7" x14ac:dyDescent="0.3">
      <c r="A99" s="2">
        <v>2</v>
      </c>
      <c r="C99" s="38" t="s">
        <v>40</v>
      </c>
      <c r="D99" s="42">
        <f>TRUNC(14543,-1)</f>
        <v>14540</v>
      </c>
      <c r="E99" s="63">
        <f t="shared" si="3"/>
        <v>48060</v>
      </c>
    </row>
    <row r="100" spans="1:7" x14ac:dyDescent="0.3">
      <c r="A100" s="2">
        <v>3</v>
      </c>
      <c r="C100" s="38" t="s">
        <v>41</v>
      </c>
      <c r="D100" s="42">
        <f>TRUNC(40386,-1)</f>
        <v>40380</v>
      </c>
      <c r="E100" s="63">
        <f t="shared" si="3"/>
        <v>133480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TRUNC(22361,-1)</f>
        <v>22360</v>
      </c>
      <c r="E102" s="63">
        <f t="shared" si="3"/>
        <v>73910</v>
      </c>
    </row>
    <row r="103" spans="1:7" x14ac:dyDescent="0.3">
      <c r="A103" s="2">
        <v>6</v>
      </c>
      <c r="C103" s="38" t="s">
        <v>44</v>
      </c>
      <c r="D103" s="42">
        <f>TRUNC(22669,-1)</f>
        <v>22660</v>
      </c>
      <c r="E103" s="63">
        <f t="shared" si="3"/>
        <v>74900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TRUNC(19308,-1)</f>
        <v>19300</v>
      </c>
      <c r="E116" s="63">
        <f t="shared" si="3"/>
        <v>63800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TRUNC(81000,-1)</f>
        <v>81000</v>
      </c>
      <c r="E117" s="63">
        <f t="shared" si="3"/>
        <v>267760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220020</v>
      </c>
      <c r="E119" s="39">
        <f>SUM(E98:E118)</f>
        <v>727290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TRUNC(3797,-1)</f>
        <v>3790</v>
      </c>
      <c r="E122" s="62">
        <f t="shared" ref="E122:E132" si="4">TRUNC(+D122*3.3058,-1)</f>
        <v>12520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v>0</v>
      </c>
      <c r="E125" s="63">
        <f t="shared" si="4"/>
        <v>0</v>
      </c>
    </row>
    <row r="126" spans="1:7" x14ac:dyDescent="0.3">
      <c r="A126" s="2">
        <v>5</v>
      </c>
      <c r="C126" s="38" t="s">
        <v>53</v>
      </c>
      <c r="D126" s="42">
        <f>TRUNC(15871,-1)</f>
        <v>15870</v>
      </c>
      <c r="E126" s="63">
        <f t="shared" si="4"/>
        <v>52460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TRUNC(19913,-1)</f>
        <v>19910</v>
      </c>
      <c r="E130" s="63">
        <f t="shared" si="4"/>
        <v>65810</v>
      </c>
    </row>
    <row r="131" spans="1:7" x14ac:dyDescent="0.3">
      <c r="A131" s="2">
        <v>10</v>
      </c>
      <c r="C131" s="38" t="s">
        <v>148</v>
      </c>
      <c r="D131" s="42">
        <f>TRUNC(28927,-1)</f>
        <v>28920</v>
      </c>
      <c r="E131" s="63">
        <f t="shared" si="4"/>
        <v>95600</v>
      </c>
    </row>
    <row r="132" spans="1:7" ht="18" thickBot="1" x14ac:dyDescent="0.35">
      <c r="A132" s="2">
        <v>11</v>
      </c>
      <c r="C132" s="38" t="s">
        <v>47</v>
      </c>
      <c r="D132" s="43">
        <f>TRUNC(7629,-1)</f>
        <v>7620</v>
      </c>
      <c r="E132" s="64">
        <f t="shared" si="4"/>
        <v>25190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76110</v>
      </c>
      <c r="E133" s="39">
        <f>SUM(E122:E132)</f>
        <v>251580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TRUNC(2554+18905,-1)</f>
        <v>21450</v>
      </c>
      <c r="E137" s="63">
        <f t="shared" si="5"/>
        <v>70900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TRUNC(6871,-1)</f>
        <v>6870</v>
      </c>
      <c r="E139" s="63">
        <f t="shared" si="5"/>
        <v>22710</v>
      </c>
    </row>
    <row r="140" spans="1:7" x14ac:dyDescent="0.3">
      <c r="A140" s="2">
        <v>5</v>
      </c>
      <c r="C140" s="38" t="s">
        <v>57</v>
      </c>
      <c r="D140" s="42">
        <f>TRUNC(14310)</f>
        <v>14310</v>
      </c>
      <c r="E140" s="63">
        <f t="shared" si="5"/>
        <v>47300</v>
      </c>
    </row>
    <row r="141" spans="1:7" x14ac:dyDescent="0.3">
      <c r="A141" s="2">
        <v>6</v>
      </c>
      <c r="C141" s="38" t="s">
        <v>59</v>
      </c>
      <c r="D141" s="42">
        <f>TRUNC(32897,-1)</f>
        <v>32890</v>
      </c>
      <c r="E141" s="63">
        <f t="shared" si="5"/>
        <v>108720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f>TRUNC(5729,-1)</f>
        <v>5720</v>
      </c>
      <c r="E143" s="63">
        <f t="shared" si="5"/>
        <v>18900</v>
      </c>
    </row>
    <row r="144" spans="1:7" x14ac:dyDescent="0.3">
      <c r="A144" s="2">
        <v>9</v>
      </c>
      <c r="C144" s="38" t="s">
        <v>63</v>
      </c>
      <c r="D144" s="42">
        <f>TRUNC(25867,-1)</f>
        <v>25860</v>
      </c>
      <c r="E144" s="63">
        <f t="shared" si="5"/>
        <v>85480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107100</v>
      </c>
      <c r="E146" s="39">
        <f>SUM(E136:E145)</f>
        <v>354010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TRUNC(7584+2429,-1)</f>
        <v>10010</v>
      </c>
      <c r="E149" s="62">
        <f>TRUNC(+D149*3.3058,-1)</f>
        <v>33090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TRUNC(17448,-1)</f>
        <v>17440</v>
      </c>
      <c r="E150" s="63">
        <f>TRUNC(+D150*3.3058,-1)</f>
        <v>57650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TRUNC(1+6864,-1)</f>
        <v>6860</v>
      </c>
      <c r="E152" s="63">
        <f>TRUNC(+D152*3.3058,-1)</f>
        <v>22670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34310</v>
      </c>
      <c r="E154" s="39">
        <f>SUM(E149:E153)</f>
        <v>113410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2020-12-08T01:54:37Z</dcterms:modified>
</cp:coreProperties>
</file>