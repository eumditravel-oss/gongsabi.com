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6" i="4" l="1"/>
  <c r="D137" i="4"/>
  <c r="E160" i="4" l="1"/>
  <c r="E158" i="4"/>
  <c r="E157" i="4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29" i="4"/>
  <c r="E126" i="4"/>
  <c r="E117" i="4"/>
  <c r="E116" i="4"/>
  <c r="E114" i="4"/>
  <c r="E113" i="4"/>
  <c r="E112" i="4"/>
  <c r="E111" i="4"/>
  <c r="E110" i="4"/>
  <c r="E109" i="4"/>
  <c r="E108" i="4"/>
  <c r="E107" i="4"/>
  <c r="E106" i="4"/>
  <c r="E103" i="4"/>
  <c r="E93" i="4"/>
  <c r="E92" i="4"/>
  <c r="E91" i="4"/>
  <c r="E90" i="4"/>
  <c r="E89" i="4"/>
  <c r="E88" i="4"/>
  <c r="E87" i="4"/>
  <c r="E86" i="4"/>
  <c r="E84" i="4"/>
  <c r="E83" i="4"/>
  <c r="E82" i="4"/>
  <c r="E81" i="4"/>
  <c r="E80" i="4"/>
  <c r="E79" i="4"/>
  <c r="E76" i="4"/>
  <c r="E75" i="4"/>
  <c r="E74" i="4"/>
  <c r="E73" i="4"/>
  <c r="E66" i="4"/>
  <c r="E65" i="4"/>
  <c r="E64" i="4"/>
  <c r="E63" i="4"/>
  <c r="E59" i="4"/>
  <c r="E57" i="4"/>
  <c r="E56" i="4"/>
  <c r="E47" i="4"/>
  <c r="E146" i="4" l="1"/>
  <c r="D130" i="4"/>
  <c r="E130" i="4" s="1"/>
  <c r="D132" i="4"/>
  <c r="E132" i="4" s="1"/>
  <c r="D128" i="4"/>
  <c r="E128" i="4" s="1"/>
  <c r="D127" i="4"/>
  <c r="E127" i="4" s="1"/>
  <c r="D125" i="4"/>
  <c r="E125" i="4" s="1"/>
  <c r="D124" i="4"/>
  <c r="E124" i="4" s="1"/>
  <c r="D123" i="4"/>
  <c r="E123" i="4" s="1"/>
  <c r="D122" i="4"/>
  <c r="E122" i="4" s="1"/>
  <c r="D118" i="4"/>
  <c r="E118" i="4" s="1"/>
  <c r="D115" i="4"/>
  <c r="E115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D98" i="4"/>
  <c r="E98" i="4" s="1"/>
  <c r="E119" i="4" l="1"/>
  <c r="E133" i="4"/>
  <c r="D77" i="4"/>
  <c r="E77" i="4" s="1"/>
  <c r="D94" i="4"/>
  <c r="E94" i="4" s="1"/>
  <c r="D72" i="4"/>
  <c r="E72" i="4" s="1"/>
  <c r="D85" i="4"/>
  <c r="E85" i="4" s="1"/>
  <c r="D78" i="4"/>
  <c r="E78" i="4" s="1"/>
  <c r="D71" i="4"/>
  <c r="E71" i="4" s="1"/>
  <c r="D70" i="4"/>
  <c r="E70" i="4" s="1"/>
  <c r="D69" i="4"/>
  <c r="E69" i="4" s="1"/>
  <c r="D54" i="4"/>
  <c r="E54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E95" i="4" l="1"/>
  <c r="D37" i="4"/>
  <c r="E37" i="4" s="1"/>
  <c r="D152" i="4"/>
  <c r="E152" i="4" s="1"/>
  <c r="E154" i="4" s="1"/>
  <c r="D159" i="4"/>
  <c r="E159" i="4" s="1"/>
  <c r="E161" i="4" s="1"/>
  <c r="D60" i="4"/>
  <c r="D161" i="4" l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25" i="4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<sst xmlns="http://schemas.openxmlformats.org/spreadsheetml/2006/main" count="388" uniqueCount="263">
  <si>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</si>
  <si>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</si>
  <si>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</si>
  <si>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</si>
  <si>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</si>
  <si>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</si>
  <si>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</si>
  <si>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</si>
  <si>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</si>
  <si>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</si>
  <si>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</si>
  <si>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</si>
  <si>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</si>
  <si>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</si>
  <si>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</si>
  <si>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</si>
  <si>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</si>
  <si>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</si>
  <si>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</si>
  <si>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</si>
  <si>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</si>
  <si>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</si>
  <si>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</si>
  <si>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</si>
  <si>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</si>
  <si>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</si>
  <si>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</si>
  <si>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</si>
  <si>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</si>
  <si>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</si>
  <si>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</si>
  <si>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</si>
  <si>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</si>
  <si>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</si>
  <si>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</si>
  <si>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</si>
  <si>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</si>
  <si>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</si>
  <si>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</si>
  <si>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</si>
  <si>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</si>
  <si>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</si>
  <si>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</si>
  <si>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</si>
  <si>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</si>
  <si>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</si>
  <si>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</si>
  <si>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</si>
  <si>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</si>
  <si>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</si>
  <si>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</si>
  <si>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</si>
  <si>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</si>
  <si>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</si>
  <si>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</si>
  <si>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</si>
  <si>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</si>
  <si>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</si>
  <si>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</si>
  <si>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</si>
  <si>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</si>
  <si>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</si>
  <si>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</si>
  <si>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</si>
  <si>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</si>
  <si>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</si>
  <si>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</si>
  <si>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</si>
  <si>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</si>
  <si>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</si>
  <si>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</si>
  <si>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</si>
  <si>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</si>
  <si>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</si>
  <si>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</si>
  <si>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</si>
  <si>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</si>
  <si>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</si>
  <si>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</si>
  <si>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</si>
  <si>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</si>
  <si>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</si>
  <si>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</si>
  <si>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</si>
  <si>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</si>
  <si>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</si>
  <si>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</si>
  <si>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</si>
  <si>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</si>
  <si>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</si>
  <si>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</si>
  <si>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</si>
  <si>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</si>
  <si>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</si>
  <si>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</si>
  <si>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</si>
  <si>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</si>
  <si>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</si>
  <si>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</si>
  <si>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</si>
  <si>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</si>
  <si>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</si>
  <si>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</si>
  <si>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</si>
  <si>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</si>
  <si>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</si>
  <si>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</si>
  <si>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</si>
  <si>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</si>
  <si>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</si>
  <si>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</si>
  <si>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</si>
  <si>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</si>
  <si>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</si>
  <si>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</si>
  <si>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</si>
  <si>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</si>
  <si>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</si>
  <si>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</si>
  <si>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</si>
  <si>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</si>
  <si>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</si>
  <si>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</si>
  <si>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</si>
  <si>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</si>
  <si>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</si>
  <si>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</si>
  <si>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</si>
  <si>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</si>
  <si>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</si>
  <si>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</si>
  <si>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</si>
  <si>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</si>
  <si>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</si>
  <si>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</si>
  <si>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</si>
  <si>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</si>
  <si>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</si>
  <si>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</si>
  <si>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</si>
  <si>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</si>
  <si>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</si>
  <si>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</si>
  <si>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</si>
  <si>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</si>
  <si>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</si>
  <si>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</si>
  <si>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</si>
  <si>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</si>
  <si>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</si>
  <si>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</si>
  <si>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</si>
  <si>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</si>
  <si>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</si>
  <si>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</si>
  <si>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</si>
  <si>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</si>
  <si>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</si>
  <si>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</si>
  <si>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</si>
  <si>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</si>
  <si>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</si>
  <si>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</si>
  <si>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</si>
  <si>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</si>
  <si>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</si>
  <si>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</si>
  <si>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</si>
  <si>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</si>
  <si>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</si>
  <si>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</si>
  <si>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</si>
  <si>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</si>
  <si>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</si>
  <si>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</si>
  <si>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</si>
  <si>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</si>
  <si>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</si>
  <si>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</si>
  <si>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</si>
  <si>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</si>
  <si>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</si>
  <si>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</si>
  <si>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</si>
  <si>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</si>
  <si>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</si>
  <si>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</si>
  <si>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</si>
  <si>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</si>
  <si>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</si>
  <si>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</si>
  <si>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</si>
  <si>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</si>
  <si>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</si>
  <si>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</si>
  <si>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</si>
  <si>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</si>
  <si>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</si>
  <si>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</si>
  <si>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</si>
  <si>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</si>
  <si>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</si>
  <si>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</si>
  <si>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</si>
  <si>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</si>
  <si>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</si>
  <si>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</si>
  <si>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</si>
  <si>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</si>
  <si>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</si>
  <si>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</si>
  <si>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</si>
  <si>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</si>
  <si>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</si>
  <si>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</si>
  <si>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</si>
  <si>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</si>
  <si>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</si>
  <si>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</si>
  <si>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</si>
  <si>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</si>
  <si>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</si>
  <si>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</si>
  <si>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</si>
  <si>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</si>
  <si>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</si>
  <si>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</si>
  <si>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</si>
  <si>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</si>
  <si>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</si>
  <si>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</si>
  <si>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</si>
  <si>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</si>
  <si>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</si>
  <si>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</si>
  <si>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</si>
  <si>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</si>
  <si>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</si>
  <si>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</si>
  <si>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</si>
  <si>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</si>
  <si>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</si>
  <si>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</si>
  <si>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</si>
  <si>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</si>
  <si>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</si>
  <si>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</si>
  <si>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</si>
  <si>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000000 특송물류센터 신축공사</t>
    <phoneticPr fontId="2" type="noConversion"/>
  </si>
  <si>
    <t>창고</t>
  </si>
  <si>
    <t>인천시</t>
  </si>
  <si>
    <t>부대토목공사</t>
    <phoneticPr fontId="2" type="noConversion"/>
  </si>
  <si>
    <t>부대조경공사</t>
    <phoneticPr fontId="2" type="noConversion"/>
  </si>
  <si>
    <t>토및지정공사,판넬공사,기타공사,골재비</t>
    <phoneticPr fontId="2" type="noConversion"/>
  </si>
  <si>
    <t>공조배관공사,위생배관공사,주방기구설치공사</t>
    <phoneticPr fontId="2" type="noConversion"/>
  </si>
  <si>
    <t>화물용승강기설치공사</t>
    <phoneticPr fontId="2" type="noConversion"/>
  </si>
  <si>
    <t>전기 소방공사</t>
    <phoneticPr fontId="2" type="noConversion"/>
  </si>
  <si>
    <t>기계 소화설비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</si>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</sst>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35643</v>
      </c>
      <c r="D7" s="36">
        <f>+C7/3.3058</f>
        <v>10781.958981184584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24440</v>
      </c>
      <c r="E24" s="58">
        <f t="shared" ref="E24:E33" si="0">TRUNC(+D24*3.3058,-1)</f>
        <v>80790</v>
      </c>
    </row>
    <row r="25" spans="1:5" x14ac:dyDescent="0.3">
      <c r="B25" s="2">
        <v>2</v>
      </c>
      <c r="C25" s="35" t="s">
        <v>111</v>
      </c>
      <c r="D25" s="45">
        <f>+D60</f>
        <v>365950</v>
      </c>
      <c r="E25" s="59">
        <f t="shared" si="0"/>
        <v>1209750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49150</v>
      </c>
      <c r="E27" s="59">
        <f t="shared" si="0"/>
        <v>162480</v>
      </c>
    </row>
    <row r="28" spans="1:5" x14ac:dyDescent="0.3">
      <c r="B28" s="2">
        <v>5</v>
      </c>
      <c r="C28" s="35" t="s">
        <v>97</v>
      </c>
      <c r="D28" s="45">
        <f>+D119</f>
        <v>62210</v>
      </c>
      <c r="E28" s="59">
        <f t="shared" si="0"/>
        <v>205650</v>
      </c>
    </row>
    <row r="29" spans="1:5" x14ac:dyDescent="0.3">
      <c r="B29" s="2">
        <v>6</v>
      </c>
      <c r="C29" s="35" t="s">
        <v>98</v>
      </c>
      <c r="D29" s="45">
        <f>+D133</f>
        <v>41740</v>
      </c>
      <c r="E29" s="59">
        <f t="shared" si="0"/>
        <v>137980</v>
      </c>
    </row>
    <row r="30" spans="1:5" x14ac:dyDescent="0.3">
      <c r="B30" s="2">
        <v>7</v>
      </c>
      <c r="C30" s="35" t="s">
        <v>99</v>
      </c>
      <c r="D30" s="45">
        <f>+D146</f>
        <v>45940</v>
      </c>
      <c r="E30" s="59">
        <f t="shared" si="0"/>
        <v>151860</v>
      </c>
    </row>
    <row r="31" spans="1:5" x14ac:dyDescent="0.3">
      <c r="B31" s="2">
        <v>8</v>
      </c>
      <c r="C31" s="35" t="s">
        <v>100</v>
      </c>
      <c r="D31" s="45">
        <f>+D154</f>
        <v>8530</v>
      </c>
      <c r="E31" s="59">
        <f t="shared" si="0"/>
        <v>28190</v>
      </c>
    </row>
    <row r="32" spans="1:5" x14ac:dyDescent="0.3">
      <c r="B32" s="2">
        <v>9</v>
      </c>
      <c r="C32" s="35" t="s">
        <v>101</v>
      </c>
      <c r="D32" s="45">
        <f>+D161</f>
        <v>1780</v>
      </c>
      <c r="E32" s="59">
        <f t="shared" si="0"/>
        <v>5880</v>
      </c>
    </row>
    <row r="33" spans="1:7" x14ac:dyDescent="0.3">
      <c r="B33" s="2">
        <v>10</v>
      </c>
      <c r="C33" s="35" t="s">
        <v>154</v>
      </c>
      <c r="D33" s="53">
        <f>TRUNC(SUM(D24:D32)*0.275,-1)</f>
        <v>164920</v>
      </c>
      <c r="E33" s="60">
        <f t="shared" si="0"/>
        <v>545190</v>
      </c>
    </row>
    <row r="34" spans="1:7" x14ac:dyDescent="0.3">
      <c r="C34" s="35" t="s">
        <v>112</v>
      </c>
      <c r="D34" s="44">
        <f>SUM(D24:D33)</f>
        <v>764660</v>
      </c>
      <c r="E34" s="44">
        <f>SUM(E24:E33)</f>
        <v>2527770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TRUNC(24445,-1)</f>
        <v>24440</v>
      </c>
      <c r="E37" s="61">
        <f>TRUNC(+D37*3.3058,-1)</f>
        <v>80790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258</v>
      </c>
      <c r="E39" s="67" t="s">
        <v>259</v>
      </c>
      <c r="G39" s="68"/>
    </row>
    <row r="40" spans="1:7" x14ac:dyDescent="0.3">
      <c r="A40" s="2">
        <v>1</v>
      </c>
      <c r="C40" s="38" t="s">
        <v>15</v>
      </c>
      <c r="D40" s="40">
        <f>TRUNC(13581,-1)</f>
        <v>13580</v>
      </c>
      <c r="E40" s="62">
        <f t="shared" ref="E40:E59" si="1">TRUNC(+D40*3.3058,-1)</f>
        <v>44890</v>
      </c>
    </row>
    <row r="41" spans="1:7" x14ac:dyDescent="0.3">
      <c r="A41" s="2">
        <v>2</v>
      </c>
      <c r="C41" s="38" t="s">
        <v>13</v>
      </c>
      <c r="D41" s="42">
        <f>TRUNC(14792,-1)</f>
        <v>14790</v>
      </c>
      <c r="E41" s="63">
        <f t="shared" si="1"/>
        <v>48890</v>
      </c>
    </row>
    <row r="42" spans="1:7" x14ac:dyDescent="0.3">
      <c r="A42" s="2">
        <v>3</v>
      </c>
      <c r="C42" s="38" t="s">
        <v>14</v>
      </c>
      <c r="D42" s="42">
        <f>TRUNC(145308,-1)</f>
        <v>145300</v>
      </c>
      <c r="E42" s="63">
        <f t="shared" si="1"/>
        <v>480330</v>
      </c>
    </row>
    <row r="43" spans="1:7" x14ac:dyDescent="0.3">
      <c r="A43" s="2">
        <v>4</v>
      </c>
      <c r="C43" s="38" t="s">
        <v>16</v>
      </c>
      <c r="D43" s="42">
        <f>TRUNC(3731,-1)</f>
        <v>3730</v>
      </c>
      <c r="E43" s="63">
        <f t="shared" si="1"/>
        <v>12330</v>
      </c>
    </row>
    <row r="44" spans="1:7" x14ac:dyDescent="0.3">
      <c r="A44" s="2">
        <v>5</v>
      </c>
      <c r="C44" s="38" t="s">
        <v>17</v>
      </c>
      <c r="D44" s="42">
        <f>TRUNC(5053,-1)</f>
        <v>5050</v>
      </c>
      <c r="E44" s="63">
        <f t="shared" si="1"/>
        <v>16690</v>
      </c>
    </row>
    <row r="45" spans="1:7" x14ac:dyDescent="0.3">
      <c r="A45" s="2">
        <v>6</v>
      </c>
      <c r="C45" s="38" t="s">
        <v>18</v>
      </c>
      <c r="D45" s="42">
        <f>TRUNC(3314,-1)</f>
        <v>3310</v>
      </c>
      <c r="E45" s="63">
        <f t="shared" si="1"/>
        <v>10940</v>
      </c>
    </row>
    <row r="46" spans="1:7" x14ac:dyDescent="0.3">
      <c r="A46" s="2">
        <v>7</v>
      </c>
      <c r="C46" s="38" t="s">
        <v>19</v>
      </c>
      <c r="D46" s="42">
        <f>TRUNC(913,-1)</f>
        <v>910</v>
      </c>
      <c r="E46" s="63">
        <f t="shared" si="1"/>
        <v>3000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TRUNC(11093,-1)</f>
        <v>11090</v>
      </c>
      <c r="E48" s="63">
        <f t="shared" si="1"/>
        <v>36660</v>
      </c>
    </row>
    <row r="49" spans="1:7" x14ac:dyDescent="0.3">
      <c r="A49" s="2">
        <v>10</v>
      </c>
      <c r="C49" s="38" t="s">
        <v>22</v>
      </c>
      <c r="D49" s="42">
        <f>TRUNC(15647,-1)</f>
        <v>15640</v>
      </c>
      <c r="E49" s="63">
        <f t="shared" si="1"/>
        <v>51700</v>
      </c>
    </row>
    <row r="50" spans="1:7" x14ac:dyDescent="0.3">
      <c r="A50" s="2">
        <v>11</v>
      </c>
      <c r="C50" s="38" t="s">
        <v>155</v>
      </c>
      <c r="D50" s="42">
        <f>TRUNC(12357,-1)</f>
        <v>12350</v>
      </c>
      <c r="E50" s="63">
        <f t="shared" si="1"/>
        <v>40820</v>
      </c>
    </row>
    <row r="51" spans="1:7" x14ac:dyDescent="0.3">
      <c r="A51" s="2">
        <v>12</v>
      </c>
      <c r="C51" s="38" t="s">
        <v>23</v>
      </c>
      <c r="D51" s="42">
        <f>TRUNC(2698,-1)</f>
        <v>2690</v>
      </c>
      <c r="E51" s="63">
        <f t="shared" si="1"/>
        <v>8890</v>
      </c>
    </row>
    <row r="52" spans="1:7" x14ac:dyDescent="0.3">
      <c r="A52" s="2">
        <v>13</v>
      </c>
      <c r="C52" s="38" t="s">
        <v>24</v>
      </c>
      <c r="D52" s="42">
        <f>TRUNC(4699,-1)</f>
        <v>4690</v>
      </c>
      <c r="E52" s="63">
        <f t="shared" si="1"/>
        <v>15500</v>
      </c>
    </row>
    <row r="53" spans="1:7" x14ac:dyDescent="0.3">
      <c r="A53" s="2">
        <v>14</v>
      </c>
      <c r="C53" s="38" t="s">
        <v>25</v>
      </c>
      <c r="D53" s="42">
        <f>TRUNC(41692,-1)</f>
        <v>41690</v>
      </c>
      <c r="E53" s="63">
        <f t="shared" si="1"/>
        <v>137810</v>
      </c>
    </row>
    <row r="54" spans="1:7" x14ac:dyDescent="0.3">
      <c r="A54" s="2">
        <v>15</v>
      </c>
      <c r="C54" s="38" t="s">
        <v>147</v>
      </c>
      <c r="D54" s="42">
        <f>TRUNC(9170,-1)</f>
        <v>9170</v>
      </c>
      <c r="E54" s="63">
        <f t="shared" si="1"/>
        <v>30310</v>
      </c>
    </row>
    <row r="55" spans="1:7" x14ac:dyDescent="0.3">
      <c r="A55" s="2">
        <v>16</v>
      </c>
      <c r="C55" s="38" t="s">
        <v>144</v>
      </c>
      <c r="D55" s="42">
        <f>TRUNC(882,-1)</f>
        <v>880</v>
      </c>
      <c r="E55" s="63">
        <f t="shared" si="1"/>
        <v>2900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TRUNC(22963+54345+3387+390,-1)</f>
        <v>81080</v>
      </c>
      <c r="E58" s="63">
        <f t="shared" si="1"/>
        <v>268030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365950</v>
      </c>
      <c r="E60" s="39">
        <f>SUM(E40:E59)</f>
        <v>1209690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TRUNC(5498,-1)</f>
        <v>5490</v>
      </c>
      <c r="E69" s="62">
        <f t="shared" ref="E69:E94" si="2">TRUNC(+D69*3.3058,-1)</f>
        <v>18140</v>
      </c>
    </row>
    <row r="70" spans="1:7" ht="16.5" customHeight="1" x14ac:dyDescent="0.3">
      <c r="A70" s="2">
        <v>2</v>
      </c>
      <c r="C70" s="38" t="s">
        <v>31</v>
      </c>
      <c r="D70" s="42">
        <f>TRUNC(620,-1)</f>
        <v>620</v>
      </c>
      <c r="E70" s="63">
        <f t="shared" si="2"/>
        <v>2040</v>
      </c>
    </row>
    <row r="71" spans="1:7" x14ac:dyDescent="0.3">
      <c r="A71" s="2">
        <v>3</v>
      </c>
      <c r="C71" s="38" t="s">
        <v>32</v>
      </c>
      <c r="D71" s="42">
        <f>TRUNC(10236,-1)</f>
        <v>10230</v>
      </c>
      <c r="E71" s="63">
        <f t="shared" si="2"/>
        <v>33810</v>
      </c>
    </row>
    <row r="72" spans="1:7" x14ac:dyDescent="0.3">
      <c r="A72" s="2">
        <v>4</v>
      </c>
      <c r="C72" s="38" t="s">
        <v>33</v>
      </c>
      <c r="D72" s="42">
        <f>TRUNC(782,-1)</f>
        <v>780</v>
      </c>
      <c r="E72" s="63">
        <f t="shared" si="2"/>
        <v>2570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f>TRUNC(3865,-1)</f>
        <v>3860</v>
      </c>
      <c r="E77" s="63">
        <f t="shared" si="2"/>
        <v>12760</v>
      </c>
      <c r="F77" s="2" t="s">
        <v>255</v>
      </c>
    </row>
    <row r="78" spans="1:7" x14ac:dyDescent="0.3">
      <c r="A78" s="2">
        <v>10</v>
      </c>
      <c r="C78" s="38" t="s">
        <v>137</v>
      </c>
      <c r="D78" s="42">
        <f>TRUNC(4687,-1)</f>
        <v>4680</v>
      </c>
      <c r="E78" s="63">
        <f t="shared" si="2"/>
        <v>15470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TRUNC(982,-1)</f>
        <v>980</v>
      </c>
      <c r="E85" s="63">
        <f t="shared" si="2"/>
        <v>3230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TRUNC(10750+9715+2045,-1)</f>
        <v>22510</v>
      </c>
      <c r="E94" s="64">
        <f t="shared" si="2"/>
        <v>74410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49150</v>
      </c>
      <c r="E95" s="39">
        <f>SUM(E69:E94)</f>
        <v>162430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TRUNC(13718,-1)</f>
        <v>13710</v>
      </c>
      <c r="E98" s="62">
        <f t="shared" ref="E98:E118" si="3">TRUNC(+D98*3.3058,-1)</f>
        <v>45320</v>
      </c>
    </row>
    <row r="99" spans="1:7" x14ac:dyDescent="0.3">
      <c r="A99" s="2">
        <v>2</v>
      </c>
      <c r="C99" s="38" t="s">
        <v>40</v>
      </c>
      <c r="D99" s="42">
        <f>TRUNC(3627,-1)</f>
        <v>3620</v>
      </c>
      <c r="E99" s="63">
        <f t="shared" si="3"/>
        <v>11960</v>
      </c>
    </row>
    <row r="100" spans="1:7" x14ac:dyDescent="0.3">
      <c r="A100" s="2">
        <v>3</v>
      </c>
      <c r="C100" s="38" t="s">
        <v>41</v>
      </c>
      <c r="D100" s="42">
        <f>TRUNC(18702,-1)</f>
        <v>18700</v>
      </c>
      <c r="E100" s="63">
        <f t="shared" si="3"/>
        <v>61810</v>
      </c>
    </row>
    <row r="101" spans="1:7" x14ac:dyDescent="0.3">
      <c r="A101" s="2">
        <v>4</v>
      </c>
      <c r="C101" s="38" t="s">
        <v>42</v>
      </c>
      <c r="D101" s="42">
        <f>TRUNC(407,-1)</f>
        <v>400</v>
      </c>
      <c r="E101" s="63">
        <f t="shared" si="3"/>
        <v>1320</v>
      </c>
    </row>
    <row r="102" spans="1:7" x14ac:dyDescent="0.3">
      <c r="A102" s="2">
        <v>5</v>
      </c>
      <c r="C102" s="38" t="s">
        <v>43</v>
      </c>
      <c r="D102" s="42">
        <f>TRUNC(6829,-1)</f>
        <v>6820</v>
      </c>
      <c r="E102" s="63">
        <f t="shared" si="3"/>
        <v>22540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TRUNC(3234,-1)</f>
        <v>3230</v>
      </c>
      <c r="E104" s="63">
        <f t="shared" si="3"/>
        <v>10670</v>
      </c>
    </row>
    <row r="105" spans="1:7" x14ac:dyDescent="0.3">
      <c r="A105" s="2">
        <v>8</v>
      </c>
      <c r="C105" s="38" t="s">
        <v>46</v>
      </c>
      <c r="D105" s="42">
        <f>TRUNC(5929,-1)</f>
        <v>5920</v>
      </c>
      <c r="E105" s="63">
        <f t="shared" si="3"/>
        <v>19570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TRUNC(2764,-1)</f>
        <v>2760</v>
      </c>
      <c r="E115" s="63">
        <f t="shared" si="3"/>
        <v>9120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TRUNC(6633+353+73,-1)</f>
        <v>7050</v>
      </c>
      <c r="E118" s="64">
        <f t="shared" si="3"/>
        <v>23300</v>
      </c>
    </row>
    <row r="119" spans="1:7" x14ac:dyDescent="0.3">
      <c r="A119" s="2">
        <v>22</v>
      </c>
      <c r="C119" s="27" t="s">
        <v>112</v>
      </c>
      <c r="D119" s="39">
        <f>SUM(D98:D118)</f>
        <v>62210</v>
      </c>
      <c r="E119" s="39">
        <f>SUM(E98:E118)</f>
        <v>205610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TRUNC(517,-1)</f>
        <v>510</v>
      </c>
      <c r="E122" s="62">
        <f t="shared" ref="E122:E132" si="4">TRUNC(+D122*3.3058,-1)</f>
        <v>1680</v>
      </c>
    </row>
    <row r="123" spans="1:7" x14ac:dyDescent="0.3">
      <c r="A123" s="2">
        <v>2</v>
      </c>
      <c r="C123" s="38" t="s">
        <v>124</v>
      </c>
      <c r="D123" s="42">
        <f>TRUNC(14503,-1)</f>
        <v>14500</v>
      </c>
      <c r="E123" s="63">
        <f t="shared" si="4"/>
        <v>47930</v>
      </c>
    </row>
    <row r="124" spans="1:7" x14ac:dyDescent="0.3">
      <c r="A124" s="2">
        <v>3</v>
      </c>
      <c r="C124" s="38" t="s">
        <v>151</v>
      </c>
      <c r="D124" s="42">
        <f>TRUNC(68,-1)</f>
        <v>60</v>
      </c>
      <c r="E124" s="63">
        <f t="shared" si="4"/>
        <v>190</v>
      </c>
    </row>
    <row r="125" spans="1:7" x14ac:dyDescent="0.3">
      <c r="A125" s="2">
        <v>4</v>
      </c>
      <c r="C125" s="38" t="s">
        <v>138</v>
      </c>
      <c r="D125" s="42">
        <f>TRUNC(3502,-1)</f>
        <v>3500</v>
      </c>
      <c r="E125" s="63">
        <f t="shared" si="4"/>
        <v>11570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TRUNC(1955,-1)</f>
        <v>1950</v>
      </c>
      <c r="E127" s="63">
        <f t="shared" si="4"/>
        <v>6440</v>
      </c>
    </row>
    <row r="128" spans="1:7" x14ac:dyDescent="0.3">
      <c r="A128" s="2">
        <v>7</v>
      </c>
      <c r="C128" s="38" t="s">
        <v>46</v>
      </c>
      <c r="D128" s="42">
        <f>TRUNC(6292,-1)</f>
        <v>6290</v>
      </c>
      <c r="E128" s="63">
        <f t="shared" si="4"/>
        <v>20790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TRUNC(12304,-1)</f>
        <v>12300</v>
      </c>
      <c r="E130" s="63">
        <f t="shared" si="4"/>
        <v>40660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TRUNC(2636,-1)</f>
        <v>2630</v>
      </c>
      <c r="E132" s="64">
        <f t="shared" si="4"/>
        <v>8690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41740</v>
      </c>
      <c r="E133" s="39">
        <f>SUM(E122:E132)</f>
        <v>137950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TRUNC(27436,-1)</f>
        <v>27430</v>
      </c>
      <c r="E136" s="62">
        <f t="shared" ref="E136:E145" si="5">TRUNC(+D136*3.3058,-1)</f>
        <v>90670</v>
      </c>
      <c r="F136" s="2" t="s">
        <v>257</v>
      </c>
    </row>
    <row r="137" spans="1:7" x14ac:dyDescent="0.3">
      <c r="A137" s="2">
        <v>2</v>
      </c>
      <c r="C137" s="38" t="s">
        <v>47</v>
      </c>
      <c r="D137" s="42">
        <f>TRUNC(18518,-1)</f>
        <v>18510</v>
      </c>
      <c r="E137" s="63">
        <f t="shared" si="5"/>
        <v>61190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45940</v>
      </c>
      <c r="E146" s="39">
        <f>SUM(E136:E145)</f>
        <v>151860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TRUNC(8538,-1)</f>
        <v>8530</v>
      </c>
      <c r="E152" s="63">
        <f>TRUNC(+D152*3.3058,-1)</f>
        <v>28190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8530</v>
      </c>
      <c r="E154" s="39">
        <f>SUM(E149:E153)</f>
        <v>28190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TRUNC(1785,-1)</f>
        <v>1780</v>
      </c>
      <c r="E159" s="63">
        <f>TRUNC(+D159*3.3058,-1)</f>
        <v>5880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1780</v>
      </c>
      <c r="E161" s="39">
        <f>SUM(E157:E160)</f>
        <v>5880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2020-12-07T09:44:57Z</dcterms:modified>
</cp:coreProperties>
</file>