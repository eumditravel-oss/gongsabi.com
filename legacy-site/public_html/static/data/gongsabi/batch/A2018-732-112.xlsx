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2" i="4"/>
  <c r="D141" i="4"/>
  <c r="D140" i="4"/>
  <c r="D137" i="4"/>
  <c r="D131" i="4"/>
  <c r="D128" i="4"/>
  <c r="D125" i="4"/>
  <c r="D124" i="4"/>
  <c r="D122" i="4"/>
  <c r="D117" i="4"/>
  <c r="D116" i="4"/>
  <c r="D114" i="4"/>
  <c r="D105" i="4"/>
  <c r="D104" i="4"/>
  <c r="D103" i="4"/>
  <c r="D102" i="4"/>
  <c r="D101" i="4"/>
  <c r="D100" i="4"/>
  <c r="D99" i="4"/>
  <c r="D94" i="4"/>
  <c r="D93" i="4"/>
  <c r="D92" i="4"/>
  <c r="D91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<sst xmlns="http://schemas.openxmlformats.org/spreadsheetml/2006/main" count="390" uniqueCount="265">
  <si>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</si>
  <si>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</si>
  <si>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</si>
  <si>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</si>
  <si>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</si>
  <si>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</si>
  <si>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</si>
  <si>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</si>
  <si>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</si>
  <si>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</si>
  <si>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</si>
  <si>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</si>
  <si>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</si>
  <si>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</si>
  <si>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</si>
  <si>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</si>
  <si>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</si>
  <si>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</si>
  <si>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</si>
  <si>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</si>
  <si>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</si>
  <si>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</si>
  <si>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</si>
  <si>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</si>
  <si>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</si>
  <si>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</si>
  <si>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</si>
  <si>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</si>
  <si>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</si>
  <si>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</si>
  <si>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</si>
  <si>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</si>
  <si>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</si>
  <si>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</si>
  <si>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</si>
  <si>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</si>
  <si>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</si>
  <si>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</si>
  <si>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</si>
  <si>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</si>
  <si>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</si>
  <si>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</si>
  <si>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</si>
  <si>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</si>
  <si>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</si>
  <si>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</si>
  <si>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</si>
  <si>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</si>
  <si>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</si>
  <si>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</si>
  <si>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</si>
  <si>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</si>
  <si>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</si>
  <si>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</si>
  <si>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</si>
  <si>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</si>
  <si>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</si>
  <si>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</si>
  <si>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</si>
  <si>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</si>
  <si>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</si>
  <si>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</si>
  <si>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</si>
  <si>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</si>
  <si>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</si>
  <si>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</si>
  <si>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</si>
  <si>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</si>
  <si>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</si>
  <si>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</si>
  <si>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</si>
  <si>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</si>
  <si>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</si>
  <si>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</si>
  <si>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</si>
  <si>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</si>
  <si>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</si>
  <si>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</si>
  <si>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</si>
  <si>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</si>
  <si>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</si>
  <si>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</si>
  <si>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</si>
  <si>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</si>
  <si>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</si>
  <si>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</si>
  <si>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</si>
  <si>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</si>
  <si>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</si>
  <si>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</si>
  <si>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</si>
  <si>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</si>
  <si>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</si>
  <si>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</si>
  <si>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</si>
  <si>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</si>
  <si>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</si>
  <si>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</si>
  <si>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</si>
  <si>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</si>
  <si>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</si>
  <si>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</si>
  <si>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</si>
  <si>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</si>
  <si>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</si>
  <si>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</si>
  <si>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</si>
  <si>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</si>
  <si>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</si>
  <si>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</si>
  <si>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</si>
  <si>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</si>
  <si>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</si>
  <si>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</si>
  <si>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</si>
  <si>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</si>
  <si>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</si>
  <si>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</si>
  <si>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</si>
  <si>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</si>
  <si>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</si>
  <si>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</si>
  <si>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</si>
  <si>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</si>
  <si>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</si>
  <si>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</si>
  <si>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</si>
  <si>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</si>
  <si>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</si>
  <si>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</si>
  <si>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</si>
  <si>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</si>
  <si>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</si>
  <si>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</si>
  <si>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</si>
  <si>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</si>
  <si>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</si>
  <si>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</si>
  <si>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</si>
  <si>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</si>
  <si>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</si>
  <si>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</si>
  <si>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</si>
  <si>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</si>
  <si>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</si>
  <si>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</si>
  <si>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</si>
  <si>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</si>
  <si>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</si>
  <si>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</si>
  <si>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</si>
  <si>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</si>
  <si>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</si>
  <si>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</si>
  <si>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</si>
  <si>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</si>
  <si>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</si>
  <si>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</si>
  <si>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</si>
  <si>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</si>
  <si>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</si>
  <si>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</si>
  <si>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</si>
  <si>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</si>
  <si>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</si>
  <si>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</si>
  <si>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</si>
  <si>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</si>
  <si>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</si>
  <si>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</si>
  <si>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</si>
  <si>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</si>
  <si>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</si>
  <si>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</si>
  <si>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</si>
  <si>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</si>
  <si>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</si>
  <si>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</si>
  <si>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</si>
  <si>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</si>
  <si>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</si>
  <si>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</si>
  <si>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</si>
  <si>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</si>
  <si>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</si>
  <si>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</si>
  <si>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</si>
  <si>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</si>
  <si>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</si>
  <si>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</si>
  <si>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</si>
  <si>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</si>
  <si>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</si>
  <si>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</si>
  <si>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</si>
  <si>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</si>
  <si>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</si>
  <si>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</si>
  <si>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</si>
  <si>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</si>
  <si>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</si>
  <si>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</si>
  <si>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</si>
  <si>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</si>
  <si>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</si>
  <si>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</si>
  <si>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</si>
  <si>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</si>
  <si>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</si>
  <si>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</si>
  <si>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</si>
  <si>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</si>
  <si>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</si>
  <si>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</si>
  <si>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</si>
  <si>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</si>
  <si>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</si>
  <si>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</si>
  <si>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</si>
  <si>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</si>
  <si>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</si>
  <si>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</si>
  <si>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</si>
  <si>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</si>
  <si>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</si>
  <si>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</si>
  <si>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</si>
  <si>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</si>
  <si>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</si>
  <si>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</si>
  <si>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</si>
  <si>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</si>
  <si>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</si>
  <si>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</si>
  <si>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</si>
  <si>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</si>
  <si>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</si>
  <si>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</si>
  <si>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</si>
  <si>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</si>
  <si>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</si>
  <si>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</si>
  <si>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</si>
  <si>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</si>
  <si>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</si>
  <si>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</si>
  <si>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</si>
  <si>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</si>
  <si>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</si>
  <si>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가칭)경기도학생종합안전체험관 신축공사</t>
    <phoneticPr fontId="2" type="noConversion"/>
  </si>
  <si>
    <t>문화및집회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</si>
  <si>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</si>
  <si>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</si>
  <si>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</si>
  <si>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</si>
  <si>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바닥난방공사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</si>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</sst>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7616.49</v>
      </c>
      <c r="D7" s="36">
        <f>+C7/3.3058</f>
        <v>2303.9778570996427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1169250</v>
      </c>
      <c r="E25" s="59">
        <f t="shared" si="0"/>
        <v>3865300</v>
      </c>
    </row>
    <row r="26" spans="1:5" x14ac:dyDescent="0.3">
      <c r="B26" s="2">
        <v>3</v>
      </c>
      <c r="C26" s="35" t="s">
        <v>95</v>
      </c>
      <c r="D26" s="45">
        <f>+D66</f>
        <v>5630</v>
      </c>
      <c r="E26" s="59">
        <f t="shared" si="0"/>
        <v>18610</v>
      </c>
    </row>
    <row r="27" spans="1:5" x14ac:dyDescent="0.3">
      <c r="B27" s="2">
        <v>4</v>
      </c>
      <c r="C27" s="35" t="s">
        <v>96</v>
      </c>
      <c r="D27" s="45">
        <f>+D95</f>
        <v>326260</v>
      </c>
      <c r="E27" s="59">
        <f t="shared" si="0"/>
        <v>1078550</v>
      </c>
    </row>
    <row r="28" spans="1:5" x14ac:dyDescent="0.3">
      <c r="B28" s="2">
        <v>5</v>
      </c>
      <c r="C28" s="35" t="s">
        <v>97</v>
      </c>
      <c r="D28" s="45">
        <f>+D119</f>
        <v>220090</v>
      </c>
      <c r="E28" s="59">
        <f t="shared" si="0"/>
        <v>727570</v>
      </c>
    </row>
    <row r="29" spans="1:5" x14ac:dyDescent="0.3">
      <c r="B29" s="2">
        <v>6</v>
      </c>
      <c r="C29" s="35" t="s">
        <v>98</v>
      </c>
      <c r="D29" s="45">
        <f>+D133</f>
        <v>50790</v>
      </c>
      <c r="E29" s="59">
        <f t="shared" si="0"/>
        <v>167900</v>
      </c>
    </row>
    <row r="30" spans="1:5" x14ac:dyDescent="0.3">
      <c r="B30" s="2">
        <v>7</v>
      </c>
      <c r="C30" s="35" t="s">
        <v>99</v>
      </c>
      <c r="D30" s="45">
        <f>+D146</f>
        <v>66790</v>
      </c>
      <c r="E30" s="59">
        <f t="shared" si="0"/>
        <v>220790</v>
      </c>
    </row>
    <row r="31" spans="1:5" x14ac:dyDescent="0.3">
      <c r="B31" s="2">
        <v>8</v>
      </c>
      <c r="C31" s="35" t="s">
        <v>100</v>
      </c>
      <c r="D31" s="45">
        <f>+D154</f>
        <v>70200</v>
      </c>
      <c r="E31" s="59">
        <f t="shared" si="0"/>
        <v>232060</v>
      </c>
    </row>
    <row r="32" spans="1:5" x14ac:dyDescent="0.3">
      <c r="B32" s="2">
        <v>9</v>
      </c>
      <c r="C32" s="35" t="s">
        <v>101</v>
      </c>
      <c r="D32" s="45">
        <f>+D161</f>
        <v>17360</v>
      </c>
      <c r="E32" s="59">
        <f t="shared" si="0"/>
        <v>57380</v>
      </c>
    </row>
    <row r="33" spans="1:7" x14ac:dyDescent="0.3">
      <c r="B33" s="2">
        <v>10</v>
      </c>
      <c r="C33" s="35" t="s">
        <v>154</v>
      </c>
      <c r="D33" s="53">
        <f>TRUNC(SUM(D24:D32)*0.275,-1)</f>
        <v>529750</v>
      </c>
      <c r="E33" s="60">
        <f t="shared" si="0"/>
        <v>1751240</v>
      </c>
    </row>
    <row r="34" spans="1:7" x14ac:dyDescent="0.3">
      <c r="C34" s="35" t="s">
        <v>112</v>
      </c>
      <c r="D34" s="44">
        <f>SUM(D24:D33)</f>
        <v>2456120</v>
      </c>
      <c r="E34" s="44">
        <f>SUM(E24:E33)</f>
        <v>8119400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TRUNC(95658,-1)</f>
        <v>95650</v>
      </c>
      <c r="E40" s="62">
        <f t="shared" ref="E40:E59" si="1">TRUNC(+D40*3.3058,-1)</f>
        <v>316190</v>
      </c>
    </row>
    <row r="41" spans="1:7" x14ac:dyDescent="0.3">
      <c r="A41" s="2">
        <v>2</v>
      </c>
      <c r="C41" s="38" t="s">
        <v>13</v>
      </c>
      <c r="D41" s="42">
        <f>TRUNC(157904,-1)</f>
        <v>157900</v>
      </c>
      <c r="E41" s="63">
        <f t="shared" si="1"/>
        <v>521980</v>
      </c>
    </row>
    <row r="42" spans="1:7" x14ac:dyDescent="0.3">
      <c r="A42" s="2">
        <v>3</v>
      </c>
      <c r="C42" s="38" t="s">
        <v>14</v>
      </c>
      <c r="D42" s="42">
        <f>TRUNC(6354,-1)</f>
        <v>6350</v>
      </c>
      <c r="E42" s="63">
        <f t="shared" si="1"/>
        <v>20990</v>
      </c>
    </row>
    <row r="43" spans="1:7" x14ac:dyDescent="0.3">
      <c r="A43" s="2">
        <v>4</v>
      </c>
      <c r="C43" s="38" t="s">
        <v>16</v>
      </c>
      <c r="D43" s="42">
        <f>TRUNC(40349,-1)</f>
        <v>40340</v>
      </c>
      <c r="E43" s="63">
        <f t="shared" si="1"/>
        <v>133350</v>
      </c>
    </row>
    <row r="44" spans="1:7" x14ac:dyDescent="0.3">
      <c r="A44" s="2">
        <v>5</v>
      </c>
      <c r="C44" s="38" t="s">
        <v>17</v>
      </c>
      <c r="D44" s="42">
        <f>TRUNC(29763,-1)</f>
        <v>29760</v>
      </c>
      <c r="E44" s="63">
        <f t="shared" si="1"/>
        <v>98380</v>
      </c>
    </row>
    <row r="45" spans="1:7" x14ac:dyDescent="0.3">
      <c r="A45" s="2">
        <v>6</v>
      </c>
      <c r="C45" s="38" t="s">
        <v>18</v>
      </c>
      <c r="D45" s="42">
        <f>TRUNC(7536,-1)</f>
        <v>7530</v>
      </c>
      <c r="E45" s="63">
        <f t="shared" si="1"/>
        <v>24890</v>
      </c>
    </row>
    <row r="46" spans="1:7" x14ac:dyDescent="0.3">
      <c r="A46" s="2">
        <v>7</v>
      </c>
      <c r="C46" s="38" t="s">
        <v>19</v>
      </c>
      <c r="D46" s="42">
        <f>TRUNC(14199,-1)</f>
        <v>14190</v>
      </c>
      <c r="E46" s="63">
        <f t="shared" si="1"/>
        <v>46900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TRUNC(86106,-1)</f>
        <v>86100</v>
      </c>
      <c r="E48" s="63">
        <f t="shared" si="1"/>
        <v>284620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TRUNC(11312,-1)</f>
        <v>11310</v>
      </c>
      <c r="E49" s="63">
        <f t="shared" si="1"/>
        <v>37380</v>
      </c>
    </row>
    <row r="50" spans="1:7" x14ac:dyDescent="0.3">
      <c r="A50" s="2">
        <v>11</v>
      </c>
      <c r="C50" s="38" t="s">
        <v>155</v>
      </c>
      <c r="D50" s="42">
        <f>TRUNC(58537,-1)</f>
        <v>58530</v>
      </c>
      <c r="E50" s="63">
        <f t="shared" si="1"/>
        <v>193480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TRUNC(12136,-1)</f>
        <v>12130</v>
      </c>
      <c r="E52" s="63">
        <f t="shared" si="1"/>
        <v>40090</v>
      </c>
    </row>
    <row r="53" spans="1:7" x14ac:dyDescent="0.3">
      <c r="A53" s="2">
        <v>14</v>
      </c>
      <c r="C53" s="38" t="s">
        <v>25</v>
      </c>
      <c r="D53" s="42">
        <f>TRUNC(220116,-1)</f>
        <v>220110</v>
      </c>
      <c r="E53" s="63">
        <f t="shared" si="1"/>
        <v>727630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TRUNC(70380+8554-892+3501+14741,-1)</f>
        <v>96280</v>
      </c>
      <c r="E58" s="63">
        <f t="shared" si="1"/>
        <v>318280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TRUNC(333075,-1)</f>
        <v>333070</v>
      </c>
      <c r="E59" s="64">
        <f t="shared" si="1"/>
        <v>1101060</v>
      </c>
    </row>
    <row r="60" spans="1:7" x14ac:dyDescent="0.3">
      <c r="A60" s="2">
        <v>21</v>
      </c>
      <c r="C60" s="27" t="s">
        <v>112</v>
      </c>
      <c r="D60" s="39">
        <f>SUM(D40:D59)</f>
        <v>1169250</v>
      </c>
      <c r="E60" s="39">
        <f>SUM(E40:E59)</f>
        <v>3865220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TRUNC(5633,-1)</f>
        <v>5630</v>
      </c>
      <c r="E63" s="62">
        <f>TRUNC(+D63*3.3058,-1)</f>
        <v>18610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5630</v>
      </c>
      <c r="E66" s="65">
        <f>SUM(E63:E65)</f>
        <v>18610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TRUNC(11439,-1)</f>
        <v>11430</v>
      </c>
      <c r="E69" s="62">
        <f t="shared" ref="E69:E94" si="2">TRUNC(+D69*3.3058,-1)</f>
        <v>37780</v>
      </c>
    </row>
    <row r="70" spans="1:7" ht="16.5" customHeight="1" x14ac:dyDescent="0.3">
      <c r="A70" s="2">
        <v>2</v>
      </c>
      <c r="C70" s="38" t="s">
        <v>31</v>
      </c>
      <c r="D70" s="42">
        <f>TRUNC(3447,-1)</f>
        <v>3440</v>
      </c>
      <c r="E70" s="63">
        <f t="shared" si="2"/>
        <v>11370</v>
      </c>
    </row>
    <row r="71" spans="1:7" x14ac:dyDescent="0.3">
      <c r="A71" s="2">
        <v>3</v>
      </c>
      <c r="C71" s="38" t="s">
        <v>32</v>
      </c>
      <c r="D71" s="42">
        <f>TRUNC(5675,-1)</f>
        <v>5670</v>
      </c>
      <c r="E71" s="63">
        <f t="shared" si="2"/>
        <v>18740</v>
      </c>
    </row>
    <row r="72" spans="1:7" x14ac:dyDescent="0.3">
      <c r="A72" s="2">
        <v>4</v>
      </c>
      <c r="C72" s="38" t="s">
        <v>33</v>
      </c>
      <c r="D72" s="42">
        <f>TRUNC(5283,-1)</f>
        <v>5280</v>
      </c>
      <c r="E72" s="63">
        <f t="shared" si="2"/>
        <v>17450</v>
      </c>
    </row>
    <row r="73" spans="1:7" x14ac:dyDescent="0.3">
      <c r="A73" s="2">
        <v>5</v>
      </c>
      <c r="C73" s="38" t="s">
        <v>34</v>
      </c>
      <c r="D73" s="42">
        <f>TRUNC(7457,-1)</f>
        <v>7450</v>
      </c>
      <c r="E73" s="63">
        <f t="shared" si="2"/>
        <v>24620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TRUNC(62633,-1)</f>
        <v>62630</v>
      </c>
      <c r="E76" s="63">
        <f t="shared" si="2"/>
        <v>207040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TRUNC(10593,-1)</f>
        <v>10590</v>
      </c>
      <c r="E89" s="63">
        <f t="shared" si="2"/>
        <v>35000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TRUNC(12403,-1)</f>
        <v>12400</v>
      </c>
      <c r="E91" s="63">
        <f t="shared" si="2"/>
        <v>40990</v>
      </c>
    </row>
    <row r="92" spans="1:7" x14ac:dyDescent="0.3">
      <c r="A92" s="2">
        <v>24</v>
      </c>
      <c r="C92" s="38" t="s">
        <v>38</v>
      </c>
      <c r="D92" s="42">
        <f>TRUNC(5516,-1)</f>
        <v>5510</v>
      </c>
      <c r="E92" s="63">
        <f t="shared" si="2"/>
        <v>18210</v>
      </c>
    </row>
    <row r="93" spans="1:7" x14ac:dyDescent="0.3">
      <c r="A93" s="2">
        <v>25</v>
      </c>
      <c r="C93" s="38" t="s">
        <v>148</v>
      </c>
      <c r="D93" s="42">
        <f>TRUNC(198199,-1)</f>
        <v>198190</v>
      </c>
      <c r="E93" s="63">
        <f t="shared" si="2"/>
        <v>655170</v>
      </c>
    </row>
    <row r="94" spans="1:7" ht="17.25" thickBot="1" x14ac:dyDescent="0.35">
      <c r="A94" s="2">
        <v>26</v>
      </c>
      <c r="C94" s="38" t="s">
        <v>47</v>
      </c>
      <c r="D94" s="43">
        <f>TRUNC(3676,-1)</f>
        <v>3670</v>
      </c>
      <c r="E94" s="64">
        <f t="shared" si="2"/>
        <v>12130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326260</v>
      </c>
      <c r="E95" s="39">
        <f>SUM(E69:E94)</f>
        <v>1078500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TRUNC(8901,-1)</f>
        <v>8900</v>
      </c>
      <c r="E99" s="63">
        <f t="shared" si="3"/>
        <v>29420</v>
      </c>
    </row>
    <row r="100" spans="1:7" x14ac:dyDescent="0.3">
      <c r="A100" s="2">
        <v>3</v>
      </c>
      <c r="C100" s="38" t="s">
        <v>41</v>
      </c>
      <c r="D100" s="42">
        <f>TRUNC(34461,-1)</f>
        <v>34460</v>
      </c>
      <c r="E100" s="63">
        <f t="shared" si="3"/>
        <v>113910</v>
      </c>
    </row>
    <row r="101" spans="1:7" x14ac:dyDescent="0.3">
      <c r="A101" s="2">
        <v>4</v>
      </c>
      <c r="C101" s="38" t="s">
        <v>42</v>
      </c>
      <c r="D101" s="42">
        <f>TRUNC(308,-1)</f>
        <v>300</v>
      </c>
      <c r="E101" s="63">
        <f t="shared" si="3"/>
        <v>990</v>
      </c>
    </row>
    <row r="102" spans="1:7" x14ac:dyDescent="0.3">
      <c r="A102" s="2">
        <v>5</v>
      </c>
      <c r="C102" s="38" t="s">
        <v>43</v>
      </c>
      <c r="D102" s="42">
        <f>TRUNC(8816,-1)</f>
        <v>8810</v>
      </c>
      <c r="E102" s="63">
        <f t="shared" si="3"/>
        <v>29120</v>
      </c>
    </row>
    <row r="103" spans="1:7" x14ac:dyDescent="0.3">
      <c r="A103" s="2">
        <v>6</v>
      </c>
      <c r="C103" s="38" t="s">
        <v>44</v>
      </c>
      <c r="D103" s="42">
        <f>TRUNC(8239,-1)</f>
        <v>8230</v>
      </c>
      <c r="E103" s="63">
        <f t="shared" si="3"/>
        <v>27200</v>
      </c>
    </row>
    <row r="104" spans="1:7" x14ac:dyDescent="0.3">
      <c r="A104" s="2">
        <v>7</v>
      </c>
      <c r="C104" s="38" t="s">
        <v>45</v>
      </c>
      <c r="D104" s="42">
        <f>TRUNC(3114,-1)</f>
        <v>3110</v>
      </c>
      <c r="E104" s="63">
        <f t="shared" si="3"/>
        <v>10280</v>
      </c>
    </row>
    <row r="105" spans="1:7" x14ac:dyDescent="0.3">
      <c r="A105" s="2">
        <v>8</v>
      </c>
      <c r="C105" s="38" t="s">
        <v>46</v>
      </c>
      <c r="D105" s="42">
        <f>TRUNC(4955,-1)</f>
        <v>4950</v>
      </c>
      <c r="E105" s="63">
        <f t="shared" si="3"/>
        <v>16360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TRUNC(3035,-1)</f>
        <v>3030</v>
      </c>
      <c r="E114" s="63">
        <f t="shared" si="3"/>
        <v>10010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TRUNC(17495,-1)</f>
        <v>17490</v>
      </c>
      <c r="E116" s="63">
        <f t="shared" si="3"/>
        <v>57810</v>
      </c>
    </row>
    <row r="117" spans="1:7" x14ac:dyDescent="0.3">
      <c r="A117" s="2">
        <v>20</v>
      </c>
      <c r="C117" s="38" t="s">
        <v>148</v>
      </c>
      <c r="D117" s="42">
        <f>TRUNC(130814,-1)</f>
        <v>130810</v>
      </c>
      <c r="E117" s="63">
        <f t="shared" si="3"/>
        <v>432430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220090</v>
      </c>
      <c r="E119" s="39">
        <f>SUM(E98:E118)</f>
        <v>727530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TRUNC(1442,-1)</f>
        <v>1440</v>
      </c>
      <c r="E122" s="62">
        <f t="shared" ref="E122:E132" si="4">TRUNC(+D122*3.3058,-1)</f>
        <v>4760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TRUNC(7985,-1)</f>
        <v>7980</v>
      </c>
      <c r="E124" s="63">
        <f t="shared" si="4"/>
        <v>26380</v>
      </c>
    </row>
    <row r="125" spans="1:7" x14ac:dyDescent="0.3">
      <c r="A125" s="2">
        <v>4</v>
      </c>
      <c r="C125" s="38" t="s">
        <v>138</v>
      </c>
      <c r="D125" s="42">
        <f>TRUNC(6637,-1)</f>
        <v>6630</v>
      </c>
      <c r="E125" s="63">
        <f t="shared" si="4"/>
        <v>21910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TRUNC(5041,-1)</f>
        <v>5040</v>
      </c>
      <c r="E128" s="63">
        <f t="shared" si="4"/>
        <v>16660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11280</v>
      </c>
      <c r="E130" s="63">
        <f t="shared" si="4"/>
        <v>37280</v>
      </c>
    </row>
    <row r="131" spans="1:7" x14ac:dyDescent="0.3">
      <c r="A131" s="2">
        <v>10</v>
      </c>
      <c r="C131" s="38" t="s">
        <v>148</v>
      </c>
      <c r="D131" s="42">
        <f>TRUNC(18421,-1)</f>
        <v>18420</v>
      </c>
      <c r="E131" s="63">
        <f t="shared" si="4"/>
        <v>60890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50790</v>
      </c>
      <c r="E133" s="39">
        <f>SUM(E122:E132)</f>
        <v>167880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TRUNC(247+2396+143,-1)</f>
        <v>2780</v>
      </c>
      <c r="E137" s="63">
        <f t="shared" si="5"/>
        <v>9190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2250</v>
      </c>
      <c r="E139" s="63">
        <f t="shared" si="5"/>
        <v>7430</v>
      </c>
    </row>
    <row r="140" spans="1:7" x14ac:dyDescent="0.3">
      <c r="A140" s="2">
        <v>5</v>
      </c>
      <c r="C140" s="38" t="s">
        <v>57</v>
      </c>
      <c r="D140" s="42">
        <f>TRUNC(2396,-1)</f>
        <v>2390</v>
      </c>
      <c r="E140" s="63">
        <f t="shared" si="5"/>
        <v>7900</v>
      </c>
    </row>
    <row r="141" spans="1:7" x14ac:dyDescent="0.3">
      <c r="A141" s="2">
        <v>6</v>
      </c>
      <c r="C141" s="38" t="s">
        <v>59</v>
      </c>
      <c r="D141" s="42">
        <f>TRUNC(35264,-1)</f>
        <v>35260</v>
      </c>
      <c r="E141" s="63">
        <f t="shared" si="5"/>
        <v>116560</v>
      </c>
    </row>
    <row r="142" spans="1:7" x14ac:dyDescent="0.3">
      <c r="A142" s="2">
        <v>7</v>
      </c>
      <c r="C142" s="38" t="s">
        <v>58</v>
      </c>
      <c r="D142" s="42">
        <f>TRUNC(10123,-1)</f>
        <v>10120</v>
      </c>
      <c r="E142" s="63">
        <f t="shared" si="5"/>
        <v>33450</v>
      </c>
    </row>
    <row r="143" spans="1:7" x14ac:dyDescent="0.3">
      <c r="A143" s="2">
        <v>8</v>
      </c>
      <c r="C143" s="38" t="s">
        <v>62</v>
      </c>
      <c r="D143" s="42">
        <v>7730</v>
      </c>
      <c r="E143" s="63">
        <f t="shared" si="5"/>
        <v>25550</v>
      </c>
    </row>
    <row r="144" spans="1:7" x14ac:dyDescent="0.3">
      <c r="A144" s="2">
        <v>9</v>
      </c>
      <c r="C144" s="38" t="s">
        <v>63</v>
      </c>
      <c r="D144" s="42">
        <v>6260</v>
      </c>
      <c r="E144" s="63">
        <f t="shared" si="5"/>
        <v>20690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66790</v>
      </c>
      <c r="E146" s="39">
        <f>SUM(E136:E145)</f>
        <v>220770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TRUNC(9333+3190,-1)</f>
        <v>12520</v>
      </c>
      <c r="E149" s="62">
        <f>TRUNC(+D149*3.3058,-1)</f>
        <v>41380</v>
      </c>
    </row>
    <row r="150" spans="1:7" x14ac:dyDescent="0.3">
      <c r="A150" s="2">
        <v>2</v>
      </c>
      <c r="C150" s="38" t="s">
        <v>49</v>
      </c>
      <c r="D150" s="42">
        <f>TRUNC(16943,-1)</f>
        <v>16940</v>
      </c>
      <c r="E150" s="63">
        <f>TRUNC(+D150*3.3058,-1)</f>
        <v>56000</v>
      </c>
    </row>
    <row r="151" spans="1:7" x14ac:dyDescent="0.3">
      <c r="A151" s="2">
        <v>3</v>
      </c>
      <c r="C151" s="38" t="s">
        <v>50</v>
      </c>
      <c r="D151" s="42">
        <f>TRUNC(7943,-1)</f>
        <v>7940</v>
      </c>
      <c r="E151" s="63">
        <f>TRUNC(+D151*3.3058,-1)</f>
        <v>26240</v>
      </c>
    </row>
    <row r="152" spans="1:7" x14ac:dyDescent="0.3">
      <c r="A152" s="2">
        <v>4</v>
      </c>
      <c r="C152" s="38" t="s">
        <v>47</v>
      </c>
      <c r="D152" s="42">
        <f>TRUNC(189+2429,-1)</f>
        <v>2610</v>
      </c>
      <c r="E152" s="63">
        <f>TRUNC(+D152*3.3058,-1)</f>
        <v>8620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30190</v>
      </c>
      <c r="E153" s="64">
        <f>TRUNC(+D153*3.3058,-1)</f>
        <v>99800</v>
      </c>
    </row>
    <row r="154" spans="1:7" x14ac:dyDescent="0.3">
      <c r="A154" s="2">
        <v>6</v>
      </c>
      <c r="C154" s="27" t="s">
        <v>112</v>
      </c>
      <c r="D154" s="39">
        <f>SUM(D149:D153)</f>
        <v>70200</v>
      </c>
      <c r="E154" s="39">
        <f>SUM(E149:E153)</f>
        <v>232040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TRUNC(12806,-1)</f>
        <v>12800</v>
      </c>
      <c r="E157" s="62">
        <f>TRUNC(+D157*3.3058,-1)</f>
        <v>42310</v>
      </c>
    </row>
    <row r="158" spans="1:7" x14ac:dyDescent="0.3">
      <c r="A158" s="2">
        <v>2</v>
      </c>
      <c r="C158" s="38" t="s">
        <v>52</v>
      </c>
      <c r="D158" s="42">
        <f>TRUNC(4464,-1)</f>
        <v>4460</v>
      </c>
      <c r="E158" s="63">
        <f>TRUNC(+D158*3.3058,-1)</f>
        <v>14740</v>
      </c>
    </row>
    <row r="159" spans="1:7" x14ac:dyDescent="0.3">
      <c r="A159" s="2">
        <v>3</v>
      </c>
      <c r="C159" s="38" t="s">
        <v>47</v>
      </c>
      <c r="D159" s="42">
        <f>TRUNC(108,-1)</f>
        <v>100</v>
      </c>
      <c r="E159" s="63">
        <f>TRUNC(+D159*3.3058,-1)</f>
        <v>330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17360</v>
      </c>
      <c r="E161" s="39">
        <f>SUM(E157:E160)</f>
        <v>57380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2020-12-08T02:18:04Z</dcterms:modified>
</cp:coreProperties>
</file>