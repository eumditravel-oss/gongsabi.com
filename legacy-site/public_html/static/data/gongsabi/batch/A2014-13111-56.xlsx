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79" i="4"/>
  <c r="D94" i="4"/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1" i="4"/>
  <c r="E99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65" i="4"/>
  <c r="E64" i="4"/>
  <c r="E66" i="4" s="1"/>
  <c r="E63" i="4"/>
  <c r="E59" i="4"/>
  <c r="E57" i="4"/>
  <c r="E56" i="4"/>
  <c r="E54" i="4"/>
  <c r="E51" i="4"/>
  <c r="E42" i="4"/>
  <c r="E37" i="4"/>
  <c r="E161" i="4" l="1"/>
  <c r="E146" i="4"/>
  <c r="D152" i="4"/>
  <c r="E152" i="4" s="1"/>
  <c r="E154" i="4" s="1"/>
  <c r="D123" i="4"/>
  <c r="E123" i="4" s="1"/>
  <c r="E133" i="4" s="1"/>
  <c r="D102" i="4"/>
  <c r="E102" i="4" s="1"/>
  <c r="D100" i="4"/>
  <c r="E100" i="4" s="1"/>
  <c r="D98" i="4"/>
  <c r="E98" i="4" s="1"/>
  <c r="E119" i="4" s="1"/>
  <c r="D70" i="4"/>
  <c r="E70" i="4" s="1"/>
  <c r="D69" i="4"/>
  <c r="E69" i="4" s="1"/>
  <c r="E95" i="4" s="1"/>
  <c r="D58" i="4"/>
  <c r="E58" i="4" s="1"/>
  <c r="D55" i="4"/>
  <c r="E55" i="4" s="1"/>
  <c r="D53" i="4"/>
  <c r="E53" i="4" s="1"/>
  <c r="D52" i="4"/>
  <c r="E52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E60" i="4" s="1"/>
  <c r="D161" i="4" l="1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<sst xmlns="http://schemas.openxmlformats.org/spreadsheetml/2006/main" count="389" uniqueCount="264">
  <si>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</si>
  <si>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</si>
  <si>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</si>
  <si>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</si>
  <si>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</si>
  <si>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</si>
  <si>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</si>
  <si>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</si>
  <si>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</si>
  <si>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</si>
  <si>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</si>
  <si>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</si>
  <si>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</si>
  <si>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</si>
  <si>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</si>
  <si>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</si>
  <si>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</si>
  <si>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</si>
  <si>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</si>
  <si>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</si>
  <si>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</si>
  <si>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</si>
  <si>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</si>
  <si>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</si>
  <si>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</si>
  <si>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</si>
  <si>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</si>
  <si>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</si>
  <si>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</si>
  <si>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</si>
  <si>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</si>
  <si>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</si>
  <si>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</si>
  <si>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</si>
  <si>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</si>
  <si>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</si>
  <si>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</si>
  <si>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</si>
  <si>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</si>
  <si>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</si>
  <si>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</si>
  <si>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</si>
  <si>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</si>
  <si>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</si>
  <si>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</si>
  <si>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</si>
  <si>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</si>
  <si>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</si>
  <si>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</si>
  <si>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</si>
  <si>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</si>
  <si>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</si>
  <si>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</si>
  <si>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</si>
  <si>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</si>
  <si>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</si>
  <si>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</si>
  <si>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</si>
  <si>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</si>
  <si>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</si>
  <si>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</si>
  <si>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</si>
  <si>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</si>
  <si>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</si>
  <si>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</si>
  <si>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</si>
  <si>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</si>
  <si>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</si>
  <si>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</si>
  <si>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</si>
  <si>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</si>
  <si>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</si>
  <si>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</si>
  <si>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</si>
  <si>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</si>
  <si>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</si>
  <si>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</si>
  <si>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</si>
  <si>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</si>
  <si>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</si>
  <si>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</si>
  <si>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</si>
  <si>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</si>
  <si>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</si>
  <si>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</si>
  <si>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</si>
  <si>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</si>
  <si>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</si>
  <si>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</si>
  <si>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</si>
  <si>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</si>
  <si>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</si>
  <si>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</si>
  <si>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</si>
  <si>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</si>
  <si>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</si>
  <si>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</si>
  <si>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</si>
  <si>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</si>
  <si>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</si>
  <si>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</si>
  <si>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</si>
  <si>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</si>
  <si>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</si>
  <si>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</si>
  <si>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</si>
  <si>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</si>
  <si>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</si>
  <si>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</si>
  <si>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</si>
  <si>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</si>
  <si>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</si>
  <si>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</si>
  <si>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</si>
  <si>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</si>
  <si>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</si>
  <si>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</si>
  <si>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</si>
  <si>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</si>
  <si>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</si>
  <si>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</si>
  <si>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</si>
  <si>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</si>
  <si>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</si>
  <si>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</si>
  <si>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</si>
  <si>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</si>
  <si>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</si>
  <si>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</si>
  <si>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</si>
  <si>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</si>
  <si>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</si>
  <si>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</si>
  <si>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</si>
  <si>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</si>
  <si>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</si>
  <si>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</si>
  <si>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</si>
  <si>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</si>
  <si>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</si>
  <si>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</si>
  <si>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</si>
  <si>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</si>
  <si>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</si>
  <si>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</si>
  <si>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</si>
  <si>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</si>
  <si>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</si>
  <si>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</si>
  <si>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</si>
  <si>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</si>
  <si>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</si>
  <si>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</si>
  <si>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</si>
  <si>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</si>
  <si>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</si>
  <si>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</si>
  <si>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</si>
  <si>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</si>
  <si>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</si>
  <si>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</si>
  <si>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</si>
  <si>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</si>
  <si>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</si>
  <si>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</si>
  <si>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</si>
  <si>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</si>
  <si>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</si>
  <si>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</si>
  <si>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</si>
  <si>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</si>
  <si>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</si>
  <si>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</si>
  <si>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</si>
  <si>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</si>
  <si>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</si>
  <si>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</si>
  <si>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</si>
  <si>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</si>
  <si>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</si>
  <si>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</si>
  <si>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</si>
  <si>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</si>
  <si>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</si>
  <si>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</si>
  <si>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</si>
  <si>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</si>
  <si>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</si>
  <si>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</si>
  <si>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</si>
  <si>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</si>
  <si>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</si>
  <si>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</si>
  <si>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</si>
  <si>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</si>
  <si>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</si>
  <si>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</si>
  <si>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</si>
  <si>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</si>
  <si>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</si>
  <si>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</si>
  <si>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</si>
  <si>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</si>
  <si>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</si>
  <si>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</si>
  <si>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</si>
  <si>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</si>
  <si>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</si>
  <si>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</si>
  <si>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</si>
  <si>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</si>
  <si>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</si>
  <si>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</si>
  <si>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</si>
  <si>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</si>
  <si>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</si>
  <si>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</si>
  <si>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</si>
  <si>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</si>
  <si>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</si>
  <si>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</si>
  <si>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</si>
  <si>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</si>
  <si>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</si>
  <si>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</si>
  <si>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</si>
  <si>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</si>
  <si>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</si>
  <si>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</si>
  <si>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</si>
  <si>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</si>
  <si>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</si>
  <si>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</si>
  <si>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</si>
  <si>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</si>
  <si>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</si>
  <si>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</si>
  <si>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</si>
  <si>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</si>
  <si>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</si>
  <si>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</si>
  <si>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</si>
  <si>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</si>
  <si>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</si>
  <si>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</si>
  <si>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</si>
  <si>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</si>
  <si>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</si>
  <si>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 00지구대 신축공사</t>
    <phoneticPr fontId="2" type="noConversion"/>
  </si>
  <si>
    <t>업무</t>
  </si>
  <si>
    <t>충청도</t>
  </si>
  <si>
    <t>창호및유리공사</t>
    <phoneticPr fontId="2" type="noConversion"/>
  </si>
  <si>
    <t>토공사,골재대,기타공사,운반비</t>
    <phoneticPr fontId="2" type="noConversion"/>
  </si>
  <si>
    <t>부대공사,부대토목공사</t>
    <phoneticPr fontId="2" type="noConversion"/>
  </si>
  <si>
    <t>기계 소화설비공사</t>
    <phoneticPr fontId="2" type="noConversion"/>
  </si>
  <si>
    <t>통신및TV설비공사</t>
    <phoneticPr fontId="2" type="noConversion"/>
  </si>
  <si>
    <t>전력간선및동력 설비공사</t>
    <phoneticPr fontId="2" type="noConversion"/>
  </si>
  <si>
    <t>난방배관공사,위생배관공사</t>
    <phoneticPr fontId="2" type="noConversion"/>
  </si>
  <si>
    <t>환기덕트설비공사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</si>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</sst>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350</v>
      </c>
      <c r="D7" s="36">
        <f>+C7/3.3058</f>
        <v>105.87452356464395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644550</v>
      </c>
      <c r="E25" s="59">
        <f t="shared" si="0"/>
        <v>2130750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114730</v>
      </c>
      <c r="E27" s="59">
        <f t="shared" si="0"/>
        <v>379270</v>
      </c>
    </row>
    <row r="28" spans="1:5" x14ac:dyDescent="0.3">
      <c r="B28" s="2">
        <v>5</v>
      </c>
      <c r="C28" s="35" t="s">
        <v>97</v>
      </c>
      <c r="D28" s="45">
        <f>+D119</f>
        <v>149110</v>
      </c>
      <c r="E28" s="59">
        <f t="shared" si="0"/>
        <v>492920</v>
      </c>
    </row>
    <row r="29" spans="1:5" x14ac:dyDescent="0.3">
      <c r="B29" s="2">
        <v>6</v>
      </c>
      <c r="C29" s="35" t="s">
        <v>98</v>
      </c>
      <c r="D29" s="45">
        <f>+D133</f>
        <v>38990</v>
      </c>
      <c r="E29" s="59">
        <f t="shared" si="0"/>
        <v>128890</v>
      </c>
    </row>
    <row r="30" spans="1:5" x14ac:dyDescent="0.3">
      <c r="B30" s="2">
        <v>7</v>
      </c>
      <c r="C30" s="35" t="s">
        <v>99</v>
      </c>
      <c r="D30" s="45">
        <f>+D146</f>
        <v>200</v>
      </c>
      <c r="E30" s="59">
        <f t="shared" si="0"/>
        <v>660</v>
      </c>
    </row>
    <row r="31" spans="1:5" x14ac:dyDescent="0.3">
      <c r="B31" s="2">
        <v>8</v>
      </c>
      <c r="C31" s="35" t="s">
        <v>100</v>
      </c>
      <c r="D31" s="45">
        <f>+D154</f>
        <v>148670</v>
      </c>
      <c r="E31" s="59">
        <f t="shared" si="0"/>
        <v>491470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301460</v>
      </c>
      <c r="E33" s="60">
        <f t="shared" si="0"/>
        <v>996560</v>
      </c>
    </row>
    <row r="34" spans="1:7" x14ac:dyDescent="0.3">
      <c r="C34" s="35" t="s">
        <v>112</v>
      </c>
      <c r="D34" s="44">
        <f>SUM(D24:D33)</f>
        <v>1397710</v>
      </c>
      <c r="E34" s="44">
        <f>SUM(E24:E33)</f>
        <v>4620520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TRUNC(38444,-1)</f>
        <v>38440</v>
      </c>
      <c r="E40" s="62">
        <f t="shared" ref="E40:E59" si="1">TRUNC(+D40*3.3058,-1)</f>
        <v>127070</v>
      </c>
    </row>
    <row r="41" spans="1:7" x14ac:dyDescent="0.3">
      <c r="A41" s="2">
        <v>2</v>
      </c>
      <c r="C41" s="38" t="s">
        <v>13</v>
      </c>
      <c r="D41" s="42">
        <f>TRUNC(169134,-1)</f>
        <v>169130</v>
      </c>
      <c r="E41" s="63">
        <f t="shared" si="1"/>
        <v>559100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TRUNC(5966,-1)</f>
        <v>5960</v>
      </c>
      <c r="E43" s="63">
        <f t="shared" si="1"/>
        <v>19700</v>
      </c>
    </row>
    <row r="44" spans="1:7" x14ac:dyDescent="0.3">
      <c r="A44" s="2">
        <v>5</v>
      </c>
      <c r="C44" s="38" t="s">
        <v>17</v>
      </c>
      <c r="D44" s="42">
        <f>TRUNC(28304,-1)</f>
        <v>28300</v>
      </c>
      <c r="E44" s="63">
        <f t="shared" si="1"/>
        <v>93550</v>
      </c>
    </row>
    <row r="45" spans="1:7" x14ac:dyDescent="0.3">
      <c r="A45" s="2">
        <v>6</v>
      </c>
      <c r="C45" s="38" t="s">
        <v>18</v>
      </c>
      <c r="D45" s="42">
        <f>TRUNC(37486,-1)</f>
        <v>37480</v>
      </c>
      <c r="E45" s="63">
        <f t="shared" si="1"/>
        <v>123900</v>
      </c>
    </row>
    <row r="46" spans="1:7" x14ac:dyDescent="0.3">
      <c r="A46" s="2">
        <v>7</v>
      </c>
      <c r="C46" s="38" t="s">
        <v>19</v>
      </c>
      <c r="D46" s="42">
        <f>TRUNC(164888,-1)</f>
        <v>164880</v>
      </c>
      <c r="E46" s="63">
        <f t="shared" si="1"/>
        <v>545060</v>
      </c>
    </row>
    <row r="47" spans="1:7" x14ac:dyDescent="0.3">
      <c r="A47" s="2">
        <v>8</v>
      </c>
      <c r="C47" s="38" t="s">
        <v>20</v>
      </c>
      <c r="D47" s="42">
        <f>TRUNC(6307,-1)</f>
        <v>6300</v>
      </c>
      <c r="E47" s="63">
        <f t="shared" si="1"/>
        <v>20820</v>
      </c>
    </row>
    <row r="48" spans="1:7" x14ac:dyDescent="0.3">
      <c r="A48" s="2">
        <v>9</v>
      </c>
      <c r="C48" s="38" t="s">
        <v>21</v>
      </c>
      <c r="D48" s="42">
        <f>TRUNC(26309,-1)</f>
        <v>26300</v>
      </c>
      <c r="E48" s="63">
        <f t="shared" si="1"/>
        <v>86940</v>
      </c>
    </row>
    <row r="49" spans="1:7" x14ac:dyDescent="0.3">
      <c r="A49" s="2">
        <v>10</v>
      </c>
      <c r="C49" s="38" t="s">
        <v>22</v>
      </c>
      <c r="D49" s="42">
        <f>TRUNC(35222,-1)</f>
        <v>35220</v>
      </c>
      <c r="E49" s="63">
        <f t="shared" si="1"/>
        <v>116430</v>
      </c>
    </row>
    <row r="50" spans="1:7" x14ac:dyDescent="0.3">
      <c r="A50" s="2">
        <v>11</v>
      </c>
      <c r="C50" s="38" t="s">
        <v>155</v>
      </c>
      <c r="D50" s="42">
        <f>TRUNC(64392,-1)</f>
        <v>64390</v>
      </c>
      <c r="E50" s="63">
        <f t="shared" si="1"/>
        <v>212860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TRUNC(5067,-1)</f>
        <v>5060</v>
      </c>
      <c r="E52" s="63">
        <f t="shared" si="1"/>
        <v>16720</v>
      </c>
    </row>
    <row r="53" spans="1:7" x14ac:dyDescent="0.3">
      <c r="A53" s="2">
        <v>14</v>
      </c>
      <c r="C53" s="38" t="s">
        <v>25</v>
      </c>
      <c r="D53" s="42">
        <f>TRUNC(15791,-1)</f>
        <v>15790</v>
      </c>
      <c r="E53" s="63">
        <f t="shared" si="1"/>
        <v>52190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TRUNC(7587,-1)</f>
        <v>7580</v>
      </c>
      <c r="E55" s="63">
        <f t="shared" si="1"/>
        <v>25050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TRUNC(18713+16440+3417+1152,-1)</f>
        <v>39720</v>
      </c>
      <c r="E58" s="63">
        <f t="shared" si="1"/>
        <v>131300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644550</v>
      </c>
      <c r="E60" s="39">
        <f>SUM(E40:E59)</f>
        <v>2130690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TRUNC(39570,-1)</f>
        <v>39570</v>
      </c>
      <c r="E69" s="62">
        <f t="shared" ref="E69:E94" si="2">TRUNC(+D69*3.3058,-1)</f>
        <v>130810</v>
      </c>
    </row>
    <row r="70" spans="1:7" ht="16.5" customHeight="1" x14ac:dyDescent="0.3">
      <c r="A70" s="2">
        <v>2</v>
      </c>
      <c r="C70" s="38" t="s">
        <v>31</v>
      </c>
      <c r="D70" s="42">
        <f>TRUNC(2268,-1)</f>
        <v>2260</v>
      </c>
      <c r="E70" s="63">
        <f t="shared" si="2"/>
        <v>7470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TRUNC(7535,-1)</f>
        <v>7530</v>
      </c>
      <c r="E79" s="63">
        <f t="shared" si="2"/>
        <v>24890</v>
      </c>
      <c r="F79" s="2" t="s">
        <v>258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TRUNC(12292+53082,-1)</f>
        <v>65370</v>
      </c>
      <c r="E94" s="64">
        <f t="shared" si="2"/>
        <v>216100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114730</v>
      </c>
      <c r="E95" s="39">
        <f>SUM(E69:E94)</f>
        <v>379270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TRUNC(99476,-1)</f>
        <v>99470</v>
      </c>
      <c r="E98" s="62">
        <f t="shared" ref="E98:E118" si="3">TRUNC(+D98*3.3058,-1)</f>
        <v>328820</v>
      </c>
      <c r="F98" s="2" t="s">
        <v>256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TRUNC(34137,-1)</f>
        <v>34130</v>
      </c>
      <c r="E100" s="63">
        <f t="shared" si="3"/>
        <v>112820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TRUNC(15511,-1)</f>
        <v>15510</v>
      </c>
      <c r="E102" s="63">
        <f t="shared" si="3"/>
        <v>51270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149110</v>
      </c>
      <c r="E119" s="39">
        <f>SUM(E98:E118)</f>
        <v>492910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f>TRUNC(38994,-1)</f>
        <v>38990</v>
      </c>
      <c r="E123" s="63">
        <f t="shared" si="4"/>
        <v>128890</v>
      </c>
      <c r="F123" s="2" t="s">
        <v>255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38990</v>
      </c>
      <c r="E133" s="39">
        <f>SUM(E122:E132)</f>
        <v>128890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TRUNC(201,-1)</f>
        <v>200</v>
      </c>
      <c r="E136" s="62">
        <f t="shared" ref="E136:E145" si="5">TRUNC(+D136*3.3058,-1)</f>
        <v>660</v>
      </c>
      <c r="F136" s="2" t="s">
        <v>254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200</v>
      </c>
      <c r="E146" s="39">
        <f>SUM(E136:E145)</f>
        <v>660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TRUNC(27519+121154,-1)</f>
        <v>148670</v>
      </c>
      <c r="E152" s="63">
        <f>TRUNC(+D152*3.3058,-1)</f>
        <v>491470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148670</v>
      </c>
      <c r="E154" s="39">
        <f>SUM(E149:E153)</f>
        <v>491470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2020-12-07T09:49:50Z</dcterms:modified>
</cp:coreProperties>
</file>