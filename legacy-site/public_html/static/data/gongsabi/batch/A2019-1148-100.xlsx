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9" i="4"/>
  <c r="D144" i="4"/>
  <c r="D143" i="4"/>
  <c r="D142" i="4"/>
  <c r="D141" i="4"/>
  <c r="D140" i="4"/>
  <c r="D139" i="4"/>
  <c r="D132" i="4"/>
  <c r="D131" i="4"/>
  <c r="D130" i="4"/>
  <c r="D128" i="4"/>
  <c r="D127" i="4"/>
  <c r="D125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3" i="4"/>
  <c r="D91" i="4"/>
  <c r="D89" i="4"/>
  <c r="D73" i="4"/>
  <c r="D69" i="4"/>
  <c r="D63" i="4"/>
  <c r="D59" i="4"/>
  <c r="D58" i="4"/>
  <c r="D53" i="4"/>
  <c r="D50" i="4"/>
  <c r="D49" i="4"/>
  <c r="D48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<sst xmlns="http://schemas.openxmlformats.org/spreadsheetml/2006/main" count="392" uniqueCount="266">
  <si>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</si>
  <si>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</si>
  <si>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</si>
  <si>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</si>
  <si>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</si>
  <si>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</si>
  <si>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</si>
  <si>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</si>
  <si>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</si>
  <si>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</si>
  <si>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</si>
  <si>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</si>
  <si>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</si>
  <si>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</si>
  <si>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</si>
  <si>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</si>
  <si>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</si>
  <si>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</si>
  <si>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</si>
  <si>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</si>
  <si>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</si>
  <si>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</si>
  <si>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</si>
  <si>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</si>
  <si>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</si>
  <si>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</si>
  <si>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</si>
  <si>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</si>
  <si>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</si>
  <si>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</si>
  <si>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</si>
  <si>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</si>
  <si>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</si>
  <si>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</si>
  <si>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</si>
  <si>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</si>
  <si>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</si>
  <si>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</si>
  <si>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</si>
  <si>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</si>
  <si>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</si>
  <si>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</si>
  <si>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</si>
  <si>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</si>
  <si>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</si>
  <si>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</si>
  <si>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</si>
  <si>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</si>
  <si>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</si>
  <si>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</si>
  <si>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</si>
  <si>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</si>
  <si>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</si>
  <si>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</si>
  <si>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</si>
  <si>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</si>
  <si>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</si>
  <si>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</si>
  <si>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</si>
  <si>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</si>
  <si>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</si>
  <si>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</si>
  <si>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</si>
  <si>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</si>
  <si>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</si>
  <si>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</si>
  <si>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</si>
  <si>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</si>
  <si>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</si>
  <si>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</si>
  <si>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</si>
  <si>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</si>
  <si>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</si>
  <si>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</si>
  <si>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</si>
  <si>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</si>
  <si>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</si>
  <si>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</si>
  <si>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</si>
  <si>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</si>
  <si>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</si>
  <si>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</si>
  <si>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</si>
  <si>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</si>
  <si>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</si>
  <si>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</si>
  <si>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</si>
  <si>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</si>
  <si>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</si>
  <si>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</si>
  <si>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</si>
  <si>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</si>
  <si>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</si>
  <si>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</si>
  <si>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</si>
  <si>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</si>
  <si>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</si>
  <si>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</si>
  <si>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</si>
  <si>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</si>
  <si>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</si>
  <si>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</si>
  <si>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</si>
  <si>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</si>
  <si>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</si>
  <si>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</si>
  <si>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</si>
  <si>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</si>
  <si>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</si>
  <si>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</si>
  <si>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</si>
  <si>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</si>
  <si>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</si>
  <si>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</si>
  <si>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</si>
  <si>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</si>
  <si>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</si>
  <si>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</si>
  <si>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</si>
  <si>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</si>
  <si>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</si>
  <si>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</si>
  <si>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</si>
  <si>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</si>
  <si>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</si>
  <si>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</si>
  <si>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</si>
  <si>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</si>
  <si>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</si>
  <si>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</si>
  <si>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</si>
  <si>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</si>
  <si>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</si>
  <si>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</si>
  <si>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</si>
  <si>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</si>
  <si>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</si>
  <si>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</si>
  <si>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</si>
  <si>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</si>
  <si>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</si>
  <si>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</si>
  <si>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</si>
  <si>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</si>
  <si>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</si>
  <si>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</si>
  <si>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</si>
  <si>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</si>
  <si>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</si>
  <si>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</si>
  <si>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</si>
  <si>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</si>
  <si>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</si>
  <si>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</si>
  <si>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</si>
  <si>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</si>
  <si>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</si>
  <si>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</si>
  <si>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</si>
  <si>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</si>
  <si>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</si>
  <si>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</si>
  <si>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</si>
  <si>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</si>
  <si>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</si>
  <si>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</si>
  <si>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</si>
  <si>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</si>
  <si>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</si>
  <si>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</si>
  <si>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</si>
  <si>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</si>
  <si>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</si>
  <si>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</si>
  <si>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</si>
  <si>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</si>
  <si>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</si>
  <si>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</si>
  <si>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</si>
  <si>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</si>
  <si>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</si>
  <si>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</si>
  <si>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</si>
  <si>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</si>
  <si>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</si>
  <si>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</si>
  <si>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</si>
  <si>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</si>
  <si>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</si>
  <si>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</si>
  <si>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</si>
  <si>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</si>
  <si>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</si>
  <si>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</si>
  <si>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</si>
  <si>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</si>
  <si>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</si>
  <si>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</si>
  <si>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</si>
  <si>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</si>
  <si>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</si>
  <si>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</si>
  <si>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</si>
  <si>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</si>
  <si>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</si>
  <si>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</si>
  <si>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</si>
  <si>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</si>
  <si>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</si>
  <si>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</si>
  <si>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</si>
  <si>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</si>
  <si>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</si>
  <si>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</si>
  <si>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</si>
  <si>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</si>
  <si>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</si>
  <si>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</si>
  <si>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</si>
  <si>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</si>
  <si>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</si>
  <si>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</si>
  <si>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</si>
  <si>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</si>
  <si>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</si>
  <si>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</si>
  <si>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</si>
  <si>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</si>
  <si>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</si>
  <si>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</si>
  <si>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</si>
  <si>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</si>
  <si>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</si>
  <si>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</si>
  <si>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</si>
  <si>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</si>
  <si>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</si>
  <si>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</si>
  <si>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</si>
  <si>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</si>
  <si>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</si>
  <si>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</si>
  <si>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</si>
  <si>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</si>
  <si>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</si>
  <si>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</si>
  <si>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</si>
  <si>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</si>
  <si>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</si>
  <si>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</si>
  <si>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</si>
  <si>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</si>
  <si>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</si>
  <si>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</si>
  <si>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</si>
  <si>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제2특성화고등학교 신축공사</t>
    <phoneticPr fontId="2" type="noConversion"/>
  </si>
  <si>
    <t>세종시</t>
  </si>
  <si>
    <t>기초공사, 해체및철거공사, 골재비및운반비, 품질시험비, 기타공사</t>
    <phoneticPr fontId="2" type="noConversion"/>
  </si>
  <si>
    <t>공조배관공사, 난방배관공사, 우수처리시설공사,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</si>
  <si>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</si>
  <si>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</si>
  <si>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사급자재비,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</si>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</sst>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16460.59</v>
      </c>
      <c r="D7" s="36">
        <f>+C7/3.3058</f>
        <v>4979.3060681226934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885340</v>
      </c>
      <c r="E25" s="59">
        <f t="shared" si="0"/>
        <v>2926750</v>
      </c>
    </row>
    <row r="26" spans="1:5" x14ac:dyDescent="0.3">
      <c r="B26" s="2">
        <v>3</v>
      </c>
      <c r="C26" s="35" t="s">
        <v>95</v>
      </c>
      <c r="D26" s="45">
        <f>+D66</f>
        <v>8120</v>
      </c>
      <c r="E26" s="59">
        <f t="shared" si="0"/>
        <v>26840</v>
      </c>
    </row>
    <row r="27" spans="1:5" x14ac:dyDescent="0.3">
      <c r="B27" s="2">
        <v>4</v>
      </c>
      <c r="C27" s="35" t="s">
        <v>96</v>
      </c>
      <c r="D27" s="45">
        <f>+D95</f>
        <v>190020</v>
      </c>
      <c r="E27" s="59">
        <f t="shared" si="0"/>
        <v>628160</v>
      </c>
    </row>
    <row r="28" spans="1:5" x14ac:dyDescent="0.3">
      <c r="B28" s="2">
        <v>5</v>
      </c>
      <c r="C28" s="35" t="s">
        <v>97</v>
      </c>
      <c r="D28" s="45">
        <f>+D119</f>
        <v>194400</v>
      </c>
      <c r="E28" s="59">
        <f t="shared" si="0"/>
        <v>642640</v>
      </c>
    </row>
    <row r="29" spans="1:5" x14ac:dyDescent="0.3">
      <c r="B29" s="2">
        <v>6</v>
      </c>
      <c r="C29" s="35" t="s">
        <v>98</v>
      </c>
      <c r="D29" s="45">
        <f>+D133</f>
        <v>82550</v>
      </c>
      <c r="E29" s="59">
        <f t="shared" si="0"/>
        <v>272890</v>
      </c>
    </row>
    <row r="30" spans="1:5" x14ac:dyDescent="0.3">
      <c r="B30" s="2">
        <v>7</v>
      </c>
      <c r="C30" s="35" t="s">
        <v>99</v>
      </c>
      <c r="D30" s="45">
        <f>+D146</f>
        <v>44660</v>
      </c>
      <c r="E30" s="59">
        <f t="shared" si="0"/>
        <v>147630</v>
      </c>
    </row>
    <row r="31" spans="1:5" x14ac:dyDescent="0.3">
      <c r="B31" s="2">
        <v>8</v>
      </c>
      <c r="C31" s="35" t="s">
        <v>100</v>
      </c>
      <c r="D31" s="45">
        <f>+D154</f>
        <v>69420</v>
      </c>
      <c r="E31" s="59">
        <f t="shared" si="0"/>
        <v>229480</v>
      </c>
    </row>
    <row r="32" spans="1:5" x14ac:dyDescent="0.3">
      <c r="B32" s="2">
        <v>9</v>
      </c>
      <c r="C32" s="35" t="s">
        <v>101</v>
      </c>
      <c r="D32" s="45">
        <f>+D161</f>
        <v>31640</v>
      </c>
      <c r="E32" s="59">
        <f t="shared" si="0"/>
        <v>104590</v>
      </c>
    </row>
    <row r="33" spans="1:7" x14ac:dyDescent="0.3">
      <c r="B33" s="2">
        <v>10</v>
      </c>
      <c r="C33" s="35" t="s">
        <v>155</v>
      </c>
      <c r="D33" s="53">
        <f>TRUNC(SUM(D24:D32)*0.275,-1)</f>
        <v>414190</v>
      </c>
      <c r="E33" s="60">
        <f t="shared" si="0"/>
        <v>1369220</v>
      </c>
    </row>
    <row r="34" spans="1:7" x14ac:dyDescent="0.3">
      <c r="C34" s="35" t="s">
        <v>112</v>
      </c>
      <c r="D34" s="44">
        <f>SUM(D24:D33)</f>
        <v>1920340</v>
      </c>
      <c r="E34" s="44">
        <f>SUM(E24:E33)</f>
        <v>6348200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TRUNC(56043,-1)</f>
        <v>56040</v>
      </c>
      <c r="E40" s="62">
        <f t="shared" ref="E40:E59" si="1">TRUNC(+D40*3.3058,-1)</f>
        <v>185250</v>
      </c>
    </row>
    <row r="41" spans="1:7" x14ac:dyDescent="0.3">
      <c r="A41" s="2">
        <v>2</v>
      </c>
      <c r="C41" s="38" t="s">
        <v>13</v>
      </c>
      <c r="D41" s="42">
        <f>TRUNC(180030,-1)</f>
        <v>180030</v>
      </c>
      <c r="E41" s="63">
        <f t="shared" si="1"/>
        <v>595140</v>
      </c>
    </row>
    <row r="42" spans="1:7" x14ac:dyDescent="0.3">
      <c r="A42" s="2">
        <v>3</v>
      </c>
      <c r="C42" s="38" t="s">
        <v>14</v>
      </c>
      <c r="D42" s="42">
        <f>TRUNC(5764,-1)</f>
        <v>5760</v>
      </c>
      <c r="E42" s="63">
        <f t="shared" si="1"/>
        <v>19040</v>
      </c>
    </row>
    <row r="43" spans="1:7" x14ac:dyDescent="0.3">
      <c r="A43" s="2">
        <v>4</v>
      </c>
      <c r="C43" s="38" t="s">
        <v>16</v>
      </c>
      <c r="D43" s="42">
        <f>TRUNC(23541,-1)</f>
        <v>23540</v>
      </c>
      <c r="E43" s="63">
        <f t="shared" si="1"/>
        <v>77810</v>
      </c>
    </row>
    <row r="44" spans="1:7" x14ac:dyDescent="0.3">
      <c r="A44" s="2">
        <v>5</v>
      </c>
      <c r="C44" s="38" t="s">
        <v>17</v>
      </c>
      <c r="D44" s="42">
        <f>TRUNC(17498,-1)</f>
        <v>17490</v>
      </c>
      <c r="E44" s="63">
        <f t="shared" si="1"/>
        <v>57810</v>
      </c>
    </row>
    <row r="45" spans="1:7" x14ac:dyDescent="0.3">
      <c r="A45" s="2">
        <v>6</v>
      </c>
      <c r="C45" s="38" t="s">
        <v>18</v>
      </c>
      <c r="D45" s="42">
        <f>TRUNC(66357,-1)</f>
        <v>66350</v>
      </c>
      <c r="E45" s="63">
        <f t="shared" si="1"/>
        <v>219330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TRUNC(43955,-1)</f>
        <v>43950</v>
      </c>
      <c r="E48" s="63">
        <f t="shared" si="1"/>
        <v>145280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TRUNC(20022,-1)</f>
        <v>20020</v>
      </c>
      <c r="E49" s="63">
        <f t="shared" si="1"/>
        <v>66180</v>
      </c>
    </row>
    <row r="50" spans="1:7" x14ac:dyDescent="0.3">
      <c r="A50" s="2">
        <v>11</v>
      </c>
      <c r="C50" s="38" t="s">
        <v>156</v>
      </c>
      <c r="D50" s="42">
        <f>TRUNC(64323,-1)</f>
        <v>64320</v>
      </c>
      <c r="E50" s="63">
        <f t="shared" si="1"/>
        <v>212620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12610</v>
      </c>
      <c r="E52" s="63">
        <f t="shared" si="1"/>
        <v>41680</v>
      </c>
    </row>
    <row r="53" spans="1:7" x14ac:dyDescent="0.3">
      <c r="A53" s="2">
        <v>14</v>
      </c>
      <c r="C53" s="38" t="s">
        <v>25</v>
      </c>
      <c r="D53" s="42">
        <f>TRUNC(56317,-1)</f>
        <v>56310</v>
      </c>
      <c r="E53" s="63">
        <f t="shared" si="1"/>
        <v>186140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TRUNC(36768+4632+7973+911+27064,-1)</f>
        <v>77340</v>
      </c>
      <c r="E58" s="63">
        <f t="shared" si="1"/>
        <v>255670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f>TRUNC(261586,-1)</f>
        <v>261580</v>
      </c>
      <c r="E59" s="64">
        <f t="shared" si="1"/>
        <v>864730</v>
      </c>
    </row>
    <row r="60" spans="1:7" x14ac:dyDescent="0.3">
      <c r="A60" s="2">
        <v>21</v>
      </c>
      <c r="C60" s="27" t="s">
        <v>112</v>
      </c>
      <c r="D60" s="39">
        <f>SUM(D40:D59)</f>
        <v>885340</v>
      </c>
      <c r="E60" s="39">
        <f>SUM(E40:E59)</f>
        <v>2926680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TRUNC(8121,-1)</f>
        <v>8120</v>
      </c>
      <c r="E63" s="62">
        <f>TRUNC(+D63*3.3058,-1)</f>
        <v>26840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8120</v>
      </c>
      <c r="E66" s="65">
        <f>SUM(E63:E65)</f>
        <v>26840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TRUNC(11328,-1)</f>
        <v>11320</v>
      </c>
      <c r="E69" s="62">
        <f t="shared" ref="E69:E94" si="2">TRUNC(+D69*3.3058,-1)</f>
        <v>37420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7270</v>
      </c>
      <c r="E72" s="63">
        <f t="shared" si="2"/>
        <v>24030</v>
      </c>
    </row>
    <row r="73" spans="1:7" x14ac:dyDescent="0.3">
      <c r="A73" s="2">
        <v>5</v>
      </c>
      <c r="C73" s="38" t="s">
        <v>34</v>
      </c>
      <c r="D73" s="42">
        <f>TRUNC(15048,-1)</f>
        <v>15040</v>
      </c>
      <c r="E73" s="63">
        <f t="shared" si="2"/>
        <v>49710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TRUNC(7588,-1)</f>
        <v>7580</v>
      </c>
      <c r="E89" s="63">
        <f t="shared" si="2"/>
        <v>25050</v>
      </c>
    </row>
    <row r="90" spans="1:7" x14ac:dyDescent="0.3">
      <c r="A90" s="2">
        <v>22</v>
      </c>
      <c r="C90" s="38" t="s">
        <v>36</v>
      </c>
      <c r="D90" s="42">
        <v>200</v>
      </c>
      <c r="E90" s="63">
        <f t="shared" si="2"/>
        <v>660</v>
      </c>
    </row>
    <row r="91" spans="1:7" x14ac:dyDescent="0.3">
      <c r="A91" s="2">
        <v>23</v>
      </c>
      <c r="C91" s="38" t="s">
        <v>37</v>
      </c>
      <c r="D91" s="42">
        <f>TRUNC(4451,-1)</f>
        <v>4450</v>
      </c>
      <c r="E91" s="63">
        <f t="shared" si="2"/>
        <v>14710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149</v>
      </c>
      <c r="D93" s="42">
        <f>TRUNC(88402,-1)</f>
        <v>88400</v>
      </c>
      <c r="E93" s="63">
        <f t="shared" si="2"/>
        <v>292230</v>
      </c>
    </row>
    <row r="94" spans="1:7" ht="17.25" thickBot="1" x14ac:dyDescent="0.35">
      <c r="A94" s="2">
        <v>26</v>
      </c>
      <c r="C94" s="38" t="s">
        <v>47</v>
      </c>
      <c r="D94" s="43">
        <f>TRUNC(1246+36468+2172+7380+8498,-1)</f>
        <v>55760</v>
      </c>
      <c r="E94" s="64">
        <f t="shared" si="2"/>
        <v>184330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190020</v>
      </c>
      <c r="E95" s="39">
        <f>SUM(E69:E94)</f>
        <v>628140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TRUNC(23143,-1)</f>
        <v>23140</v>
      </c>
      <c r="E98" s="62">
        <f t="shared" ref="E98:E118" si="3">TRUNC(+D98*3.3058,-1)</f>
        <v>76490</v>
      </c>
    </row>
    <row r="99" spans="1:7" x14ac:dyDescent="0.3">
      <c r="A99" s="2">
        <v>2</v>
      </c>
      <c r="C99" s="38" t="s">
        <v>40</v>
      </c>
      <c r="D99" s="42">
        <f>TRUNC(18738,-1)</f>
        <v>18730</v>
      </c>
      <c r="E99" s="63">
        <f t="shared" si="3"/>
        <v>61910</v>
      </c>
    </row>
    <row r="100" spans="1:7" x14ac:dyDescent="0.3">
      <c r="A100" s="2">
        <v>3</v>
      </c>
      <c r="C100" s="38" t="s">
        <v>41</v>
      </c>
      <c r="D100" s="42">
        <f>TRUNC(32977,-1)</f>
        <v>32970</v>
      </c>
      <c r="E100" s="63">
        <f t="shared" si="3"/>
        <v>108990</v>
      </c>
    </row>
    <row r="101" spans="1:7" x14ac:dyDescent="0.3">
      <c r="A101" s="2">
        <v>4</v>
      </c>
      <c r="C101" s="38" t="s">
        <v>42</v>
      </c>
      <c r="D101" s="42">
        <f>TRUNC(2498,-1)</f>
        <v>2490</v>
      </c>
      <c r="E101" s="63">
        <f t="shared" si="3"/>
        <v>8230</v>
      </c>
    </row>
    <row r="102" spans="1:7" x14ac:dyDescent="0.3">
      <c r="A102" s="2">
        <v>5</v>
      </c>
      <c r="C102" s="38" t="s">
        <v>43</v>
      </c>
      <c r="D102" s="42">
        <f>TRUNC(17334,-1)</f>
        <v>17330</v>
      </c>
      <c r="E102" s="63">
        <f t="shared" si="3"/>
        <v>57280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TRUNC(5558,-1)</f>
        <v>5550</v>
      </c>
      <c r="E104" s="63">
        <f t="shared" si="3"/>
        <v>18340</v>
      </c>
    </row>
    <row r="105" spans="1:7" x14ac:dyDescent="0.3">
      <c r="A105" s="2">
        <v>8</v>
      </c>
      <c r="C105" s="38" t="s">
        <v>46</v>
      </c>
      <c r="D105" s="42">
        <f>TRUNC(6388,-1)</f>
        <v>6380</v>
      </c>
      <c r="E105" s="63">
        <f t="shared" si="3"/>
        <v>21090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TRUNC(2029,-1)</f>
        <v>2020</v>
      </c>
      <c r="E114" s="63">
        <f t="shared" si="3"/>
        <v>6670</v>
      </c>
      <c r="F114" s="2" t="s">
        <v>260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TRUNC(3271,-1)</f>
        <v>3270</v>
      </c>
      <c r="E116" s="63">
        <f t="shared" si="3"/>
        <v>10800</v>
      </c>
      <c r="F116" s="2" t="s">
        <v>259</v>
      </c>
    </row>
    <row r="117" spans="1:7" x14ac:dyDescent="0.3">
      <c r="A117" s="2">
        <v>20</v>
      </c>
      <c r="C117" s="38" t="s">
        <v>149</v>
      </c>
      <c r="D117" s="42">
        <f>TRUNC(80175,-1)</f>
        <v>80170</v>
      </c>
      <c r="E117" s="63">
        <f t="shared" si="3"/>
        <v>265020</v>
      </c>
    </row>
    <row r="118" spans="1:7" ht="17.25" thickBot="1" x14ac:dyDescent="0.35">
      <c r="A118" s="2">
        <v>21</v>
      </c>
      <c r="C118" s="38" t="s">
        <v>47</v>
      </c>
      <c r="D118" s="43">
        <f>TRUNC(2351,-1)</f>
        <v>2350</v>
      </c>
      <c r="E118" s="64">
        <f t="shared" si="3"/>
        <v>7760</v>
      </c>
    </row>
    <row r="119" spans="1:7" x14ac:dyDescent="0.3">
      <c r="A119" s="2">
        <v>22</v>
      </c>
      <c r="C119" s="27" t="s">
        <v>112</v>
      </c>
      <c r="D119" s="39">
        <f>SUM(D98:D118)</f>
        <v>194400</v>
      </c>
      <c r="E119" s="39">
        <f>SUM(E98:E118)</f>
        <v>642580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TRUNC(3447,-1)</f>
        <v>3440</v>
      </c>
      <c r="E122" s="62">
        <f t="shared" ref="E122:E132" si="4">TRUNC(+D122*3.3058,-1)</f>
        <v>11370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600</v>
      </c>
      <c r="E124" s="63">
        <f t="shared" si="4"/>
        <v>1980</v>
      </c>
    </row>
    <row r="125" spans="1:7" x14ac:dyDescent="0.3">
      <c r="A125" s="2">
        <v>4</v>
      </c>
      <c r="C125" s="38" t="s">
        <v>138</v>
      </c>
      <c r="D125" s="42">
        <f>TRUNC(10024,-1)</f>
        <v>10020</v>
      </c>
      <c r="E125" s="63">
        <f t="shared" si="4"/>
        <v>33120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TRUNC(1754,-1)</f>
        <v>1750</v>
      </c>
      <c r="E127" s="63">
        <f t="shared" si="4"/>
        <v>5780</v>
      </c>
    </row>
    <row r="128" spans="1:7" x14ac:dyDescent="0.3">
      <c r="A128" s="2">
        <v>7</v>
      </c>
      <c r="C128" s="38" t="s">
        <v>46</v>
      </c>
      <c r="D128" s="42">
        <f>TRUNC(4291,-1)</f>
        <v>4290</v>
      </c>
      <c r="E128" s="63">
        <f t="shared" si="4"/>
        <v>14180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TRUNC(14782,-1)</f>
        <v>14780</v>
      </c>
      <c r="E130" s="63">
        <f t="shared" si="4"/>
        <v>48850</v>
      </c>
    </row>
    <row r="131" spans="1:7" x14ac:dyDescent="0.3">
      <c r="A131" s="2">
        <v>10</v>
      </c>
      <c r="C131" s="38" t="s">
        <v>149</v>
      </c>
      <c r="D131" s="42">
        <f>TRUNC(39488,-1)</f>
        <v>39480</v>
      </c>
      <c r="E131" s="63">
        <f t="shared" si="4"/>
        <v>130510</v>
      </c>
    </row>
    <row r="132" spans="1:7" ht="18" thickBot="1" x14ac:dyDescent="0.35">
      <c r="A132" s="2">
        <v>11</v>
      </c>
      <c r="C132" s="38" t="s">
        <v>47</v>
      </c>
      <c r="D132" s="43">
        <f>TRUNC(8174+24,-1)</f>
        <v>8190</v>
      </c>
      <c r="E132" s="64">
        <f t="shared" si="4"/>
        <v>27070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82550</v>
      </c>
      <c r="E133" s="39">
        <f>SUM(E122:E132)</f>
        <v>272860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TRUNC(1753,-1)</f>
        <v>1750</v>
      </c>
      <c r="E139" s="63">
        <f t="shared" si="5"/>
        <v>5780</v>
      </c>
    </row>
    <row r="140" spans="1:7" x14ac:dyDescent="0.3">
      <c r="A140" s="2">
        <v>5</v>
      </c>
      <c r="C140" s="38" t="s">
        <v>57</v>
      </c>
      <c r="D140" s="42">
        <f>TRUNC(1062,-1)</f>
        <v>1060</v>
      </c>
      <c r="E140" s="63">
        <f t="shared" si="5"/>
        <v>3500</v>
      </c>
    </row>
    <row r="141" spans="1:7" x14ac:dyDescent="0.3">
      <c r="A141" s="2">
        <v>6</v>
      </c>
      <c r="C141" s="38" t="s">
        <v>59</v>
      </c>
      <c r="D141" s="42">
        <f>TRUNC(9582,-1)</f>
        <v>9580</v>
      </c>
      <c r="E141" s="63">
        <f t="shared" si="5"/>
        <v>31660</v>
      </c>
    </row>
    <row r="142" spans="1:7" x14ac:dyDescent="0.3">
      <c r="A142" s="2">
        <v>7</v>
      </c>
      <c r="C142" s="38" t="s">
        <v>58</v>
      </c>
      <c r="D142" s="42">
        <f>TRUNC(6935,-1)</f>
        <v>6930</v>
      </c>
      <c r="E142" s="63">
        <f t="shared" si="5"/>
        <v>22900</v>
      </c>
    </row>
    <row r="143" spans="1:7" x14ac:dyDescent="0.3">
      <c r="A143" s="2">
        <v>8</v>
      </c>
      <c r="C143" s="38" t="s">
        <v>62</v>
      </c>
      <c r="D143" s="42">
        <f>TRUNC(8035,-1)</f>
        <v>8030</v>
      </c>
      <c r="E143" s="63">
        <f t="shared" si="5"/>
        <v>26540</v>
      </c>
    </row>
    <row r="144" spans="1:7" x14ac:dyDescent="0.3">
      <c r="A144" s="2">
        <v>9</v>
      </c>
      <c r="C144" s="38" t="s">
        <v>63</v>
      </c>
      <c r="D144" s="42">
        <f>TRUNC(17315,-1)</f>
        <v>17310</v>
      </c>
      <c r="E144" s="63">
        <f t="shared" si="5"/>
        <v>57220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44660</v>
      </c>
      <c r="E146" s="39">
        <f>SUM(E136:E145)</f>
        <v>147600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TRUNC(7602+909,-1)</f>
        <v>8510</v>
      </c>
      <c r="E149" s="62">
        <f>TRUNC(+D149*3.3058,-1)</f>
        <v>28130</v>
      </c>
    </row>
    <row r="150" spans="1:7" x14ac:dyDescent="0.3">
      <c r="A150" s="2">
        <v>2</v>
      </c>
      <c r="C150" s="38" t="s">
        <v>49</v>
      </c>
      <c r="D150" s="42">
        <f>TRUNC(6455,-1)</f>
        <v>6450</v>
      </c>
      <c r="E150" s="63">
        <f>TRUNC(+D150*3.3058,-1)</f>
        <v>21320</v>
      </c>
    </row>
    <row r="151" spans="1:7" x14ac:dyDescent="0.3">
      <c r="A151" s="2">
        <v>3</v>
      </c>
      <c r="C151" s="38" t="s">
        <v>50</v>
      </c>
      <c r="D151" s="42">
        <f>TRUNC(8654,-1)</f>
        <v>8650</v>
      </c>
      <c r="E151" s="63">
        <f>TRUNC(+D151*3.3058,-1)</f>
        <v>28590</v>
      </c>
    </row>
    <row r="152" spans="1:7" x14ac:dyDescent="0.3">
      <c r="A152" s="2">
        <v>4</v>
      </c>
      <c r="C152" s="38" t="s">
        <v>47</v>
      </c>
      <c r="D152" s="42">
        <f>TRUNC(3281+1198,-1)</f>
        <v>4470</v>
      </c>
      <c r="E152" s="63">
        <f>TRUNC(+D152*3.3058,-1)</f>
        <v>14770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TRUNC(41347,-1)</f>
        <v>41340</v>
      </c>
      <c r="E153" s="64">
        <f>TRUNC(+D153*3.3058,-1)</f>
        <v>136660</v>
      </c>
    </row>
    <row r="154" spans="1:7" x14ac:dyDescent="0.3">
      <c r="A154" s="2">
        <v>6</v>
      </c>
      <c r="C154" s="27" t="s">
        <v>112</v>
      </c>
      <c r="D154" s="39">
        <f>SUM(D149:D153)</f>
        <v>69420</v>
      </c>
      <c r="E154" s="39">
        <f>SUM(E149:E153)</f>
        <v>229470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TRUNC(19576,-1)</f>
        <v>19570</v>
      </c>
      <c r="E157" s="62">
        <f>TRUNC(+D157*3.3058,-1)</f>
        <v>64690</v>
      </c>
    </row>
    <row r="158" spans="1:7" x14ac:dyDescent="0.3">
      <c r="A158" s="2">
        <v>2</v>
      </c>
      <c r="C158" s="38" t="s">
        <v>52</v>
      </c>
      <c r="D158" s="42">
        <f>TRUNC(3373,-1)</f>
        <v>3370</v>
      </c>
      <c r="E158" s="63">
        <f>TRUNC(+D158*3.3058,-1)</f>
        <v>11140</v>
      </c>
    </row>
    <row r="159" spans="1:7" x14ac:dyDescent="0.3">
      <c r="A159" s="2">
        <v>3</v>
      </c>
      <c r="C159" s="38" t="s">
        <v>47</v>
      </c>
      <c r="D159" s="42">
        <f>TRUNC(3344+338,-1)</f>
        <v>3680</v>
      </c>
      <c r="E159" s="63">
        <f>TRUNC(+D159*3.3058,-1)</f>
        <v>12160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f>TRUNC(5023,-1)</f>
        <v>5020</v>
      </c>
      <c r="E160" s="64">
        <f>TRUNC(+D160*3.3058,-1)</f>
        <v>16590</v>
      </c>
    </row>
    <row r="161" spans="1:5" x14ac:dyDescent="0.3">
      <c r="A161" s="2">
        <v>5</v>
      </c>
      <c r="C161" s="27" t="s">
        <v>112</v>
      </c>
      <c r="D161" s="39">
        <f>SUM(D157:D160)</f>
        <v>31640</v>
      </c>
      <c r="E161" s="39">
        <f>SUM(E157:E160)</f>
        <v>104580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2020-12-08T04:36:00Z</dcterms:modified>
</cp:coreProperties>
</file>