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0" i="4"/>
  <c r="D149" i="4"/>
  <c r="D144" i="4"/>
  <c r="D143" i="4"/>
  <c r="D139" i="4"/>
  <c r="D141" i="4"/>
  <c r="D142" i="4"/>
  <c r="D137" i="4"/>
  <c r="D140" i="4"/>
  <c r="D132" i="4"/>
  <c r="D128" i="4"/>
  <c r="D127" i="4"/>
  <c r="D124" i="4"/>
  <c r="D125" i="4"/>
  <c r="D122" i="4"/>
  <c r="D130" i="4"/>
  <c r="D118" i="4"/>
  <c r="D105" i="4"/>
  <c r="D104" i="4"/>
  <c r="D102" i="4"/>
  <c r="D101" i="4"/>
  <c r="D100" i="4"/>
  <c r="D99" i="4"/>
  <c r="D114" i="4"/>
  <c r="D98" i="4"/>
  <c r="D116" i="4"/>
  <c r="D75" i="4"/>
  <c r="D92" i="4"/>
  <c r="D91" i="4"/>
  <c r="D90" i="4"/>
  <c r="D89" i="4"/>
  <c r="D73" i="4"/>
  <c r="D72" i="4"/>
  <c r="D71" i="4"/>
  <c r="D70" i="4"/>
  <c r="D69" i="4"/>
  <c r="D63" i="4"/>
  <c r="D153" i="4"/>
  <c r="D145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154" i="4"/>
  <c r="E146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<sst xmlns="http://schemas.openxmlformats.org/spreadsheetml/2006/main" count="395" uniqueCount="272">
  <si>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</si>
  <si>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</si>
  <si>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</si>
  <si>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</si>
  <si>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</si>
  <si>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</si>
  <si>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</si>
  <si>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</si>
  <si>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</si>
  <si>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</si>
  <si>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</si>
  <si>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</si>
  <si>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</si>
  <si>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</si>
  <si>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</si>
  <si>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</si>
  <si>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</si>
  <si>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</si>
  <si>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</si>
  <si>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</si>
  <si>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</si>
  <si>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</si>
  <si>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</si>
  <si>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</si>
  <si>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</si>
  <si>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</si>
  <si>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</si>
  <si>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</si>
  <si>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</si>
  <si>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</si>
  <si>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</si>
  <si>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</si>
  <si>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</si>
  <si>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</si>
  <si>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</si>
  <si>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</si>
  <si>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</si>
  <si>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</si>
  <si>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</si>
  <si>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</si>
  <si>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</si>
  <si>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</si>
  <si>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</si>
  <si>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</si>
  <si>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</si>
  <si>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</si>
  <si>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</si>
  <si>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</si>
  <si>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</si>
  <si>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</si>
  <si>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</si>
  <si>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</si>
  <si>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</si>
  <si>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</si>
  <si>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</si>
  <si>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</si>
  <si>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</si>
  <si>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</si>
  <si>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</si>
  <si>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</si>
  <si>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</si>
  <si>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</si>
  <si>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</si>
  <si>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</si>
  <si>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</si>
  <si>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</si>
  <si>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</si>
  <si>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</si>
  <si>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</si>
  <si>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</si>
  <si>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</si>
  <si>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</si>
  <si>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</si>
  <si>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</si>
  <si>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</si>
  <si>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</si>
  <si>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</si>
  <si>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</si>
  <si>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</si>
  <si>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</si>
  <si>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</si>
  <si>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</si>
  <si>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</si>
  <si>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</si>
  <si>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</si>
  <si>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</si>
  <si>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</si>
  <si>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</si>
  <si>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</si>
  <si>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</si>
  <si>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</si>
  <si>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</si>
  <si>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</si>
  <si>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</si>
  <si>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</si>
  <si>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</si>
  <si>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</si>
  <si>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</si>
  <si>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</si>
  <si>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</si>
  <si>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</si>
  <si>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</si>
  <si>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</si>
  <si>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</si>
  <si>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</si>
  <si>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</si>
  <si>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</si>
  <si>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</si>
  <si>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</si>
  <si>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</si>
  <si>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</si>
  <si>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</si>
  <si>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</si>
  <si>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</si>
  <si>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</si>
  <si>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</si>
  <si>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</si>
  <si>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</si>
  <si>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</si>
  <si>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</si>
  <si>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</si>
  <si>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</si>
  <si>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</si>
  <si>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</si>
  <si>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</si>
  <si>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</si>
  <si>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</si>
  <si>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</si>
  <si>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</si>
  <si>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</si>
  <si>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</si>
  <si>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</si>
  <si>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</si>
  <si>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</si>
  <si>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</si>
  <si>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</si>
  <si>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</si>
  <si>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</si>
  <si>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</si>
  <si>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</si>
  <si>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</si>
  <si>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</si>
  <si>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</si>
  <si>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</si>
  <si>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</si>
  <si>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</si>
  <si>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</si>
  <si>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</si>
  <si>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</si>
  <si>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</si>
  <si>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</si>
  <si>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</si>
  <si>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</si>
  <si>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</si>
  <si>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</si>
  <si>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</si>
  <si>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</si>
  <si>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</si>
  <si>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</si>
  <si>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</si>
  <si>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</si>
  <si>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</si>
  <si>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</si>
  <si>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</si>
  <si>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</si>
  <si>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</si>
  <si>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</si>
  <si>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</si>
  <si>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</si>
  <si>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</si>
  <si>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</si>
  <si>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</si>
  <si>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</si>
  <si>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</si>
  <si>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</si>
  <si>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</si>
  <si>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</si>
  <si>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</si>
  <si>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</si>
  <si>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</si>
  <si>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</si>
  <si>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</si>
  <si>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</si>
  <si>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</si>
  <si>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</si>
  <si>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</si>
  <si>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</si>
  <si>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</si>
  <si>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</si>
  <si>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</si>
  <si>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</si>
  <si>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</si>
  <si>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</si>
  <si>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</si>
  <si>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</si>
  <si>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</si>
  <si>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</si>
  <si>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</si>
  <si>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</si>
  <si>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</si>
  <si>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</si>
  <si>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</si>
  <si>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</si>
  <si>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</si>
  <si>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</si>
  <si>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</si>
  <si>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</si>
  <si>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</si>
  <si>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</si>
  <si>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</si>
  <si>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</si>
  <si>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</si>
  <si>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</si>
  <si>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</si>
  <si>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</si>
  <si>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</si>
  <si>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</si>
  <si>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</si>
  <si>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</si>
  <si>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</si>
  <si>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</si>
  <si>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</si>
  <si>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</si>
  <si>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</si>
  <si>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</si>
  <si>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</si>
  <si>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</si>
  <si>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</si>
  <si>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</si>
  <si>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</si>
  <si>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</si>
  <si>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</si>
  <si>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</si>
  <si>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</si>
  <si>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</si>
  <si>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</si>
  <si>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</si>
  <si>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</si>
  <si>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</si>
  <si>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</si>
  <si>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</si>
  <si>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</si>
  <si>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</si>
  <si>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</si>
  <si>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</si>
  <si>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</si>
  <si>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</si>
  <si>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</si>
  <si>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국립항공박물관 건설공사</t>
    <phoneticPr fontId="2" type="noConversion"/>
  </si>
  <si>
    <t>문화및집회</t>
  </si>
  <si>
    <t>서울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</si>
  <si>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</si>
  <si>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</si>
  <si>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</si>
  <si>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</si>
  <si>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</si>
  <si>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</si>
  <si>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</si>
  <si>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</si>
  <si>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</si>
  <si>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</si>
  <si>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</si>
  <si>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</si>
  <si>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</si>
  <si>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공조배관공사,우수처리시설공사,기타공사, 바닥난방공사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</si>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</sst>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18593.5</v>
      </c>
      <c r="D7" s="36">
        <f>+C7/3.3058</f>
        <v>5624.5084397120208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1174470</v>
      </c>
      <c r="E25" s="59">
        <f t="shared" si="0"/>
        <v>3882560</v>
      </c>
    </row>
    <row r="26" spans="1:5" x14ac:dyDescent="0.3">
      <c r="B26" s="2">
        <v>3</v>
      </c>
      <c r="C26" s="35" t="s">
        <v>95</v>
      </c>
      <c r="D26" s="45">
        <f>+D66</f>
        <v>43220</v>
      </c>
      <c r="E26" s="59">
        <f t="shared" si="0"/>
        <v>142870</v>
      </c>
    </row>
    <row r="27" spans="1:5" x14ac:dyDescent="0.3">
      <c r="B27" s="2">
        <v>4</v>
      </c>
      <c r="C27" s="35" t="s">
        <v>96</v>
      </c>
      <c r="D27" s="45">
        <f>+D95</f>
        <v>214450</v>
      </c>
      <c r="E27" s="59">
        <f t="shared" si="0"/>
        <v>708920</v>
      </c>
    </row>
    <row r="28" spans="1:5" x14ac:dyDescent="0.3">
      <c r="B28" s="2">
        <v>5</v>
      </c>
      <c r="C28" s="35" t="s">
        <v>97</v>
      </c>
      <c r="D28" s="45">
        <f>+D119</f>
        <v>191490</v>
      </c>
      <c r="E28" s="59">
        <f t="shared" si="0"/>
        <v>633020</v>
      </c>
    </row>
    <row r="29" spans="1:5" x14ac:dyDescent="0.3">
      <c r="B29" s="2">
        <v>6</v>
      </c>
      <c r="C29" s="35" t="s">
        <v>98</v>
      </c>
      <c r="D29" s="45">
        <f>+D133</f>
        <v>88770</v>
      </c>
      <c r="E29" s="59">
        <f t="shared" si="0"/>
        <v>293450</v>
      </c>
    </row>
    <row r="30" spans="1:5" x14ac:dyDescent="0.3">
      <c r="B30" s="2">
        <v>7</v>
      </c>
      <c r="C30" s="35" t="s">
        <v>99</v>
      </c>
      <c r="D30" s="45">
        <f>+D146</f>
        <v>78720</v>
      </c>
      <c r="E30" s="59">
        <f t="shared" si="0"/>
        <v>260230</v>
      </c>
    </row>
    <row r="31" spans="1:5" x14ac:dyDescent="0.3">
      <c r="B31" s="2">
        <v>8</v>
      </c>
      <c r="C31" s="35" t="s">
        <v>100</v>
      </c>
      <c r="D31" s="45">
        <f>+D154</f>
        <v>226100</v>
      </c>
      <c r="E31" s="59">
        <f t="shared" si="0"/>
        <v>747440</v>
      </c>
    </row>
    <row r="32" spans="1:5" x14ac:dyDescent="0.3">
      <c r="B32" s="2">
        <v>9</v>
      </c>
      <c r="C32" s="35" t="s">
        <v>101</v>
      </c>
      <c r="D32" s="45">
        <f>+D161</f>
        <v>22620</v>
      </c>
      <c r="E32" s="59">
        <f t="shared" si="0"/>
        <v>74770</v>
      </c>
    </row>
    <row r="33" spans="1:7" x14ac:dyDescent="0.3">
      <c r="B33" s="2">
        <v>10</v>
      </c>
      <c r="C33" s="35" t="s">
        <v>154</v>
      </c>
      <c r="D33" s="53">
        <f>TRUNC(SUM(D24:D32)*0.275,-1)</f>
        <v>560950</v>
      </c>
      <c r="E33" s="60">
        <f t="shared" si="0"/>
        <v>1854380</v>
      </c>
    </row>
    <row r="34" spans="1:7" x14ac:dyDescent="0.3">
      <c r="C34" s="35" t="s">
        <v>112</v>
      </c>
      <c r="D34" s="44">
        <f>SUM(D24:D33)</f>
        <v>2600790</v>
      </c>
      <c r="E34" s="44">
        <f>SUM(E24:E33)</f>
        <v>8597640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266</v>
      </c>
      <c r="D39" s="57" t="s">
        <v>267</v>
      </c>
      <c r="E39" s="57" t="s">
        <v>268</v>
      </c>
      <c r="G39" s="55"/>
    </row>
    <row r="40" spans="1:7" x14ac:dyDescent="0.3">
      <c r="A40" s="2">
        <v>1</v>
      </c>
      <c r="C40" s="38" t="s">
        <v>15</v>
      </c>
      <c r="D40" s="40">
        <f>TRUNC(86794,-1)</f>
        <v>86790</v>
      </c>
      <c r="E40" s="62">
        <f t="shared" ref="E40:E59" si="1">TRUNC(+D40*3.3058,-1)</f>
        <v>286910</v>
      </c>
    </row>
    <row r="41" spans="1:7" x14ac:dyDescent="0.3">
      <c r="A41" s="2">
        <v>2</v>
      </c>
      <c r="C41" s="38" t="s">
        <v>13</v>
      </c>
      <c r="D41" s="42">
        <f>TRUNC(123693,-1)</f>
        <v>123690</v>
      </c>
      <c r="E41" s="63">
        <f t="shared" si="1"/>
        <v>408890</v>
      </c>
    </row>
    <row r="42" spans="1:7" x14ac:dyDescent="0.3">
      <c r="A42" s="2">
        <v>3</v>
      </c>
      <c r="C42" s="38" t="s">
        <v>14</v>
      </c>
      <c r="D42" s="42">
        <f>TRUNC(149935,-1)</f>
        <v>149930</v>
      </c>
      <c r="E42" s="63">
        <f t="shared" si="1"/>
        <v>495630</v>
      </c>
    </row>
    <row r="43" spans="1:7" x14ac:dyDescent="0.3">
      <c r="A43" s="2">
        <v>4</v>
      </c>
      <c r="C43" s="38" t="s">
        <v>16</v>
      </c>
      <c r="D43" s="42">
        <f>TRUNC(22804,-1)</f>
        <v>22800</v>
      </c>
      <c r="E43" s="63">
        <f t="shared" si="1"/>
        <v>75370</v>
      </c>
    </row>
    <row r="44" spans="1:7" x14ac:dyDescent="0.3">
      <c r="A44" s="2">
        <v>5</v>
      </c>
      <c r="C44" s="38" t="s">
        <v>17</v>
      </c>
      <c r="D44" s="42">
        <f>TRUNC(25544,-1)</f>
        <v>25540</v>
      </c>
      <c r="E44" s="63">
        <f t="shared" si="1"/>
        <v>84430</v>
      </c>
    </row>
    <row r="45" spans="1:7" x14ac:dyDescent="0.3">
      <c r="A45" s="2">
        <v>6</v>
      </c>
      <c r="C45" s="38" t="s">
        <v>18</v>
      </c>
      <c r="D45" s="42">
        <f>TRUNC(3113,-1)</f>
        <v>3110</v>
      </c>
      <c r="E45" s="63">
        <f t="shared" si="1"/>
        <v>10280</v>
      </c>
    </row>
    <row r="46" spans="1:7" x14ac:dyDescent="0.3">
      <c r="A46" s="2">
        <v>7</v>
      </c>
      <c r="C46" s="38" t="s">
        <v>19</v>
      </c>
      <c r="D46" s="42">
        <f>TRUNC(32917,-1)</f>
        <v>32910</v>
      </c>
      <c r="E46" s="63">
        <f t="shared" si="1"/>
        <v>108790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TRUNC(136299,-1)</f>
        <v>136290</v>
      </c>
      <c r="E48" s="63">
        <f t="shared" si="1"/>
        <v>450540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TRUNC(13556,-1)</f>
        <v>13550</v>
      </c>
      <c r="E49" s="63">
        <f t="shared" si="1"/>
        <v>44790</v>
      </c>
    </row>
    <row r="50" spans="1:7" x14ac:dyDescent="0.3">
      <c r="A50" s="2">
        <v>11</v>
      </c>
      <c r="C50" s="38" t="s">
        <v>155</v>
      </c>
      <c r="D50" s="42">
        <f>TRUNC(36602,-1)</f>
        <v>36600</v>
      </c>
      <c r="E50" s="63">
        <f t="shared" si="1"/>
        <v>120990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TRUNC(6061,-1)</f>
        <v>6060</v>
      </c>
      <c r="E52" s="63">
        <f t="shared" si="1"/>
        <v>20030</v>
      </c>
    </row>
    <row r="53" spans="1:7" x14ac:dyDescent="0.3">
      <c r="A53" s="2">
        <v>14</v>
      </c>
      <c r="C53" s="38" t="s">
        <v>25</v>
      </c>
      <c r="D53" s="42">
        <f>TRUNC(122694,-1)</f>
        <v>122690</v>
      </c>
      <c r="E53" s="63">
        <f t="shared" si="1"/>
        <v>405580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TRUNC(38618+11131+8672-1157+4013+38194,-1)</f>
        <v>99470</v>
      </c>
      <c r="E58" s="63">
        <f t="shared" si="1"/>
        <v>328820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TRUNC(315044,-1)</f>
        <v>315040</v>
      </c>
      <c r="E59" s="64">
        <f t="shared" si="1"/>
        <v>1041450</v>
      </c>
    </row>
    <row r="60" spans="1:7" x14ac:dyDescent="0.3">
      <c r="A60" s="2">
        <v>21</v>
      </c>
      <c r="C60" s="27" t="s">
        <v>112</v>
      </c>
      <c r="D60" s="39">
        <f>SUM(D40:D59)</f>
        <v>1174470</v>
      </c>
      <c r="E60" s="39">
        <f>SUM(E40:E59)</f>
        <v>3882500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TRUNC(43227,-1)</f>
        <v>43220</v>
      </c>
      <c r="E63" s="62">
        <f>TRUNC(+D63*3.3058,-1)</f>
        <v>142870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43220</v>
      </c>
      <c r="E66" s="65">
        <f>SUM(E63:E65)</f>
        <v>142870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TRUNC(16403,-1)</f>
        <v>16400</v>
      </c>
      <c r="E69" s="62">
        <f t="shared" ref="E69:E94" si="2">TRUNC(+D69*3.3058,-1)</f>
        <v>54210</v>
      </c>
    </row>
    <row r="70" spans="1:7" ht="16.5" customHeight="1" x14ac:dyDescent="0.3">
      <c r="A70" s="2">
        <v>2</v>
      </c>
      <c r="C70" s="38" t="s">
        <v>31</v>
      </c>
      <c r="D70" s="42">
        <f>TRUNC(41,-1)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TRUNC(22773,-1)</f>
        <v>22770</v>
      </c>
      <c r="E71" s="63">
        <f t="shared" si="2"/>
        <v>75270</v>
      </c>
    </row>
    <row r="72" spans="1:7" x14ac:dyDescent="0.3">
      <c r="A72" s="2">
        <v>4</v>
      </c>
      <c r="C72" s="38" t="s">
        <v>33</v>
      </c>
      <c r="D72" s="42">
        <f>TRUNC(4708,-1)</f>
        <v>4700</v>
      </c>
      <c r="E72" s="63">
        <f t="shared" si="2"/>
        <v>15530</v>
      </c>
    </row>
    <row r="73" spans="1:7" x14ac:dyDescent="0.3">
      <c r="A73" s="2">
        <v>5</v>
      </c>
      <c r="C73" s="38" t="s">
        <v>34</v>
      </c>
      <c r="D73" s="42">
        <f>TRUNC(8455,-1)</f>
        <v>8450</v>
      </c>
      <c r="E73" s="63">
        <f t="shared" si="2"/>
        <v>27930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TRUNC(3577,-1)</f>
        <v>3570</v>
      </c>
      <c r="E75" s="63">
        <f t="shared" si="2"/>
        <v>11800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TRUNC(17827,-1)</f>
        <v>17820</v>
      </c>
      <c r="E89" s="63">
        <f t="shared" si="2"/>
        <v>58900</v>
      </c>
    </row>
    <row r="90" spans="1:7" x14ac:dyDescent="0.3">
      <c r="A90" s="2">
        <v>22</v>
      </c>
      <c r="C90" s="38" t="s">
        <v>36</v>
      </c>
      <c r="D90" s="42">
        <f>TRUNC(2461,-1)</f>
        <v>2460</v>
      </c>
      <c r="E90" s="63">
        <f t="shared" si="2"/>
        <v>8130</v>
      </c>
    </row>
    <row r="91" spans="1:7" x14ac:dyDescent="0.3">
      <c r="A91" s="2">
        <v>23</v>
      </c>
      <c r="C91" s="38" t="s">
        <v>37</v>
      </c>
      <c r="D91" s="42">
        <f>TRUNC(51664,-1)</f>
        <v>51660</v>
      </c>
      <c r="E91" s="63">
        <f t="shared" si="2"/>
        <v>170770</v>
      </c>
    </row>
    <row r="92" spans="1:7" x14ac:dyDescent="0.3">
      <c r="A92" s="2">
        <v>24</v>
      </c>
      <c r="C92" s="38" t="s">
        <v>38</v>
      </c>
      <c r="D92" s="42">
        <f>TRUNC(2651,-1)</f>
        <v>2650</v>
      </c>
      <c r="E92" s="63">
        <f t="shared" si="2"/>
        <v>8760</v>
      </c>
    </row>
    <row r="93" spans="1:7" x14ac:dyDescent="0.3">
      <c r="A93" s="2">
        <v>25</v>
      </c>
      <c r="C93" s="38" t="s">
        <v>148</v>
      </c>
      <c r="D93" s="42">
        <f>TRUNC(17025,-1)</f>
        <v>17020</v>
      </c>
      <c r="E93" s="63">
        <f t="shared" si="2"/>
        <v>56260</v>
      </c>
    </row>
    <row r="94" spans="1:7" ht="17.25" thickBot="1" x14ac:dyDescent="0.35">
      <c r="A94" s="2">
        <v>26</v>
      </c>
      <c r="C94" s="38" t="s">
        <v>47</v>
      </c>
      <c r="D94" s="43">
        <f>TRUNC(22420+5830+38481+180,-1)</f>
        <v>66910</v>
      </c>
      <c r="E94" s="64">
        <f t="shared" si="2"/>
        <v>221190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214450</v>
      </c>
      <c r="E95" s="39">
        <f>SUM(E69:E94)</f>
        <v>708880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TRUNC(17048,-1)</f>
        <v>17040</v>
      </c>
      <c r="E98" s="62">
        <f t="shared" ref="E98:E118" si="3">TRUNC(+D98*3.3058,-1)</f>
        <v>56330</v>
      </c>
    </row>
    <row r="99" spans="1:7" x14ac:dyDescent="0.3">
      <c r="A99" s="2">
        <v>2</v>
      </c>
      <c r="C99" s="38" t="s">
        <v>40</v>
      </c>
      <c r="D99" s="42">
        <f>TRUNC(13338,-1)</f>
        <v>13330</v>
      </c>
      <c r="E99" s="63">
        <f t="shared" si="3"/>
        <v>44060</v>
      </c>
    </row>
    <row r="100" spans="1:7" x14ac:dyDescent="0.3">
      <c r="A100" s="2">
        <v>3</v>
      </c>
      <c r="C100" s="38" t="s">
        <v>41</v>
      </c>
      <c r="D100" s="42">
        <f>TRUNC(29497,-1)</f>
        <v>29490</v>
      </c>
      <c r="E100" s="63">
        <f t="shared" si="3"/>
        <v>97480</v>
      </c>
    </row>
    <row r="101" spans="1:7" x14ac:dyDescent="0.3">
      <c r="A101" s="2">
        <v>4</v>
      </c>
      <c r="C101" s="38" t="s">
        <v>42</v>
      </c>
      <c r="D101" s="42">
        <f>TRUNC(808,-1)</f>
        <v>800</v>
      </c>
      <c r="E101" s="63">
        <f t="shared" si="3"/>
        <v>2640</v>
      </c>
    </row>
    <row r="102" spans="1:7" x14ac:dyDescent="0.3">
      <c r="A102" s="2">
        <v>5</v>
      </c>
      <c r="C102" s="38" t="s">
        <v>43</v>
      </c>
      <c r="D102" s="42">
        <f>TRUNC(4986,-1)</f>
        <v>4980</v>
      </c>
      <c r="E102" s="63">
        <f t="shared" si="3"/>
        <v>16460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TRUNC(4246,-1)</f>
        <v>4240</v>
      </c>
      <c r="E104" s="63">
        <f t="shared" si="3"/>
        <v>14010</v>
      </c>
    </row>
    <row r="105" spans="1:7" x14ac:dyDescent="0.3">
      <c r="A105" s="2">
        <v>8</v>
      </c>
      <c r="C105" s="38" t="s">
        <v>46</v>
      </c>
      <c r="D105" s="42">
        <f>TRUNC(5128,-1)</f>
        <v>5120</v>
      </c>
      <c r="E105" s="63">
        <f t="shared" si="3"/>
        <v>16920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TRUNC(3754,-1)</f>
        <v>3750</v>
      </c>
      <c r="E114" s="63">
        <f t="shared" si="3"/>
        <v>12390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TRUNC(4724,-1)</f>
        <v>4720</v>
      </c>
      <c r="E116" s="63">
        <f t="shared" si="3"/>
        <v>15600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TRUNC(106319,-1)</f>
        <v>106310</v>
      </c>
      <c r="E117" s="63">
        <f t="shared" si="3"/>
        <v>351430</v>
      </c>
    </row>
    <row r="118" spans="1:7" ht="17.25" thickBot="1" x14ac:dyDescent="0.35">
      <c r="A118" s="2">
        <v>21</v>
      </c>
      <c r="C118" s="38" t="s">
        <v>47</v>
      </c>
      <c r="D118" s="43">
        <f>TRUNC(1710,-1)</f>
        <v>1710</v>
      </c>
      <c r="E118" s="64">
        <f t="shared" si="3"/>
        <v>5650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191490</v>
      </c>
      <c r="E119" s="39">
        <f>SUM(E98:E118)</f>
        <v>632970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TRUNC(2137,-1)</f>
        <v>2130</v>
      </c>
      <c r="E122" s="62">
        <f t="shared" ref="E122:E132" si="4">TRUNC(+D122*3.3058,-1)</f>
        <v>7040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TRUNC(2989,-1)</f>
        <v>2980</v>
      </c>
      <c r="E124" s="63">
        <f t="shared" si="4"/>
        <v>9850</v>
      </c>
    </row>
    <row r="125" spans="1:7" x14ac:dyDescent="0.3">
      <c r="A125" s="2">
        <v>4</v>
      </c>
      <c r="C125" s="38" t="s">
        <v>138</v>
      </c>
      <c r="D125" s="42">
        <f>TRUNC(5475,-1)</f>
        <v>5470</v>
      </c>
      <c r="E125" s="63">
        <f t="shared" si="4"/>
        <v>18080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TRUNC(1281,-1)</f>
        <v>1280</v>
      </c>
      <c r="E127" s="63">
        <f t="shared" si="4"/>
        <v>4230</v>
      </c>
    </row>
    <row r="128" spans="1:7" x14ac:dyDescent="0.3">
      <c r="A128" s="2">
        <v>7</v>
      </c>
      <c r="C128" s="38" t="s">
        <v>46</v>
      </c>
      <c r="D128" s="42">
        <f>TRUNC(2494,-1)</f>
        <v>2490</v>
      </c>
      <c r="E128" s="63">
        <f t="shared" si="4"/>
        <v>8230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TRUNC(9041,-1)</f>
        <v>9040</v>
      </c>
      <c r="E130" s="63">
        <f t="shared" si="4"/>
        <v>29880</v>
      </c>
    </row>
    <row r="131" spans="1:7" x14ac:dyDescent="0.3">
      <c r="A131" s="2">
        <v>10</v>
      </c>
      <c r="C131" s="38" t="s">
        <v>148</v>
      </c>
      <c r="D131" s="42">
        <f>TRUNC(61935,-1)</f>
        <v>61930</v>
      </c>
      <c r="E131" s="63">
        <f t="shared" si="4"/>
        <v>204720</v>
      </c>
    </row>
    <row r="132" spans="1:7" ht="18" thickBot="1" x14ac:dyDescent="0.35">
      <c r="A132" s="2">
        <v>11</v>
      </c>
      <c r="C132" s="38" t="s">
        <v>47</v>
      </c>
      <c r="D132" s="43">
        <f>TRUNC(2037+246+1175,-1)</f>
        <v>3450</v>
      </c>
      <c r="E132" s="64">
        <f t="shared" si="4"/>
        <v>11400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88770</v>
      </c>
      <c r="E133" s="39">
        <f>SUM(E122:E132)</f>
        <v>293430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TRUNC(1213+1540+2572+79,-1)</f>
        <v>5400</v>
      </c>
      <c r="E137" s="63">
        <f t="shared" si="5"/>
        <v>17850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TRUNC(2552,-1)</f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f>TRUNC(382,-1)</f>
        <v>380</v>
      </c>
      <c r="E140" s="63">
        <f t="shared" si="5"/>
        <v>1250</v>
      </c>
    </row>
    <row r="141" spans="1:7" x14ac:dyDescent="0.3">
      <c r="A141" s="2">
        <v>6</v>
      </c>
      <c r="C141" s="38" t="s">
        <v>59</v>
      </c>
      <c r="D141" s="42">
        <f>TRUNC(30575,-1)</f>
        <v>30570</v>
      </c>
      <c r="E141" s="63">
        <f t="shared" si="5"/>
        <v>101050</v>
      </c>
    </row>
    <row r="142" spans="1:7" x14ac:dyDescent="0.3">
      <c r="A142" s="2">
        <v>7</v>
      </c>
      <c r="C142" s="38" t="s">
        <v>58</v>
      </c>
      <c r="D142" s="42">
        <f>TRUNC(4729,-1)</f>
        <v>4720</v>
      </c>
      <c r="E142" s="63">
        <f t="shared" si="5"/>
        <v>15600</v>
      </c>
    </row>
    <row r="143" spans="1:7" x14ac:dyDescent="0.3">
      <c r="A143" s="2">
        <v>8</v>
      </c>
      <c r="C143" s="38" t="s">
        <v>62</v>
      </c>
      <c r="D143" s="42">
        <f>TRUNC(3540,-1)</f>
        <v>3540</v>
      </c>
      <c r="E143" s="63">
        <f t="shared" si="5"/>
        <v>11700</v>
      </c>
    </row>
    <row r="144" spans="1:7" x14ac:dyDescent="0.3">
      <c r="A144" s="2">
        <v>9</v>
      </c>
      <c r="C144" s="38" t="s">
        <v>63</v>
      </c>
      <c r="D144" s="42">
        <f>TRUNC(20289,-1)</f>
        <v>20280</v>
      </c>
      <c r="E144" s="63">
        <f t="shared" si="5"/>
        <v>67040</v>
      </c>
    </row>
    <row r="145" spans="1:7" ht="17.25" thickBot="1" x14ac:dyDescent="0.35">
      <c r="A145" s="2">
        <v>10</v>
      </c>
      <c r="C145" s="38" t="s">
        <v>148</v>
      </c>
      <c r="D145" s="43">
        <f>TRUNC(11282,-1)</f>
        <v>11280</v>
      </c>
      <c r="E145" s="64">
        <f t="shared" si="5"/>
        <v>37280</v>
      </c>
    </row>
    <row r="146" spans="1:7" x14ac:dyDescent="0.3">
      <c r="A146" s="2">
        <v>11</v>
      </c>
      <c r="C146" s="27" t="s">
        <v>112</v>
      </c>
      <c r="D146" s="39">
        <f>SUM(D136:D145)</f>
        <v>78720</v>
      </c>
      <c r="E146" s="39">
        <f>SUM(E136:E145)</f>
        <v>260190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TRUNC(4672+245,-1)</f>
        <v>4910</v>
      </c>
      <c r="E149" s="62">
        <f>TRUNC(+D149*3.3058,-1)</f>
        <v>16230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TRUNC(1663,-1)</f>
        <v>1660</v>
      </c>
      <c r="E150" s="63">
        <f>TRUNC(+D150*3.3058,-1)</f>
        <v>5480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TRUNC(168+3769+984+450,-1)</f>
        <v>5370</v>
      </c>
      <c r="E152" s="63">
        <f>TRUNC(+D152*3.3058,-1)</f>
        <v>17750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TRUNC(214166,-1)</f>
        <v>214160</v>
      </c>
      <c r="E153" s="64">
        <f>TRUNC(+D153*3.3058,-1)</f>
        <v>707970</v>
      </c>
    </row>
    <row r="154" spans="1:7" x14ac:dyDescent="0.3">
      <c r="A154" s="2">
        <v>6</v>
      </c>
      <c r="C154" s="27" t="s">
        <v>112</v>
      </c>
      <c r="D154" s="39">
        <f>SUM(D149:D153)</f>
        <v>226100</v>
      </c>
      <c r="E154" s="39">
        <f>SUM(E149:E153)</f>
        <v>747430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TRUNC(9344,-1)</f>
        <v>9340</v>
      </c>
      <c r="E157" s="62">
        <f>TRUNC(+D157*3.3058,-1)</f>
        <v>30870</v>
      </c>
    </row>
    <row r="158" spans="1:7" x14ac:dyDescent="0.3">
      <c r="A158" s="2">
        <v>2</v>
      </c>
      <c r="C158" s="38" t="s">
        <v>52</v>
      </c>
      <c r="D158" s="42">
        <f>TRUNC(8318,-1)</f>
        <v>8310</v>
      </c>
      <c r="E158" s="63">
        <f>TRUNC(+D158*3.3058,-1)</f>
        <v>27470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TRUNC(4974+4,-1)</f>
        <v>4970</v>
      </c>
      <c r="E159" s="63">
        <f>TRUNC(+D159*3.3058,-1)</f>
        <v>16420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22620</v>
      </c>
      <c r="E161" s="39">
        <f>SUM(E157:E160)</f>
        <v>74760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2020-12-08T01:41:02Z</dcterms:modified>
</cp:coreProperties>
</file>