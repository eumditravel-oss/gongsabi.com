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1" i="4"/>
  <c r="D50" i="4"/>
  <c r="D49" i="4"/>
  <c r="D48" i="4"/>
  <c r="D55" i="4"/>
  <c r="D44" i="4"/>
  <c r="D47" i="4"/>
  <c r="D45" i="4"/>
  <c r="D46" i="4"/>
  <c r="D43" i="4"/>
  <c r="D42" i="4"/>
  <c r="D41" i="4"/>
  <c r="D40" i="4"/>
  <c r="D37" i="4"/>
  <c r="D152" i="4"/>
  <c r="D150" i="4"/>
  <c r="D65" i="4"/>
  <c r="D63" i="4"/>
  <c r="D94" i="4"/>
  <c r="D79" i="4"/>
  <c r="D92" i="4"/>
  <c r="D71" i="4"/>
  <c r="D69" i="4"/>
  <c r="D137" i="4"/>
  <c r="D93" i="4"/>
  <c r="D144" i="4"/>
  <c r="D143" i="4"/>
  <c r="D117" i="4"/>
  <c r="D105" i="4"/>
  <c r="D100" i="4"/>
  <c r="D102" i="4"/>
  <c r="D101" i="4"/>
  <c r="D98" i="4"/>
  <c r="D114" i="4"/>
  <c r="D116" i="4"/>
  <c r="D131" i="4"/>
  <c r="D124" i="4"/>
  <c r="D122" i="4"/>
  <c r="D130" i="4"/>
  <c r="D13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0" i="4"/>
  <c r="E154" i="4"/>
  <c r="E66" i="4"/>
  <c r="E95" i="4"/>
  <c r="E119" i="4"/>
  <c r="E133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8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<sst xmlns="http://schemas.openxmlformats.org/spreadsheetml/2006/main" count="393" uniqueCount="268">
  <si>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</si>
  <si>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</si>
  <si>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</si>
  <si>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</si>
  <si>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</si>
  <si>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</si>
  <si>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</si>
  <si>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</si>
  <si>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</si>
  <si>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</si>
  <si>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</si>
  <si>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</si>
  <si>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</si>
  <si>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</si>
  <si>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</si>
  <si>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</si>
  <si>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</si>
  <si>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</si>
  <si>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</si>
  <si>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</si>
  <si>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</si>
  <si>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</si>
  <si>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</si>
  <si>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</si>
  <si>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</si>
  <si>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</si>
  <si>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</si>
  <si>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</si>
  <si>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</si>
  <si>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</si>
  <si>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</si>
  <si>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</si>
  <si>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</si>
  <si>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</si>
  <si>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</si>
  <si>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</si>
  <si>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</si>
  <si>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</si>
  <si>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</si>
  <si>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</si>
  <si>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</si>
  <si>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</si>
  <si>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</si>
  <si>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</si>
  <si>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</si>
  <si>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</si>
  <si>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</si>
  <si>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</si>
  <si>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</si>
  <si>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</si>
  <si>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</si>
  <si>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</si>
  <si>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</si>
  <si>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</si>
  <si>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</si>
  <si>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</si>
  <si>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</si>
  <si>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</si>
  <si>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</si>
  <si>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</si>
  <si>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</si>
  <si>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</si>
  <si>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</si>
  <si>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</si>
  <si>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</si>
  <si>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</si>
  <si>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</si>
  <si>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</si>
  <si>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</si>
  <si>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</si>
  <si>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</si>
  <si>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</si>
  <si>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</si>
  <si>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</si>
  <si>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</si>
  <si>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</si>
  <si>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</si>
  <si>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</si>
  <si>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</si>
  <si>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</si>
  <si>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</si>
  <si>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</si>
  <si>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</si>
  <si>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</si>
  <si>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</si>
  <si>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</si>
  <si>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</si>
  <si>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</si>
  <si>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</si>
  <si>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</si>
  <si>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</si>
  <si>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</si>
  <si>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</si>
  <si>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</si>
  <si>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</si>
  <si>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</si>
  <si>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</si>
  <si>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</si>
  <si>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</si>
  <si>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</si>
  <si>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</si>
  <si>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</si>
  <si>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</si>
  <si>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</si>
  <si>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</si>
  <si>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</si>
  <si>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</si>
  <si>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</si>
  <si>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</si>
  <si>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</si>
  <si>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</si>
  <si>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</si>
  <si>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</si>
  <si>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</si>
  <si>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</si>
  <si>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</si>
  <si>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</si>
  <si>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</si>
  <si>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</si>
  <si>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</si>
  <si>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</si>
  <si>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</si>
  <si>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</si>
  <si>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</si>
  <si>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</si>
  <si>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</si>
  <si>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</si>
  <si>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</si>
  <si>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</si>
  <si>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</si>
  <si>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</si>
  <si>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</si>
  <si>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</si>
  <si>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</si>
  <si>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</si>
  <si>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</si>
  <si>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</si>
  <si>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</si>
  <si>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</si>
  <si>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</si>
  <si>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</si>
  <si>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</si>
  <si>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</si>
  <si>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</si>
  <si>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</si>
  <si>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</si>
  <si>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</si>
  <si>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</si>
  <si>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</si>
  <si>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</si>
  <si>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</si>
  <si>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</si>
  <si>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</si>
  <si>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</si>
  <si>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</si>
  <si>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</si>
  <si>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</si>
  <si>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</si>
  <si>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</si>
  <si>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</si>
  <si>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</si>
  <si>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</si>
  <si>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</si>
  <si>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</si>
  <si>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</si>
  <si>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</si>
  <si>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</si>
  <si>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</si>
  <si>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</si>
  <si>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</si>
  <si>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</si>
  <si>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</si>
  <si>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</si>
  <si>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</si>
  <si>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</si>
  <si>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</si>
  <si>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</si>
  <si>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</si>
  <si>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</si>
  <si>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</si>
  <si>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</si>
  <si>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</si>
  <si>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</si>
  <si>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</si>
  <si>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</si>
  <si>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</si>
  <si>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</si>
  <si>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</si>
  <si>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</si>
  <si>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</si>
  <si>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</si>
  <si>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</si>
  <si>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</si>
  <si>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</si>
  <si>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</si>
  <si>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</si>
  <si>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</si>
  <si>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</si>
  <si>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</si>
  <si>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</si>
  <si>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</si>
  <si>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</si>
  <si>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</si>
  <si>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</si>
  <si>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</si>
  <si>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</si>
  <si>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</si>
  <si>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</si>
  <si>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</si>
  <si>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</si>
  <si>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</si>
  <si>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</si>
  <si>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</si>
  <si>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</si>
  <si>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</si>
  <si>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</si>
  <si>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</si>
  <si>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</si>
  <si>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</si>
  <si>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</si>
  <si>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</si>
  <si>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</si>
  <si>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</si>
  <si>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</si>
  <si>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</si>
  <si>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</si>
  <si>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</si>
  <si>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</si>
  <si>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</si>
  <si>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</si>
  <si>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</si>
  <si>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</si>
  <si>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</si>
  <si>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</si>
  <si>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</si>
  <si>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</si>
  <si>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</si>
  <si>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</si>
  <si>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</si>
  <si>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</si>
  <si>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</si>
  <si>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</si>
  <si>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</si>
  <si>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</si>
  <si>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</si>
  <si>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</si>
  <si>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</si>
  <si>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</si>
  <si>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00동 복합청사 신축공사</t>
  </si>
  <si>
    <t>업무</t>
  </si>
  <si>
    <t>서울</t>
  </si>
  <si>
    <t>CCTV 설비공사,주차관제설비공사,관사정보통신설비공사</t>
    <phoneticPr fontId="2" type="noConversion"/>
  </si>
  <si>
    <t>전력인입설비공사</t>
  </si>
  <si>
    <t>전력설비공사</t>
  </si>
  <si>
    <t>전기 유도등설비공사</t>
    <phoneticPr fontId="2" type="noConversion"/>
  </si>
  <si>
    <t>전기 자동화재탐지설비공사</t>
    <phoneticPr fontId="2" type="noConversion"/>
  </si>
  <si>
    <t>기계 소화배관공사</t>
    <phoneticPr fontId="2" type="noConversion"/>
  </si>
  <si>
    <t>위생설비공사</t>
  </si>
  <si>
    <t>환기닥트공사</t>
  </si>
  <si>
    <t>난방배관공사,도시가스배관공사,관사설비공사</t>
    <phoneticPr fontId="2" type="noConversion"/>
  </si>
  <si>
    <t>CIP공사</t>
  </si>
  <si>
    <t>배수공사,자재비,부대공사,운반공</t>
    <phoneticPr fontId="2" type="noConversion"/>
  </si>
  <si>
    <t>지정공사,기타공사,부대공사,조경공사,철거공사,골재비및운반공사,작업부산물,관사동(74M2)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</si>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</sst>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1862</v>
      </c>
      <c r="D7" s="36">
        <f>+C7/3.3058</f>
        <v>563.2524653639058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1210</v>
      </c>
      <c r="E24" s="58">
        <f t="shared" ref="E24:E33" si="0">TRUNC(+D24*3.3058,-1)</f>
        <v>4000</v>
      </c>
    </row>
    <row r="25" spans="1:5" x14ac:dyDescent="0.3">
      <c r="B25" s="2">
        <v>2</v>
      </c>
      <c r="C25" s="35" t="s">
        <v>111</v>
      </c>
      <c r="D25" s="45">
        <f>+D60</f>
        <v>785420</v>
      </c>
      <c r="E25" s="59">
        <f t="shared" si="0"/>
        <v>2596440</v>
      </c>
    </row>
    <row r="26" spans="1:5" x14ac:dyDescent="0.3">
      <c r="B26" s="2">
        <v>3</v>
      </c>
      <c r="C26" s="35" t="s">
        <v>95</v>
      </c>
      <c r="D26" s="45">
        <f>+D66</f>
        <v>28890</v>
      </c>
      <c r="E26" s="59">
        <f t="shared" si="0"/>
        <v>95500</v>
      </c>
    </row>
    <row r="27" spans="1:5" x14ac:dyDescent="0.3">
      <c r="B27" s="2">
        <v>4</v>
      </c>
      <c r="C27" s="35" t="s">
        <v>96</v>
      </c>
      <c r="D27" s="45">
        <f>+D95</f>
        <v>115780</v>
      </c>
      <c r="E27" s="59">
        <f t="shared" si="0"/>
        <v>382740</v>
      </c>
    </row>
    <row r="28" spans="1:5" x14ac:dyDescent="0.3">
      <c r="B28" s="2">
        <v>5</v>
      </c>
      <c r="C28" s="35" t="s">
        <v>97</v>
      </c>
      <c r="D28" s="45">
        <f>+D119</f>
        <v>94340</v>
      </c>
      <c r="E28" s="59">
        <f t="shared" si="0"/>
        <v>311860</v>
      </c>
    </row>
    <row r="29" spans="1:5" x14ac:dyDescent="0.3">
      <c r="B29" s="2">
        <v>6</v>
      </c>
      <c r="C29" s="35" t="s">
        <v>98</v>
      </c>
      <c r="D29" s="45">
        <f>+D133</f>
        <v>32650</v>
      </c>
      <c r="E29" s="59">
        <f t="shared" si="0"/>
        <v>107930</v>
      </c>
    </row>
    <row r="30" spans="1:5" x14ac:dyDescent="0.3">
      <c r="B30" s="2">
        <v>7</v>
      </c>
      <c r="C30" s="35" t="s">
        <v>99</v>
      </c>
      <c r="D30" s="45">
        <f>+D146</f>
        <v>23240</v>
      </c>
      <c r="E30" s="59">
        <f t="shared" si="0"/>
        <v>76820</v>
      </c>
    </row>
    <row r="31" spans="1:5" x14ac:dyDescent="0.3">
      <c r="B31" s="2">
        <v>8</v>
      </c>
      <c r="C31" s="35" t="s">
        <v>100</v>
      </c>
      <c r="D31" s="45">
        <f>+D154</f>
        <v>32410</v>
      </c>
      <c r="E31" s="59">
        <f t="shared" si="0"/>
        <v>107140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306330</v>
      </c>
      <c r="E33" s="60">
        <f t="shared" si="0"/>
        <v>1012660</v>
      </c>
    </row>
    <row r="34" spans="1:7" x14ac:dyDescent="0.3">
      <c r="C34" s="35" t="s">
        <v>112</v>
      </c>
      <c r="D34" s="44">
        <f>SUM(D24:D33)</f>
        <v>1420270</v>
      </c>
      <c r="E34" s="44">
        <f>SUM(E24:E33)</f>
        <v>4695090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TRUNC(1216.48442534909,-1)</f>
        <v>1210</v>
      </c>
      <c r="E37" s="61">
        <f>TRUNC(+D37*3.3058,-1)</f>
        <v>4000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TRUNC(29768.7352309345,-1)</f>
        <v>29760</v>
      </c>
      <c r="E40" s="62">
        <f t="shared" ref="E40:E59" si="1">TRUNC(+D40*3.3058,-1)</f>
        <v>98380</v>
      </c>
    </row>
    <row r="41" spans="1:7" x14ac:dyDescent="0.3">
      <c r="A41" s="2">
        <v>2</v>
      </c>
      <c r="C41" s="38" t="s">
        <v>13</v>
      </c>
      <c r="D41" s="42">
        <f>TRUNC(219858.04189044,-1)</f>
        <v>219850</v>
      </c>
      <c r="E41" s="63">
        <f t="shared" si="1"/>
        <v>726780</v>
      </c>
    </row>
    <row r="42" spans="1:7" x14ac:dyDescent="0.3">
      <c r="A42" s="2">
        <v>3</v>
      </c>
      <c r="C42" s="38" t="s">
        <v>14</v>
      </c>
      <c r="D42" s="42">
        <f>TRUNC(7557.56068743287,-1)</f>
        <v>7550</v>
      </c>
      <c r="E42" s="63">
        <f t="shared" si="1"/>
        <v>24950</v>
      </c>
    </row>
    <row r="43" spans="1:7" x14ac:dyDescent="0.3">
      <c r="A43" s="2">
        <v>4</v>
      </c>
      <c r="C43" s="38" t="s">
        <v>16</v>
      </c>
      <c r="D43" s="42">
        <f>TRUNC(13964.4462943072,-1)</f>
        <v>13960</v>
      </c>
      <c r="E43" s="63">
        <f t="shared" si="1"/>
        <v>46140</v>
      </c>
    </row>
    <row r="44" spans="1:7" x14ac:dyDescent="0.3">
      <c r="A44" s="2">
        <v>5</v>
      </c>
      <c r="C44" s="38" t="s">
        <v>17</v>
      </c>
      <c r="D44" s="42">
        <f>TRUNC(32009.0590762621,-1)</f>
        <v>32000</v>
      </c>
      <c r="E44" s="63">
        <f t="shared" si="1"/>
        <v>105780</v>
      </c>
    </row>
    <row r="45" spans="1:7" x14ac:dyDescent="0.3">
      <c r="A45" s="2">
        <v>6</v>
      </c>
      <c r="C45" s="38" t="s">
        <v>18</v>
      </c>
      <c r="D45" s="42">
        <f>TRUNC(13431.0606874329,-1)</f>
        <v>13430</v>
      </c>
      <c r="E45" s="63">
        <f t="shared" si="1"/>
        <v>44390</v>
      </c>
    </row>
    <row r="46" spans="1:7" x14ac:dyDescent="0.3">
      <c r="A46" s="2">
        <v>7</v>
      </c>
      <c r="C46" s="38" t="s">
        <v>19</v>
      </c>
      <c r="D46" s="42">
        <f>TRUNC(36373.2073039742,-1)</f>
        <v>36370</v>
      </c>
      <c r="E46" s="63">
        <f t="shared" si="1"/>
        <v>120230</v>
      </c>
    </row>
    <row r="47" spans="1:7" x14ac:dyDescent="0.3">
      <c r="A47" s="2">
        <v>8</v>
      </c>
      <c r="C47" s="38" t="s">
        <v>20</v>
      </c>
      <c r="D47" s="42">
        <f>TRUNC(13379.6455424275,-1)</f>
        <v>13370</v>
      </c>
      <c r="E47" s="63">
        <f t="shared" si="1"/>
        <v>44190</v>
      </c>
    </row>
    <row r="48" spans="1:7" x14ac:dyDescent="0.3">
      <c r="A48" s="2">
        <v>9</v>
      </c>
      <c r="C48" s="38" t="s">
        <v>21</v>
      </c>
      <c r="D48" s="42">
        <f>TRUNC(100866.778195489,-1)</f>
        <v>100860</v>
      </c>
      <c r="E48" s="63">
        <f t="shared" si="1"/>
        <v>333420</v>
      </c>
    </row>
    <row r="49" spans="1:7" x14ac:dyDescent="0.3">
      <c r="A49" s="2">
        <v>10</v>
      </c>
      <c r="C49" s="38" t="s">
        <v>22</v>
      </c>
      <c r="D49" s="42">
        <f>TRUNC(30806.8560687433,-1)</f>
        <v>30800</v>
      </c>
      <c r="E49" s="63">
        <f t="shared" si="1"/>
        <v>101810</v>
      </c>
    </row>
    <row r="50" spans="1:7" x14ac:dyDescent="0.3">
      <c r="A50" s="2">
        <v>11</v>
      </c>
      <c r="C50" s="38" t="s">
        <v>155</v>
      </c>
      <c r="D50" s="42">
        <f>TRUNC(44020.0279269603,-1)</f>
        <v>44020</v>
      </c>
      <c r="E50" s="63">
        <f t="shared" si="1"/>
        <v>145520</v>
      </c>
    </row>
    <row r="51" spans="1:7" x14ac:dyDescent="0.3">
      <c r="A51" s="2">
        <v>12</v>
      </c>
      <c r="C51" s="38" t="s">
        <v>23</v>
      </c>
      <c r="D51" s="42">
        <f>TRUNC(22011.3716433942,-1)</f>
        <v>22010</v>
      </c>
      <c r="E51" s="63">
        <f t="shared" si="1"/>
        <v>72760</v>
      </c>
    </row>
    <row r="52" spans="1:7" x14ac:dyDescent="0.3">
      <c r="A52" s="2">
        <v>13</v>
      </c>
      <c r="C52" s="38" t="s">
        <v>24</v>
      </c>
      <c r="D52" s="42">
        <f>TRUNC(12544.2352309345,-1)</f>
        <v>12540</v>
      </c>
      <c r="E52" s="63">
        <f t="shared" si="1"/>
        <v>41450</v>
      </c>
    </row>
    <row r="53" spans="1:7" x14ac:dyDescent="0.3">
      <c r="A53" s="2">
        <v>14</v>
      </c>
      <c r="C53" s="38" t="s">
        <v>25</v>
      </c>
      <c r="D53" s="42">
        <f>TRUNC(58491.3941997852,-1)</f>
        <v>58490</v>
      </c>
      <c r="E53" s="63">
        <f t="shared" si="1"/>
        <v>193350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TRUNC(2759.18796992481,-1)</f>
        <v>2750</v>
      </c>
      <c r="E55" s="63">
        <f t="shared" si="1"/>
        <v>9090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TRUNC(31312.5553168636+20117.9060150376+22769.7352309345+11123.3549946294+757.542427497315+10066.0107411386-707.481203007519+52225.0601503759,-1)</f>
        <v>147660</v>
      </c>
      <c r="E58" s="63">
        <f t="shared" si="1"/>
        <v>488130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785420</v>
      </c>
      <c r="E60" s="39">
        <f>SUM(E40:E59)</f>
        <v>2596370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TRUNC(15854.6911922664,-1)</f>
        <v>15850</v>
      </c>
      <c r="E63" s="62">
        <f>TRUNC(+D63*3.3058,-1)</f>
        <v>52390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TRUNC(13041.4162191192,-1)</f>
        <v>13040</v>
      </c>
      <c r="E65" s="64">
        <f>TRUNC(+D65*3.3058,-1)</f>
        <v>43100</v>
      </c>
      <c r="F65" s="2" t="s">
        <v>260</v>
      </c>
    </row>
    <row r="66" spans="1:7" x14ac:dyDescent="0.3">
      <c r="A66" s="2">
        <v>4</v>
      </c>
      <c r="C66" s="27" t="s">
        <v>112</v>
      </c>
      <c r="D66" s="39">
        <f>SUM(D63:D65)</f>
        <v>28890</v>
      </c>
      <c r="E66" s="65">
        <f>SUM(E63:E65)</f>
        <v>95490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TRUNC(12207.045112782,-1)</f>
        <v>12200</v>
      </c>
      <c r="E69" s="62">
        <f t="shared" ref="E69:E94" si="2">TRUNC(+D69*3.3058,-1)</f>
        <v>40330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TRUNC(4880.4828141783,-1)</f>
        <v>4880</v>
      </c>
      <c r="E71" s="63">
        <f t="shared" si="2"/>
        <v>16130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TRUNC(3789.28839957035,-1)</f>
        <v>3780</v>
      </c>
      <c r="E79" s="63">
        <f t="shared" si="2"/>
        <v>12490</v>
      </c>
      <c r="F79" s="2" t="s">
        <v>258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TRUNC(22369.9806659506,-1)</f>
        <v>22360</v>
      </c>
      <c r="E92" s="63">
        <f t="shared" si="2"/>
        <v>73910</v>
      </c>
      <c r="F92" s="2" t="s">
        <v>257</v>
      </c>
    </row>
    <row r="93" spans="1:7" x14ac:dyDescent="0.3">
      <c r="A93" s="2">
        <v>25</v>
      </c>
      <c r="C93" s="38" t="s">
        <v>148</v>
      </c>
      <c r="D93" s="42">
        <f>TRUNC(59767.9914070892,-1)</f>
        <v>59760</v>
      </c>
      <c r="E93" s="63">
        <f t="shared" si="2"/>
        <v>197550</v>
      </c>
    </row>
    <row r="94" spans="1:7" ht="17.25" thickBot="1" x14ac:dyDescent="0.35">
      <c r="A94" s="2">
        <v>26</v>
      </c>
      <c r="C94" s="38" t="s">
        <v>47</v>
      </c>
      <c r="D94" s="43">
        <f>TRUNC(6031.53759398496+1654.64232008593+5122.61063372717,-1)</f>
        <v>12800</v>
      </c>
      <c r="E94" s="64">
        <f t="shared" si="2"/>
        <v>42310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115780</v>
      </c>
      <c r="E95" s="39">
        <f>SUM(E69:E94)</f>
        <v>382720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TRUNC(2486.05961331901,-1)</f>
        <v>2480</v>
      </c>
      <c r="E98" s="62">
        <f t="shared" ref="E98:E118" si="3">TRUNC(+D98*3.3058,-1)</f>
        <v>8190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TRUNC(29237.5993555317,-1)</f>
        <v>29230</v>
      </c>
      <c r="E100" s="63">
        <f t="shared" si="3"/>
        <v>96620</v>
      </c>
    </row>
    <row r="101" spans="1:7" x14ac:dyDescent="0.3">
      <c r="A101" s="2">
        <v>4</v>
      </c>
      <c r="C101" s="38" t="s">
        <v>42</v>
      </c>
      <c r="D101" s="42">
        <f>TRUNC(3476.43179377014,-1)</f>
        <v>3470</v>
      </c>
      <c r="E101" s="63">
        <f t="shared" si="3"/>
        <v>11470</v>
      </c>
      <c r="F101" s="2" t="s">
        <v>253</v>
      </c>
    </row>
    <row r="102" spans="1:7" x14ac:dyDescent="0.3">
      <c r="A102" s="2">
        <v>5</v>
      </c>
      <c r="C102" s="38" t="s">
        <v>43</v>
      </c>
      <c r="D102" s="42">
        <f>TRUNC(10633.2395273899,-1)</f>
        <v>10630</v>
      </c>
      <c r="E102" s="63">
        <f t="shared" si="3"/>
        <v>35140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TRUNC(1287.21374865736,-1)</f>
        <v>1280</v>
      </c>
      <c r="E105" s="63">
        <f t="shared" si="3"/>
        <v>4230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TRUNC(3330.86519871106,-1)</f>
        <v>3330</v>
      </c>
      <c r="E114" s="63">
        <f t="shared" si="3"/>
        <v>11000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TRUNC(3409.45166487648,-1)</f>
        <v>3400</v>
      </c>
      <c r="E116" s="63">
        <f t="shared" si="3"/>
        <v>11230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TRUNC(40520.9452201933,-1)</f>
        <v>40520</v>
      </c>
      <c r="E117" s="63">
        <f t="shared" si="3"/>
        <v>133950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94340</v>
      </c>
      <c r="E119" s="39">
        <f>SUM(E98:E118)</f>
        <v>311830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TRUNC(1567.27067669173,-1)</f>
        <v>1560</v>
      </c>
      <c r="E122" s="62">
        <f t="shared" ref="E122:E132" si="4">TRUNC(+D122*3.3058,-1)</f>
        <v>5150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TRUNC(749.695488721805,-1)</f>
        <v>740</v>
      </c>
      <c r="E124" s="63">
        <f t="shared" si="4"/>
        <v>2440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TRUNC(6020.47798066595,-1)</f>
        <v>6020</v>
      </c>
      <c r="E130" s="63">
        <f t="shared" si="4"/>
        <v>19900</v>
      </c>
    </row>
    <row r="131" spans="1:7" x14ac:dyDescent="0.3">
      <c r="A131" s="2">
        <v>10</v>
      </c>
      <c r="C131" s="38" t="s">
        <v>148</v>
      </c>
      <c r="D131" s="42">
        <f>TRUNC(22412.4597207304,-1)</f>
        <v>22410</v>
      </c>
      <c r="E131" s="63">
        <f t="shared" si="4"/>
        <v>74080</v>
      </c>
    </row>
    <row r="132" spans="1:7" ht="18" thickBot="1" x14ac:dyDescent="0.35">
      <c r="A132" s="2">
        <v>11</v>
      </c>
      <c r="C132" s="38" t="s">
        <v>47</v>
      </c>
      <c r="D132" s="43">
        <f>TRUNC(805.896885069817+531.415682062299+590.586466165414,-1)</f>
        <v>1920</v>
      </c>
      <c r="E132" s="64">
        <f t="shared" si="4"/>
        <v>6340</v>
      </c>
      <c r="F132" s="54" t="s">
        <v>251</v>
      </c>
    </row>
    <row r="133" spans="1:7" x14ac:dyDescent="0.3">
      <c r="A133" s="2">
        <v>12</v>
      </c>
      <c r="C133" s="27" t="s">
        <v>112</v>
      </c>
      <c r="D133" s="39">
        <f>SUM(D122:D132)</f>
        <v>32650</v>
      </c>
      <c r="E133" s="39">
        <f>SUM(E122:E132)</f>
        <v>107910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TRUNC(12949.2669172932,-1)</f>
        <v>12940</v>
      </c>
      <c r="E137" s="63">
        <f t="shared" si="5"/>
        <v>42770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TRUNC(2794.01933404941,-1)</f>
        <v>2790</v>
      </c>
      <c r="E143" s="63">
        <f t="shared" si="5"/>
        <v>9220</v>
      </c>
      <c r="F143" s="2" t="s">
        <v>254</v>
      </c>
    </row>
    <row r="144" spans="1:7" x14ac:dyDescent="0.3">
      <c r="A144" s="2">
        <v>9</v>
      </c>
      <c r="C144" s="38" t="s">
        <v>63</v>
      </c>
      <c r="D144" s="42">
        <f>TRUNC(7518.48764769066,-1)</f>
        <v>7510</v>
      </c>
      <c r="E144" s="63">
        <f t="shared" si="5"/>
        <v>24820</v>
      </c>
      <c r="F144" s="2" t="s">
        <v>255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23240</v>
      </c>
      <c r="E146" s="39">
        <f>SUM(E136:E145)</f>
        <v>76810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TRUNC(4962.53437164339,-1)</f>
        <v>4960</v>
      </c>
      <c r="E150" s="63">
        <f>TRUNC(+D150*3.3058,-1)</f>
        <v>16390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TRUNC(5200.20730397422+16697.328141783+2110.55316863588+3448.64393125671,-1)</f>
        <v>27450</v>
      </c>
      <c r="E152" s="63">
        <f>TRUNC(+D152*3.3058,-1)</f>
        <v>90740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32410</v>
      </c>
      <c r="E154" s="39">
        <f>SUM(E149:E153)</f>
        <v>107130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2020-12-07T09:19:11Z</dcterms:modified>
</cp:coreProperties>
</file>