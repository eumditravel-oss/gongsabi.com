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0" i="4"/>
  <c r="D149" i="4"/>
  <c r="D137" i="4"/>
  <c r="D144" i="4"/>
  <c r="D143" i="4"/>
  <c r="D141" i="4"/>
  <c r="D142" i="4"/>
  <c r="D131" i="4"/>
  <c r="D128" i="4"/>
  <c r="D127" i="4"/>
  <c r="D125" i="4"/>
  <c r="D130" i="4"/>
  <c r="D122" i="4"/>
  <c r="D132" i="4"/>
  <c r="D118" i="4"/>
  <c r="D105" i="4"/>
  <c r="D104" i="4"/>
  <c r="D103" i="4"/>
  <c r="D102" i="4"/>
  <c r="D101" i="4"/>
  <c r="D100" i="4"/>
  <c r="D99" i="4"/>
  <c r="D114" i="4"/>
  <c r="D98" i="4"/>
  <c r="D116" i="4"/>
  <c r="D75" i="4"/>
  <c r="D92" i="4"/>
  <c r="D91" i="4"/>
  <c r="D94" i="4"/>
  <c r="D89" i="4"/>
  <c r="D73" i="4"/>
  <c r="D72" i="4"/>
  <c r="D71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<sst xmlns="http://schemas.openxmlformats.org/spreadsheetml/2006/main" count="394" uniqueCount="269">
  <si>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</si>
  <si>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</si>
  <si>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</si>
  <si>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</si>
  <si>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</si>
  <si>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</si>
  <si>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</si>
  <si>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</si>
  <si>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</si>
  <si>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</si>
  <si>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</si>
  <si>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</si>
  <si>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</si>
  <si>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</si>
  <si>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</si>
  <si>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</si>
  <si>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</si>
  <si>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</si>
  <si>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</si>
  <si>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</si>
  <si>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</si>
  <si>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</si>
  <si>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</si>
  <si>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</si>
  <si>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</si>
  <si>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</si>
  <si>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</si>
  <si>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</si>
  <si>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</si>
  <si>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</si>
  <si>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</si>
  <si>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</si>
  <si>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</si>
  <si>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</si>
  <si>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</si>
  <si>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</si>
  <si>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</si>
  <si>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</si>
  <si>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</si>
  <si>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</si>
  <si>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</si>
  <si>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</si>
  <si>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</si>
  <si>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</si>
  <si>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</si>
  <si>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</si>
  <si>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</si>
  <si>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</si>
  <si>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</si>
  <si>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</si>
  <si>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</si>
  <si>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</si>
  <si>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</si>
  <si>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</si>
  <si>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</si>
  <si>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</si>
  <si>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</si>
  <si>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</si>
  <si>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</si>
  <si>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</si>
  <si>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</si>
  <si>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</si>
  <si>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</si>
  <si>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</si>
  <si>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</si>
  <si>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</si>
  <si>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</si>
  <si>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</si>
  <si>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</si>
  <si>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</si>
  <si>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</si>
  <si>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</si>
  <si>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</si>
  <si>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</si>
  <si>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</si>
  <si>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</si>
  <si>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</si>
  <si>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</si>
  <si>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</si>
  <si>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</si>
  <si>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</si>
  <si>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</si>
  <si>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</si>
  <si>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</si>
  <si>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</si>
  <si>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</si>
  <si>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</si>
  <si>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</si>
  <si>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</si>
  <si>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</si>
  <si>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</si>
  <si>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</si>
  <si>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</si>
  <si>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</si>
  <si>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</si>
  <si>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</si>
  <si>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</si>
  <si>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</si>
  <si>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</si>
  <si>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</si>
  <si>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</si>
  <si>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</si>
  <si>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</si>
  <si>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</si>
  <si>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</si>
  <si>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</si>
  <si>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</si>
  <si>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</si>
  <si>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</si>
  <si>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</si>
  <si>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</si>
  <si>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</si>
  <si>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</si>
  <si>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</si>
  <si>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</si>
  <si>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</si>
  <si>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</si>
  <si>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</si>
  <si>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</si>
  <si>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</si>
  <si>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</si>
  <si>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</si>
  <si>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</si>
  <si>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</si>
  <si>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</si>
  <si>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</si>
  <si>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</si>
  <si>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</si>
  <si>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</si>
  <si>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</si>
  <si>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</si>
  <si>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</si>
  <si>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</si>
  <si>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</si>
  <si>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</si>
  <si>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</si>
  <si>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</si>
  <si>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</si>
  <si>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</si>
  <si>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</si>
  <si>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</si>
  <si>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</si>
  <si>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</si>
  <si>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</si>
  <si>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</si>
  <si>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</si>
  <si>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</si>
  <si>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</si>
  <si>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</si>
  <si>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</si>
  <si>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</si>
  <si>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</si>
  <si>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</si>
  <si>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</si>
  <si>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</si>
  <si>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</si>
  <si>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</si>
  <si>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</si>
  <si>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</si>
  <si>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</si>
  <si>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</si>
  <si>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</si>
  <si>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</si>
  <si>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</si>
  <si>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</si>
  <si>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</si>
  <si>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</si>
  <si>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</si>
  <si>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</si>
  <si>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</si>
  <si>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</si>
  <si>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</si>
  <si>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</si>
  <si>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</si>
  <si>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</si>
  <si>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</si>
  <si>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</si>
  <si>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</si>
  <si>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</si>
  <si>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</si>
  <si>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</si>
  <si>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</si>
  <si>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</si>
  <si>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</si>
  <si>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</si>
  <si>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</si>
  <si>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</si>
  <si>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</si>
  <si>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</si>
  <si>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</si>
  <si>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</si>
  <si>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</si>
  <si>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</si>
  <si>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</si>
  <si>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</si>
  <si>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</si>
  <si>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</si>
  <si>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</si>
  <si>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</si>
  <si>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</si>
  <si>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</si>
  <si>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</si>
  <si>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</si>
  <si>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</si>
  <si>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</si>
  <si>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</si>
  <si>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</si>
  <si>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</si>
  <si>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</si>
  <si>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</si>
  <si>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</si>
  <si>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</si>
  <si>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</si>
  <si>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</si>
  <si>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</si>
  <si>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</si>
  <si>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</si>
  <si>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</si>
  <si>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</si>
  <si>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</si>
  <si>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</si>
  <si>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</si>
  <si>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</si>
  <si>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</si>
  <si>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</si>
  <si>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</si>
  <si>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</si>
  <si>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</si>
  <si>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</si>
  <si>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</si>
  <si>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</si>
  <si>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</si>
  <si>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</si>
  <si>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</si>
  <si>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</si>
  <si>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</si>
  <si>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</si>
  <si>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</si>
  <si>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</si>
  <si>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</si>
  <si>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</si>
  <si>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</si>
  <si>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</si>
  <si>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</si>
  <si>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</si>
  <si>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</si>
  <si>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</si>
  <si>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</si>
  <si>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대구의료원 생명존중센터 증축공사</t>
    <phoneticPr fontId="2" type="noConversion"/>
  </si>
  <si>
    <t>의료</t>
  </si>
  <si>
    <t>대구시</t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</si>
  <si>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</si>
  <si>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</si>
  <si>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</si>
  <si>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</si>
  <si>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</si>
  <si>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</si>
  <si>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</si>
  <si>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</si>
  <si>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</si>
  <si>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</si>
  <si>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우수공사</t>
    <phoneticPr fontId="2" type="noConversion"/>
  </si>
  <si>
    <t>사급자재비,기타공사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</si>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</sst>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2917.63</v>
      </c>
      <c r="D7" s="36">
        <f>+C7/3.3058</f>
        <v>882.57910339403475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998370</v>
      </c>
      <c r="E25" s="59">
        <f t="shared" si="0"/>
        <v>3300410</v>
      </c>
    </row>
    <row r="26" spans="1:5" x14ac:dyDescent="0.3">
      <c r="B26" s="2">
        <v>3</v>
      </c>
      <c r="C26" s="35" t="s">
        <v>95</v>
      </c>
      <c r="D26" s="45">
        <f>+D66</f>
        <v>3530</v>
      </c>
      <c r="E26" s="59">
        <f t="shared" si="0"/>
        <v>11660</v>
      </c>
    </row>
    <row r="27" spans="1:5" x14ac:dyDescent="0.3">
      <c r="B27" s="2">
        <v>4</v>
      </c>
      <c r="C27" s="35" t="s">
        <v>96</v>
      </c>
      <c r="D27" s="45">
        <f>+D95</f>
        <v>134080</v>
      </c>
      <c r="E27" s="59">
        <f t="shared" si="0"/>
        <v>443240</v>
      </c>
    </row>
    <row r="28" spans="1:5" x14ac:dyDescent="0.3">
      <c r="B28" s="2">
        <v>5</v>
      </c>
      <c r="C28" s="35" t="s">
        <v>97</v>
      </c>
      <c r="D28" s="45">
        <f>+D119</f>
        <v>313400</v>
      </c>
      <c r="E28" s="59">
        <f t="shared" si="0"/>
        <v>1036030</v>
      </c>
    </row>
    <row r="29" spans="1:5" x14ac:dyDescent="0.3">
      <c r="B29" s="2">
        <v>6</v>
      </c>
      <c r="C29" s="35" t="s">
        <v>98</v>
      </c>
      <c r="D29" s="45">
        <f>+D133</f>
        <v>107600</v>
      </c>
      <c r="E29" s="59">
        <f t="shared" si="0"/>
        <v>355700</v>
      </c>
    </row>
    <row r="30" spans="1:5" x14ac:dyDescent="0.3">
      <c r="B30" s="2">
        <v>7</v>
      </c>
      <c r="C30" s="35" t="s">
        <v>99</v>
      </c>
      <c r="D30" s="45">
        <f>+D146</f>
        <v>57240</v>
      </c>
      <c r="E30" s="59">
        <f t="shared" si="0"/>
        <v>189220</v>
      </c>
    </row>
    <row r="31" spans="1:5" x14ac:dyDescent="0.3">
      <c r="B31" s="2">
        <v>8</v>
      </c>
      <c r="C31" s="35" t="s">
        <v>100</v>
      </c>
      <c r="D31" s="45">
        <f>+D154</f>
        <v>12070</v>
      </c>
      <c r="E31" s="59">
        <f t="shared" si="0"/>
        <v>39900</v>
      </c>
    </row>
    <row r="32" spans="1:5" x14ac:dyDescent="0.3">
      <c r="B32" s="2">
        <v>9</v>
      </c>
      <c r="C32" s="35" t="s">
        <v>101</v>
      </c>
      <c r="D32" s="45">
        <f>+D161</f>
        <v>16020</v>
      </c>
      <c r="E32" s="59">
        <f t="shared" si="0"/>
        <v>52950</v>
      </c>
    </row>
    <row r="33" spans="1:7" x14ac:dyDescent="0.3">
      <c r="B33" s="2">
        <v>10</v>
      </c>
      <c r="C33" s="35" t="s">
        <v>154</v>
      </c>
      <c r="D33" s="53">
        <f>TRUNC(SUM(D24:D32)*0.275,-1)</f>
        <v>451630</v>
      </c>
      <c r="E33" s="60">
        <f t="shared" si="0"/>
        <v>1492990</v>
      </c>
    </row>
    <row r="34" spans="1:7" x14ac:dyDescent="0.3">
      <c r="C34" s="35" t="s">
        <v>112</v>
      </c>
      <c r="D34" s="44">
        <f>SUM(D24:D33)</f>
        <v>2093940</v>
      </c>
      <c r="E34" s="44">
        <f>SUM(E24:E33)</f>
        <v>6922100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TRUNC(67504,-1)</f>
        <v>67500</v>
      </c>
      <c r="E40" s="62">
        <f t="shared" ref="E40:E59" si="1">TRUNC(+D40*3.3058,-1)</f>
        <v>223140</v>
      </c>
    </row>
    <row r="41" spans="1:7" x14ac:dyDescent="0.3">
      <c r="A41" s="2">
        <v>2</v>
      </c>
      <c r="C41" s="38" t="s">
        <v>13</v>
      </c>
      <c r="D41" s="42">
        <f>TRUNC(143202,-1)</f>
        <v>143200</v>
      </c>
      <c r="E41" s="63">
        <f t="shared" si="1"/>
        <v>473390</v>
      </c>
    </row>
    <row r="42" spans="1:7" x14ac:dyDescent="0.3">
      <c r="A42" s="2">
        <v>3</v>
      </c>
      <c r="C42" s="38" t="s">
        <v>14</v>
      </c>
      <c r="D42" s="42">
        <f>TRUNC(12199,-1)</f>
        <v>12190</v>
      </c>
      <c r="E42" s="63">
        <f t="shared" si="1"/>
        <v>40290</v>
      </c>
    </row>
    <row r="43" spans="1:7" x14ac:dyDescent="0.3">
      <c r="A43" s="2">
        <v>4</v>
      </c>
      <c r="C43" s="38" t="s">
        <v>16</v>
      </c>
      <c r="D43" s="42">
        <f>TRUNC(7199,-1)</f>
        <v>7190</v>
      </c>
      <c r="E43" s="63">
        <f t="shared" si="1"/>
        <v>23760</v>
      </c>
    </row>
    <row r="44" spans="1:7" x14ac:dyDescent="0.3">
      <c r="A44" s="2">
        <v>5</v>
      </c>
      <c r="C44" s="38" t="s">
        <v>17</v>
      </c>
      <c r="D44" s="42">
        <f>TRUNC(33057,-1)</f>
        <v>33050</v>
      </c>
      <c r="E44" s="63">
        <f t="shared" si="1"/>
        <v>109250</v>
      </c>
    </row>
    <row r="45" spans="1:7" x14ac:dyDescent="0.3">
      <c r="A45" s="2">
        <v>6</v>
      </c>
      <c r="C45" s="38" t="s">
        <v>18</v>
      </c>
      <c r="D45" s="42">
        <f>TRUNC(5291,-1)</f>
        <v>5290</v>
      </c>
      <c r="E45" s="63">
        <f t="shared" si="1"/>
        <v>17480</v>
      </c>
    </row>
    <row r="46" spans="1:7" x14ac:dyDescent="0.3">
      <c r="A46" s="2">
        <v>7</v>
      </c>
      <c r="C46" s="38" t="s">
        <v>19</v>
      </c>
      <c r="D46" s="42">
        <f>TRUNC(6488,-1)</f>
        <v>6480</v>
      </c>
      <c r="E46" s="63">
        <f t="shared" si="1"/>
        <v>21420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TRUNC(106652,-1)</f>
        <v>106650</v>
      </c>
      <c r="E48" s="63">
        <f t="shared" si="1"/>
        <v>352560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TRUNC(15978,-1)</f>
        <v>15970</v>
      </c>
      <c r="E49" s="63">
        <f t="shared" si="1"/>
        <v>52790</v>
      </c>
    </row>
    <row r="50" spans="1:7" x14ac:dyDescent="0.3">
      <c r="A50" s="2">
        <v>11</v>
      </c>
      <c r="C50" s="38" t="s">
        <v>155</v>
      </c>
      <c r="D50" s="42">
        <f>TRUNC(61600,-1)</f>
        <v>61600</v>
      </c>
      <c r="E50" s="63">
        <f t="shared" si="1"/>
        <v>203630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TRUNC(26805,-1)</f>
        <v>26800</v>
      </c>
      <c r="E52" s="63">
        <f t="shared" si="1"/>
        <v>88590</v>
      </c>
    </row>
    <row r="53" spans="1:7" x14ac:dyDescent="0.3">
      <c r="A53" s="2">
        <v>14</v>
      </c>
      <c r="C53" s="38" t="s">
        <v>25</v>
      </c>
      <c r="D53" s="42">
        <f>TRUNC(97896,-1)</f>
        <v>97890</v>
      </c>
      <c r="E53" s="63">
        <f t="shared" si="1"/>
        <v>323600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TRUNC(33531+701+8132-591+7212+14094,-1)</f>
        <v>63070</v>
      </c>
      <c r="E58" s="63">
        <f t="shared" si="1"/>
        <v>208490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TRUNC(351491,-1)</f>
        <v>351490</v>
      </c>
      <c r="E59" s="64">
        <f t="shared" si="1"/>
        <v>1161950</v>
      </c>
    </row>
    <row r="60" spans="1:7" x14ac:dyDescent="0.3">
      <c r="A60" s="2">
        <v>21</v>
      </c>
      <c r="C60" s="27" t="s">
        <v>112</v>
      </c>
      <c r="D60" s="39">
        <f>SUM(D40:D59)</f>
        <v>998370</v>
      </c>
      <c r="E60" s="39">
        <f>SUM(E40:E59)</f>
        <v>3300340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TRUNC(3531,-1)</f>
        <v>3530</v>
      </c>
      <c r="E63" s="62">
        <f>TRUNC(+D63*3.3058,-1)</f>
        <v>11660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3530</v>
      </c>
      <c r="E66" s="65">
        <f>SUM(E63:E65)</f>
        <v>11660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TRUNC(1514,-1)</f>
        <v>1510</v>
      </c>
      <c r="E69" s="62">
        <f t="shared" ref="E69:E94" si="2">TRUNC(+D69*3.3058,-1)</f>
        <v>4990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TRUNC(22001,-1)</f>
        <v>22000</v>
      </c>
      <c r="E71" s="63">
        <f t="shared" si="2"/>
        <v>72720</v>
      </c>
    </row>
    <row r="72" spans="1:7" x14ac:dyDescent="0.3">
      <c r="A72" s="2">
        <v>4</v>
      </c>
      <c r="C72" s="38" t="s">
        <v>33</v>
      </c>
      <c r="D72" s="42">
        <f>TRUNC(30991,-1)</f>
        <v>30990</v>
      </c>
      <c r="E72" s="63">
        <f t="shared" si="2"/>
        <v>102440</v>
      </c>
    </row>
    <row r="73" spans="1:7" x14ac:dyDescent="0.3">
      <c r="A73" s="2">
        <v>5</v>
      </c>
      <c r="C73" s="38" t="s">
        <v>34</v>
      </c>
      <c r="D73" s="42">
        <f>TRUNC(8520,-1)</f>
        <v>8520</v>
      </c>
      <c r="E73" s="63">
        <f t="shared" si="2"/>
        <v>28160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TRUNC(3599,-1)</f>
        <v>3590</v>
      </c>
      <c r="E75" s="63">
        <f t="shared" si="2"/>
        <v>11860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TRUNC(3969,-1)</f>
        <v>3960</v>
      </c>
      <c r="E89" s="63">
        <f t="shared" si="2"/>
        <v>13090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TRUNC(54113,-1)</f>
        <v>54110</v>
      </c>
      <c r="E91" s="63">
        <f t="shared" si="2"/>
        <v>178870</v>
      </c>
    </row>
    <row r="92" spans="1:7" x14ac:dyDescent="0.3">
      <c r="A92" s="2">
        <v>24</v>
      </c>
      <c r="C92" s="38" t="s">
        <v>38</v>
      </c>
      <c r="D92" s="42">
        <f>TRUNC(5829,-1)</f>
        <v>5820</v>
      </c>
      <c r="E92" s="63">
        <f t="shared" si="2"/>
        <v>19230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TRUNC(3496+88,-1)</f>
        <v>3580</v>
      </c>
      <c r="E94" s="64">
        <f t="shared" si="2"/>
        <v>11830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134080</v>
      </c>
      <c r="E95" s="39">
        <f>SUM(E69:E94)</f>
        <v>443190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TRUNC(28289,-1)</f>
        <v>28280</v>
      </c>
      <c r="E98" s="62">
        <f t="shared" ref="E98:E118" si="3">TRUNC(+D98*3.3058,-1)</f>
        <v>93480</v>
      </c>
    </row>
    <row r="99" spans="1:7" x14ac:dyDescent="0.3">
      <c r="A99" s="2">
        <v>2</v>
      </c>
      <c r="C99" s="38" t="s">
        <v>40</v>
      </c>
      <c r="D99" s="42">
        <f>TRUNC(1608,-1)</f>
        <v>1600</v>
      </c>
      <c r="E99" s="63">
        <f t="shared" si="3"/>
        <v>5280</v>
      </c>
    </row>
    <row r="100" spans="1:7" x14ac:dyDescent="0.3">
      <c r="A100" s="2">
        <v>3</v>
      </c>
      <c r="C100" s="38" t="s">
        <v>41</v>
      </c>
      <c r="D100" s="42">
        <f>TRUNC(21711,-1)</f>
        <v>21710</v>
      </c>
      <c r="E100" s="63">
        <f t="shared" si="3"/>
        <v>71760</v>
      </c>
    </row>
    <row r="101" spans="1:7" x14ac:dyDescent="0.3">
      <c r="A101" s="2">
        <v>4</v>
      </c>
      <c r="C101" s="38" t="s">
        <v>42</v>
      </c>
      <c r="D101" s="42">
        <f>TRUNC(8135,-1)</f>
        <v>8130</v>
      </c>
      <c r="E101" s="63">
        <f t="shared" si="3"/>
        <v>26870</v>
      </c>
    </row>
    <row r="102" spans="1:7" x14ac:dyDescent="0.3">
      <c r="A102" s="2">
        <v>5</v>
      </c>
      <c r="C102" s="38" t="s">
        <v>43</v>
      </c>
      <c r="D102" s="42">
        <f>TRUNC(14871,-1)</f>
        <v>14870</v>
      </c>
      <c r="E102" s="63">
        <f t="shared" si="3"/>
        <v>49150</v>
      </c>
    </row>
    <row r="103" spans="1:7" x14ac:dyDescent="0.3">
      <c r="A103" s="2">
        <v>6</v>
      </c>
      <c r="C103" s="38" t="s">
        <v>44</v>
      </c>
      <c r="D103" s="42">
        <f>TRUNC(5436,-1)</f>
        <v>5430</v>
      </c>
      <c r="E103" s="63">
        <f t="shared" si="3"/>
        <v>17950</v>
      </c>
    </row>
    <row r="104" spans="1:7" x14ac:dyDescent="0.3">
      <c r="A104" s="2">
        <v>7</v>
      </c>
      <c r="C104" s="38" t="s">
        <v>45</v>
      </c>
      <c r="D104" s="42">
        <f>TRUNC(6616,-1)</f>
        <v>6610</v>
      </c>
      <c r="E104" s="63">
        <f t="shared" si="3"/>
        <v>21850</v>
      </c>
    </row>
    <row r="105" spans="1:7" x14ac:dyDescent="0.3">
      <c r="A105" s="2">
        <v>8</v>
      </c>
      <c r="C105" s="38" t="s">
        <v>46</v>
      </c>
      <c r="D105" s="42">
        <f>TRUNC(5915,-1)</f>
        <v>5910</v>
      </c>
      <c r="E105" s="63">
        <f t="shared" si="3"/>
        <v>19530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TRUNC(2073,-1)</f>
        <v>2070</v>
      </c>
      <c r="E114" s="63">
        <f t="shared" si="3"/>
        <v>6840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TRUNC(15618,-1)</f>
        <v>15610</v>
      </c>
      <c r="E116" s="63">
        <f t="shared" si="3"/>
        <v>51600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TRUNC(201546,-1)</f>
        <v>201540</v>
      </c>
      <c r="E117" s="63">
        <f t="shared" si="3"/>
        <v>666250</v>
      </c>
    </row>
    <row r="118" spans="1:7" ht="17.25" thickBot="1" x14ac:dyDescent="0.35">
      <c r="A118" s="2">
        <v>21</v>
      </c>
      <c r="C118" s="38" t="s">
        <v>47</v>
      </c>
      <c r="D118" s="43">
        <f>TRUNC(1641,-1)</f>
        <v>1640</v>
      </c>
      <c r="E118" s="64">
        <f t="shared" si="3"/>
        <v>5420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313400</v>
      </c>
      <c r="E119" s="39">
        <f>SUM(E98:E118)</f>
        <v>1035980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TRUNC(4821,-1)</f>
        <v>4820</v>
      </c>
      <c r="E122" s="62">
        <f t="shared" ref="E122:E132" si="4">TRUNC(+D122*3.3058,-1)</f>
        <v>15930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TRUNC(11325,-1)</f>
        <v>11320</v>
      </c>
      <c r="E125" s="63">
        <f t="shared" si="4"/>
        <v>37420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TRUNC(14702,-1)</f>
        <v>14700</v>
      </c>
      <c r="E127" s="63">
        <f t="shared" si="4"/>
        <v>48590</v>
      </c>
    </row>
    <row r="128" spans="1:7" x14ac:dyDescent="0.3">
      <c r="A128" s="2">
        <v>7</v>
      </c>
      <c r="C128" s="38" t="s">
        <v>46</v>
      </c>
      <c r="D128" s="42">
        <f>TRUNC(4564,-1)</f>
        <v>4560</v>
      </c>
      <c r="E128" s="63">
        <f t="shared" si="4"/>
        <v>15070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TRUNC(21400,-1)</f>
        <v>21400</v>
      </c>
      <c r="E130" s="63">
        <f t="shared" si="4"/>
        <v>70740</v>
      </c>
    </row>
    <row r="131" spans="1:7" x14ac:dyDescent="0.3">
      <c r="A131" s="2">
        <v>10</v>
      </c>
      <c r="C131" s="38" t="s">
        <v>148</v>
      </c>
      <c r="D131" s="42">
        <f>TRUNC(29831,-1)</f>
        <v>29830</v>
      </c>
      <c r="E131" s="63">
        <f t="shared" si="4"/>
        <v>98610</v>
      </c>
    </row>
    <row r="132" spans="1:7" ht="18" thickBot="1" x14ac:dyDescent="0.35">
      <c r="A132" s="2">
        <v>11</v>
      </c>
      <c r="C132" s="38" t="s">
        <v>47</v>
      </c>
      <c r="D132" s="43">
        <f>TRUNC(4211+2837+13922,-1)</f>
        <v>20970</v>
      </c>
      <c r="E132" s="64">
        <f t="shared" si="4"/>
        <v>69320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107600</v>
      </c>
      <c r="E133" s="39">
        <f>SUM(E122:E132)</f>
        <v>355680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TRUNC(1775,-1)</f>
        <v>1770</v>
      </c>
      <c r="E137" s="63">
        <f t="shared" si="5"/>
        <v>5850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TRUNC(26484,-1)</f>
        <v>26480</v>
      </c>
      <c r="E141" s="63">
        <f t="shared" si="5"/>
        <v>87530</v>
      </c>
    </row>
    <row r="142" spans="1:7" x14ac:dyDescent="0.3">
      <c r="A142" s="2">
        <v>7</v>
      </c>
      <c r="C142" s="38" t="s">
        <v>58</v>
      </c>
      <c r="D142" s="42">
        <f>TRUNC(7201,-1)</f>
        <v>7200</v>
      </c>
      <c r="E142" s="63">
        <f t="shared" si="5"/>
        <v>23800</v>
      </c>
    </row>
    <row r="143" spans="1:7" x14ac:dyDescent="0.3">
      <c r="A143" s="2">
        <v>8</v>
      </c>
      <c r="C143" s="38" t="s">
        <v>62</v>
      </c>
      <c r="D143" s="42">
        <f>TRUNC(3857,-1)</f>
        <v>3850</v>
      </c>
      <c r="E143" s="63">
        <f t="shared" si="5"/>
        <v>12720</v>
      </c>
    </row>
    <row r="144" spans="1:7" x14ac:dyDescent="0.3">
      <c r="A144" s="2">
        <v>9</v>
      </c>
      <c r="C144" s="38" t="s">
        <v>63</v>
      </c>
      <c r="D144" s="42">
        <f>TRUNC(17949,-1)</f>
        <v>17940</v>
      </c>
      <c r="E144" s="63">
        <f t="shared" si="5"/>
        <v>59300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57240</v>
      </c>
      <c r="E146" s="39">
        <f>SUM(E136:E145)</f>
        <v>189200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TRUNC(3877,-1)</f>
        <v>3870</v>
      </c>
      <c r="E149" s="62">
        <f>TRUNC(+D149*3.3058,-1)</f>
        <v>12790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TRUNC(2771,-1)</f>
        <v>2770</v>
      </c>
      <c r="E150" s="63">
        <f>TRUNC(+D150*3.3058,-1)</f>
        <v>9150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TRUNC(3703+1732,-1)</f>
        <v>5430</v>
      </c>
      <c r="E152" s="63">
        <f>TRUNC(+D152*3.3058,-1)</f>
        <v>17950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12070</v>
      </c>
      <c r="E154" s="39">
        <f>SUM(E149:E153)</f>
        <v>39890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TRUNC(14057,-1)</f>
        <v>14050</v>
      </c>
      <c r="E157" s="62">
        <f>TRUNC(+D157*3.3058,-1)</f>
        <v>46440</v>
      </c>
    </row>
    <row r="158" spans="1:7" x14ac:dyDescent="0.3">
      <c r="A158" s="2">
        <v>2</v>
      </c>
      <c r="C158" s="38" t="s">
        <v>52</v>
      </c>
      <c r="D158" s="42">
        <f>TRUNC(1970,-1)</f>
        <v>1970</v>
      </c>
      <c r="E158" s="63">
        <f>TRUNC(+D158*3.3058,-1)</f>
        <v>6510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16020</v>
      </c>
      <c r="E161" s="39">
        <f>SUM(E157:E160)</f>
        <v>52950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2020-12-08T02:17:39Z</dcterms:modified>
</cp:coreProperties>
</file>