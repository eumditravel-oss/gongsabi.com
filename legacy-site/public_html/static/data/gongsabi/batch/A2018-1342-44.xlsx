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60" i="4" l="1"/>
  <c r="D153" i="4"/>
  <c r="D145" i="4"/>
  <c r="D131" i="4"/>
  <c r="D117" i="4"/>
  <c r="D93" i="4"/>
  <c r="D59" i="4"/>
  <c r="D54" i="4"/>
  <c r="D53" i="4"/>
  <c r="D50" i="4"/>
  <c r="D49" i="4"/>
  <c r="D48" i="4"/>
  <c r="D46" i="4"/>
  <c r="D45" i="4"/>
  <c r="D44" i="4"/>
  <c r="D43" i="4"/>
  <c r="D42" i="4"/>
  <c r="D41" i="4"/>
  <c r="D40" i="4"/>
  <c r="D58" i="4"/>
  <c r="D65" i="4"/>
  <c r="D63" i="4"/>
  <c r="D75" i="4"/>
  <c r="D92" i="4"/>
  <c r="D91" i="4"/>
  <c r="D89" i="4"/>
  <c r="D73" i="4"/>
  <c r="D72" i="4"/>
  <c r="D71" i="4"/>
  <c r="D70" i="4"/>
  <c r="D69" i="4"/>
  <c r="D102" i="4"/>
  <c r="D101" i="4"/>
  <c r="D100" i="4"/>
  <c r="D99" i="4"/>
  <c r="D98" i="4"/>
  <c r="D114" i="4"/>
  <c r="D116" i="4"/>
  <c r="D104" i="4"/>
  <c r="D105" i="4"/>
  <c r="D118" i="4"/>
  <c r="D128" i="4"/>
  <c r="D127" i="4"/>
  <c r="D124" i="4"/>
  <c r="D125" i="4"/>
  <c r="D122" i="4"/>
  <c r="D130" i="4"/>
  <c r="D126" i="4"/>
  <c r="D132" i="4"/>
  <c r="D137" i="4"/>
  <c r="D144" i="4"/>
  <c r="D143" i="4"/>
  <c r="D139" i="4"/>
  <c r="D138" i="4"/>
  <c r="D141" i="4"/>
  <c r="D142" i="4"/>
  <c r="D140" i="4"/>
  <c r="D152" i="4"/>
  <c r="D151" i="4"/>
  <c r="D150" i="4"/>
  <c r="D149" i="4"/>
  <c r="D159" i="4"/>
  <c r="D158" i="4"/>
  <c r="D15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60" i="4"/>
  <c r="E95" i="4"/>
  <c r="E119" i="4"/>
  <c r="E133" i="4"/>
  <c r="E146" i="4"/>
  <c r="E154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<sst xmlns="http://schemas.openxmlformats.org/spreadsheetml/2006/main" count="395" uniqueCount="270">
  <si>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</si>
  <si>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</si>
  <si>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</si>
  <si>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</si>
  <si>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</si>
  <si>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</si>
  <si>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</si>
  <si>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</si>
  <si>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</si>
  <si>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</si>
  <si>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</si>
  <si>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</si>
  <si>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</si>
  <si>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</si>
  <si>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</si>
  <si>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</si>
  <si>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</si>
  <si>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</si>
  <si>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</si>
  <si>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</si>
  <si>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</si>
  <si>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</si>
  <si>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</si>
  <si>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</si>
  <si>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</si>
  <si>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</si>
  <si>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</si>
  <si>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</si>
  <si>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</si>
  <si>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</si>
  <si>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</si>
  <si>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</si>
  <si>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</si>
  <si>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</si>
  <si>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</si>
  <si>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</si>
  <si>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</si>
  <si>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</si>
  <si>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</si>
  <si>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</si>
  <si>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</si>
  <si>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</si>
  <si>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</si>
  <si>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</si>
  <si>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</si>
  <si>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</si>
  <si>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</si>
  <si>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</si>
  <si>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</si>
  <si>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</si>
  <si>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</si>
  <si>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</si>
  <si>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</si>
  <si>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</si>
  <si>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</si>
  <si>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</si>
  <si>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</si>
  <si>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</si>
  <si>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</si>
  <si>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</si>
  <si>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</si>
  <si>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</si>
  <si>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</si>
  <si>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</si>
  <si>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</si>
  <si>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</si>
  <si>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</si>
  <si>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</si>
  <si>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</si>
  <si>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</si>
  <si>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</si>
  <si>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</si>
  <si>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</si>
  <si>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</si>
  <si>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</si>
  <si>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</si>
  <si>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</si>
  <si>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</si>
  <si>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</si>
  <si>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</si>
  <si>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</si>
  <si>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</si>
  <si>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</si>
  <si>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</si>
  <si>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</si>
  <si>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</si>
  <si>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</si>
  <si>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</si>
  <si>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</si>
  <si>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</si>
  <si>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</si>
  <si>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</si>
  <si>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</si>
  <si>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</si>
  <si>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</si>
  <si>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</si>
  <si>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</si>
  <si>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</si>
  <si>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</si>
  <si>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</si>
  <si>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</si>
  <si>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</si>
  <si>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</si>
  <si>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</si>
  <si>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</si>
  <si>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</si>
  <si>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</si>
  <si>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</si>
  <si>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</si>
  <si>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</si>
  <si>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</si>
  <si>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</si>
  <si>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</si>
  <si>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</si>
  <si>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</si>
  <si>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</si>
  <si>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</si>
  <si>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</si>
  <si>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</si>
  <si>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</si>
  <si>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</si>
  <si>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</si>
  <si>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</si>
  <si>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</si>
  <si>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</si>
  <si>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</si>
  <si>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</si>
  <si>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</si>
  <si>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</si>
  <si>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</si>
  <si>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</si>
  <si>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</si>
  <si>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</si>
  <si>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</si>
  <si>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</si>
  <si>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</si>
  <si>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</si>
  <si>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</si>
  <si>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</si>
  <si>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</si>
  <si>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</si>
  <si>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</si>
  <si>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</si>
  <si>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</si>
  <si>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</si>
  <si>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</si>
  <si>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</si>
  <si>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</si>
  <si>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</si>
  <si>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</si>
  <si>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</si>
  <si>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</si>
  <si>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</si>
  <si>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</si>
  <si>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</si>
  <si>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</si>
  <si>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</si>
  <si>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</si>
  <si>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</si>
  <si>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</si>
  <si>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</si>
  <si>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</si>
  <si>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</si>
  <si>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</si>
  <si>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</si>
  <si>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</si>
  <si>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</si>
  <si>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</si>
  <si>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</si>
  <si>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</si>
  <si>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</si>
  <si>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</si>
  <si>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</si>
  <si>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</si>
  <si>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</si>
  <si>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</si>
  <si>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</si>
  <si>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</si>
  <si>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</si>
  <si>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</si>
  <si>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</si>
  <si>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</si>
  <si>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</si>
  <si>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</si>
  <si>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</si>
  <si>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</si>
  <si>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</si>
  <si>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</si>
  <si>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</si>
  <si>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</si>
  <si>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</si>
  <si>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</si>
  <si>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</si>
  <si>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</si>
  <si>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</si>
  <si>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</si>
  <si>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</si>
  <si>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</si>
  <si>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</si>
  <si>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</si>
  <si>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</si>
  <si>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</si>
  <si>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</si>
  <si>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</si>
  <si>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</si>
  <si>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</si>
  <si>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</si>
  <si>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</si>
  <si>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</si>
  <si>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</si>
  <si>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</si>
  <si>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</si>
  <si>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</si>
  <si>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</si>
  <si>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</si>
  <si>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</si>
  <si>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</si>
  <si>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</si>
  <si>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</si>
  <si>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</si>
  <si>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</si>
  <si>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</si>
  <si>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</si>
  <si>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</si>
  <si>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</si>
  <si>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</si>
  <si>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</si>
  <si>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</si>
  <si>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</si>
  <si>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</si>
  <si>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</si>
  <si>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</si>
  <si>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</si>
  <si>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</si>
  <si>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</si>
  <si>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</si>
  <si>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</si>
  <si>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</si>
  <si>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</si>
  <si>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</si>
  <si>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</si>
  <si>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</si>
  <si>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</si>
  <si>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</si>
  <si>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</si>
  <si>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</si>
  <si>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</si>
  <si>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</si>
  <si>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하남시 시청사 및 의회청사 증축 건축공사</t>
    <phoneticPr fontId="2" type="noConversion"/>
  </si>
  <si>
    <t>업무</t>
  </si>
  <si>
    <t>경기도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</si>
  <si>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</si>
  <si>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</si>
  <si>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</si>
  <si>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기초공사,해체및철거공사,골재비및운반비,품질시험비,기타공사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</si>
  <si>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</si>
  <si>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</si>
  <si>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</si>
  <si>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</si>
  <si>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무선통신보조설비공사,기타공사</t>
    <phoneticPr fontId="2" type="noConversion"/>
  </si>
  <si>
    <t>우수공사,오수공사</t>
    <phoneticPr fontId="2" type="noConversion"/>
  </si>
  <si>
    <t>상수도공사,사급자재비,운반비</t>
    <phoneticPr fontId="2" type="noConversion"/>
  </si>
  <si>
    <t>포장공사,기타공사</t>
    <phoneticPr fontId="2" type="noConversion"/>
  </si>
  <si>
    <t>조경시설물</t>
    <phoneticPr fontId="2" type="noConversion"/>
  </si>
  <si>
    <t>원/ m2</t>
  </si>
  <si>
    <t>원 /평</t>
  </si>
  <si>
    <t>바닥난방공사, 공조배관공사,난방배관공사,우수처리시설공사,기타공사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</si>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</sst>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15916.91</v>
      </c>
      <c r="D7" s="36">
        <f>+C7/3.3058</f>
        <v>4814.8436082037633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811920</v>
      </c>
      <c r="E25" s="59">
        <f t="shared" si="0"/>
        <v>2684040</v>
      </c>
    </row>
    <row r="26" spans="1:5" x14ac:dyDescent="0.3">
      <c r="B26" s="2">
        <v>3</v>
      </c>
      <c r="C26" s="35" t="s">
        <v>95</v>
      </c>
      <c r="D26" s="45">
        <f>+D66</f>
        <v>113120</v>
      </c>
      <c r="E26" s="59">
        <f t="shared" si="0"/>
        <v>373950</v>
      </c>
    </row>
    <row r="27" spans="1:5" x14ac:dyDescent="0.3">
      <c r="B27" s="2">
        <v>4</v>
      </c>
      <c r="C27" s="35" t="s">
        <v>96</v>
      </c>
      <c r="D27" s="45">
        <f>+D95</f>
        <v>246360</v>
      </c>
      <c r="E27" s="59">
        <f t="shared" si="0"/>
        <v>814410</v>
      </c>
    </row>
    <row r="28" spans="1:5" x14ac:dyDescent="0.3">
      <c r="B28" s="2">
        <v>5</v>
      </c>
      <c r="C28" s="35" t="s">
        <v>97</v>
      </c>
      <c r="D28" s="45">
        <f>+D119</f>
        <v>197830</v>
      </c>
      <c r="E28" s="59">
        <f t="shared" si="0"/>
        <v>653980</v>
      </c>
    </row>
    <row r="29" spans="1:5" x14ac:dyDescent="0.3">
      <c r="B29" s="2">
        <v>6</v>
      </c>
      <c r="C29" s="35" t="s">
        <v>98</v>
      </c>
      <c r="D29" s="45">
        <f>+D133</f>
        <v>211440</v>
      </c>
      <c r="E29" s="59">
        <f t="shared" si="0"/>
        <v>698970</v>
      </c>
    </row>
    <row r="30" spans="1:5" x14ac:dyDescent="0.3">
      <c r="B30" s="2">
        <v>7</v>
      </c>
      <c r="C30" s="35" t="s">
        <v>99</v>
      </c>
      <c r="D30" s="45">
        <f>+D146</f>
        <v>64030</v>
      </c>
      <c r="E30" s="59">
        <f t="shared" si="0"/>
        <v>211670</v>
      </c>
    </row>
    <row r="31" spans="1:5" x14ac:dyDescent="0.3">
      <c r="B31" s="2">
        <v>8</v>
      </c>
      <c r="C31" s="35" t="s">
        <v>100</v>
      </c>
      <c r="D31" s="45">
        <f>+D154</f>
        <v>40490</v>
      </c>
      <c r="E31" s="59">
        <f t="shared" si="0"/>
        <v>133850</v>
      </c>
    </row>
    <row r="32" spans="1:5" x14ac:dyDescent="0.3">
      <c r="B32" s="2">
        <v>9</v>
      </c>
      <c r="C32" s="35" t="s">
        <v>101</v>
      </c>
      <c r="D32" s="45">
        <f>+D161</f>
        <v>40030</v>
      </c>
      <c r="E32" s="59">
        <f t="shared" si="0"/>
        <v>132330</v>
      </c>
    </row>
    <row r="33" spans="1:7" x14ac:dyDescent="0.3">
      <c r="B33" s="2">
        <v>10</v>
      </c>
      <c r="C33" s="35" t="s">
        <v>154</v>
      </c>
      <c r="D33" s="53">
        <f>TRUNC(SUM(D24:D32)*0.275,-1)</f>
        <v>474430</v>
      </c>
      <c r="E33" s="60">
        <f t="shared" si="0"/>
        <v>1568370</v>
      </c>
    </row>
    <row r="34" spans="1:7" x14ac:dyDescent="0.3">
      <c r="C34" s="35" t="s">
        <v>112</v>
      </c>
      <c r="D34" s="44">
        <f>SUM(D24:D33)</f>
        <v>2199650</v>
      </c>
      <c r="E34" s="44">
        <f>SUM(E24:E33)</f>
        <v>7271570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TRUNC(54571,-1)</f>
        <v>54570</v>
      </c>
      <c r="E40" s="62">
        <f t="shared" ref="E40:E59" si="1">TRUNC(+D40*3.3058,-1)</f>
        <v>180390</v>
      </c>
    </row>
    <row r="41" spans="1:7" x14ac:dyDescent="0.3">
      <c r="A41" s="2">
        <v>2</v>
      </c>
      <c r="C41" s="38" t="s">
        <v>13</v>
      </c>
      <c r="D41" s="42">
        <f>TRUNC(161941,-1)</f>
        <v>161940</v>
      </c>
      <c r="E41" s="63">
        <f t="shared" si="1"/>
        <v>535340</v>
      </c>
    </row>
    <row r="42" spans="1:7" x14ac:dyDescent="0.3">
      <c r="A42" s="2">
        <v>3</v>
      </c>
      <c r="C42" s="38" t="s">
        <v>14</v>
      </c>
      <c r="D42" s="42">
        <f>TRUNC(1356,-1)</f>
        <v>1350</v>
      </c>
      <c r="E42" s="63">
        <f t="shared" si="1"/>
        <v>4460</v>
      </c>
    </row>
    <row r="43" spans="1:7" x14ac:dyDescent="0.3">
      <c r="A43" s="2">
        <v>4</v>
      </c>
      <c r="C43" s="38" t="s">
        <v>16</v>
      </c>
      <c r="D43" s="42">
        <f>TRUNC(8163,-1)</f>
        <v>8160</v>
      </c>
      <c r="E43" s="63">
        <f t="shared" si="1"/>
        <v>26970</v>
      </c>
    </row>
    <row r="44" spans="1:7" x14ac:dyDescent="0.3">
      <c r="A44" s="2">
        <v>5</v>
      </c>
      <c r="C44" s="38" t="s">
        <v>17</v>
      </c>
      <c r="D44" s="42">
        <f>TRUNC(38604,-1)</f>
        <v>38600</v>
      </c>
      <c r="E44" s="63">
        <f t="shared" si="1"/>
        <v>127600</v>
      </c>
    </row>
    <row r="45" spans="1:7" x14ac:dyDescent="0.3">
      <c r="A45" s="2">
        <v>6</v>
      </c>
      <c r="C45" s="38" t="s">
        <v>18</v>
      </c>
      <c r="D45" s="42">
        <f>TRUNC(4114,-1)</f>
        <v>4110</v>
      </c>
      <c r="E45" s="63">
        <f t="shared" si="1"/>
        <v>13580</v>
      </c>
    </row>
    <row r="46" spans="1:7" x14ac:dyDescent="0.3">
      <c r="A46" s="2">
        <v>7</v>
      </c>
      <c r="C46" s="38" t="s">
        <v>19</v>
      </c>
      <c r="D46" s="42">
        <f>TRUNC(18612,-1)</f>
        <v>18610</v>
      </c>
      <c r="E46" s="63">
        <f t="shared" si="1"/>
        <v>61520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TRUNC(26225,-1)</f>
        <v>26220</v>
      </c>
      <c r="E48" s="63">
        <f t="shared" si="1"/>
        <v>86670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TRUNC(7828,-1)</f>
        <v>7820</v>
      </c>
      <c r="E49" s="63">
        <f t="shared" si="1"/>
        <v>25850</v>
      </c>
    </row>
    <row r="50" spans="1:7" x14ac:dyDescent="0.3">
      <c r="A50" s="2">
        <v>11</v>
      </c>
      <c r="C50" s="38" t="s">
        <v>155</v>
      </c>
      <c r="D50" s="42">
        <f>TRUNC(41051,-1)</f>
        <v>41050</v>
      </c>
      <c r="E50" s="63">
        <f t="shared" si="1"/>
        <v>135700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f>TRUNC(134775,-1)</f>
        <v>134770</v>
      </c>
      <c r="E53" s="63">
        <f t="shared" si="1"/>
        <v>445520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f>TRUNC(28486,-1)</f>
        <v>28480</v>
      </c>
      <c r="E54" s="63">
        <f t="shared" si="1"/>
        <v>94140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TRUNC(566+5447+2912+569+10813,-1)</f>
        <v>20300</v>
      </c>
      <c r="E58" s="63">
        <f t="shared" si="1"/>
        <v>67100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TRUNC(265948,-1)</f>
        <v>265940</v>
      </c>
      <c r="E59" s="64">
        <f t="shared" si="1"/>
        <v>879140</v>
      </c>
    </row>
    <row r="60" spans="1:7" x14ac:dyDescent="0.3">
      <c r="A60" s="2">
        <v>21</v>
      </c>
      <c r="C60" s="27" t="s">
        <v>112</v>
      </c>
      <c r="D60" s="39">
        <f>SUM(D40:D59)</f>
        <v>811920</v>
      </c>
      <c r="E60" s="39">
        <f>SUM(E40:E59)</f>
        <v>2683980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TRUNC(73070,-1)</f>
        <v>73070</v>
      </c>
      <c r="E63" s="62">
        <f>TRUNC(+D63*3.3058,-1)</f>
        <v>241550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TRUNC(40052,-1)</f>
        <v>40050</v>
      </c>
      <c r="E65" s="64">
        <f>TRUNC(+D65*3.3058,-1)</f>
        <v>132390</v>
      </c>
    </row>
    <row r="66" spans="1:7" x14ac:dyDescent="0.3">
      <c r="A66" s="2">
        <v>4</v>
      </c>
      <c r="C66" s="27" t="s">
        <v>112</v>
      </c>
      <c r="D66" s="39">
        <f>SUM(D63:D65)</f>
        <v>113120</v>
      </c>
      <c r="E66" s="65">
        <f>SUM(E63:E65)</f>
        <v>373940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TRUNC(5693,-1)</f>
        <v>5690</v>
      </c>
      <c r="E69" s="62">
        <f t="shared" ref="E69:E94" si="2">TRUNC(+D69*3.3058,-1)</f>
        <v>18810</v>
      </c>
    </row>
    <row r="70" spans="1:7" ht="16.5" customHeight="1" x14ac:dyDescent="0.3">
      <c r="A70" s="2">
        <v>2</v>
      </c>
      <c r="C70" s="38" t="s">
        <v>31</v>
      </c>
      <c r="D70" s="42">
        <f>TRUNC(73,-1)</f>
        <v>70</v>
      </c>
      <c r="E70" s="63">
        <f t="shared" si="2"/>
        <v>230</v>
      </c>
    </row>
    <row r="71" spans="1:7" x14ac:dyDescent="0.3">
      <c r="A71" s="2">
        <v>3</v>
      </c>
      <c r="C71" s="38" t="s">
        <v>32</v>
      </c>
      <c r="D71" s="42">
        <f>TRUNC(3253,-1)</f>
        <v>3250</v>
      </c>
      <c r="E71" s="63">
        <f t="shared" si="2"/>
        <v>10740</v>
      </c>
    </row>
    <row r="72" spans="1:7" x14ac:dyDescent="0.3">
      <c r="A72" s="2">
        <v>4</v>
      </c>
      <c r="C72" s="38" t="s">
        <v>33</v>
      </c>
      <c r="D72" s="42">
        <f>TRUNC(10558,-1)</f>
        <v>10550</v>
      </c>
      <c r="E72" s="63">
        <f t="shared" si="2"/>
        <v>34870</v>
      </c>
    </row>
    <row r="73" spans="1:7" x14ac:dyDescent="0.3">
      <c r="A73" s="2">
        <v>5</v>
      </c>
      <c r="C73" s="38" t="s">
        <v>34</v>
      </c>
      <c r="D73" s="42">
        <f>TRUNC(8436,-1)</f>
        <v>8430</v>
      </c>
      <c r="E73" s="63">
        <f t="shared" si="2"/>
        <v>27860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TRUNC(2136,-1)</f>
        <v>2130</v>
      </c>
      <c r="E75" s="63">
        <f t="shared" si="2"/>
        <v>7040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TRUNC(11715,-1)</f>
        <v>11710</v>
      </c>
      <c r="E89" s="63">
        <f t="shared" si="2"/>
        <v>38710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TRUNC(18865,-1)</f>
        <v>18860</v>
      </c>
      <c r="E91" s="63">
        <f t="shared" si="2"/>
        <v>62340</v>
      </c>
    </row>
    <row r="92" spans="1:7" x14ac:dyDescent="0.3">
      <c r="A92" s="2">
        <v>24</v>
      </c>
      <c r="C92" s="38" t="s">
        <v>38</v>
      </c>
      <c r="D92" s="42">
        <f>TRUNC(3814,-1)</f>
        <v>3810</v>
      </c>
      <c r="E92" s="63">
        <f t="shared" si="2"/>
        <v>12590</v>
      </c>
    </row>
    <row r="93" spans="1:7" x14ac:dyDescent="0.3">
      <c r="A93" s="2">
        <v>25</v>
      </c>
      <c r="C93" s="38" t="s">
        <v>148</v>
      </c>
      <c r="D93" s="42">
        <f>TRUNC(158618,-1)</f>
        <v>158610</v>
      </c>
      <c r="E93" s="63">
        <f t="shared" si="2"/>
        <v>524330</v>
      </c>
    </row>
    <row r="94" spans="1:7" ht="17.25" thickBot="1" x14ac:dyDescent="0.35">
      <c r="A94" s="2">
        <v>26</v>
      </c>
      <c r="C94" s="38" t="s">
        <v>47</v>
      </c>
      <c r="D94" s="43">
        <f>TRUNC(169+6592+1467+2866+12163,-1)</f>
        <v>23250</v>
      </c>
      <c r="E94" s="64">
        <f t="shared" si="2"/>
        <v>76850</v>
      </c>
      <c r="F94" s="2" t="s">
        <v>266</v>
      </c>
    </row>
    <row r="95" spans="1:7" x14ac:dyDescent="0.3">
      <c r="A95" s="2">
        <v>27</v>
      </c>
      <c r="C95" s="27" t="s">
        <v>112</v>
      </c>
      <c r="D95" s="39">
        <f>SUM(D69:D94)</f>
        <v>246360</v>
      </c>
      <c r="E95" s="39">
        <f>SUM(E69:E94)</f>
        <v>814370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TRUNC(20720,-1)</f>
        <v>20720</v>
      </c>
      <c r="E98" s="62">
        <f t="shared" ref="E98:E118" si="3">TRUNC(+D98*3.3058,-1)</f>
        <v>68490</v>
      </c>
    </row>
    <row r="99" spans="1:7" x14ac:dyDescent="0.3">
      <c r="A99" s="2">
        <v>2</v>
      </c>
      <c r="C99" s="38" t="s">
        <v>40</v>
      </c>
      <c r="D99" s="42">
        <f>TRUNC(9156,-1)</f>
        <v>9150</v>
      </c>
      <c r="E99" s="63">
        <f t="shared" si="3"/>
        <v>30240</v>
      </c>
    </row>
    <row r="100" spans="1:7" x14ac:dyDescent="0.3">
      <c r="A100" s="2">
        <v>3</v>
      </c>
      <c r="C100" s="38" t="s">
        <v>41</v>
      </c>
      <c r="D100" s="42">
        <f>TRUNC(21981,-1)</f>
        <v>21980</v>
      </c>
      <c r="E100" s="63">
        <f t="shared" si="3"/>
        <v>72660</v>
      </c>
    </row>
    <row r="101" spans="1:7" x14ac:dyDescent="0.3">
      <c r="A101" s="2">
        <v>4</v>
      </c>
      <c r="C101" s="38" t="s">
        <v>42</v>
      </c>
      <c r="D101" s="42">
        <f>TRUNC(6289,-1)</f>
        <v>6280</v>
      </c>
      <c r="E101" s="63">
        <f t="shared" si="3"/>
        <v>20760</v>
      </c>
    </row>
    <row r="102" spans="1:7" x14ac:dyDescent="0.3">
      <c r="A102" s="2">
        <v>5</v>
      </c>
      <c r="C102" s="38" t="s">
        <v>43</v>
      </c>
      <c r="D102" s="42">
        <f>TRUNC(13267,-1)</f>
        <v>13260</v>
      </c>
      <c r="E102" s="63">
        <f t="shared" si="3"/>
        <v>43830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TRUNC(2722,-1)</f>
        <v>2720</v>
      </c>
      <c r="E104" s="63">
        <f t="shared" si="3"/>
        <v>8990</v>
      </c>
    </row>
    <row r="105" spans="1:7" x14ac:dyDescent="0.3">
      <c r="A105" s="2">
        <v>8</v>
      </c>
      <c r="C105" s="38" t="s">
        <v>46</v>
      </c>
      <c r="D105" s="42">
        <f>TRUNC(7290,-1)</f>
        <v>7290</v>
      </c>
      <c r="E105" s="63">
        <f t="shared" si="3"/>
        <v>24090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TRUNC(380,-1)</f>
        <v>380</v>
      </c>
      <c r="E114" s="63">
        <f t="shared" si="3"/>
        <v>1250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TRUNC(1463,-1)</f>
        <v>1460</v>
      </c>
      <c r="E116" s="63">
        <f t="shared" si="3"/>
        <v>4820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TRUNC(110739,-1)</f>
        <v>110730</v>
      </c>
      <c r="E117" s="63">
        <f t="shared" si="3"/>
        <v>366050</v>
      </c>
    </row>
    <row r="118" spans="1:7" ht="17.25" thickBot="1" x14ac:dyDescent="0.35">
      <c r="A118" s="2">
        <v>21</v>
      </c>
      <c r="C118" s="38" t="s">
        <v>47</v>
      </c>
      <c r="D118" s="43">
        <f>TRUNC(3867,-1)</f>
        <v>3860</v>
      </c>
      <c r="E118" s="64">
        <f t="shared" si="3"/>
        <v>12760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197830</v>
      </c>
      <c r="E119" s="39">
        <f>SUM(E98:E118)</f>
        <v>653940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TRUNC(4843,-1)</f>
        <v>4840</v>
      </c>
      <c r="E122" s="62">
        <f t="shared" ref="E122:E132" si="4">TRUNC(+D122*3.3058,-1)</f>
        <v>16000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TRUNC(3507,-1)</f>
        <v>3500</v>
      </c>
      <c r="E124" s="63">
        <f t="shared" si="4"/>
        <v>11570</v>
      </c>
    </row>
    <row r="125" spans="1:7" x14ac:dyDescent="0.3">
      <c r="A125" s="2">
        <v>4</v>
      </c>
      <c r="C125" s="38" t="s">
        <v>138</v>
      </c>
      <c r="D125" s="42">
        <f>TRUNC(6297,-1)</f>
        <v>6290</v>
      </c>
      <c r="E125" s="63">
        <f t="shared" si="4"/>
        <v>20790</v>
      </c>
    </row>
    <row r="126" spans="1:7" x14ac:dyDescent="0.3">
      <c r="A126" s="2">
        <v>5</v>
      </c>
      <c r="C126" s="38" t="s">
        <v>53</v>
      </c>
      <c r="D126" s="42">
        <f>TRUNC(333,-1)</f>
        <v>330</v>
      </c>
      <c r="E126" s="63">
        <f t="shared" si="4"/>
        <v>1090</v>
      </c>
    </row>
    <row r="127" spans="1:7" x14ac:dyDescent="0.3">
      <c r="A127" s="2">
        <v>6</v>
      </c>
      <c r="C127" s="38" t="s">
        <v>56</v>
      </c>
      <c r="D127" s="42">
        <f>TRUNC(1548,-1)</f>
        <v>1540</v>
      </c>
      <c r="E127" s="63">
        <f t="shared" si="4"/>
        <v>5090</v>
      </c>
    </row>
    <row r="128" spans="1:7" x14ac:dyDescent="0.3">
      <c r="A128" s="2">
        <v>7</v>
      </c>
      <c r="C128" s="38" t="s">
        <v>46</v>
      </c>
      <c r="D128" s="42">
        <f>TRUNC(3229,-1)</f>
        <v>3220</v>
      </c>
      <c r="E128" s="63">
        <f t="shared" si="4"/>
        <v>10640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TRUNC(19732,-1)</f>
        <v>19730</v>
      </c>
      <c r="E130" s="63">
        <f t="shared" si="4"/>
        <v>65220</v>
      </c>
    </row>
    <row r="131" spans="1:7" x14ac:dyDescent="0.3">
      <c r="A131" s="2">
        <v>10</v>
      </c>
      <c r="C131" s="38" t="s">
        <v>148</v>
      </c>
      <c r="D131" s="42">
        <f>TRUNC(168480,-1)</f>
        <v>168480</v>
      </c>
      <c r="E131" s="63">
        <f t="shared" si="4"/>
        <v>556960</v>
      </c>
    </row>
    <row r="132" spans="1:7" ht="18" thickBot="1" x14ac:dyDescent="0.35">
      <c r="A132" s="2">
        <v>11</v>
      </c>
      <c r="C132" s="38" t="s">
        <v>47</v>
      </c>
      <c r="D132" s="43">
        <f>TRUNC(1957+869+685,-1)</f>
        <v>3510</v>
      </c>
      <c r="E132" s="64">
        <f t="shared" si="4"/>
        <v>11600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211440</v>
      </c>
      <c r="E133" s="39">
        <f>SUM(E122:E132)</f>
        <v>698960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TRUNC(2097+1113,-1)</f>
        <v>3210</v>
      </c>
      <c r="E137" s="63">
        <f t="shared" si="5"/>
        <v>10610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f>TRUNC(1890,-1)</f>
        <v>1890</v>
      </c>
      <c r="E138" s="63">
        <f t="shared" si="5"/>
        <v>6240</v>
      </c>
    </row>
    <row r="139" spans="1:7" x14ac:dyDescent="0.3">
      <c r="A139" s="2">
        <v>4</v>
      </c>
      <c r="C139" s="38" t="s">
        <v>61</v>
      </c>
      <c r="D139" s="42">
        <f>TRUNC(2805,-1)</f>
        <v>2800</v>
      </c>
      <c r="E139" s="63">
        <f t="shared" si="5"/>
        <v>9250</v>
      </c>
    </row>
    <row r="140" spans="1:7" x14ac:dyDescent="0.3">
      <c r="A140" s="2">
        <v>5</v>
      </c>
      <c r="C140" s="38" t="s">
        <v>57</v>
      </c>
      <c r="D140" s="42">
        <f>TRUNC(8209,-1)</f>
        <v>8200</v>
      </c>
      <c r="E140" s="63">
        <f t="shared" si="5"/>
        <v>27100</v>
      </c>
    </row>
    <row r="141" spans="1:7" x14ac:dyDescent="0.3">
      <c r="A141" s="2">
        <v>6</v>
      </c>
      <c r="C141" s="38" t="s">
        <v>59</v>
      </c>
      <c r="D141" s="42">
        <f>TRUNC(16124,-1)</f>
        <v>16120</v>
      </c>
      <c r="E141" s="63">
        <f t="shared" si="5"/>
        <v>53280</v>
      </c>
    </row>
    <row r="142" spans="1:7" x14ac:dyDescent="0.3">
      <c r="A142" s="2">
        <v>7</v>
      </c>
      <c r="C142" s="38" t="s">
        <v>58</v>
      </c>
      <c r="D142" s="42">
        <f>TRUNC(741,-1)</f>
        <v>740</v>
      </c>
      <c r="E142" s="63">
        <f t="shared" si="5"/>
        <v>2440</v>
      </c>
    </row>
    <row r="143" spans="1:7" x14ac:dyDescent="0.3">
      <c r="A143" s="2">
        <v>8</v>
      </c>
      <c r="C143" s="38" t="s">
        <v>62</v>
      </c>
      <c r="D143" s="42">
        <f>TRUNC(7217,-1)</f>
        <v>7210</v>
      </c>
      <c r="E143" s="63">
        <f t="shared" si="5"/>
        <v>23830</v>
      </c>
    </row>
    <row r="144" spans="1:7" x14ac:dyDescent="0.3">
      <c r="A144" s="2">
        <v>9</v>
      </c>
      <c r="C144" s="38" t="s">
        <v>63</v>
      </c>
      <c r="D144" s="42">
        <f>TRUNC(21858,-1)</f>
        <v>21850</v>
      </c>
      <c r="E144" s="63">
        <f t="shared" si="5"/>
        <v>72230</v>
      </c>
    </row>
    <row r="145" spans="1:7" ht="17.25" thickBot="1" x14ac:dyDescent="0.35">
      <c r="A145" s="2">
        <v>10</v>
      </c>
      <c r="C145" s="38" t="s">
        <v>148</v>
      </c>
      <c r="D145" s="43">
        <f>TRUNC(2013,-1)</f>
        <v>2010</v>
      </c>
      <c r="E145" s="64">
        <f t="shared" si="5"/>
        <v>6640</v>
      </c>
    </row>
    <row r="146" spans="1:7" x14ac:dyDescent="0.3">
      <c r="A146" s="2">
        <v>11</v>
      </c>
      <c r="C146" s="27" t="s">
        <v>112</v>
      </c>
      <c r="D146" s="39">
        <f>SUM(D136:D145)</f>
        <v>64030</v>
      </c>
      <c r="E146" s="39">
        <f>SUM(E136:E145)</f>
        <v>211620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TRUNC(4977+1001,-1)</f>
        <v>5970</v>
      </c>
      <c r="E149" s="62">
        <f>TRUNC(+D149*3.3058,-1)</f>
        <v>19730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TRUNC(3488,-1)</f>
        <v>3480</v>
      </c>
      <c r="E150" s="63">
        <f>TRUNC(+D150*3.3058,-1)</f>
        <v>11500</v>
      </c>
    </row>
    <row r="151" spans="1:7" x14ac:dyDescent="0.3">
      <c r="A151" s="2">
        <v>3</v>
      </c>
      <c r="C151" s="38" t="s">
        <v>50</v>
      </c>
      <c r="D151" s="42">
        <f>TRUNC(5850,-1)</f>
        <v>5850</v>
      </c>
      <c r="E151" s="63">
        <f>TRUNC(+D151*3.3058,-1)</f>
        <v>19330</v>
      </c>
    </row>
    <row r="152" spans="1:7" x14ac:dyDescent="0.3">
      <c r="A152" s="2">
        <v>4</v>
      </c>
      <c r="C152" s="38" t="s">
        <v>47</v>
      </c>
      <c r="D152" s="42">
        <f>TRUNC(326+6076+456,-1)</f>
        <v>6850</v>
      </c>
      <c r="E152" s="63">
        <f>TRUNC(+D152*3.3058,-1)</f>
        <v>22640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TRUNC(18345,-1)</f>
        <v>18340</v>
      </c>
      <c r="E153" s="64">
        <f>TRUNC(+D153*3.3058,-1)</f>
        <v>60620</v>
      </c>
    </row>
    <row r="154" spans="1:7" x14ac:dyDescent="0.3">
      <c r="A154" s="2">
        <v>6</v>
      </c>
      <c r="C154" s="27" t="s">
        <v>112</v>
      </c>
      <c r="D154" s="39">
        <f>SUM(D149:D153)</f>
        <v>40490</v>
      </c>
      <c r="E154" s="39">
        <f>SUM(E149:E153)</f>
        <v>133820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TRUNC(10585,-1)</f>
        <v>10580</v>
      </c>
      <c r="E157" s="62">
        <f>TRUNC(+D157*3.3058,-1)</f>
        <v>34970</v>
      </c>
    </row>
    <row r="158" spans="1:7" x14ac:dyDescent="0.3">
      <c r="A158" s="2">
        <v>2</v>
      </c>
      <c r="C158" s="38" t="s">
        <v>52</v>
      </c>
      <c r="D158" s="42">
        <f>TRUNC(10577,-1)</f>
        <v>10570</v>
      </c>
      <c r="E158" s="63">
        <f>TRUNC(+D158*3.3058,-1)</f>
        <v>34940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TRUNC(7180+646,-1)</f>
        <v>7820</v>
      </c>
      <c r="E159" s="63">
        <f>TRUNC(+D159*3.3058,-1)</f>
        <v>25850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f>TRUNC(11064,-1)</f>
        <v>11060</v>
      </c>
      <c r="E160" s="64">
        <f>TRUNC(+D160*3.3058,-1)</f>
        <v>36560</v>
      </c>
    </row>
    <row r="161" spans="1:5" x14ac:dyDescent="0.3">
      <c r="A161" s="2">
        <v>5</v>
      </c>
      <c r="C161" s="27" t="s">
        <v>112</v>
      </c>
      <c r="D161" s="39">
        <f>SUM(D157:D160)</f>
        <v>40030</v>
      </c>
      <c r="E161" s="39">
        <f>SUM(E157:E160)</f>
        <v>132320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2020-12-08T02:22:06Z</dcterms:modified>
</cp:coreProperties>
</file>