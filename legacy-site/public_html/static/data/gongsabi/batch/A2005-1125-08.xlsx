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119" i="4"/>
  <c r="E95" i="4"/>
  <c r="D59" i="4"/>
  <c r="E59" i="4" s="1"/>
  <c r="D161" i="4" l="1"/>
  <c r="D32" i="4" s="1"/>
  <c r="E32" i="4" s="1"/>
  <c r="D154" i="4"/>
  <c r="D152" i="4"/>
  <c r="E152" i="4" s="1"/>
  <c r="E154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58" i="4"/>
  <c r="D31" i="4"/>
  <c r="E31" i="4" s="1"/>
  <c r="D29" i="4"/>
  <c r="E29" i="4" s="1"/>
  <c r="D24" i="4"/>
  <c r="E24" i="4" s="1"/>
  <c r="D7" i="4"/>
  <c r="D60" i="4" l="1"/>
  <c r="D25" i="4" s="1"/>
  <c r="E25" i="4" s="1"/>
  <c r="E58" i="4"/>
  <c r="E60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<sst xmlns="http://schemas.openxmlformats.org/spreadsheetml/2006/main" count="399" uniqueCount="273">
  <si>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</si>
  <si>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</si>
  <si>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</si>
  <si>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</si>
  <si>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</si>
  <si>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</si>
  <si>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</si>
  <si>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</si>
  <si>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</si>
  <si>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</si>
  <si>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</si>
  <si>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</si>
  <si>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</si>
  <si>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</si>
  <si>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</si>
  <si>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</si>
  <si>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</si>
  <si>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</si>
  <si>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</si>
  <si>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</si>
  <si>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</si>
  <si>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</si>
  <si>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</si>
  <si>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</si>
  <si>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</si>
  <si>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</si>
  <si>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</si>
  <si>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</si>
  <si>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</si>
  <si>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</si>
  <si>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</si>
  <si>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</si>
  <si>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</si>
  <si>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</si>
  <si>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</si>
  <si>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</si>
  <si>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</si>
  <si>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</si>
  <si>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</si>
  <si>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</si>
  <si>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</si>
  <si>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</si>
  <si>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</si>
  <si>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</si>
  <si>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</si>
  <si>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</si>
  <si>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</si>
  <si>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</si>
  <si>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</si>
  <si>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</si>
  <si>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</si>
  <si>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</si>
  <si>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</si>
  <si>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</si>
  <si>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</si>
  <si>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</si>
  <si>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</si>
  <si>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</si>
  <si>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</si>
  <si>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</si>
  <si>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</si>
  <si>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</si>
  <si>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</si>
  <si>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</si>
  <si>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</si>
  <si>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</si>
  <si>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</si>
  <si>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</si>
  <si>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</si>
  <si>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</si>
  <si>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</si>
  <si>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</si>
  <si>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</si>
  <si>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</si>
  <si>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</si>
  <si>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</si>
  <si>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</si>
  <si>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</si>
  <si>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</si>
  <si>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</si>
  <si>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</si>
  <si>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</si>
  <si>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</si>
  <si>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</si>
  <si>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</si>
  <si>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</si>
  <si>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</si>
  <si>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</si>
  <si>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</si>
  <si>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</si>
  <si>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</si>
  <si>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</si>
  <si>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</si>
  <si>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</si>
  <si>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</si>
  <si>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</si>
  <si>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</si>
  <si>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</si>
  <si>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</si>
  <si>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</si>
  <si>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</si>
  <si>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</si>
  <si>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</si>
  <si>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</si>
  <si>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</si>
  <si>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</si>
  <si>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</si>
  <si>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</si>
  <si>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</si>
  <si>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</si>
  <si>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</si>
  <si>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</si>
  <si>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</si>
  <si>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</si>
  <si>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</si>
  <si>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</si>
  <si>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</si>
  <si>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</si>
  <si>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</si>
  <si>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</si>
  <si>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</si>
  <si>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</si>
  <si>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</si>
  <si>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</si>
  <si>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</si>
  <si>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</si>
  <si>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</si>
  <si>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</si>
  <si>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</si>
  <si>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</si>
  <si>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</si>
  <si>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</si>
  <si>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</si>
  <si>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</si>
  <si>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</si>
  <si>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</si>
  <si>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</si>
  <si>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</si>
  <si>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</si>
  <si>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</si>
  <si>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</si>
  <si>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</si>
  <si>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</si>
  <si>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</si>
  <si>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</si>
  <si>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</si>
  <si>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</si>
  <si>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</si>
  <si>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</si>
  <si>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</si>
  <si>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</si>
  <si>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</si>
  <si>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</si>
  <si>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</si>
  <si>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</si>
  <si>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</si>
  <si>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</si>
  <si>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</si>
  <si>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</si>
  <si>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</si>
  <si>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</si>
  <si>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</si>
  <si>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</si>
  <si>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</si>
  <si>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</si>
  <si>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</si>
  <si>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</si>
  <si>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</si>
  <si>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</si>
  <si>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</si>
  <si>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</si>
  <si>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</si>
  <si>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</si>
  <si>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</si>
  <si>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</si>
  <si>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</si>
  <si>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</si>
  <si>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</si>
  <si>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</si>
  <si>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</si>
  <si>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</si>
  <si>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</si>
  <si>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</si>
  <si>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</si>
  <si>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</si>
  <si>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</si>
  <si>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</si>
  <si>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</si>
  <si>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</si>
  <si>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</si>
  <si>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</si>
  <si>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</si>
  <si>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</si>
  <si>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</si>
  <si>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</si>
  <si>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</si>
  <si>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</si>
  <si>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</si>
  <si>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</si>
  <si>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</si>
  <si>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</si>
  <si>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</si>
  <si>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</si>
  <si>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</si>
  <si>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</si>
  <si>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</si>
  <si>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</si>
  <si>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</si>
  <si>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</si>
  <si>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</si>
  <si>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</si>
  <si>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</si>
  <si>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</si>
  <si>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</si>
  <si>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</si>
  <si>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</si>
  <si>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</si>
  <si>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</si>
  <si>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</si>
  <si>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</si>
  <si>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</si>
  <si>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</si>
  <si>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</si>
  <si>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</si>
  <si>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</si>
  <si>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</si>
  <si>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</si>
  <si>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</si>
  <si>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</si>
  <si>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</si>
  <si>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</si>
  <si>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</si>
  <si>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</si>
  <si>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</si>
  <si>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</si>
  <si>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</si>
  <si>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</si>
  <si>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</si>
  <si>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</si>
  <si>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</si>
  <si>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</si>
  <si>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</si>
  <si>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</si>
  <si>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</si>
  <si>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</si>
  <si>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</si>
  <si>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</si>
  <si>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한국천문연구원 기숙사 신축공사</t>
  </si>
  <si>
    <t>대전시</t>
  </si>
  <si>
    <t>평</t>
    <phoneticPr fontId="2" type="noConversion"/>
  </si>
  <si>
    <t>원/ m2</t>
    <phoneticPr fontId="2" type="noConversion"/>
  </si>
  <si>
    <t>토공및지정공사,기타공사,운반공사,작업부산물</t>
    <phoneticPr fontId="2" type="noConversion"/>
  </si>
  <si>
    <t>급수/급탕 및 환기배관</t>
  </si>
  <si>
    <t>난방배관공사</t>
    <phoneticPr fontId="2" type="noConversion"/>
  </si>
  <si>
    <t>냉방(EHP)드레인 배관</t>
  </si>
  <si>
    <t>오/배수 및 통기배관공사</t>
  </si>
  <si>
    <t>구내전력간선공사</t>
  </si>
  <si>
    <t>냉방설비공사</t>
    <phoneticPr fontId="2" type="noConversion"/>
  </si>
  <si>
    <t>옥외전력인입 및 외등공사</t>
  </si>
  <si>
    <t>CATV,TV설비공사</t>
  </si>
  <si>
    <t>전화,LAN설비공사</t>
  </si>
  <si>
    <t>객실관리시스템공사</t>
  </si>
  <si>
    <t>전기소방설비공사</t>
    <phoneticPr fontId="2" type="noConversion"/>
  </si>
  <si>
    <t>배수공,부대공,사급자재,폐기물처리</t>
    <phoneticPr fontId="2" type="noConversion"/>
  </si>
  <si>
    <t>조경공사</t>
    <phoneticPr fontId="2" type="noConversion"/>
  </si>
  <si>
    <t>도급자설치</t>
    <phoneticPr fontId="2" type="noConversion"/>
  </si>
  <si>
    <t>관급자 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</si>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</sst>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1246</v>
      </c>
      <c r="D7" s="36">
        <f>+C7/3.3058</f>
        <v>376.91330389013251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271</v>
      </c>
    </row>
    <row r="19" spans="1:5" x14ac:dyDescent="0.3">
      <c r="A19" s="2">
        <v>9</v>
      </c>
      <c r="B19" s="2" t="s">
        <v>272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485010</v>
      </c>
      <c r="E25" s="60">
        <f t="shared" si="0"/>
        <v>1603340</v>
      </c>
    </row>
    <row r="26" spans="1:5" x14ac:dyDescent="0.3">
      <c r="B26" s="2">
        <v>3</v>
      </c>
      <c r="C26" s="35" t="s">
        <v>95</v>
      </c>
      <c r="D26" s="45">
        <f>+D66</f>
        <v>42270</v>
      </c>
      <c r="E26" s="60">
        <f t="shared" si="0"/>
        <v>139730</v>
      </c>
    </row>
    <row r="27" spans="1:5" x14ac:dyDescent="0.3">
      <c r="B27" s="2">
        <v>4</v>
      </c>
      <c r="C27" s="35" t="s">
        <v>96</v>
      </c>
      <c r="D27" s="45">
        <f>+D95</f>
        <v>242210</v>
      </c>
      <c r="E27" s="60">
        <f t="shared" si="0"/>
        <v>800690</v>
      </c>
    </row>
    <row r="28" spans="1:5" x14ac:dyDescent="0.3">
      <c r="B28" s="2">
        <v>5</v>
      </c>
      <c r="C28" s="35" t="s">
        <v>97</v>
      </c>
      <c r="D28" s="45">
        <f>+D119</f>
        <v>65420</v>
      </c>
      <c r="E28" s="60">
        <f t="shared" si="0"/>
        <v>216260</v>
      </c>
    </row>
    <row r="29" spans="1:5" x14ac:dyDescent="0.3">
      <c r="B29" s="2">
        <v>6</v>
      </c>
      <c r="C29" s="35" t="s">
        <v>98</v>
      </c>
      <c r="D29" s="45">
        <f>+D133</f>
        <v>39700</v>
      </c>
      <c r="E29" s="60">
        <f t="shared" si="0"/>
        <v>131240</v>
      </c>
    </row>
    <row r="30" spans="1:5" x14ac:dyDescent="0.3">
      <c r="B30" s="2">
        <v>7</v>
      </c>
      <c r="C30" s="35" t="s">
        <v>99</v>
      </c>
      <c r="D30" s="45">
        <f>+D146</f>
        <v>7940</v>
      </c>
      <c r="E30" s="60">
        <f t="shared" si="0"/>
        <v>26240</v>
      </c>
    </row>
    <row r="31" spans="1:5" x14ac:dyDescent="0.3">
      <c r="B31" s="2">
        <v>8</v>
      </c>
      <c r="C31" s="35" t="s">
        <v>100</v>
      </c>
      <c r="D31" s="45">
        <f>+D154</f>
        <v>47780</v>
      </c>
      <c r="E31" s="60">
        <f t="shared" si="0"/>
        <v>157950</v>
      </c>
    </row>
    <row r="32" spans="1:5" x14ac:dyDescent="0.3">
      <c r="B32" s="2">
        <v>9</v>
      </c>
      <c r="C32" s="35" t="s">
        <v>101</v>
      </c>
      <c r="D32" s="45">
        <f>+D161</f>
        <v>11610</v>
      </c>
      <c r="E32" s="60">
        <f t="shared" si="0"/>
        <v>38380</v>
      </c>
    </row>
    <row r="33" spans="1:7" x14ac:dyDescent="0.3">
      <c r="B33" s="2">
        <v>10</v>
      </c>
      <c r="C33" s="35" t="s">
        <v>154</v>
      </c>
      <c r="D33" s="53">
        <f>TRUNC(SUM(D24:D32)*0.275,-1)</f>
        <v>259030</v>
      </c>
      <c r="E33" s="61">
        <f t="shared" si="0"/>
        <v>856300</v>
      </c>
    </row>
    <row r="34" spans="1:7" x14ac:dyDescent="0.3">
      <c r="C34" s="35" t="s">
        <v>112</v>
      </c>
      <c r="D34" s="44">
        <f>SUM(D24:D33)</f>
        <v>1200970</v>
      </c>
      <c r="E34" s="44">
        <f>SUM(E24:E33)</f>
        <v>3970130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268</v>
      </c>
      <c r="E39" s="67" t="s">
        <v>269</v>
      </c>
      <c r="G39" s="68"/>
    </row>
    <row r="40" spans="1:7" x14ac:dyDescent="0.3">
      <c r="A40" s="2">
        <v>1</v>
      </c>
      <c r="C40" s="38" t="s">
        <v>15</v>
      </c>
      <c r="D40" s="40">
        <v>34310</v>
      </c>
      <c r="E40" s="63">
        <f t="shared" ref="E40:E59" si="1">TRUNC(+D40*3.3058,-1)</f>
        <v>113420</v>
      </c>
    </row>
    <row r="41" spans="1:7" x14ac:dyDescent="0.3">
      <c r="A41" s="2">
        <v>2</v>
      </c>
      <c r="C41" s="38" t="s">
        <v>13</v>
      </c>
      <c r="D41" s="42">
        <v>134080</v>
      </c>
      <c r="E41" s="64">
        <f t="shared" si="1"/>
        <v>443240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42400</v>
      </c>
      <c r="E43" s="64">
        <f t="shared" si="1"/>
        <v>140160</v>
      </c>
    </row>
    <row r="44" spans="1:7" x14ac:dyDescent="0.3">
      <c r="A44" s="2">
        <v>5</v>
      </c>
      <c r="C44" s="38" t="s">
        <v>17</v>
      </c>
      <c r="D44" s="42">
        <v>11180</v>
      </c>
      <c r="E44" s="64">
        <f t="shared" si="1"/>
        <v>36950</v>
      </c>
    </row>
    <row r="45" spans="1:7" x14ac:dyDescent="0.3">
      <c r="A45" s="2">
        <v>6</v>
      </c>
      <c r="C45" s="38" t="s">
        <v>18</v>
      </c>
      <c r="D45" s="42">
        <v>5850</v>
      </c>
      <c r="E45" s="64">
        <f t="shared" si="1"/>
        <v>19330</v>
      </c>
    </row>
    <row r="46" spans="1:7" x14ac:dyDescent="0.3">
      <c r="A46" s="2">
        <v>7</v>
      </c>
      <c r="C46" s="38" t="s">
        <v>19</v>
      </c>
      <c r="D46" s="42">
        <v>8930</v>
      </c>
      <c r="E46" s="64">
        <f t="shared" si="1"/>
        <v>29520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v>18400</v>
      </c>
      <c r="E48" s="64">
        <f t="shared" si="1"/>
        <v>60820</v>
      </c>
    </row>
    <row r="49" spans="1:7" x14ac:dyDescent="0.3">
      <c r="A49" s="2">
        <v>10</v>
      </c>
      <c r="C49" s="38" t="s">
        <v>22</v>
      </c>
      <c r="D49" s="42">
        <v>24350</v>
      </c>
      <c r="E49" s="64">
        <f t="shared" si="1"/>
        <v>80490</v>
      </c>
    </row>
    <row r="50" spans="1:7" x14ac:dyDescent="0.3">
      <c r="A50" s="2">
        <v>11</v>
      </c>
      <c r="C50" s="38" t="s">
        <v>155</v>
      </c>
      <c r="D50" s="42">
        <v>25300</v>
      </c>
      <c r="E50" s="64">
        <f t="shared" si="1"/>
        <v>83630</v>
      </c>
    </row>
    <row r="51" spans="1:7" x14ac:dyDescent="0.3">
      <c r="A51" s="2">
        <v>12</v>
      </c>
      <c r="C51" s="38" t="s">
        <v>23</v>
      </c>
      <c r="D51" s="42">
        <v>5540</v>
      </c>
      <c r="E51" s="64">
        <f t="shared" si="1"/>
        <v>18310</v>
      </c>
    </row>
    <row r="52" spans="1:7" x14ac:dyDescent="0.3">
      <c r="A52" s="2">
        <v>13</v>
      </c>
      <c r="C52" s="38" t="s">
        <v>24</v>
      </c>
      <c r="D52" s="42">
        <v>3140</v>
      </c>
      <c r="E52" s="64">
        <f t="shared" si="1"/>
        <v>10380</v>
      </c>
    </row>
    <row r="53" spans="1:7" x14ac:dyDescent="0.3">
      <c r="A53" s="2">
        <v>14</v>
      </c>
      <c r="C53" s="38" t="s">
        <v>25</v>
      </c>
      <c r="D53" s="42">
        <v>47170</v>
      </c>
      <c r="E53" s="64">
        <f t="shared" si="1"/>
        <v>155930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5600</v>
      </c>
      <c r="E55" s="64">
        <f t="shared" si="1"/>
        <v>18510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8410+1100+3900-230</f>
        <v>13180</v>
      </c>
      <c r="E58" s="64">
        <f t="shared" si="1"/>
        <v>43570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TRUNC(105587.479935795,-1)</f>
        <v>105580</v>
      </c>
      <c r="E59" s="65">
        <f t="shared" si="1"/>
        <v>349020</v>
      </c>
      <c r="F59" s="2" t="s">
        <v>265</v>
      </c>
    </row>
    <row r="60" spans="1:7" x14ac:dyDescent="0.3">
      <c r="A60" s="2">
        <v>21</v>
      </c>
      <c r="C60" s="27" t="s">
        <v>112</v>
      </c>
      <c r="D60" s="39">
        <f>SUM(D40:D59)</f>
        <v>485010</v>
      </c>
      <c r="E60" s="39">
        <f>SUM(E40:E59)</f>
        <v>1603280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250</v>
      </c>
      <c r="E62" s="56" t="s">
        <v>267</v>
      </c>
      <c r="F62" s="54"/>
      <c r="G62" s="54"/>
    </row>
    <row r="63" spans="1:7" x14ac:dyDescent="0.3">
      <c r="A63" s="2">
        <v>1</v>
      </c>
      <c r="C63" s="38" t="s">
        <v>27</v>
      </c>
      <c r="D63" s="40">
        <v>42270</v>
      </c>
      <c r="E63" s="63">
        <f>TRUNC(+D63*3.3058,-1)</f>
        <v>139730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42270</v>
      </c>
      <c r="E66" s="57">
        <f>SUM(E63:E65)</f>
        <v>139730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267</v>
      </c>
      <c r="F68" s="54"/>
      <c r="G68" s="54"/>
    </row>
    <row r="69" spans="1:7" x14ac:dyDescent="0.3">
      <c r="A69" s="2">
        <v>1</v>
      </c>
      <c r="C69" s="38" t="s">
        <v>30</v>
      </c>
      <c r="D69" s="40">
        <v>27520</v>
      </c>
      <c r="E69" s="63">
        <f>TRUNC(+D69*3.3058,-1)</f>
        <v>90970</v>
      </c>
    </row>
    <row r="70" spans="1:7" ht="16.5" customHeight="1" x14ac:dyDescent="0.3">
      <c r="A70" s="2">
        <v>2</v>
      </c>
      <c r="C70" s="38" t="s">
        <v>31</v>
      </c>
      <c r="D70" s="42">
        <v>2370</v>
      </c>
      <c r="E70" s="64">
        <f>TRUNC(+D70*3.3058,-1)</f>
        <v>7830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1690</v>
      </c>
      <c r="E72" s="64">
        <f t="shared" si="2"/>
        <v>5580</v>
      </c>
    </row>
    <row r="73" spans="1:7" x14ac:dyDescent="0.3">
      <c r="A73" s="2">
        <v>5</v>
      </c>
      <c r="C73" s="38" t="s">
        <v>34</v>
      </c>
      <c r="D73" s="42">
        <v>16820</v>
      </c>
      <c r="E73" s="64">
        <f t="shared" si="2"/>
        <v>55600</v>
      </c>
      <c r="F73" s="2" t="s">
        <v>252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8810</v>
      </c>
      <c r="E81" s="64">
        <f t="shared" si="3"/>
        <v>29120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2570</v>
      </c>
      <c r="E86" s="64">
        <f t="shared" si="3"/>
        <v>8490</v>
      </c>
      <c r="F86" s="2" t="s">
        <v>254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12830</v>
      </c>
      <c r="E89" s="64">
        <f t="shared" si="3"/>
        <v>42410</v>
      </c>
      <c r="F89" s="2" t="s">
        <v>255</v>
      </c>
    </row>
    <row r="90" spans="1:7" x14ac:dyDescent="0.3">
      <c r="A90" s="2">
        <v>22</v>
      </c>
      <c r="C90" s="38" t="s">
        <v>36</v>
      </c>
      <c r="D90" s="42">
        <v>1520</v>
      </c>
      <c r="E90" s="64">
        <f>TRUNC(+D90*3.3058,-1)</f>
        <v>5020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2360</v>
      </c>
      <c r="E92" s="64">
        <f>TRUNC(+D92*3.3058,-1)</f>
        <v>7800</v>
      </c>
    </row>
    <row r="93" spans="1:7" x14ac:dyDescent="0.3">
      <c r="A93" s="2">
        <v>25</v>
      </c>
      <c r="C93" s="38" t="s">
        <v>148</v>
      </c>
      <c r="D93" s="42">
        <v>142380</v>
      </c>
      <c r="E93" s="64">
        <f>TRUNC(+D93*3.3058,-1)</f>
        <v>470670</v>
      </c>
      <c r="F93" s="2" t="s">
        <v>266</v>
      </c>
    </row>
    <row r="94" spans="1:7" ht="17.25" thickBot="1" x14ac:dyDescent="0.35">
      <c r="A94" s="2">
        <v>26</v>
      </c>
      <c r="C94" s="38" t="s">
        <v>47</v>
      </c>
      <c r="D94" s="43">
        <v>23340</v>
      </c>
      <c r="E94" s="65">
        <f>TRUNC(+D94*3.3058,-1)</f>
        <v>77150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242210</v>
      </c>
      <c r="E95" s="39">
        <f>SUM(E69:E94)</f>
        <v>800640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250</v>
      </c>
      <c r="E97" s="56" t="s">
        <v>267</v>
      </c>
      <c r="F97" s="54"/>
      <c r="G97" s="54"/>
    </row>
    <row r="98" spans="1:7" x14ac:dyDescent="0.3">
      <c r="A98" s="2">
        <v>1</v>
      </c>
      <c r="C98" s="38" t="s">
        <v>39</v>
      </c>
      <c r="D98" s="40">
        <v>9670</v>
      </c>
      <c r="E98" s="63">
        <f t="shared" ref="E98:E118" si="4">TRUNC(+D98*3.3058,-1)</f>
        <v>31960</v>
      </c>
      <c r="F98" s="2" t="s">
        <v>256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4"/>
        <v>0</v>
      </c>
    </row>
    <row r="100" spans="1:7" x14ac:dyDescent="0.3">
      <c r="A100" s="2">
        <v>3</v>
      </c>
      <c r="C100" s="38" t="s">
        <v>41</v>
      </c>
      <c r="D100" s="42">
        <v>19050</v>
      </c>
      <c r="E100" s="64">
        <f t="shared" si="4"/>
        <v>62970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8090</v>
      </c>
      <c r="E102" s="64">
        <f t="shared" si="4"/>
        <v>26740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1050</v>
      </c>
      <c r="E104" s="64">
        <f t="shared" si="4"/>
        <v>3470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4350</v>
      </c>
      <c r="E108" s="64">
        <f t="shared" si="4"/>
        <v>14380</v>
      </c>
      <c r="F108" s="2" t="s">
        <v>257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19790</v>
      </c>
      <c r="E114" s="64">
        <f t="shared" si="4"/>
        <v>65420</v>
      </c>
      <c r="F114" s="2" t="s">
        <v>258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v>3420</v>
      </c>
      <c r="E117" s="64">
        <f t="shared" si="4"/>
        <v>11300</v>
      </c>
      <c r="F117" s="2" t="s">
        <v>265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65420</v>
      </c>
      <c r="E119" s="39">
        <f>SUM(E98:E118)</f>
        <v>216240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250</v>
      </c>
      <c r="E121" s="56" t="s">
        <v>267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2930</v>
      </c>
      <c r="E122" s="63">
        <f t="shared" ref="E122:E132" si="5">TRUNC(+D122*3.3058,-1)</f>
        <v>9680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4320</v>
      </c>
      <c r="E123" s="64">
        <f t="shared" si="5"/>
        <v>14280</v>
      </c>
      <c r="F123" s="2" t="s">
        <v>260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2740</v>
      </c>
      <c r="E125" s="64">
        <f t="shared" si="5"/>
        <v>9050</v>
      </c>
    </row>
    <row r="126" spans="1:7" x14ac:dyDescent="0.3">
      <c r="A126" s="2">
        <v>5</v>
      </c>
      <c r="C126" s="38" t="s">
        <v>53</v>
      </c>
      <c r="D126" s="42">
        <v>11210</v>
      </c>
      <c r="E126" s="64">
        <f t="shared" si="5"/>
        <v>37050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2080</v>
      </c>
      <c r="E131" s="64">
        <f t="shared" si="5"/>
        <v>6870</v>
      </c>
      <c r="F131" s="2" t="s">
        <v>265</v>
      </c>
    </row>
    <row r="132" spans="1:7" ht="17.25" thickBot="1" x14ac:dyDescent="0.35">
      <c r="A132" s="2">
        <v>11</v>
      </c>
      <c r="C132" s="38" t="s">
        <v>47</v>
      </c>
      <c r="D132" s="43">
        <v>16420</v>
      </c>
      <c r="E132" s="65">
        <f t="shared" si="5"/>
        <v>54280</v>
      </c>
      <c r="F132" s="2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39700</v>
      </c>
      <c r="E133" s="39">
        <f>SUM(E122:E132)</f>
        <v>131210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250</v>
      </c>
      <c r="E135" s="56" t="s">
        <v>267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7940</v>
      </c>
      <c r="E137" s="64">
        <f t="shared" si="6"/>
        <v>26240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7940</v>
      </c>
      <c r="E146" s="39">
        <f>SUM(E136:E145)</f>
        <v>26240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250</v>
      </c>
      <c r="E148" s="56" t="s">
        <v>267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6040</v>
      </c>
      <c r="E150" s="64">
        <f>TRUNC(+D150*3.3058,-1)</f>
        <v>19960</v>
      </c>
    </row>
    <row r="151" spans="1:7" x14ac:dyDescent="0.3">
      <c r="A151" s="2">
        <v>3</v>
      </c>
      <c r="C151" s="38" t="s">
        <v>50</v>
      </c>
      <c r="D151" s="42">
        <v>5690</v>
      </c>
      <c r="E151" s="64">
        <f>TRUNC(+D151*3.3058,-1)</f>
        <v>18810</v>
      </c>
    </row>
    <row r="152" spans="1:7" x14ac:dyDescent="0.3">
      <c r="A152" s="2">
        <v>4</v>
      </c>
      <c r="C152" s="38" t="s">
        <v>47</v>
      </c>
      <c r="D152" s="42">
        <f>22550+13260+240</f>
        <v>36050</v>
      </c>
      <c r="E152" s="64">
        <f>TRUNC(+D152*3.3058,-1)</f>
        <v>119170</v>
      </c>
      <c r="F152" s="58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47780</v>
      </c>
      <c r="E154" s="39">
        <f>SUM(E149:E153)</f>
        <v>157940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250</v>
      </c>
      <c r="E156" s="56" t="s">
        <v>267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11610</v>
      </c>
      <c r="E159" s="64">
        <f>TRUNC(+D159*3.3058,-1)</f>
        <v>38380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11610</v>
      </c>
      <c r="E161" s="39">
        <f>SUM(E157:E160)</f>
        <v>38380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2020-12-07T08:59:43Z</dcterms:modified>
</cp:coreProperties>
</file>