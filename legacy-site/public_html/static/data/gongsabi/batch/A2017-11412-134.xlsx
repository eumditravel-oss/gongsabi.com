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1" i="4"/>
  <c r="D150" i="4"/>
  <c r="D144" i="4"/>
  <c r="D143" i="4"/>
  <c r="D142" i="4"/>
  <c r="D141" i="4"/>
  <c r="D140" i="4"/>
  <c r="D139" i="4"/>
  <c r="D137" i="4"/>
  <c r="D131" i="4"/>
  <c r="D130" i="4"/>
  <c r="D128" i="4"/>
  <c r="D126" i="4"/>
  <c r="D125" i="4"/>
  <c r="D124" i="4"/>
  <c r="D122" i="4"/>
  <c r="D118" i="4"/>
  <c r="D117" i="4"/>
  <c r="D116" i="4"/>
  <c r="D105" i="4"/>
  <c r="D104" i="4"/>
  <c r="D103" i="4"/>
  <c r="D102" i="4"/>
  <c r="D100" i="4"/>
  <c r="D98" i="4"/>
  <c r="D94" i="4"/>
  <c r="D93" i="4"/>
  <c r="D91" i="4"/>
  <c r="D89" i="4"/>
  <c r="D73" i="4"/>
  <c r="D71" i="4"/>
  <c r="D70" i="4"/>
  <c r="D69" i="4"/>
  <c r="D63" i="4"/>
  <c r="D59" i="4"/>
  <c r="D58" i="4"/>
  <c r="D53" i="4"/>
  <c r="D52" i="4"/>
  <c r="D50" i="4"/>
  <c r="D49" i="4"/>
  <c r="D46" i="4"/>
  <c r="D45" i="4"/>
  <c r="D43" i="4"/>
  <c r="D41" i="4"/>
  <c r="D40" i="4"/>
  <c r="D149" i="4" l="1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<sst xmlns="http://schemas.openxmlformats.org/spreadsheetml/2006/main" count="390" uniqueCount="267">
  <si>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</si>
  <si>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</si>
  <si>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</si>
  <si>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</si>
  <si>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</si>
  <si>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</si>
  <si>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</si>
  <si>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</si>
  <si>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</si>
  <si>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</si>
  <si>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</si>
  <si>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</si>
  <si>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</si>
  <si>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</si>
  <si>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</si>
  <si>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</si>
  <si>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</si>
  <si>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</si>
  <si>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</si>
  <si>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</si>
  <si>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</si>
  <si>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</si>
  <si>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</si>
  <si>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</si>
  <si>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</si>
  <si>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</si>
  <si>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</si>
  <si>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</si>
  <si>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</si>
  <si>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</si>
  <si>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</si>
  <si>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</si>
  <si>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</si>
  <si>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</si>
  <si>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</si>
  <si>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</si>
  <si>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</si>
  <si>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</si>
  <si>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</si>
  <si>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</si>
  <si>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</si>
  <si>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</si>
  <si>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</si>
  <si>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</si>
  <si>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</si>
  <si>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</si>
  <si>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</si>
  <si>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</si>
  <si>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</si>
  <si>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</si>
  <si>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</si>
  <si>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</si>
  <si>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</si>
  <si>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</si>
  <si>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</si>
  <si>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</si>
  <si>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</si>
  <si>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</si>
  <si>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</si>
  <si>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</si>
  <si>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</si>
  <si>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</si>
  <si>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</si>
  <si>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</si>
  <si>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</si>
  <si>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</si>
  <si>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</si>
  <si>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</si>
  <si>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</si>
  <si>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</si>
  <si>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</si>
  <si>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</si>
  <si>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</si>
  <si>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</si>
  <si>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</si>
  <si>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</si>
  <si>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</si>
  <si>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</si>
  <si>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</si>
  <si>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</si>
  <si>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</si>
  <si>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</si>
  <si>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</si>
  <si>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</si>
  <si>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</si>
  <si>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</si>
  <si>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</si>
  <si>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</si>
  <si>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</si>
  <si>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</si>
  <si>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</si>
  <si>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</si>
  <si>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</si>
  <si>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</si>
  <si>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</si>
  <si>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</si>
  <si>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</si>
  <si>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</si>
  <si>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</si>
  <si>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</si>
  <si>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</si>
  <si>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</si>
  <si>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</si>
  <si>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</si>
  <si>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</si>
  <si>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</si>
  <si>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</si>
  <si>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</si>
  <si>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</si>
  <si>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</si>
  <si>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</si>
  <si>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</si>
  <si>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</si>
  <si>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</si>
  <si>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</si>
  <si>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</si>
  <si>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</si>
  <si>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</si>
  <si>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</si>
  <si>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</si>
  <si>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</si>
  <si>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</si>
  <si>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</si>
  <si>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</si>
  <si>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</si>
  <si>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</si>
  <si>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</si>
  <si>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</si>
  <si>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</si>
  <si>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</si>
  <si>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</si>
  <si>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</si>
  <si>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</si>
  <si>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</si>
  <si>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</si>
  <si>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</si>
  <si>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</si>
  <si>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</si>
  <si>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</si>
  <si>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</si>
  <si>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</si>
  <si>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</si>
  <si>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</si>
  <si>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</si>
  <si>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</si>
  <si>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</si>
  <si>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</si>
  <si>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</si>
  <si>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</si>
  <si>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</si>
  <si>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</si>
  <si>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</si>
  <si>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</si>
  <si>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</si>
  <si>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</si>
  <si>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</si>
  <si>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</si>
  <si>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</si>
  <si>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</si>
  <si>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</si>
  <si>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</si>
  <si>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</si>
  <si>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</si>
  <si>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</si>
  <si>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</si>
  <si>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</si>
  <si>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</si>
  <si>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</si>
  <si>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</si>
  <si>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</si>
  <si>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</si>
  <si>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</si>
  <si>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</si>
  <si>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</si>
  <si>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</si>
  <si>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</si>
  <si>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</si>
  <si>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</si>
  <si>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</si>
  <si>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</si>
  <si>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</si>
  <si>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</si>
  <si>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</si>
  <si>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</si>
  <si>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</si>
  <si>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</si>
  <si>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</si>
  <si>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</si>
  <si>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</si>
  <si>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</si>
  <si>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</si>
  <si>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</si>
  <si>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</si>
  <si>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</si>
  <si>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</si>
  <si>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</si>
  <si>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</si>
  <si>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</si>
  <si>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</si>
  <si>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</si>
  <si>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</si>
  <si>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</si>
  <si>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</si>
  <si>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</si>
  <si>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</si>
  <si>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</si>
  <si>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</si>
  <si>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</si>
  <si>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</si>
  <si>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</si>
  <si>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</si>
  <si>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</si>
  <si>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</si>
  <si>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</si>
  <si>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</si>
  <si>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</si>
  <si>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</si>
  <si>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</si>
  <si>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</si>
  <si>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</si>
  <si>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</si>
  <si>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</si>
  <si>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</si>
  <si>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</si>
  <si>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</si>
  <si>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</si>
  <si>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</si>
  <si>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</si>
  <si>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</si>
  <si>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</si>
  <si>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</si>
  <si>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</si>
  <si>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</si>
  <si>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</si>
  <si>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</si>
  <si>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</si>
  <si>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</si>
  <si>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</si>
  <si>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</si>
  <si>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</si>
  <si>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</si>
  <si>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</si>
  <si>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</si>
  <si>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</si>
  <si>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</si>
  <si>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</si>
  <si>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</si>
  <si>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</si>
  <si>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</si>
  <si>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</si>
  <si>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</si>
  <si>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 해체및철거공사, 골재비및운반비, 작업부산물, 품질시험비, 기타공사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</si>
  <si>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</si>
  <si>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</si>
  <si>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교육연구</t>
  </si>
  <si>
    <t>건축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</si>
  <si>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</si>
  <si>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</si>
  <si>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</si>
  <si>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산청고 교사 신축공사</t>
    <phoneticPr fontId="2" type="noConversion"/>
  </si>
  <si>
    <t>경상도</t>
  </si>
  <si>
    <t>바닥난방공사, 기타공사</t>
    <phoneticPr fontId="2" type="noConversion"/>
  </si>
  <si>
    <t>CCTV설비공사</t>
    <phoneticPr fontId="2" type="noConversion"/>
  </si>
  <si>
    <t>펌프실배관공사,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</si>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</sst>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254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14909.5</v>
      </c>
      <c r="D7" s="36">
        <f>+C7/3.3058</f>
        <v>4510.1034545344546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260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931430</v>
      </c>
      <c r="E25" s="59">
        <f t="shared" si="0"/>
        <v>3079120</v>
      </c>
    </row>
    <row r="26" spans="1:5" x14ac:dyDescent="0.3">
      <c r="B26" s="2">
        <v>3</v>
      </c>
      <c r="C26" s="35" t="s">
        <v>95</v>
      </c>
      <c r="D26" s="45">
        <f>+D66</f>
        <v>8200</v>
      </c>
      <c r="E26" s="59">
        <f t="shared" si="0"/>
        <v>27100</v>
      </c>
    </row>
    <row r="27" spans="1:5" x14ac:dyDescent="0.3">
      <c r="B27" s="2">
        <v>4</v>
      </c>
      <c r="C27" s="35" t="s">
        <v>96</v>
      </c>
      <c r="D27" s="45">
        <f>+D95</f>
        <v>176390</v>
      </c>
      <c r="E27" s="59">
        <f t="shared" si="0"/>
        <v>583110</v>
      </c>
    </row>
    <row r="28" spans="1:5" x14ac:dyDescent="0.3">
      <c r="B28" s="2">
        <v>5</v>
      </c>
      <c r="C28" s="35" t="s">
        <v>97</v>
      </c>
      <c r="D28" s="45">
        <f>+D119</f>
        <v>166410</v>
      </c>
      <c r="E28" s="59">
        <f t="shared" si="0"/>
        <v>550110</v>
      </c>
    </row>
    <row r="29" spans="1:5" x14ac:dyDescent="0.3">
      <c r="B29" s="2">
        <v>6</v>
      </c>
      <c r="C29" s="35" t="s">
        <v>98</v>
      </c>
      <c r="D29" s="45">
        <f>+D133</f>
        <v>71050</v>
      </c>
      <c r="E29" s="59">
        <f t="shared" si="0"/>
        <v>234870</v>
      </c>
    </row>
    <row r="30" spans="1:5" x14ac:dyDescent="0.3">
      <c r="B30" s="2">
        <v>7</v>
      </c>
      <c r="C30" s="35" t="s">
        <v>99</v>
      </c>
      <c r="D30" s="45">
        <f>+D146</f>
        <v>43200</v>
      </c>
      <c r="E30" s="59">
        <f t="shared" si="0"/>
        <v>142810</v>
      </c>
    </row>
    <row r="31" spans="1:5" x14ac:dyDescent="0.3">
      <c r="B31" s="2">
        <v>8</v>
      </c>
      <c r="C31" s="35" t="s">
        <v>100</v>
      </c>
      <c r="D31" s="45">
        <f>+D154</f>
        <v>39610</v>
      </c>
      <c r="E31" s="59">
        <f t="shared" si="0"/>
        <v>130940</v>
      </c>
    </row>
    <row r="32" spans="1:5" x14ac:dyDescent="0.3">
      <c r="B32" s="2">
        <v>9</v>
      </c>
      <c r="C32" s="35" t="s">
        <v>101</v>
      </c>
      <c r="D32" s="45">
        <f>+D161</f>
        <v>7310</v>
      </c>
      <c r="E32" s="59">
        <f t="shared" si="0"/>
        <v>24160</v>
      </c>
    </row>
    <row r="33" spans="1:7" x14ac:dyDescent="0.3">
      <c r="B33" s="2">
        <v>10</v>
      </c>
      <c r="C33" s="35" t="s">
        <v>154</v>
      </c>
      <c r="D33" s="53">
        <f>TRUNC(SUM(D24:D32)*0.275,-1)</f>
        <v>396990</v>
      </c>
      <c r="E33" s="60">
        <f t="shared" si="0"/>
        <v>1312360</v>
      </c>
    </row>
    <row r="34" spans="1:7" x14ac:dyDescent="0.3">
      <c r="C34" s="35" t="s">
        <v>112</v>
      </c>
      <c r="D34" s="44">
        <f>SUM(D24:D33)</f>
        <v>1840590</v>
      </c>
      <c r="E34" s="44">
        <f>SUM(E24:E33)</f>
        <v>6084580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255</v>
      </c>
      <c r="C39" s="56" t="s">
        <v>256</v>
      </c>
      <c r="D39" s="57" t="s">
        <v>257</v>
      </c>
      <c r="E39" s="57" t="s">
        <v>258</v>
      </c>
      <c r="G39" s="55"/>
    </row>
    <row r="40" spans="1:7" x14ac:dyDescent="0.3">
      <c r="A40" s="2">
        <v>1</v>
      </c>
      <c r="C40" s="38" t="s">
        <v>15</v>
      </c>
      <c r="D40" s="40">
        <f>TRUNC(42095,-1)</f>
        <v>42090</v>
      </c>
      <c r="E40" s="62">
        <f t="shared" ref="E40:E59" si="1">TRUNC(+D40*3.3058,-1)</f>
        <v>139140</v>
      </c>
    </row>
    <row r="41" spans="1:7" x14ac:dyDescent="0.3">
      <c r="A41" s="2">
        <v>2</v>
      </c>
      <c r="C41" s="38" t="s">
        <v>13</v>
      </c>
      <c r="D41" s="42">
        <f>TRUNC(185811,-1)</f>
        <v>185810</v>
      </c>
      <c r="E41" s="63">
        <f t="shared" si="1"/>
        <v>614250</v>
      </c>
    </row>
    <row r="42" spans="1:7" x14ac:dyDescent="0.3">
      <c r="A42" s="2">
        <v>3</v>
      </c>
      <c r="C42" s="38" t="s">
        <v>14</v>
      </c>
      <c r="D42" s="42">
        <v>9120</v>
      </c>
      <c r="E42" s="63">
        <f t="shared" si="1"/>
        <v>30140</v>
      </c>
    </row>
    <row r="43" spans="1:7" x14ac:dyDescent="0.3">
      <c r="A43" s="2">
        <v>4</v>
      </c>
      <c r="C43" s="38" t="s">
        <v>16</v>
      </c>
      <c r="D43" s="42">
        <f>TRUNC(36908,-1)</f>
        <v>36900</v>
      </c>
      <c r="E43" s="63">
        <f t="shared" si="1"/>
        <v>121980</v>
      </c>
    </row>
    <row r="44" spans="1:7" x14ac:dyDescent="0.3">
      <c r="A44" s="2">
        <v>5</v>
      </c>
      <c r="C44" s="38" t="s">
        <v>17</v>
      </c>
      <c r="D44" s="42">
        <v>29210</v>
      </c>
      <c r="E44" s="63">
        <f t="shared" si="1"/>
        <v>96560</v>
      </c>
    </row>
    <row r="45" spans="1:7" x14ac:dyDescent="0.3">
      <c r="A45" s="2">
        <v>6</v>
      </c>
      <c r="C45" s="38" t="s">
        <v>18</v>
      </c>
      <c r="D45" s="42">
        <f>TRUNC(11112,-1)</f>
        <v>11110</v>
      </c>
      <c r="E45" s="63">
        <f t="shared" si="1"/>
        <v>36720</v>
      </c>
    </row>
    <row r="46" spans="1:7" x14ac:dyDescent="0.3">
      <c r="A46" s="2">
        <v>7</v>
      </c>
      <c r="C46" s="38" t="s">
        <v>19</v>
      </c>
      <c r="D46" s="42">
        <f>TRUNC(29205,-1)</f>
        <v>29200</v>
      </c>
      <c r="E46" s="63">
        <f t="shared" si="1"/>
        <v>96520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36920</v>
      </c>
      <c r="E48" s="63">
        <f t="shared" si="1"/>
        <v>122050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TRUNC(21953,-1)</f>
        <v>21950</v>
      </c>
      <c r="E49" s="63">
        <f t="shared" si="1"/>
        <v>72560</v>
      </c>
    </row>
    <row r="50" spans="1:7" x14ac:dyDescent="0.3">
      <c r="A50" s="2">
        <v>11</v>
      </c>
      <c r="C50" s="38" t="s">
        <v>155</v>
      </c>
      <c r="D50" s="42">
        <f>TRUNC(50391,-1)</f>
        <v>50390</v>
      </c>
      <c r="E50" s="63">
        <f t="shared" si="1"/>
        <v>166570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TRUNC(7851,-1)</f>
        <v>7850</v>
      </c>
      <c r="E52" s="63">
        <f t="shared" si="1"/>
        <v>25950</v>
      </c>
    </row>
    <row r="53" spans="1:7" x14ac:dyDescent="0.3">
      <c r="A53" s="2">
        <v>14</v>
      </c>
      <c r="C53" s="38" t="s">
        <v>25</v>
      </c>
      <c r="D53" s="42">
        <f>TRUNC(62475,-1)</f>
        <v>62470</v>
      </c>
      <c r="E53" s="63">
        <f t="shared" si="1"/>
        <v>206510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TRUNC(30837+27395+12011-758+353+12228,-1)</f>
        <v>82060</v>
      </c>
      <c r="E58" s="63">
        <f t="shared" si="1"/>
        <v>271270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TRUNC(326359,-1)</f>
        <v>326350</v>
      </c>
      <c r="E59" s="64">
        <f t="shared" si="1"/>
        <v>1078840</v>
      </c>
    </row>
    <row r="60" spans="1:7" x14ac:dyDescent="0.3">
      <c r="A60" s="2">
        <v>21</v>
      </c>
      <c r="C60" s="27" t="s">
        <v>112</v>
      </c>
      <c r="D60" s="39">
        <f>SUM(D40:D59)</f>
        <v>931430</v>
      </c>
      <c r="E60" s="39">
        <f>SUM(E40:E59)</f>
        <v>3079060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TRUNC(8208,-1)</f>
        <v>8200</v>
      </c>
      <c r="E63" s="62">
        <f>TRUNC(+D63*3.3058,-1)</f>
        <v>27100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8200</v>
      </c>
      <c r="E66" s="65">
        <f>SUM(E63:E65)</f>
        <v>27100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TRUNC(12329,-1)</f>
        <v>12320</v>
      </c>
      <c r="E69" s="62">
        <f t="shared" ref="E69:E94" si="2">TRUNC(+D69*3.3058,-1)</f>
        <v>40720</v>
      </c>
    </row>
    <row r="70" spans="1:7" ht="16.5" customHeight="1" x14ac:dyDescent="0.3">
      <c r="A70" s="2">
        <v>2</v>
      </c>
      <c r="C70" s="38" t="s">
        <v>31</v>
      </c>
      <c r="D70" s="42">
        <f>TRUNC(2962,-1)</f>
        <v>2960</v>
      </c>
      <c r="E70" s="63">
        <f t="shared" si="2"/>
        <v>9780</v>
      </c>
    </row>
    <row r="71" spans="1:7" x14ac:dyDescent="0.3">
      <c r="A71" s="2">
        <v>3</v>
      </c>
      <c r="C71" s="38" t="s">
        <v>32</v>
      </c>
      <c r="D71" s="42">
        <f>TRUNC(7366,-1)</f>
        <v>7360</v>
      </c>
      <c r="E71" s="63">
        <f t="shared" si="2"/>
        <v>24330</v>
      </c>
    </row>
    <row r="72" spans="1:7" x14ac:dyDescent="0.3">
      <c r="A72" s="2">
        <v>4</v>
      </c>
      <c r="C72" s="38" t="s">
        <v>33</v>
      </c>
      <c r="D72" s="42">
        <v>7280</v>
      </c>
      <c r="E72" s="63">
        <f t="shared" si="2"/>
        <v>24060</v>
      </c>
    </row>
    <row r="73" spans="1:7" x14ac:dyDescent="0.3">
      <c r="A73" s="2">
        <v>5</v>
      </c>
      <c r="C73" s="38" t="s">
        <v>34</v>
      </c>
      <c r="D73" s="42">
        <f>TRUNC(28945,-1)</f>
        <v>28940</v>
      </c>
      <c r="E73" s="63">
        <f t="shared" si="2"/>
        <v>95660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TRUNC(12775,-1)</f>
        <v>12770</v>
      </c>
      <c r="E89" s="63">
        <f t="shared" si="2"/>
        <v>42210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TRUNC(3354,-1)</f>
        <v>3350</v>
      </c>
      <c r="E91" s="63">
        <f t="shared" si="2"/>
        <v>11070</v>
      </c>
    </row>
    <row r="92" spans="1:7" x14ac:dyDescent="0.3">
      <c r="A92" s="2">
        <v>24</v>
      </c>
      <c r="C92" s="38" t="s">
        <v>38</v>
      </c>
      <c r="D92" s="42">
        <v>12830</v>
      </c>
      <c r="E92" s="63">
        <f t="shared" si="2"/>
        <v>42410</v>
      </c>
    </row>
    <row r="93" spans="1:7" x14ac:dyDescent="0.3">
      <c r="A93" s="2">
        <v>25</v>
      </c>
      <c r="C93" s="38" t="s">
        <v>148</v>
      </c>
      <c r="D93" s="42">
        <f>TRUNC(81378,-1)</f>
        <v>81370</v>
      </c>
      <c r="E93" s="63">
        <f t="shared" si="2"/>
        <v>268990</v>
      </c>
    </row>
    <row r="94" spans="1:7" ht="17.25" thickBot="1" x14ac:dyDescent="0.35">
      <c r="A94" s="2">
        <v>26</v>
      </c>
      <c r="C94" s="38" t="s">
        <v>47</v>
      </c>
      <c r="D94" s="43">
        <f>TRUNC(5795+1417,-1)</f>
        <v>7210</v>
      </c>
      <c r="E94" s="64">
        <f t="shared" si="2"/>
        <v>23830</v>
      </c>
      <c r="F94" s="2" t="s">
        <v>261</v>
      </c>
    </row>
    <row r="95" spans="1:7" x14ac:dyDescent="0.3">
      <c r="A95" s="2">
        <v>27</v>
      </c>
      <c r="C95" s="27" t="s">
        <v>112</v>
      </c>
      <c r="D95" s="39">
        <f>SUM(D69:D94)</f>
        <v>176390</v>
      </c>
      <c r="E95" s="39">
        <f>SUM(E69:E94)</f>
        <v>583060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TRUNC(15526,-1)</f>
        <v>15520</v>
      </c>
      <c r="E98" s="62">
        <f t="shared" ref="E98:E118" si="3">TRUNC(+D98*3.3058,-1)</f>
        <v>51300</v>
      </c>
    </row>
    <row r="99" spans="1:7" x14ac:dyDescent="0.3">
      <c r="A99" s="2">
        <v>2</v>
      </c>
      <c r="C99" s="38" t="s">
        <v>40</v>
      </c>
      <c r="D99" s="42">
        <v>2890</v>
      </c>
      <c r="E99" s="63">
        <f t="shared" si="3"/>
        <v>9550</v>
      </c>
    </row>
    <row r="100" spans="1:7" x14ac:dyDescent="0.3">
      <c r="A100" s="2">
        <v>3</v>
      </c>
      <c r="C100" s="38" t="s">
        <v>41</v>
      </c>
      <c r="D100" s="42">
        <f>TRUNC(27981,-1)</f>
        <v>27980</v>
      </c>
      <c r="E100" s="63">
        <f t="shared" si="3"/>
        <v>92490</v>
      </c>
    </row>
    <row r="101" spans="1:7" x14ac:dyDescent="0.3">
      <c r="A101" s="2">
        <v>4</v>
      </c>
      <c r="C101" s="38" t="s">
        <v>42</v>
      </c>
      <c r="D101" s="42">
        <v>240</v>
      </c>
      <c r="E101" s="63">
        <f t="shared" si="3"/>
        <v>790</v>
      </c>
    </row>
    <row r="102" spans="1:7" x14ac:dyDescent="0.3">
      <c r="A102" s="2">
        <v>5</v>
      </c>
      <c r="C102" s="38" t="s">
        <v>43</v>
      </c>
      <c r="D102" s="42">
        <f>TRUNC(12191,-1)</f>
        <v>12190</v>
      </c>
      <c r="E102" s="63">
        <f t="shared" si="3"/>
        <v>40290</v>
      </c>
    </row>
    <row r="103" spans="1:7" x14ac:dyDescent="0.3">
      <c r="A103" s="2">
        <v>6</v>
      </c>
      <c r="C103" s="38" t="s">
        <v>44</v>
      </c>
      <c r="D103" s="42">
        <f>TRUNC(7124,-1)</f>
        <v>7120</v>
      </c>
      <c r="E103" s="63">
        <f t="shared" si="3"/>
        <v>23530</v>
      </c>
    </row>
    <row r="104" spans="1:7" x14ac:dyDescent="0.3">
      <c r="A104" s="2">
        <v>7</v>
      </c>
      <c r="C104" s="38" t="s">
        <v>45</v>
      </c>
      <c r="D104" s="42">
        <f>TRUNC(3312,-1)</f>
        <v>3310</v>
      </c>
      <c r="E104" s="63">
        <f t="shared" si="3"/>
        <v>10940</v>
      </c>
    </row>
    <row r="105" spans="1:7" x14ac:dyDescent="0.3">
      <c r="A105" s="2">
        <v>8</v>
      </c>
      <c r="C105" s="38" t="s">
        <v>46</v>
      </c>
      <c r="D105" s="42">
        <f>TRUNC(4039,-1)</f>
        <v>4030</v>
      </c>
      <c r="E105" s="63">
        <f t="shared" si="3"/>
        <v>13320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TRUNC(136,-1)</f>
        <v>130</v>
      </c>
      <c r="E116" s="63">
        <f t="shared" si="3"/>
        <v>420</v>
      </c>
      <c r="F116" s="2" t="s">
        <v>252</v>
      </c>
    </row>
    <row r="117" spans="1:7" x14ac:dyDescent="0.3">
      <c r="A117" s="2">
        <v>20</v>
      </c>
      <c r="C117" s="38" t="s">
        <v>148</v>
      </c>
      <c r="D117" s="42">
        <f>TRUNC(91588,-1)</f>
        <v>91580</v>
      </c>
      <c r="E117" s="63">
        <f t="shared" si="3"/>
        <v>302740</v>
      </c>
    </row>
    <row r="118" spans="1:7" ht="17.25" thickBot="1" x14ac:dyDescent="0.35">
      <c r="A118" s="2">
        <v>21</v>
      </c>
      <c r="C118" s="38" t="s">
        <v>47</v>
      </c>
      <c r="D118" s="43">
        <f>TRUNC(1423,-1)</f>
        <v>1420</v>
      </c>
      <c r="E118" s="64">
        <f t="shared" si="3"/>
        <v>4690</v>
      </c>
    </row>
    <row r="119" spans="1:7" x14ac:dyDescent="0.3">
      <c r="A119" s="2">
        <v>22</v>
      </c>
      <c r="C119" s="27" t="s">
        <v>112</v>
      </c>
      <c r="D119" s="39">
        <f>SUM(D98:D118)</f>
        <v>166410</v>
      </c>
      <c r="E119" s="39">
        <f>SUM(E98:E118)</f>
        <v>550060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TRUNC(3073,-1)</f>
        <v>3070</v>
      </c>
      <c r="E122" s="62">
        <f t="shared" ref="E122:E132" si="4">TRUNC(+D122*3.3058,-1)</f>
        <v>10140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TRUNC(811,-1)</f>
        <v>810</v>
      </c>
      <c r="E124" s="63">
        <f t="shared" si="4"/>
        <v>2670</v>
      </c>
    </row>
    <row r="125" spans="1:7" x14ac:dyDescent="0.3">
      <c r="A125" s="2">
        <v>4</v>
      </c>
      <c r="C125" s="38" t="s">
        <v>138</v>
      </c>
      <c r="D125" s="42">
        <f>TRUNC(7217,-1)</f>
        <v>7210</v>
      </c>
      <c r="E125" s="63">
        <f t="shared" si="4"/>
        <v>23830</v>
      </c>
    </row>
    <row r="126" spans="1:7" x14ac:dyDescent="0.3">
      <c r="A126" s="2">
        <v>5</v>
      </c>
      <c r="C126" s="38" t="s">
        <v>53</v>
      </c>
      <c r="D126" s="42">
        <f>TRUNC(3575,-1)</f>
        <v>3570</v>
      </c>
      <c r="E126" s="63">
        <f t="shared" si="4"/>
        <v>11800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TRUNC(2747,-1)</f>
        <v>2740</v>
      </c>
      <c r="E128" s="63">
        <f t="shared" si="4"/>
        <v>9050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TRUNC(8644,-1)</f>
        <v>8640</v>
      </c>
      <c r="E130" s="63">
        <f t="shared" si="4"/>
        <v>28560</v>
      </c>
    </row>
    <row r="131" spans="1:7" x14ac:dyDescent="0.3">
      <c r="A131" s="2">
        <v>10</v>
      </c>
      <c r="C131" s="38" t="s">
        <v>148</v>
      </c>
      <c r="D131" s="42">
        <f>TRUNC(42503,-1)</f>
        <v>42500</v>
      </c>
      <c r="E131" s="63">
        <f t="shared" si="4"/>
        <v>140490</v>
      </c>
    </row>
    <row r="132" spans="1:7" ht="18" thickBot="1" x14ac:dyDescent="0.35">
      <c r="A132" s="2">
        <v>11</v>
      </c>
      <c r="C132" s="38" t="s">
        <v>47</v>
      </c>
      <c r="D132" s="43">
        <v>2510</v>
      </c>
      <c r="E132" s="64">
        <f t="shared" si="4"/>
        <v>8290</v>
      </c>
      <c r="F132" s="54" t="s">
        <v>262</v>
      </c>
    </row>
    <row r="133" spans="1:7" x14ac:dyDescent="0.3">
      <c r="A133" s="2">
        <v>12</v>
      </c>
      <c r="C133" s="27" t="s">
        <v>112</v>
      </c>
      <c r="D133" s="39">
        <f>SUM(D122:D132)</f>
        <v>71050</v>
      </c>
      <c r="E133" s="39">
        <f>SUM(E122:E132)</f>
        <v>234830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TRUNC(3132+2382,-1)</f>
        <v>5510</v>
      </c>
      <c r="E137" s="63">
        <f t="shared" si="5"/>
        <v>18210</v>
      </c>
      <c r="F137" s="2" t="s">
        <v>263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TRUNC(1988,-1)</f>
        <v>1980</v>
      </c>
      <c r="E139" s="63">
        <f t="shared" si="5"/>
        <v>6540</v>
      </c>
    </row>
    <row r="140" spans="1:7" x14ac:dyDescent="0.3">
      <c r="A140" s="2">
        <v>5</v>
      </c>
      <c r="C140" s="38" t="s">
        <v>57</v>
      </c>
      <c r="D140" s="42">
        <f>TRUNC(1554,-1)</f>
        <v>1550</v>
      </c>
      <c r="E140" s="63">
        <f t="shared" si="5"/>
        <v>5120</v>
      </c>
    </row>
    <row r="141" spans="1:7" x14ac:dyDescent="0.3">
      <c r="A141" s="2">
        <v>6</v>
      </c>
      <c r="C141" s="38" t="s">
        <v>59</v>
      </c>
      <c r="D141" s="42">
        <f>TRUNC(9361,-1)</f>
        <v>9360</v>
      </c>
      <c r="E141" s="63">
        <f t="shared" si="5"/>
        <v>30940</v>
      </c>
    </row>
    <row r="142" spans="1:7" x14ac:dyDescent="0.3">
      <c r="A142" s="2">
        <v>7</v>
      </c>
      <c r="C142" s="38" t="s">
        <v>58</v>
      </c>
      <c r="D142" s="42">
        <f>TRUNC(5681,-1)</f>
        <v>5680</v>
      </c>
      <c r="E142" s="63">
        <f t="shared" si="5"/>
        <v>18770</v>
      </c>
    </row>
    <row r="143" spans="1:7" x14ac:dyDescent="0.3">
      <c r="A143" s="2">
        <v>8</v>
      </c>
      <c r="C143" s="38" t="s">
        <v>62</v>
      </c>
      <c r="D143" s="42">
        <f>TRUNC(2772,-1)</f>
        <v>2770</v>
      </c>
      <c r="E143" s="63">
        <f t="shared" si="5"/>
        <v>9150</v>
      </c>
    </row>
    <row r="144" spans="1:7" x14ac:dyDescent="0.3">
      <c r="A144" s="2">
        <v>9</v>
      </c>
      <c r="C144" s="38" t="s">
        <v>63</v>
      </c>
      <c r="D144" s="42">
        <f>TRUNC(16354,-1)</f>
        <v>16350</v>
      </c>
      <c r="E144" s="63">
        <f t="shared" si="5"/>
        <v>54040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43200</v>
      </c>
      <c r="E146" s="39">
        <f>SUM(E136:E145)</f>
        <v>142770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5256+1184</f>
        <v>6440</v>
      </c>
      <c r="E149" s="62">
        <f>TRUNC(+D149*3.3058,-1)</f>
        <v>21280</v>
      </c>
    </row>
    <row r="150" spans="1:7" x14ac:dyDescent="0.3">
      <c r="A150" s="2">
        <v>2</v>
      </c>
      <c r="C150" s="38" t="s">
        <v>49</v>
      </c>
      <c r="D150" s="42">
        <f>TRUNC(13561,-1)</f>
        <v>13560</v>
      </c>
      <c r="E150" s="63">
        <f>TRUNC(+D150*3.3058,-1)</f>
        <v>44820</v>
      </c>
    </row>
    <row r="151" spans="1:7" x14ac:dyDescent="0.3">
      <c r="A151" s="2">
        <v>3</v>
      </c>
      <c r="C151" s="38" t="s">
        <v>50</v>
      </c>
      <c r="D151" s="42">
        <f>TRUNC(15053,-1)</f>
        <v>15050</v>
      </c>
      <c r="E151" s="63">
        <f>TRUNC(+D151*3.3058,-1)</f>
        <v>49750</v>
      </c>
    </row>
    <row r="152" spans="1:7" x14ac:dyDescent="0.3">
      <c r="A152" s="2">
        <v>4</v>
      </c>
      <c r="C152" s="38" t="s">
        <v>47</v>
      </c>
      <c r="D152" s="42">
        <f>TRUNC(4567,-1)</f>
        <v>4560</v>
      </c>
      <c r="E152" s="63">
        <f>TRUNC(+D152*3.3058,-1)</f>
        <v>15070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39610</v>
      </c>
      <c r="E154" s="39">
        <f>SUM(E149:E153)</f>
        <v>130920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TRUNC(4668,-1)</f>
        <v>4660</v>
      </c>
      <c r="E157" s="62">
        <f>TRUNC(+D157*3.3058,-1)</f>
        <v>15400</v>
      </c>
    </row>
    <row r="158" spans="1:7" x14ac:dyDescent="0.3">
      <c r="A158" s="2">
        <v>2</v>
      </c>
      <c r="C158" s="38" t="s">
        <v>52</v>
      </c>
      <c r="D158" s="42">
        <f>TRUNC(2122,-1)</f>
        <v>2120</v>
      </c>
      <c r="E158" s="63">
        <f>TRUNC(+D158*3.3058,-1)</f>
        <v>7000</v>
      </c>
    </row>
    <row r="159" spans="1:7" x14ac:dyDescent="0.3">
      <c r="A159" s="2">
        <v>3</v>
      </c>
      <c r="C159" s="38" t="s">
        <v>47</v>
      </c>
      <c r="D159" s="42">
        <f>TRUNC(533,-1)</f>
        <v>530</v>
      </c>
      <c r="E159" s="63">
        <f>TRUNC(+D159*3.3058,-1)</f>
        <v>1750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7310</v>
      </c>
      <c r="E161" s="39">
        <f>SUM(E157:E160)</f>
        <v>24150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2020-12-08T01:57:07Z</dcterms:modified>
</cp:coreProperties>
</file>