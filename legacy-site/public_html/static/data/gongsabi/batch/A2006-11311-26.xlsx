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45" i="4"/>
  <c r="E140" i="4"/>
  <c r="E139" i="4"/>
  <c r="E138" i="4"/>
  <c r="E136" i="4"/>
  <c r="E130" i="4"/>
  <c r="E129" i="4"/>
  <c r="E128" i="4"/>
  <c r="E127" i="4"/>
  <c r="E126" i="4"/>
  <c r="E124" i="4"/>
  <c r="E122" i="4"/>
  <c r="E116" i="4"/>
  <c r="E114" i="4"/>
  <c r="E113" i="4"/>
  <c r="E112" i="4"/>
  <c r="E111" i="4"/>
  <c r="E110" i="4"/>
  <c r="E109" i="4"/>
  <c r="E107" i="4"/>
  <c r="E106" i="4"/>
  <c r="E104" i="4"/>
  <c r="E103" i="4"/>
  <c r="E101" i="4"/>
  <c r="E98" i="4"/>
  <c r="E91" i="4"/>
  <c r="E88" i="4"/>
  <c r="E87" i="4"/>
  <c r="E85" i="4"/>
  <c r="E84" i="4"/>
  <c r="E83" i="4"/>
  <c r="E81" i="4"/>
  <c r="E80" i="4"/>
  <c r="E78" i="4"/>
  <c r="E77" i="4"/>
  <c r="E76" i="4"/>
  <c r="E75" i="4"/>
  <c r="E74" i="4"/>
  <c r="E72" i="4"/>
  <c r="E71" i="4"/>
  <c r="E65" i="4"/>
  <c r="E64" i="4"/>
  <c r="E57" i="4"/>
  <c r="E56" i="4"/>
  <c r="E54" i="4"/>
  <c r="E161" i="4" l="1"/>
  <c r="D152" i="4"/>
  <c r="E152" i="4" s="1"/>
  <c r="D151" i="4"/>
  <c r="E151" i="4" s="1"/>
  <c r="D150" i="4"/>
  <c r="E150" i="4" s="1"/>
  <c r="D149" i="4"/>
  <c r="E149" i="4" s="1"/>
  <c r="D144" i="4"/>
  <c r="E144" i="4" s="1"/>
  <c r="D143" i="4"/>
  <c r="E143" i="4" s="1"/>
  <c r="D142" i="4"/>
  <c r="E142" i="4" s="1"/>
  <c r="D141" i="4"/>
  <c r="E141" i="4" s="1"/>
  <c r="D137" i="4"/>
  <c r="E137" i="4" s="1"/>
  <c r="E146" i="4" s="1"/>
  <c r="D132" i="4"/>
  <c r="E132" i="4" s="1"/>
  <c r="D131" i="4"/>
  <c r="E131" i="4" s="1"/>
  <c r="D125" i="4"/>
  <c r="E125" i="4" s="1"/>
  <c r="D123" i="4"/>
  <c r="E123" i="4" s="1"/>
  <c r="E133" i="4" s="1"/>
  <c r="D118" i="4"/>
  <c r="E118" i="4" s="1"/>
  <c r="D117" i="4"/>
  <c r="E117" i="4" s="1"/>
  <c r="D115" i="4"/>
  <c r="E115" i="4" s="1"/>
  <c r="D108" i="4"/>
  <c r="E108" i="4" s="1"/>
  <c r="D105" i="4"/>
  <c r="E105" i="4" s="1"/>
  <c r="D102" i="4"/>
  <c r="E102" i="4" s="1"/>
  <c r="D100" i="4"/>
  <c r="E100" i="4" s="1"/>
  <c r="D99" i="4"/>
  <c r="E99" i="4" s="1"/>
  <c r="D94" i="4"/>
  <c r="E94" i="4" s="1"/>
  <c r="D93" i="4"/>
  <c r="E93" i="4" s="1"/>
  <c r="D92" i="4"/>
  <c r="E92" i="4" s="1"/>
  <c r="D90" i="4"/>
  <c r="E90" i="4" s="1"/>
  <c r="D89" i="4"/>
  <c r="E89" i="4" s="1"/>
  <c r="D86" i="4"/>
  <c r="E86" i="4" s="1"/>
  <c r="D82" i="4"/>
  <c r="E82" i="4" s="1"/>
  <c r="D79" i="4"/>
  <c r="E79" i="4" s="1"/>
  <c r="D73" i="4"/>
  <c r="E73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E119" i="4" l="1"/>
  <c r="E95" i="4"/>
  <c r="E154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  <c r="D33" i="4"/>
  <c r="E33" i="4" s="1"/>
  <c r="D34" i="4" l="1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<sst xmlns="http://schemas.openxmlformats.org/spreadsheetml/2006/main" count="396" uniqueCount="271">
  <si>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</si>
  <si>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</si>
  <si>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</si>
  <si>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</si>
  <si>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</si>
  <si>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</si>
  <si>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</si>
  <si>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</si>
  <si>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</si>
  <si>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</si>
  <si>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</si>
  <si>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</si>
  <si>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</si>
  <si>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</si>
  <si>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</si>
  <si>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</si>
  <si>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</si>
  <si>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</si>
  <si>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</si>
  <si>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</si>
  <si>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</si>
  <si>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</si>
  <si>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</si>
  <si>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</si>
  <si>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</si>
  <si>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</si>
  <si>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</si>
  <si>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</si>
  <si>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</si>
  <si>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</si>
  <si>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</si>
  <si>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</si>
  <si>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</si>
  <si>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</si>
  <si>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</si>
  <si>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</si>
  <si>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</si>
  <si>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</si>
  <si>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</si>
  <si>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</si>
  <si>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</si>
  <si>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</si>
  <si>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</si>
  <si>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</si>
  <si>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</si>
  <si>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</si>
  <si>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</si>
  <si>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</si>
  <si>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</si>
  <si>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</si>
  <si>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</si>
  <si>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</si>
  <si>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</si>
  <si>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</si>
  <si>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</si>
  <si>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</si>
  <si>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</si>
  <si>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</si>
  <si>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</si>
  <si>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</si>
  <si>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</si>
  <si>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</si>
  <si>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</si>
  <si>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</si>
  <si>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</si>
  <si>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</si>
  <si>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</si>
  <si>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</si>
  <si>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</si>
  <si>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</si>
  <si>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</si>
  <si>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</si>
  <si>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</si>
  <si>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</si>
  <si>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</si>
  <si>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</si>
  <si>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</si>
  <si>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</si>
  <si>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</si>
  <si>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</si>
  <si>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</si>
  <si>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</si>
  <si>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</si>
  <si>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</si>
  <si>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</si>
  <si>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</si>
  <si>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</si>
  <si>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</si>
  <si>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</si>
  <si>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</si>
  <si>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</si>
  <si>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</si>
  <si>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</si>
  <si>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</si>
  <si>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</si>
  <si>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</si>
  <si>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</si>
  <si>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</si>
  <si>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</si>
  <si>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</si>
  <si>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</si>
  <si>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</si>
  <si>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</si>
  <si>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</si>
  <si>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</si>
  <si>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</si>
  <si>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</si>
  <si>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</si>
  <si>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</si>
  <si>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</si>
  <si>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</si>
  <si>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</si>
  <si>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</si>
  <si>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</si>
  <si>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</si>
  <si>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</si>
  <si>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</si>
  <si>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</si>
  <si>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</si>
  <si>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</si>
  <si>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</si>
  <si>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</si>
  <si>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</si>
  <si>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</si>
  <si>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</si>
  <si>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</si>
  <si>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</si>
  <si>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</si>
  <si>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</si>
  <si>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</si>
  <si>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</si>
  <si>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</si>
  <si>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</si>
  <si>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</si>
  <si>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</si>
  <si>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</si>
  <si>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</si>
  <si>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</si>
  <si>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</si>
  <si>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</si>
  <si>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</si>
  <si>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</si>
  <si>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</si>
  <si>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</si>
  <si>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</si>
  <si>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</si>
  <si>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</si>
  <si>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</si>
  <si>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</si>
  <si>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</si>
  <si>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</si>
  <si>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</si>
  <si>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</si>
  <si>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</si>
  <si>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</si>
  <si>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</si>
  <si>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</si>
  <si>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</si>
  <si>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</si>
  <si>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</si>
  <si>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</si>
  <si>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</si>
  <si>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</si>
  <si>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</si>
  <si>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</si>
  <si>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</si>
  <si>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</si>
  <si>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</si>
  <si>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</si>
  <si>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</si>
  <si>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</si>
  <si>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</si>
  <si>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</si>
  <si>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</si>
  <si>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</si>
  <si>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</si>
  <si>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</si>
  <si>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</si>
  <si>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</si>
  <si>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</si>
  <si>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</si>
  <si>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</si>
  <si>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</si>
  <si>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</si>
  <si>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</si>
  <si>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</si>
  <si>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</si>
  <si>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</si>
  <si>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</si>
  <si>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</si>
  <si>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</si>
  <si>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</si>
  <si>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</si>
  <si>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</si>
  <si>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</si>
  <si>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</si>
  <si>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</si>
  <si>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</si>
  <si>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</si>
  <si>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</si>
  <si>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</si>
  <si>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</si>
  <si>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</si>
  <si>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</si>
  <si>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</si>
  <si>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</si>
  <si>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</si>
  <si>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</si>
  <si>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</si>
  <si>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</si>
  <si>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</si>
  <si>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</si>
  <si>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</si>
  <si>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</si>
  <si>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</si>
  <si>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</si>
  <si>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</si>
  <si>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</si>
  <si>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</si>
  <si>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</si>
  <si>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</si>
  <si>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</si>
  <si>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</si>
  <si>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</si>
  <si>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</si>
  <si>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</si>
  <si>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</si>
  <si>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</si>
  <si>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</si>
  <si>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</si>
  <si>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</si>
  <si>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</si>
  <si>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</si>
  <si>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</si>
  <si>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</si>
  <si>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</si>
  <si>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</si>
  <si>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</si>
  <si>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</si>
  <si>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</si>
  <si>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</si>
  <si>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</si>
  <si>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</si>
  <si>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</si>
  <si>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</si>
  <si>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</si>
  <si>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</si>
  <si>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</si>
  <si>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</si>
  <si>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00중학교 교사 신축공사</t>
  </si>
  <si>
    <t>충청도</t>
  </si>
  <si>
    <t>지정공사, 조회대설치공사, 정문설치공사, 토목및부대공사, 골재및운반비, 부산물공제</t>
    <phoneticPr fontId="2" type="noConversion"/>
  </si>
  <si>
    <t>부대공사, 운반비, 부산물공제, 지하수개발공사</t>
    <phoneticPr fontId="2" type="noConversion"/>
  </si>
  <si>
    <t>도급자설치관급, 관급자설치관급</t>
    <phoneticPr fontId="2" type="noConversion"/>
  </si>
  <si>
    <t>옥외위생배관공사</t>
  </si>
  <si>
    <t>기계실배관공사</t>
  </si>
  <si>
    <t>급수배관공사</t>
  </si>
  <si>
    <t>TRAY 설비공사</t>
  </si>
  <si>
    <t>기계실 동력 설비공사, 주방 동력 설비공사</t>
    <phoneticPr fontId="2" type="noConversion"/>
  </si>
  <si>
    <t>외등 설비공사, 간선 및 분전반 설비공사, 환기시스템공사</t>
    <phoneticPr fontId="2" type="noConversion"/>
  </si>
  <si>
    <t>전기소방설비, 소방간선설비공사, 비상조명등설비공사</t>
    <phoneticPr fontId="2" type="noConversion"/>
  </si>
  <si>
    <t>옥외방송설비</t>
  </si>
  <si>
    <t>옥외간선설비, 구내통신선로공사,구내전송선로공사</t>
    <phoneticPr fontId="2" type="noConversion"/>
  </si>
  <si>
    <t>구내LAN설비공사, 구내방송설비공사, 구내방법설비공사</t>
    <phoneticPr fontId="2" type="noConversion"/>
  </si>
  <si>
    <t>관급자설치</t>
    <phoneticPr fontId="2" type="noConversion"/>
  </si>
  <si>
    <t>도급자설치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</si>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</sst>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9808</v>
      </c>
      <c r="D7" s="36">
        <f>+C7/3.3058</f>
        <v>2966.90664892008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2050</v>
      </c>
      <c r="E24" s="58">
        <f t="shared" ref="E24:E33" si="0">TRUNC(+D24*3.3058,-1)</f>
        <v>6770</v>
      </c>
    </row>
    <row r="25" spans="1:5" x14ac:dyDescent="0.3">
      <c r="B25" s="2">
        <v>2</v>
      </c>
      <c r="C25" s="35" t="s">
        <v>111</v>
      </c>
      <c r="D25" s="45">
        <f>+D60</f>
        <v>507720</v>
      </c>
      <c r="E25" s="59">
        <f t="shared" si="0"/>
        <v>1678420</v>
      </c>
    </row>
    <row r="26" spans="1:5" x14ac:dyDescent="0.3">
      <c r="B26" s="2">
        <v>3</v>
      </c>
      <c r="C26" s="35" t="s">
        <v>95</v>
      </c>
      <c r="D26" s="45">
        <f>+D66</f>
        <v>5950</v>
      </c>
      <c r="E26" s="59">
        <f t="shared" si="0"/>
        <v>19660</v>
      </c>
    </row>
    <row r="27" spans="1:5" x14ac:dyDescent="0.3">
      <c r="B27" s="2">
        <v>4</v>
      </c>
      <c r="C27" s="35" t="s">
        <v>96</v>
      </c>
      <c r="D27" s="45">
        <f>+D95</f>
        <v>66810</v>
      </c>
      <c r="E27" s="59">
        <f t="shared" si="0"/>
        <v>220860</v>
      </c>
    </row>
    <row r="28" spans="1:5" x14ac:dyDescent="0.3">
      <c r="B28" s="2">
        <v>5</v>
      </c>
      <c r="C28" s="35" t="s">
        <v>97</v>
      </c>
      <c r="D28" s="45">
        <f>+D119</f>
        <v>46710</v>
      </c>
      <c r="E28" s="59">
        <f t="shared" si="0"/>
        <v>154410</v>
      </c>
    </row>
    <row r="29" spans="1:5" x14ac:dyDescent="0.3">
      <c r="B29" s="2">
        <v>6</v>
      </c>
      <c r="C29" s="35" t="s">
        <v>98</v>
      </c>
      <c r="D29" s="45">
        <f>+D133</f>
        <v>22110</v>
      </c>
      <c r="E29" s="59">
        <f t="shared" si="0"/>
        <v>73090</v>
      </c>
    </row>
    <row r="30" spans="1:5" x14ac:dyDescent="0.3">
      <c r="B30" s="2">
        <v>7</v>
      </c>
      <c r="C30" s="35" t="s">
        <v>99</v>
      </c>
      <c r="D30" s="45">
        <f>+D146</f>
        <v>32640</v>
      </c>
      <c r="E30" s="59">
        <f t="shared" si="0"/>
        <v>107900</v>
      </c>
    </row>
    <row r="31" spans="1:5" x14ac:dyDescent="0.3">
      <c r="B31" s="2">
        <v>8</v>
      </c>
      <c r="C31" s="35" t="s">
        <v>100</v>
      </c>
      <c r="D31" s="45">
        <f>+D154</f>
        <v>55320</v>
      </c>
      <c r="E31" s="59">
        <f t="shared" si="0"/>
        <v>182870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203310</v>
      </c>
      <c r="E33" s="60">
        <f t="shared" si="0"/>
        <v>672100</v>
      </c>
    </row>
    <row r="34" spans="1:7" x14ac:dyDescent="0.3">
      <c r="C34" s="35" t="s">
        <v>112</v>
      </c>
      <c r="D34" s="44">
        <f>SUM(D24:D33)</f>
        <v>942620</v>
      </c>
      <c r="E34" s="44">
        <f>SUM(E24:E33)</f>
        <v>3116080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TRUNC(2056.13376835237,-1)</f>
        <v>2050</v>
      </c>
      <c r="E37" s="61">
        <f>TRUNC(+D37*3.3058,-1)</f>
        <v>6770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TRUNC(19430.7522430669,-1)</f>
        <v>19430</v>
      </c>
      <c r="E40" s="62">
        <f t="shared" ref="E40:E59" si="1">TRUNC(+D40*3.3058,-1)</f>
        <v>64230</v>
      </c>
    </row>
    <row r="41" spans="1:7" x14ac:dyDescent="0.3">
      <c r="A41" s="2">
        <v>2</v>
      </c>
      <c r="C41" s="38" t="s">
        <v>13</v>
      </c>
      <c r="D41" s="42">
        <f>TRUNC(104718.182911909,-1)</f>
        <v>104710</v>
      </c>
      <c r="E41" s="63">
        <f t="shared" si="1"/>
        <v>346150</v>
      </c>
    </row>
    <row r="42" spans="1:7" x14ac:dyDescent="0.3">
      <c r="A42" s="2">
        <v>3</v>
      </c>
      <c r="C42" s="38" t="s">
        <v>14</v>
      </c>
      <c r="D42" s="42">
        <f>TRUNC(5511.33788743883,-1)</f>
        <v>5510</v>
      </c>
      <c r="E42" s="63">
        <f t="shared" si="1"/>
        <v>18210</v>
      </c>
    </row>
    <row r="43" spans="1:7" x14ac:dyDescent="0.3">
      <c r="A43" s="2">
        <v>4</v>
      </c>
      <c r="C43" s="38" t="s">
        <v>16</v>
      </c>
      <c r="D43" s="42">
        <f>TRUNC(26288.8509380098,-1)</f>
        <v>26280</v>
      </c>
      <c r="E43" s="63">
        <f t="shared" si="1"/>
        <v>86870</v>
      </c>
    </row>
    <row r="44" spans="1:7" x14ac:dyDescent="0.3">
      <c r="A44" s="2">
        <v>5</v>
      </c>
      <c r="C44" s="38" t="s">
        <v>17</v>
      </c>
      <c r="D44" s="42">
        <f>TRUNC(13486.8938621533,-1)</f>
        <v>13480</v>
      </c>
      <c r="E44" s="63">
        <f t="shared" si="1"/>
        <v>44560</v>
      </c>
    </row>
    <row r="45" spans="1:7" x14ac:dyDescent="0.3">
      <c r="A45" s="2">
        <v>6</v>
      </c>
      <c r="C45" s="38" t="s">
        <v>18</v>
      </c>
      <c r="D45" s="42">
        <f>TRUNC(6214.51029771615,-1)</f>
        <v>6210</v>
      </c>
      <c r="E45" s="63">
        <f t="shared" si="1"/>
        <v>20520</v>
      </c>
    </row>
    <row r="46" spans="1:7" x14ac:dyDescent="0.3">
      <c r="A46" s="2">
        <v>7</v>
      </c>
      <c r="C46" s="38" t="s">
        <v>19</v>
      </c>
      <c r="D46" s="42">
        <f>TRUNC(27259.3858075041,-1)</f>
        <v>27250</v>
      </c>
      <c r="E46" s="63">
        <f t="shared" si="1"/>
        <v>90080</v>
      </c>
    </row>
    <row r="47" spans="1:7" x14ac:dyDescent="0.3">
      <c r="A47" s="2">
        <v>8</v>
      </c>
      <c r="C47" s="38" t="s">
        <v>20</v>
      </c>
      <c r="D47" s="42">
        <f>TRUNC(11041.9956158238,-1)</f>
        <v>11040</v>
      </c>
      <c r="E47" s="63">
        <f t="shared" si="1"/>
        <v>36490</v>
      </c>
    </row>
    <row r="48" spans="1:7" x14ac:dyDescent="0.3">
      <c r="A48" s="2">
        <v>9</v>
      </c>
      <c r="C48" s="38" t="s">
        <v>21</v>
      </c>
      <c r="D48" s="42">
        <f>TRUNC(49045.5020391517,-1)</f>
        <v>49040</v>
      </c>
      <c r="E48" s="63">
        <f t="shared" si="1"/>
        <v>162110</v>
      </c>
    </row>
    <row r="49" spans="1:7" x14ac:dyDescent="0.3">
      <c r="A49" s="2">
        <v>10</v>
      </c>
      <c r="C49" s="38" t="s">
        <v>22</v>
      </c>
      <c r="D49" s="42">
        <f>TRUNC(15861.7363376835,-1)</f>
        <v>15860</v>
      </c>
      <c r="E49" s="63">
        <f t="shared" si="1"/>
        <v>52420</v>
      </c>
    </row>
    <row r="50" spans="1:7" x14ac:dyDescent="0.3">
      <c r="A50" s="2">
        <v>11</v>
      </c>
      <c r="C50" s="38" t="s">
        <v>155</v>
      </c>
      <c r="D50" s="42">
        <f>TRUNC(39575.1600734095,-1)</f>
        <v>39570</v>
      </c>
      <c r="E50" s="63">
        <f t="shared" si="1"/>
        <v>130810</v>
      </c>
    </row>
    <row r="51" spans="1:7" x14ac:dyDescent="0.3">
      <c r="A51" s="2">
        <v>12</v>
      </c>
      <c r="C51" s="38" t="s">
        <v>23</v>
      </c>
      <c r="D51" s="42">
        <f>TRUNC(6404.88346247961,-1)</f>
        <v>6400</v>
      </c>
      <c r="E51" s="63">
        <f t="shared" si="1"/>
        <v>21150</v>
      </c>
    </row>
    <row r="52" spans="1:7" x14ac:dyDescent="0.3">
      <c r="A52" s="2">
        <v>13</v>
      </c>
      <c r="C52" s="38" t="s">
        <v>24</v>
      </c>
      <c r="D52" s="42">
        <f>TRUNC(4016.59889885808,-1)</f>
        <v>4010</v>
      </c>
      <c r="E52" s="63">
        <f t="shared" si="1"/>
        <v>13250</v>
      </c>
    </row>
    <row r="53" spans="1:7" x14ac:dyDescent="0.3">
      <c r="A53" s="2">
        <v>14</v>
      </c>
      <c r="C53" s="38" t="s">
        <v>25</v>
      </c>
      <c r="D53" s="42">
        <f>TRUNC(38928.3392128874,-1)</f>
        <v>38920</v>
      </c>
      <c r="E53" s="63">
        <f t="shared" si="1"/>
        <v>128660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TRUNC(7552.44514681892,-1)</f>
        <v>7550</v>
      </c>
      <c r="E55" s="63">
        <f t="shared" si="1"/>
        <v>24950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TRUNC(7427.03048531811+2208.40426182708+2494.08329934747+2493.90670880914+2061.27018760196-375.040783034258,-1)</f>
        <v>16300</v>
      </c>
      <c r="E58" s="63">
        <f t="shared" si="1"/>
        <v>53880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TRUNC(101400.183523654+14762.0411908646,-1)</f>
        <v>116160</v>
      </c>
      <c r="E59" s="64">
        <f t="shared" si="1"/>
        <v>384000</v>
      </c>
      <c r="F59" s="2" t="s">
        <v>253</v>
      </c>
    </row>
    <row r="60" spans="1:7" x14ac:dyDescent="0.3">
      <c r="A60" s="2">
        <v>21</v>
      </c>
      <c r="C60" s="27" t="s">
        <v>112</v>
      </c>
      <c r="D60" s="39">
        <f>SUM(D40:D59)</f>
        <v>507720</v>
      </c>
      <c r="E60" s="39">
        <f>SUM(E40:E59)</f>
        <v>1678340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TRUNC(5951.46564029364,-1)</f>
        <v>5950</v>
      </c>
      <c r="E63" s="62">
        <f>TRUNC(+D63*3.3058,-1)</f>
        <v>19660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5950</v>
      </c>
      <c r="E66" s="65">
        <f>SUM(E63:E65)</f>
        <v>19660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TRUNC(4999.6917822186,-1)</f>
        <v>4990</v>
      </c>
      <c r="E69" s="62">
        <f>TRUNC(+D69*3.3058,-1)</f>
        <v>16490</v>
      </c>
    </row>
    <row r="70" spans="1:7" ht="16.5" customHeight="1" x14ac:dyDescent="0.3">
      <c r="A70" s="2">
        <v>2</v>
      </c>
      <c r="C70" s="38" t="s">
        <v>31</v>
      </c>
      <c r="D70" s="42">
        <f>TRUNC(578.229710440457,-1)</f>
        <v>570</v>
      </c>
      <c r="E70" s="63">
        <f>TRUNC(+D70*3.3058,-1)</f>
        <v>1880</v>
      </c>
      <c r="F70" s="2" t="s">
        <v>254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TRUNC(10200.7892536705,-1)</f>
        <v>10200</v>
      </c>
      <c r="E73" s="63">
        <f t="shared" si="2"/>
        <v>33710</v>
      </c>
      <c r="F73" s="2" t="s">
        <v>256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TRUNC(6529.36378466558,-1)</f>
        <v>6520</v>
      </c>
      <c r="E79" s="63">
        <f t="shared" si="3"/>
        <v>21550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f>TRUNC(176.538336052202,-1)</f>
        <v>170</v>
      </c>
      <c r="E82" s="63">
        <f t="shared" si="3"/>
        <v>560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f>TRUNC(916.536092985318,-1)</f>
        <v>910</v>
      </c>
      <c r="E86" s="63">
        <f t="shared" si="3"/>
        <v>3000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f>TRUNC(3813.4765497553,-1)</f>
        <v>3810</v>
      </c>
      <c r="E89" s="63">
        <f t="shared" si="3"/>
        <v>12590</v>
      </c>
    </row>
    <row r="90" spans="1:7" x14ac:dyDescent="0.3">
      <c r="A90" s="2">
        <v>22</v>
      </c>
      <c r="C90" s="38" t="s">
        <v>36</v>
      </c>
      <c r="D90" s="42">
        <f>TRUNC(200.874592169657,-1)</f>
        <v>200</v>
      </c>
      <c r="E90" s="63">
        <f>TRUNC(+D90*3.3058,-1)</f>
        <v>660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TRUNC(5868.4794045677,-1)</f>
        <v>5860</v>
      </c>
      <c r="E92" s="63">
        <f>TRUNC(+D92*3.3058,-1)</f>
        <v>19370</v>
      </c>
    </row>
    <row r="93" spans="1:7" x14ac:dyDescent="0.3">
      <c r="A93" s="2">
        <v>25</v>
      </c>
      <c r="C93" s="38" t="s">
        <v>148</v>
      </c>
      <c r="D93" s="42">
        <f>TRUNC(29947.471451876,-1)</f>
        <v>29940</v>
      </c>
      <c r="E93" s="63">
        <f>TRUNC(+D93*3.3058,-1)</f>
        <v>98970</v>
      </c>
      <c r="F93" s="2" t="s">
        <v>264</v>
      </c>
    </row>
    <row r="94" spans="1:7" ht="17.25" thickBot="1" x14ac:dyDescent="0.35">
      <c r="A94" s="2">
        <v>26</v>
      </c>
      <c r="C94" s="38" t="s">
        <v>47</v>
      </c>
      <c r="D94" s="43">
        <f>TRUNC(3646.18382952692,-1)</f>
        <v>3640</v>
      </c>
      <c r="E94" s="64">
        <f>TRUNC(+D94*3.3058,-1)</f>
        <v>12030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66810</v>
      </c>
      <c r="E95" s="39">
        <f>SUM(E69:E94)</f>
        <v>220810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f>TRUNC(961.676182707993+584.918230016313,-1)</f>
        <v>1540</v>
      </c>
      <c r="E99" s="63">
        <f t="shared" si="4"/>
        <v>5090</v>
      </c>
      <c r="F99" s="2" t="s">
        <v>258</v>
      </c>
    </row>
    <row r="100" spans="1:7" x14ac:dyDescent="0.3">
      <c r="A100" s="2">
        <v>3</v>
      </c>
      <c r="C100" s="38" t="s">
        <v>41</v>
      </c>
      <c r="D100" s="42">
        <f>TRUNC(13483.0902324633,-1)</f>
        <v>13480</v>
      </c>
      <c r="E100" s="63">
        <f t="shared" si="4"/>
        <v>44560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TRUNC(6882.3515497553,-1)</f>
        <v>6880</v>
      </c>
      <c r="E102" s="63">
        <f t="shared" si="4"/>
        <v>22740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TRUNC(2121.59594208809,-1)</f>
        <v>2120</v>
      </c>
      <c r="E105" s="63">
        <f t="shared" si="4"/>
        <v>7000</v>
      </c>
      <c r="F105" s="2" t="s">
        <v>257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TRUNC(659.156199021207,-1)</f>
        <v>650</v>
      </c>
      <c r="E108" s="63">
        <f t="shared" si="4"/>
        <v>2140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TRUNC(3931.01590538336,-1)</f>
        <v>3930</v>
      </c>
      <c r="E115" s="63">
        <f t="shared" si="4"/>
        <v>12990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TRUNC(9397.22675367047,-1)</f>
        <v>9390</v>
      </c>
      <c r="E117" s="63">
        <f t="shared" si="4"/>
        <v>31040</v>
      </c>
      <c r="F117" s="2" t="s">
        <v>265</v>
      </c>
    </row>
    <row r="118" spans="1:7" ht="17.25" thickBot="1" x14ac:dyDescent="0.35">
      <c r="A118" s="2">
        <v>21</v>
      </c>
      <c r="C118" s="38" t="s">
        <v>47</v>
      </c>
      <c r="D118" s="43">
        <f>TRUNC(1021.14977569331+6819.62520391517+888.714518760196,-1)</f>
        <v>8720</v>
      </c>
      <c r="E118" s="64">
        <f t="shared" si="4"/>
        <v>28820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46710</v>
      </c>
      <c r="E119" s="39">
        <f>SUM(E98:E118)</f>
        <v>154380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f>TRUNC(3271.15742251223+5660.37194127243+556.128364600326,-1)</f>
        <v>9480</v>
      </c>
      <c r="E123" s="63">
        <f t="shared" si="5"/>
        <v>31330</v>
      </c>
      <c r="F123" s="2" t="s">
        <v>263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TRUNC(182.773348287113,-1)</f>
        <v>180</v>
      </c>
      <c r="E125" s="63">
        <f t="shared" si="5"/>
        <v>590</v>
      </c>
      <c r="F125" s="2" t="s">
        <v>261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TRUNC(7338.60114192496,-1)</f>
        <v>7330</v>
      </c>
      <c r="E131" s="63">
        <f t="shared" si="5"/>
        <v>24230</v>
      </c>
    </row>
    <row r="132" spans="1:7" ht="18" thickBot="1" x14ac:dyDescent="0.35">
      <c r="A132" s="2">
        <v>11</v>
      </c>
      <c r="C132" s="38" t="s">
        <v>47</v>
      </c>
      <c r="D132" s="43">
        <f>TRUNC(1187.81545676998+2326.93933523654+1609.09155791191,-1)</f>
        <v>5120</v>
      </c>
      <c r="E132" s="64">
        <f t="shared" si="5"/>
        <v>16920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22110</v>
      </c>
      <c r="E133" s="39">
        <f>SUM(E122:E132)</f>
        <v>73070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TRUNC(8986.88907014682+4576.41027732463+1257.33717373573,-1)</f>
        <v>14820</v>
      </c>
      <c r="E137" s="63">
        <f t="shared" si="6"/>
        <v>48990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f>TRUNC(7340.05016313214,-1)</f>
        <v>7340</v>
      </c>
      <c r="E141" s="63">
        <f t="shared" si="6"/>
        <v>24260</v>
      </c>
    </row>
    <row r="142" spans="1:7" x14ac:dyDescent="0.3">
      <c r="A142" s="2">
        <v>7</v>
      </c>
      <c r="C142" s="38" t="s">
        <v>58</v>
      </c>
      <c r="D142" s="42">
        <f>TRUNC(7348.17618270799,-1)</f>
        <v>7340</v>
      </c>
      <c r="E142" s="63">
        <f t="shared" si="6"/>
        <v>24260</v>
      </c>
    </row>
    <row r="143" spans="1:7" x14ac:dyDescent="0.3">
      <c r="A143" s="2">
        <v>8</v>
      </c>
      <c r="C143" s="38" t="s">
        <v>62</v>
      </c>
      <c r="D143" s="42">
        <f>TRUNC(1205.65986949429,-1)</f>
        <v>1200</v>
      </c>
      <c r="E143" s="63">
        <f t="shared" si="6"/>
        <v>3960</v>
      </c>
    </row>
    <row r="144" spans="1:7" x14ac:dyDescent="0.3">
      <c r="A144" s="2">
        <v>9</v>
      </c>
      <c r="C144" s="38" t="s">
        <v>63</v>
      </c>
      <c r="D144" s="42">
        <f>TRUNC(1947.48174959217,-1)</f>
        <v>1940</v>
      </c>
      <c r="E144" s="63">
        <f t="shared" si="6"/>
        <v>6410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32640</v>
      </c>
      <c r="E146" s="39">
        <f>SUM(E136:E145)</f>
        <v>107880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TRUNC(9553.30393556281+3653.84910277325,-1)</f>
        <v>13200</v>
      </c>
      <c r="E149" s="62">
        <f>TRUNC(+D149*3.3058,-1)</f>
        <v>43630</v>
      </c>
    </row>
    <row r="150" spans="1:7" x14ac:dyDescent="0.3">
      <c r="A150" s="2">
        <v>2</v>
      </c>
      <c r="C150" s="38" t="s">
        <v>49</v>
      </c>
      <c r="D150" s="42">
        <f>TRUNC(13300.9299551387,-1)</f>
        <v>13300</v>
      </c>
      <c r="E150" s="63">
        <f>TRUNC(+D150*3.3058,-1)</f>
        <v>43960</v>
      </c>
    </row>
    <row r="151" spans="1:7" x14ac:dyDescent="0.3">
      <c r="A151" s="2">
        <v>3</v>
      </c>
      <c r="C151" s="38" t="s">
        <v>50</v>
      </c>
      <c r="D151" s="42">
        <f>TRUNC(24413.5042822186,-1)</f>
        <v>24410</v>
      </c>
      <c r="E151" s="63">
        <f>TRUNC(+D151*3.3058,-1)</f>
        <v>80690</v>
      </c>
    </row>
    <row r="152" spans="1:7" x14ac:dyDescent="0.3">
      <c r="A152" s="2">
        <v>4</v>
      </c>
      <c r="C152" s="38" t="s">
        <v>47</v>
      </c>
      <c r="D152" s="42">
        <f>TRUNC(36.0863580750408+2012.68077079935-19.1027732463295+2382.93362561175,-1)</f>
        <v>4410</v>
      </c>
      <c r="E152" s="63">
        <f>TRUNC(+D152*3.3058,-1)</f>
        <v>14570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55320</v>
      </c>
      <c r="E154" s="39">
        <f>SUM(E149:E153)</f>
        <v>182850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2020-12-07T09:11:57Z</dcterms:modified>
</cp:coreProperties>
</file>