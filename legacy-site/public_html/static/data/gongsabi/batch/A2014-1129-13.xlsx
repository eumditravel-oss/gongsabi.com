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25" i="4"/>
  <c r="D122" i="4"/>
  <c r="D99" i="4"/>
  <c r="D108" i="4"/>
  <c r="D102" i="4"/>
  <c r="D100" i="4"/>
  <c r="D98" i="4"/>
  <c r="D114" i="4"/>
  <c r="D94" i="4"/>
  <c r="D81" i="4"/>
  <c r="D90" i="4"/>
  <c r="D78" i="4"/>
  <c r="D92" i="4"/>
  <c r="D70" i="4"/>
  <c r="D69" i="4"/>
  <c r="D59" i="4"/>
  <c r="D55" i="4"/>
  <c r="D53" i="4"/>
  <c r="D52" i="4"/>
  <c r="D51" i="4"/>
  <c r="D50" i="4"/>
  <c r="D49" i="4"/>
  <c r="D48" i="4"/>
  <c r="D47" i="4"/>
  <c r="D45" i="4"/>
  <c r="D46" i="4"/>
  <c r="D44" i="4"/>
  <c r="D43" i="4"/>
  <c r="D42" i="4"/>
  <c r="D41" i="4"/>
  <c r="D40" i="4"/>
  <c r="D159" i="4"/>
  <c r="D152" i="4"/>
  <c r="D137" i="4"/>
  <c r="D136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95" i="4"/>
  <c r="E60" i="4"/>
  <c r="E154" i="4"/>
  <c r="E146" i="4"/>
  <c r="D161" i="4"/>
  <c r="D154" i="4"/>
  <c r="D31" i="4" s="1"/>
  <c r="E31" i="4" s="1"/>
  <c r="D146" i="4"/>
  <c r="D30" i="4" s="1"/>
  <c r="D133" i="4"/>
  <c r="D119" i="4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28" i="4"/>
  <c r="E28" i="4" s="1"/>
  <c r="D29" i="4"/>
  <c r="E29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<sst xmlns="http://schemas.openxmlformats.org/spreadsheetml/2006/main" count="392" uniqueCount="267">
  <si>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</si>
  <si>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</si>
  <si>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</si>
  <si>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</si>
  <si>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</si>
  <si>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</si>
  <si>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</si>
  <si>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</si>
  <si>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</si>
  <si>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</si>
  <si>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</si>
  <si>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</si>
  <si>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</si>
  <si>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</si>
  <si>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</si>
  <si>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</si>
  <si>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</si>
  <si>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</si>
  <si>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</si>
  <si>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</si>
  <si>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</si>
  <si>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</si>
  <si>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</si>
  <si>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</si>
  <si>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</si>
  <si>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</si>
  <si>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</si>
  <si>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</si>
  <si>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</si>
  <si>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</si>
  <si>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</si>
  <si>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</si>
  <si>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</si>
  <si>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</si>
  <si>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</si>
  <si>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</si>
  <si>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</si>
  <si>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</si>
  <si>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</si>
  <si>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</si>
  <si>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</si>
  <si>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</si>
  <si>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</si>
  <si>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</si>
  <si>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</si>
  <si>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</si>
  <si>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</si>
  <si>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</si>
  <si>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</si>
  <si>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</si>
  <si>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</si>
  <si>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</si>
  <si>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</si>
  <si>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</si>
  <si>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</si>
  <si>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</si>
  <si>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</si>
  <si>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</si>
  <si>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</si>
  <si>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</si>
  <si>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</si>
  <si>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</si>
  <si>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</si>
  <si>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</si>
  <si>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</si>
  <si>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</si>
  <si>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</si>
  <si>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</si>
  <si>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</si>
  <si>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</si>
  <si>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</si>
  <si>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</si>
  <si>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</si>
  <si>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</si>
  <si>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</si>
  <si>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</si>
  <si>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</si>
  <si>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</si>
  <si>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</si>
  <si>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</si>
  <si>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</si>
  <si>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</si>
  <si>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</si>
  <si>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</si>
  <si>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</si>
  <si>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</si>
  <si>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</si>
  <si>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</si>
  <si>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</si>
  <si>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</si>
  <si>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</si>
  <si>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</si>
  <si>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</si>
  <si>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</si>
  <si>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</si>
  <si>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</si>
  <si>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</si>
  <si>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</si>
  <si>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</si>
  <si>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</si>
  <si>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</si>
  <si>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</si>
  <si>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</si>
  <si>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</si>
  <si>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</si>
  <si>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</si>
  <si>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</si>
  <si>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</si>
  <si>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</si>
  <si>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</si>
  <si>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</si>
  <si>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</si>
  <si>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</si>
  <si>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</si>
  <si>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</si>
  <si>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</si>
  <si>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</si>
  <si>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</si>
  <si>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</si>
  <si>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</si>
  <si>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</si>
  <si>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</si>
  <si>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</si>
  <si>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</si>
  <si>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</si>
  <si>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</si>
  <si>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</si>
  <si>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</si>
  <si>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</si>
  <si>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</si>
  <si>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</si>
  <si>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</si>
  <si>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</si>
  <si>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</si>
  <si>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</si>
  <si>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</si>
  <si>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</si>
  <si>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</si>
  <si>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</si>
  <si>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</si>
  <si>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</si>
  <si>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</si>
  <si>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</si>
  <si>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</si>
  <si>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</si>
  <si>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</si>
  <si>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</si>
  <si>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</si>
  <si>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</si>
  <si>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</si>
  <si>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</si>
  <si>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</si>
  <si>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</si>
  <si>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</si>
  <si>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</si>
  <si>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</si>
  <si>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</si>
  <si>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</si>
  <si>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</si>
  <si>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</si>
  <si>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</si>
  <si>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</si>
  <si>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</si>
  <si>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</si>
  <si>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</si>
  <si>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</si>
  <si>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</si>
  <si>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</si>
  <si>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</si>
  <si>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</si>
  <si>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</si>
  <si>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</si>
  <si>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</si>
  <si>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</si>
  <si>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</si>
  <si>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</si>
  <si>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</si>
  <si>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</si>
  <si>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</si>
  <si>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</si>
  <si>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</si>
  <si>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</si>
  <si>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</si>
  <si>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</si>
  <si>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</si>
  <si>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</si>
  <si>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</si>
  <si>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</si>
  <si>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</si>
  <si>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</si>
  <si>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</si>
  <si>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</si>
  <si>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</si>
  <si>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</si>
  <si>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</si>
  <si>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</si>
  <si>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</si>
  <si>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</si>
  <si>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</si>
  <si>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</si>
  <si>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</si>
  <si>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</si>
  <si>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</si>
  <si>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</si>
  <si>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</si>
  <si>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</si>
  <si>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</si>
  <si>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</si>
  <si>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</si>
  <si>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</si>
  <si>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</si>
  <si>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</si>
  <si>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</si>
  <si>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</si>
  <si>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</si>
  <si>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</si>
  <si>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</si>
  <si>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</si>
  <si>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</si>
  <si>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</si>
  <si>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</si>
  <si>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</si>
  <si>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</si>
  <si>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</si>
  <si>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</si>
  <si>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</si>
  <si>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</si>
  <si>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</si>
  <si>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</si>
  <si>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</si>
  <si>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</si>
  <si>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</si>
  <si>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</si>
  <si>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</si>
  <si>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</si>
  <si>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</si>
  <si>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</si>
  <si>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</si>
  <si>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</si>
  <si>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</si>
  <si>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</si>
  <si>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</si>
  <si>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</si>
  <si>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</si>
  <si>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</si>
  <si>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</si>
  <si>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</si>
  <si>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</si>
  <si>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0000유치원 신축공사</t>
    <phoneticPr fontId="2" type="noConversion"/>
  </si>
  <si>
    <t>교육연구</t>
  </si>
  <si>
    <t>광주시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</si>
  <si>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</si>
  <si>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</si>
  <si>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</si>
  <si>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</si>
  <si>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토및파일공사,기타공사,골재및운반공사,발생량공제,B1품질시험비</t>
    <phoneticPr fontId="2" type="noConversion"/>
  </si>
  <si>
    <t>위생설비공사</t>
    <phoneticPr fontId="2" type="noConversion"/>
  </si>
  <si>
    <t>바닥난방배관공사,주방기구설치공사</t>
    <phoneticPr fontId="2" type="noConversion"/>
  </si>
  <si>
    <t>전력간선&amp;접지설비공사</t>
    <phoneticPr fontId="2" type="noConversion"/>
  </si>
  <si>
    <t>기계실 동력설비공사</t>
    <phoneticPr fontId="2" type="noConversion"/>
  </si>
  <si>
    <t>옥외인입및옥외방송살비공사,정보통신설비공사</t>
    <phoneticPr fontId="2" type="noConversion"/>
  </si>
  <si>
    <t>CATV&amp;CCTV설비공사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</si>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</sst>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4228</v>
      </c>
      <c r="D7" s="36">
        <f>+C7/3.3058</f>
        <v>1278.9642446608989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606060</v>
      </c>
      <c r="E25" s="59">
        <f t="shared" si="0"/>
        <v>2003510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130790</v>
      </c>
      <c r="E27" s="59">
        <f t="shared" si="0"/>
        <v>432360</v>
      </c>
    </row>
    <row r="28" spans="1:5" x14ac:dyDescent="0.3">
      <c r="B28" s="2">
        <v>5</v>
      </c>
      <c r="C28" s="35" t="s">
        <v>97</v>
      </c>
      <c r="D28" s="45">
        <f>+D119</f>
        <v>82600</v>
      </c>
      <c r="E28" s="59">
        <f t="shared" si="0"/>
        <v>273050</v>
      </c>
    </row>
    <row r="29" spans="1:5" x14ac:dyDescent="0.3">
      <c r="B29" s="2">
        <v>6</v>
      </c>
      <c r="C29" s="35" t="s">
        <v>98</v>
      </c>
      <c r="D29" s="45">
        <f>+D133</f>
        <v>27250</v>
      </c>
      <c r="E29" s="59">
        <f t="shared" si="0"/>
        <v>90080</v>
      </c>
    </row>
    <row r="30" spans="1:5" x14ac:dyDescent="0.3">
      <c r="B30" s="2">
        <v>7</v>
      </c>
      <c r="C30" s="35" t="s">
        <v>99</v>
      </c>
      <c r="D30" s="45">
        <f>+D146</f>
        <v>69810</v>
      </c>
      <c r="E30" s="59">
        <f t="shared" si="0"/>
        <v>230770</v>
      </c>
    </row>
    <row r="31" spans="1:5" x14ac:dyDescent="0.3">
      <c r="B31" s="2">
        <v>8</v>
      </c>
      <c r="C31" s="35" t="s">
        <v>100</v>
      </c>
      <c r="D31" s="45">
        <f>+D154</f>
        <v>76890</v>
      </c>
      <c r="E31" s="59">
        <f t="shared" si="0"/>
        <v>254180</v>
      </c>
    </row>
    <row r="32" spans="1:5" x14ac:dyDescent="0.3">
      <c r="B32" s="2">
        <v>9</v>
      </c>
      <c r="C32" s="35" t="s">
        <v>101</v>
      </c>
      <c r="D32" s="45">
        <f>+D161</f>
        <v>24520</v>
      </c>
      <c r="E32" s="59">
        <f t="shared" si="0"/>
        <v>81050</v>
      </c>
    </row>
    <row r="33" spans="1:7" x14ac:dyDescent="0.3">
      <c r="B33" s="2">
        <v>10</v>
      </c>
      <c r="C33" s="35" t="s">
        <v>154</v>
      </c>
      <c r="D33" s="53">
        <f>TRUNC(SUM(D24:D32)*0.275,-1)</f>
        <v>279920</v>
      </c>
      <c r="E33" s="60">
        <f t="shared" si="0"/>
        <v>925350</v>
      </c>
    </row>
    <row r="34" spans="1:7" x14ac:dyDescent="0.3">
      <c r="C34" s="35" t="s">
        <v>112</v>
      </c>
      <c r="D34" s="44">
        <f>SUM(D24:D33)</f>
        <v>1297840</v>
      </c>
      <c r="E34" s="44">
        <f>SUM(E24:E33)</f>
        <v>4290350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TRUNC(34624,-1)</f>
        <v>34620</v>
      </c>
      <c r="E40" s="62">
        <f t="shared" ref="E40:E59" si="1">TRUNC(+D40*3.3058,-1)</f>
        <v>114440</v>
      </c>
    </row>
    <row r="41" spans="1:7" x14ac:dyDescent="0.3">
      <c r="A41" s="2">
        <v>2</v>
      </c>
      <c r="C41" s="38" t="s">
        <v>13</v>
      </c>
      <c r="D41" s="42">
        <f>TRUNC(128476,-1)</f>
        <v>128470</v>
      </c>
      <c r="E41" s="63">
        <f t="shared" si="1"/>
        <v>424690</v>
      </c>
    </row>
    <row r="42" spans="1:7" x14ac:dyDescent="0.3">
      <c r="A42" s="2">
        <v>3</v>
      </c>
      <c r="C42" s="38" t="s">
        <v>14</v>
      </c>
      <c r="D42" s="42">
        <f>TRUNC(7971,-1)</f>
        <v>7970</v>
      </c>
      <c r="E42" s="63">
        <f t="shared" si="1"/>
        <v>26340</v>
      </c>
    </row>
    <row r="43" spans="1:7" x14ac:dyDescent="0.3">
      <c r="A43" s="2">
        <v>4</v>
      </c>
      <c r="C43" s="38" t="s">
        <v>16</v>
      </c>
      <c r="D43" s="42">
        <f>TRUNC(34346,-1)</f>
        <v>34340</v>
      </c>
      <c r="E43" s="63">
        <f t="shared" si="1"/>
        <v>113520</v>
      </c>
    </row>
    <row r="44" spans="1:7" x14ac:dyDescent="0.3">
      <c r="A44" s="2">
        <v>5</v>
      </c>
      <c r="C44" s="38" t="s">
        <v>17</v>
      </c>
      <c r="D44" s="42">
        <f>TRUNC(34220,-1)</f>
        <v>34220</v>
      </c>
      <c r="E44" s="63">
        <f t="shared" si="1"/>
        <v>113120</v>
      </c>
    </row>
    <row r="45" spans="1:7" x14ac:dyDescent="0.3">
      <c r="A45" s="2">
        <v>6</v>
      </c>
      <c r="C45" s="38" t="s">
        <v>18</v>
      </c>
      <c r="D45" s="42">
        <f>TRUNC(9442,-1)</f>
        <v>9440</v>
      </c>
      <c r="E45" s="63">
        <f t="shared" si="1"/>
        <v>31200</v>
      </c>
    </row>
    <row r="46" spans="1:7" x14ac:dyDescent="0.3">
      <c r="A46" s="2">
        <v>7</v>
      </c>
      <c r="C46" s="38" t="s">
        <v>19</v>
      </c>
      <c r="D46" s="42">
        <f>TRUNC(8187,-1)</f>
        <v>8180</v>
      </c>
      <c r="E46" s="63">
        <f t="shared" si="1"/>
        <v>27040</v>
      </c>
    </row>
    <row r="47" spans="1:7" x14ac:dyDescent="0.3">
      <c r="A47" s="2">
        <v>8</v>
      </c>
      <c r="C47" s="38" t="s">
        <v>20</v>
      </c>
      <c r="D47" s="42">
        <f>TRUNC(77717,-1)</f>
        <v>77710</v>
      </c>
      <c r="E47" s="63">
        <f t="shared" si="1"/>
        <v>256890</v>
      </c>
    </row>
    <row r="48" spans="1:7" x14ac:dyDescent="0.3">
      <c r="A48" s="2">
        <v>9</v>
      </c>
      <c r="C48" s="38" t="s">
        <v>21</v>
      </c>
      <c r="D48" s="42">
        <f>TRUNC(108743,-1)</f>
        <v>108740</v>
      </c>
      <c r="E48" s="63">
        <f t="shared" si="1"/>
        <v>359470</v>
      </c>
    </row>
    <row r="49" spans="1:7" x14ac:dyDescent="0.3">
      <c r="A49" s="2">
        <v>10</v>
      </c>
      <c r="C49" s="38" t="s">
        <v>22</v>
      </c>
      <c r="D49" s="42">
        <f>TRUNC(37890,-1)</f>
        <v>37890</v>
      </c>
      <c r="E49" s="63">
        <f t="shared" si="1"/>
        <v>125250</v>
      </c>
    </row>
    <row r="50" spans="1:7" x14ac:dyDescent="0.3">
      <c r="A50" s="2">
        <v>11</v>
      </c>
      <c r="C50" s="38" t="s">
        <v>155</v>
      </c>
      <c r="D50" s="42">
        <f>TRUNC(23476,-1)</f>
        <v>23470</v>
      </c>
      <c r="E50" s="63">
        <f t="shared" si="1"/>
        <v>77580</v>
      </c>
    </row>
    <row r="51" spans="1:7" x14ac:dyDescent="0.3">
      <c r="A51" s="2">
        <v>12</v>
      </c>
      <c r="C51" s="38" t="s">
        <v>23</v>
      </c>
      <c r="D51" s="42">
        <f>TRUNC(19963,-1)</f>
        <v>19960</v>
      </c>
      <c r="E51" s="63">
        <f t="shared" si="1"/>
        <v>65980</v>
      </c>
    </row>
    <row r="52" spans="1:7" x14ac:dyDescent="0.3">
      <c r="A52" s="2">
        <v>13</v>
      </c>
      <c r="C52" s="38" t="s">
        <v>24</v>
      </c>
      <c r="D52" s="42">
        <f>TRUNC(9371,-1)</f>
        <v>9370</v>
      </c>
      <c r="E52" s="63">
        <f t="shared" si="1"/>
        <v>30970</v>
      </c>
    </row>
    <row r="53" spans="1:7" x14ac:dyDescent="0.3">
      <c r="A53" s="2">
        <v>14</v>
      </c>
      <c r="C53" s="38" t="s">
        <v>25</v>
      </c>
      <c r="D53" s="42">
        <f>TRUNC(30487,-1)</f>
        <v>30480</v>
      </c>
      <c r="E53" s="63">
        <f t="shared" si="1"/>
        <v>100760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TRUNC(12119,-1)</f>
        <v>12110</v>
      </c>
      <c r="E55" s="63">
        <f t="shared" si="1"/>
        <v>40030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0</v>
      </c>
      <c r="E58" s="63">
        <f t="shared" si="1"/>
        <v>0</v>
      </c>
    </row>
    <row r="59" spans="1:7" ht="17.25" thickBot="1" x14ac:dyDescent="0.35">
      <c r="A59" s="2">
        <v>20</v>
      </c>
      <c r="C59" s="38" t="s">
        <v>148</v>
      </c>
      <c r="D59" s="43">
        <f>TRUNC(18108+5774+5540-815+483,-1)</f>
        <v>29090</v>
      </c>
      <c r="E59" s="64">
        <f t="shared" si="1"/>
        <v>96160</v>
      </c>
      <c r="F59" s="2" t="s">
        <v>255</v>
      </c>
    </row>
    <row r="60" spans="1:7" x14ac:dyDescent="0.3">
      <c r="A60" s="2">
        <v>21</v>
      </c>
      <c r="C60" s="27" t="s">
        <v>112</v>
      </c>
      <c r="D60" s="39">
        <f>SUM(D40:D59)</f>
        <v>606060</v>
      </c>
      <c r="E60" s="39">
        <f>SUM(E40:E59)</f>
        <v>2003440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TRUNC(11566,-1)</f>
        <v>11560</v>
      </c>
      <c r="E69" s="62">
        <f t="shared" ref="E69:E94" si="2">TRUNC(+D69*3.3058,-1)</f>
        <v>38210</v>
      </c>
    </row>
    <row r="70" spans="1:7" ht="16.5" customHeight="1" x14ac:dyDescent="0.3">
      <c r="A70" s="2">
        <v>2</v>
      </c>
      <c r="C70" s="38" t="s">
        <v>31</v>
      </c>
      <c r="D70" s="42">
        <f>TRUNC(1082,-1)</f>
        <v>1080</v>
      </c>
      <c r="E70" s="63">
        <f t="shared" si="2"/>
        <v>3570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TRUNC(2660,-1)</f>
        <v>2660</v>
      </c>
      <c r="E78" s="63">
        <f t="shared" si="2"/>
        <v>8790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TRUNC(7070,-1)</f>
        <v>7070</v>
      </c>
      <c r="E81" s="63">
        <f t="shared" si="2"/>
        <v>23370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TRUNC(1012,-1)</f>
        <v>1010</v>
      </c>
      <c r="E90" s="63">
        <f t="shared" si="2"/>
        <v>3330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TRUNC(53469,-1)</f>
        <v>53460</v>
      </c>
      <c r="E92" s="63">
        <f t="shared" si="2"/>
        <v>176720</v>
      </c>
      <c r="F92" s="2" t="s">
        <v>256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TRUNC(44445+9509,-1)</f>
        <v>53950</v>
      </c>
      <c r="E94" s="64">
        <f t="shared" si="2"/>
        <v>178340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130790</v>
      </c>
      <c r="E95" s="39">
        <f>SUM(E69:E94)</f>
        <v>432330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TRUNC(21570,-1)</f>
        <v>21570</v>
      </c>
      <c r="E98" s="62">
        <f t="shared" ref="E98:E118" si="3">TRUNC(+D98*3.3058,-1)</f>
        <v>71300</v>
      </c>
      <c r="F98" s="2" t="s">
        <v>258</v>
      </c>
    </row>
    <row r="99" spans="1:7" x14ac:dyDescent="0.3">
      <c r="A99" s="2">
        <v>2</v>
      </c>
      <c r="C99" s="38" t="s">
        <v>40</v>
      </c>
      <c r="D99" s="42">
        <f>TRUNC(1544,-1)</f>
        <v>1540</v>
      </c>
      <c r="E99" s="63">
        <f t="shared" si="3"/>
        <v>5090</v>
      </c>
      <c r="F99" s="2" t="s">
        <v>259</v>
      </c>
    </row>
    <row r="100" spans="1:7" x14ac:dyDescent="0.3">
      <c r="A100" s="2">
        <v>3</v>
      </c>
      <c r="C100" s="38" t="s">
        <v>41</v>
      </c>
      <c r="D100" s="42">
        <f>TRUNC(29969,-1)</f>
        <v>29960</v>
      </c>
      <c r="E100" s="63">
        <f t="shared" si="3"/>
        <v>99040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TRUNC(13440,-1)</f>
        <v>13440</v>
      </c>
      <c r="E102" s="63">
        <f t="shared" si="3"/>
        <v>44420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TRUNC(8813,-1)</f>
        <v>8810</v>
      </c>
      <c r="E108" s="63">
        <f t="shared" si="3"/>
        <v>29120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TRUNC(7284,-1)</f>
        <v>7280</v>
      </c>
      <c r="E114" s="63">
        <f t="shared" si="3"/>
        <v>24060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82600</v>
      </c>
      <c r="E119" s="39">
        <f>SUM(E98:E118)</f>
        <v>273030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TRUNC(7054,-1)</f>
        <v>7050</v>
      </c>
      <c r="E122" s="62">
        <f t="shared" ref="E122:E132" si="4">TRUNC(+D122*3.3058,-1)</f>
        <v>23300</v>
      </c>
      <c r="F122" s="2" t="s">
        <v>261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TRUNC(4357,-1)</f>
        <v>4350</v>
      </c>
      <c r="E125" s="63">
        <f t="shared" si="4"/>
        <v>14380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TRUNC(2519+13334,-1)</f>
        <v>15850</v>
      </c>
      <c r="E132" s="64">
        <f t="shared" si="4"/>
        <v>52390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27250</v>
      </c>
      <c r="E133" s="39">
        <f>SUM(E122:E132)</f>
        <v>90070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TRUNC(44588,-1)</f>
        <v>44580</v>
      </c>
      <c r="E136" s="62">
        <f t="shared" ref="E136:E145" si="5">TRUNC(+D136*3.3058,-1)</f>
        <v>147370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TRUNC(25231,-1)</f>
        <v>25230</v>
      </c>
      <c r="E137" s="63">
        <f t="shared" si="5"/>
        <v>83400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69810</v>
      </c>
      <c r="E146" s="39">
        <f>SUM(E136:E145)</f>
        <v>230770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TRUNC(76893,-1)</f>
        <v>76890</v>
      </c>
      <c r="E152" s="63">
        <f>TRUNC(+D152*3.3058,-1)</f>
        <v>254180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76890</v>
      </c>
      <c r="E154" s="39">
        <f>SUM(E149:E153)</f>
        <v>254180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TRUNC(24527,-1)</f>
        <v>24520</v>
      </c>
      <c r="E159" s="63">
        <f>TRUNC(+D159*3.3058,-1)</f>
        <v>81050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24520</v>
      </c>
      <c r="E161" s="39">
        <f>SUM(E157:E160)</f>
        <v>81050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2020-12-07T09:43:04Z</dcterms:modified>
</cp:coreProperties>
</file>