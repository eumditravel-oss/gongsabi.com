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3" i="4"/>
  <c r="E151" i="4"/>
  <c r="E145" i="4"/>
  <c r="E138" i="4"/>
  <c r="E136" i="4"/>
  <c r="E131" i="4"/>
  <c r="E129" i="4"/>
  <c r="E127" i="4"/>
  <c r="E123" i="4"/>
  <c r="E117" i="4"/>
  <c r="E115" i="4"/>
  <c r="E113" i="4"/>
  <c r="E112" i="4"/>
  <c r="E111" i="4"/>
  <c r="E110" i="4"/>
  <c r="E109" i="4"/>
  <c r="E108" i="4"/>
  <c r="E107" i="4"/>
  <c r="E106" i="4"/>
  <c r="E105" i="4"/>
  <c r="E103" i="4"/>
  <c r="E101" i="4"/>
  <c r="E100" i="4"/>
  <c r="E93" i="4"/>
  <c r="E92" i="4"/>
  <c r="E91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4" i="4"/>
  <c r="E72" i="4"/>
  <c r="E65" i="4"/>
  <c r="E64" i="4"/>
  <c r="E57" i="4"/>
  <c r="E56" i="4"/>
  <c r="E55" i="4"/>
  <c r="E54" i="4"/>
  <c r="E52" i="4"/>
  <c r="E51" i="4"/>
  <c r="E47" i="4"/>
  <c r="E43" i="4"/>
  <c r="E42" i="4"/>
  <c r="E37" i="4"/>
  <c r="D118" i="4" l="1"/>
  <c r="E118" i="4" s="1"/>
  <c r="D116" i="4"/>
  <c r="E116" i="4" s="1"/>
  <c r="D59" i="4"/>
  <c r="E59" i="4" s="1"/>
  <c r="D58" i="4"/>
  <c r="E58" i="4" s="1"/>
  <c r="D157" i="4" l="1"/>
  <c r="E157" i="4" s="1"/>
  <c r="E161" i="4" s="1"/>
  <c r="D152" i="4"/>
  <c r="E152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7" i="4"/>
  <c r="E137" i="4" s="1"/>
  <c r="D132" i="4"/>
  <c r="E132" i="4" s="1"/>
  <c r="D130" i="4"/>
  <c r="E130" i="4" s="1"/>
  <c r="D128" i="4"/>
  <c r="E128" i="4" s="1"/>
  <c r="D126" i="4"/>
  <c r="E126" i="4" s="1"/>
  <c r="D125" i="4"/>
  <c r="E125" i="4" s="1"/>
  <c r="E133" i="4" s="1"/>
  <c r="D124" i="4"/>
  <c r="E124" i="4" s="1"/>
  <c r="D122" i="4"/>
  <c r="E122" i="4" s="1"/>
  <c r="D114" i="4"/>
  <c r="E114" i="4" s="1"/>
  <c r="D104" i="4"/>
  <c r="E104" i="4" s="1"/>
  <c r="D102" i="4"/>
  <c r="E102" i="4" s="1"/>
  <c r="D99" i="4"/>
  <c r="E99" i="4" s="1"/>
  <c r="D98" i="4"/>
  <c r="E98" i="4" s="1"/>
  <c r="D89" i="4"/>
  <c r="E89" i="4" s="1"/>
  <c r="D76" i="4"/>
  <c r="E76" i="4" s="1"/>
  <c r="D75" i="4"/>
  <c r="E75" i="4" s="1"/>
  <c r="D73" i="4"/>
  <c r="E73" i="4" s="1"/>
  <c r="D71" i="4"/>
  <c r="E71" i="4" s="1"/>
  <c r="D70" i="4"/>
  <c r="E70" i="4" s="1"/>
  <c r="D69" i="4"/>
  <c r="E69" i="4" s="1"/>
  <c r="D63" i="4"/>
  <c r="E63" i="4" s="1"/>
  <c r="E66" i="4" s="1"/>
  <c r="D53" i="4"/>
  <c r="E53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1" i="4"/>
  <c r="E41" i="4" s="1"/>
  <c r="D40" i="4"/>
  <c r="E40" i="4" s="1"/>
  <c r="E60" i="4" s="1"/>
  <c r="D94" i="4"/>
  <c r="E94" i="4" s="1"/>
  <c r="E146" i="4" l="1"/>
  <c r="E95" i="4"/>
  <c r="E119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<sst xmlns="http://schemas.openxmlformats.org/spreadsheetml/2006/main" count="390" uniqueCount="265">
  <si>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</si>
  <si>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</si>
  <si>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</si>
  <si>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</si>
  <si>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</si>
  <si>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</si>
  <si>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</si>
  <si>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</si>
  <si>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</si>
  <si>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</si>
  <si>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</si>
  <si>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</si>
  <si>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</si>
  <si>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</si>
  <si>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</si>
  <si>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</si>
  <si>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</si>
  <si>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</si>
  <si>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</si>
  <si>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</si>
  <si>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</si>
  <si>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</si>
  <si>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</si>
  <si>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</si>
  <si>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</si>
  <si>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</si>
  <si>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</si>
  <si>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</si>
  <si>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</si>
  <si>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</si>
  <si>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</si>
  <si>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</si>
  <si>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</si>
  <si>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</si>
  <si>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</si>
  <si>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</si>
  <si>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</si>
  <si>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</si>
  <si>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</si>
  <si>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</si>
  <si>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</si>
  <si>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</si>
  <si>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</si>
  <si>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</si>
  <si>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</si>
  <si>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</si>
  <si>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</si>
  <si>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</si>
  <si>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</si>
  <si>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</si>
  <si>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</si>
  <si>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</si>
  <si>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</si>
  <si>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</si>
  <si>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</si>
  <si>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</si>
  <si>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</si>
  <si>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</si>
  <si>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</si>
  <si>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</si>
  <si>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</si>
  <si>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</si>
  <si>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</si>
  <si>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</si>
  <si>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</si>
  <si>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</si>
  <si>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</si>
  <si>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</si>
  <si>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</si>
  <si>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</si>
  <si>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</si>
  <si>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</si>
  <si>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</si>
  <si>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</si>
  <si>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</si>
  <si>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</si>
  <si>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</si>
  <si>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</si>
  <si>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</si>
  <si>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</si>
  <si>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</si>
  <si>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</si>
  <si>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</si>
  <si>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</si>
  <si>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</si>
  <si>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</si>
  <si>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</si>
  <si>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</si>
  <si>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</si>
  <si>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</si>
  <si>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</si>
  <si>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</si>
  <si>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</si>
  <si>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</si>
  <si>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</si>
  <si>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</si>
  <si>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</si>
  <si>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</si>
  <si>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</si>
  <si>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</si>
  <si>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</si>
  <si>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</si>
  <si>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</si>
  <si>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</si>
  <si>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</si>
  <si>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</si>
  <si>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</si>
  <si>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</si>
  <si>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</si>
  <si>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</si>
  <si>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</si>
  <si>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</si>
  <si>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</si>
  <si>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</si>
  <si>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</si>
  <si>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</si>
  <si>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</si>
  <si>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</si>
  <si>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</si>
  <si>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</si>
  <si>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</si>
  <si>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</si>
  <si>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</si>
  <si>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</si>
  <si>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</si>
  <si>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</si>
  <si>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</si>
  <si>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</si>
  <si>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</si>
  <si>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</si>
  <si>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</si>
  <si>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</si>
  <si>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</si>
  <si>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</si>
  <si>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</si>
  <si>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</si>
  <si>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</si>
  <si>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</si>
  <si>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</si>
  <si>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</si>
  <si>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</si>
  <si>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</si>
  <si>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</si>
  <si>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</si>
  <si>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</si>
  <si>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</si>
  <si>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</si>
  <si>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</si>
  <si>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</si>
  <si>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</si>
  <si>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</si>
  <si>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</si>
  <si>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</si>
  <si>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</si>
  <si>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</si>
  <si>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</si>
  <si>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</si>
  <si>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</si>
  <si>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</si>
  <si>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</si>
  <si>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</si>
  <si>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</si>
  <si>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</si>
  <si>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</si>
  <si>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</si>
  <si>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</si>
  <si>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</si>
  <si>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</si>
  <si>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</si>
  <si>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</si>
  <si>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</si>
  <si>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</si>
  <si>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</si>
  <si>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</si>
  <si>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</si>
  <si>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</si>
  <si>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</si>
  <si>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</si>
  <si>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</si>
  <si>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</si>
  <si>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</si>
  <si>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</si>
  <si>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</si>
  <si>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</si>
  <si>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</si>
  <si>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</si>
  <si>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</si>
  <si>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</si>
  <si>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</si>
  <si>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</si>
  <si>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</si>
  <si>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</si>
  <si>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</si>
  <si>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</si>
  <si>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</si>
  <si>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</si>
  <si>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</si>
  <si>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</si>
  <si>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</si>
  <si>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</si>
  <si>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</si>
  <si>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</si>
  <si>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</si>
  <si>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</si>
  <si>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</si>
  <si>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</si>
  <si>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</si>
  <si>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</si>
  <si>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</si>
  <si>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</si>
  <si>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</si>
  <si>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</si>
  <si>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</si>
  <si>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</si>
  <si>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</si>
  <si>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</si>
  <si>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</si>
  <si>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</si>
  <si>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</si>
  <si>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</si>
  <si>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</si>
  <si>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</si>
  <si>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</si>
  <si>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</si>
  <si>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</si>
  <si>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</si>
  <si>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</si>
  <si>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</si>
  <si>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</si>
  <si>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</si>
  <si>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</si>
  <si>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</si>
  <si>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</si>
  <si>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</si>
  <si>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</si>
  <si>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</si>
  <si>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</si>
  <si>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</si>
  <si>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</si>
  <si>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</si>
  <si>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원 /평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</si>
  <si>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</si>
  <si>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</si>
  <si>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</si>
  <si>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</si>
  <si>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</si>
  <si>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</si>
  <si>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</si>
  <si>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</si>
  <si>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</si>
  <si>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한국폴리텍대학 울산캠퍼스 석유화학공정기술교육센터 건립공사</t>
    <phoneticPr fontId="2" type="noConversion"/>
  </si>
  <si>
    <t>울산시</t>
  </si>
  <si>
    <t>기초공사, 골재비및운반비, 작업부산물, 품질시험비</t>
    <phoneticPr fontId="2" type="noConversion"/>
  </si>
  <si>
    <t>공조배관공사, 난방배관공사</t>
    <phoneticPr fontId="2" type="noConversion"/>
  </si>
  <si>
    <t>전기인입 및 수변전 설비공사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</si>
  <si>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</si>
  <si>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</si>
  <si>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</t>
    <phoneticPr fontId="2" type="noConversion"/>
  </si>
  <si>
    <t>토목 상수도공사, 사급자재비, 기타공사</t>
    <phoneticPr fontId="2" type="noConversion"/>
  </si>
  <si>
    <t>교육연구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</si>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</sst>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235</v>
      </c>
    </row>
    <row r="7" spans="1:4" ht="17.25" thickBot="1" x14ac:dyDescent="0.35">
      <c r="C7" s="37">
        <v>4855.01</v>
      </c>
      <c r="D7" s="36">
        <f>+C7/3.3058</f>
        <v>1468.6339161473775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204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236</v>
      </c>
      <c r="E23" s="35" t="s">
        <v>240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789630</v>
      </c>
      <c r="E25" s="59">
        <f t="shared" si="0"/>
        <v>2610350</v>
      </c>
    </row>
    <row r="26" spans="1:5" x14ac:dyDescent="0.3">
      <c r="B26" s="2">
        <v>3</v>
      </c>
      <c r="C26" s="35" t="s">
        <v>95</v>
      </c>
      <c r="D26" s="45">
        <f>+D66</f>
        <v>6570</v>
      </c>
      <c r="E26" s="59">
        <f t="shared" si="0"/>
        <v>21710</v>
      </c>
    </row>
    <row r="27" spans="1:5" x14ac:dyDescent="0.3">
      <c r="B27" s="2">
        <v>4</v>
      </c>
      <c r="C27" s="35" t="s">
        <v>96</v>
      </c>
      <c r="D27" s="45">
        <f>+D95</f>
        <v>166160</v>
      </c>
      <c r="E27" s="59">
        <f t="shared" si="0"/>
        <v>549290</v>
      </c>
    </row>
    <row r="28" spans="1:5" x14ac:dyDescent="0.3">
      <c r="B28" s="2">
        <v>5</v>
      </c>
      <c r="C28" s="35" t="s">
        <v>97</v>
      </c>
      <c r="D28" s="45">
        <f>+D119</f>
        <v>234350</v>
      </c>
      <c r="E28" s="59">
        <f t="shared" si="0"/>
        <v>774710</v>
      </c>
    </row>
    <row r="29" spans="1:5" x14ac:dyDescent="0.3">
      <c r="B29" s="2">
        <v>6</v>
      </c>
      <c r="C29" s="35" t="s">
        <v>98</v>
      </c>
      <c r="D29" s="45">
        <f>+D133</f>
        <v>32260</v>
      </c>
      <c r="E29" s="59">
        <f t="shared" si="0"/>
        <v>106640</v>
      </c>
    </row>
    <row r="30" spans="1:5" x14ac:dyDescent="0.3">
      <c r="B30" s="2">
        <v>7</v>
      </c>
      <c r="C30" s="35" t="s">
        <v>99</v>
      </c>
      <c r="D30" s="45">
        <f>+D146</f>
        <v>28100</v>
      </c>
      <c r="E30" s="59">
        <f t="shared" si="0"/>
        <v>92890</v>
      </c>
    </row>
    <row r="31" spans="1:5" x14ac:dyDescent="0.3">
      <c r="B31" s="2">
        <v>8</v>
      </c>
      <c r="C31" s="35" t="s">
        <v>100</v>
      </c>
      <c r="D31" s="45">
        <f>+D154</f>
        <v>49800</v>
      </c>
      <c r="E31" s="59">
        <f t="shared" si="0"/>
        <v>164620</v>
      </c>
    </row>
    <row r="32" spans="1:5" x14ac:dyDescent="0.3">
      <c r="B32" s="2">
        <v>9</v>
      </c>
      <c r="C32" s="35" t="s">
        <v>101</v>
      </c>
      <c r="D32" s="45">
        <f>+D161</f>
        <v>31350</v>
      </c>
      <c r="E32" s="59">
        <f t="shared" si="0"/>
        <v>103630</v>
      </c>
    </row>
    <row r="33" spans="1:7" x14ac:dyDescent="0.3">
      <c r="B33" s="2">
        <v>10</v>
      </c>
      <c r="C33" s="35" t="s">
        <v>153</v>
      </c>
      <c r="D33" s="53">
        <f>TRUNC(SUM(D24:D32)*0.275,-1)</f>
        <v>368010</v>
      </c>
      <c r="E33" s="60">
        <f t="shared" si="0"/>
        <v>1216560</v>
      </c>
    </row>
    <row r="34" spans="1:7" x14ac:dyDescent="0.3">
      <c r="C34" s="35" t="s">
        <v>112</v>
      </c>
      <c r="D34" s="44">
        <f>SUM(D24:D33)</f>
        <v>1706230</v>
      </c>
      <c r="E34" s="44">
        <f>SUM(E24:E33)</f>
        <v>5640400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237</v>
      </c>
      <c r="D36" s="57" t="s">
        <v>234</v>
      </c>
      <c r="E36" s="57" t="s">
        <v>240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TRUNC(65779,-1)</f>
        <v>65770</v>
      </c>
      <c r="E40" s="62">
        <f t="shared" ref="E40:E59" si="1">TRUNC(+D40*3.3058,-1)</f>
        <v>217420</v>
      </c>
    </row>
    <row r="41" spans="1:7" x14ac:dyDescent="0.3">
      <c r="A41" s="2">
        <v>2</v>
      </c>
      <c r="C41" s="38" t="s">
        <v>13</v>
      </c>
      <c r="D41" s="42">
        <f>TRUNC(159769,-1)</f>
        <v>159760</v>
      </c>
      <c r="E41" s="63">
        <f t="shared" si="1"/>
        <v>528130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17870</v>
      </c>
      <c r="E43" s="63">
        <f t="shared" si="1"/>
        <v>59070</v>
      </c>
    </row>
    <row r="44" spans="1:7" x14ac:dyDescent="0.3">
      <c r="A44" s="2">
        <v>5</v>
      </c>
      <c r="C44" s="38" t="s">
        <v>17</v>
      </c>
      <c r="D44" s="42">
        <f>TRUNC(28723,-1)</f>
        <v>28720</v>
      </c>
      <c r="E44" s="63">
        <f t="shared" si="1"/>
        <v>94940</v>
      </c>
    </row>
    <row r="45" spans="1:7" x14ac:dyDescent="0.3">
      <c r="A45" s="2">
        <v>6</v>
      </c>
      <c r="C45" s="38" t="s">
        <v>18</v>
      </c>
      <c r="D45" s="42">
        <f>TRUNC(9857,-1)</f>
        <v>9850</v>
      </c>
      <c r="E45" s="63">
        <f t="shared" si="1"/>
        <v>32560</v>
      </c>
    </row>
    <row r="46" spans="1:7" x14ac:dyDescent="0.3">
      <c r="A46" s="2">
        <v>7</v>
      </c>
      <c r="C46" s="38" t="s">
        <v>19</v>
      </c>
      <c r="D46" s="42">
        <f>TRUNC(8338,-1)</f>
        <v>8330</v>
      </c>
      <c r="E46" s="63">
        <f t="shared" si="1"/>
        <v>27530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TRUNC(24379,-1)</f>
        <v>24370</v>
      </c>
      <c r="E48" s="63">
        <f t="shared" si="1"/>
        <v>80560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TRUNC(25453,-1)</f>
        <v>25450</v>
      </c>
      <c r="E49" s="63">
        <f t="shared" si="1"/>
        <v>84130</v>
      </c>
    </row>
    <row r="50" spans="1:7" x14ac:dyDescent="0.3">
      <c r="A50" s="2">
        <v>11</v>
      </c>
      <c r="C50" s="38" t="s">
        <v>154</v>
      </c>
      <c r="D50" s="42">
        <f>TRUNC(28631,-1)</f>
        <v>28630</v>
      </c>
      <c r="E50" s="63">
        <f t="shared" si="1"/>
        <v>94640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14320</v>
      </c>
      <c r="E52" s="63">
        <f t="shared" si="1"/>
        <v>47330</v>
      </c>
    </row>
    <row r="53" spans="1:7" x14ac:dyDescent="0.3">
      <c r="A53" s="2">
        <v>14</v>
      </c>
      <c r="C53" s="38" t="s">
        <v>25</v>
      </c>
      <c r="D53" s="42">
        <f>TRUNC(104497,-1)</f>
        <v>104490</v>
      </c>
      <c r="E53" s="63">
        <f t="shared" si="1"/>
        <v>345420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TRUNC(36175+4446-515+1056,-1)</f>
        <v>41160</v>
      </c>
      <c r="E58" s="63">
        <f t="shared" si="1"/>
        <v>136060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TRUNC(260914,-1)</f>
        <v>260910</v>
      </c>
      <c r="E59" s="64">
        <f t="shared" si="1"/>
        <v>862510</v>
      </c>
    </row>
    <row r="60" spans="1:7" x14ac:dyDescent="0.3">
      <c r="A60" s="2">
        <v>21</v>
      </c>
      <c r="C60" s="27" t="s">
        <v>112</v>
      </c>
      <c r="D60" s="39">
        <f>SUM(D40:D59)</f>
        <v>789630</v>
      </c>
      <c r="E60" s="39">
        <f>SUM(E40:E59)</f>
        <v>2610300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238</v>
      </c>
      <c r="C62" s="56" t="s">
        <v>239</v>
      </c>
      <c r="D62" s="57" t="s">
        <v>236</v>
      </c>
      <c r="E62" s="57" t="s">
        <v>240</v>
      </c>
      <c r="G62" s="55"/>
    </row>
    <row r="63" spans="1:7" x14ac:dyDescent="0.3">
      <c r="A63" s="2">
        <v>1</v>
      </c>
      <c r="C63" s="38" t="s">
        <v>27</v>
      </c>
      <c r="D63" s="40">
        <f>TRUNC(6576,-1)</f>
        <v>6570</v>
      </c>
      <c r="E63" s="62">
        <f>TRUNC(+D63*3.3058,-1)</f>
        <v>21710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6570</v>
      </c>
      <c r="E66" s="65">
        <f>SUM(E63:E65)</f>
        <v>21710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234</v>
      </c>
      <c r="E68" s="57" t="s">
        <v>240</v>
      </c>
      <c r="G68" s="55"/>
    </row>
    <row r="69" spans="1:7" x14ac:dyDescent="0.3">
      <c r="A69" s="2">
        <v>1</v>
      </c>
      <c r="C69" s="38" t="s">
        <v>30</v>
      </c>
      <c r="D69" s="40">
        <f>TRUNC(24995,-1)</f>
        <v>24990</v>
      </c>
      <c r="E69" s="62">
        <f t="shared" ref="E69:E94" si="2">TRUNC(+D69*3.3058,-1)</f>
        <v>82610</v>
      </c>
    </row>
    <row r="70" spans="1:7" ht="16.5" customHeight="1" x14ac:dyDescent="0.3">
      <c r="A70" s="2">
        <v>2</v>
      </c>
      <c r="C70" s="38" t="s">
        <v>31</v>
      </c>
      <c r="D70" s="42">
        <f>TRUNC(1803,-1)</f>
        <v>1800</v>
      </c>
      <c r="E70" s="63">
        <f t="shared" si="2"/>
        <v>5950</v>
      </c>
    </row>
    <row r="71" spans="1:7" x14ac:dyDescent="0.3">
      <c r="A71" s="2">
        <v>3</v>
      </c>
      <c r="C71" s="38" t="s">
        <v>32</v>
      </c>
      <c r="D71" s="42">
        <f>TRUNC(13331,-1)</f>
        <v>13330</v>
      </c>
      <c r="E71" s="63">
        <f t="shared" si="2"/>
        <v>44060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TRUNC(4796,-1)</f>
        <v>4790</v>
      </c>
      <c r="E73" s="63">
        <f t="shared" si="2"/>
        <v>15830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TRUNC(546,-1)</f>
        <v>540</v>
      </c>
      <c r="E75" s="63">
        <f t="shared" si="2"/>
        <v>1780</v>
      </c>
    </row>
    <row r="76" spans="1:7" x14ac:dyDescent="0.3">
      <c r="A76" s="2">
        <v>8</v>
      </c>
      <c r="C76" s="38" t="s">
        <v>119</v>
      </c>
      <c r="D76" s="42">
        <f>TRUNC(92409,-1)</f>
        <v>92400</v>
      </c>
      <c r="E76" s="63">
        <f t="shared" si="2"/>
        <v>305450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TRUNC(10254,-1)</f>
        <v>10250</v>
      </c>
      <c r="E89" s="63">
        <f t="shared" si="2"/>
        <v>33880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14660</v>
      </c>
      <c r="E91" s="63">
        <f t="shared" si="2"/>
        <v>48460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3236+164</f>
        <v>3400</v>
      </c>
      <c r="E94" s="64">
        <f t="shared" si="2"/>
        <v>11230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166160</v>
      </c>
      <c r="E95" s="39">
        <f>SUM(E69:E94)</f>
        <v>549250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234</v>
      </c>
      <c r="E97" s="57" t="s">
        <v>240</v>
      </c>
      <c r="G97" s="55"/>
    </row>
    <row r="98" spans="1:7" x14ac:dyDescent="0.3">
      <c r="A98" s="2">
        <v>1</v>
      </c>
      <c r="C98" s="38" t="s">
        <v>39</v>
      </c>
      <c r="D98" s="40">
        <f>TRUNC(17876,-1)</f>
        <v>17870</v>
      </c>
      <c r="E98" s="62">
        <f t="shared" ref="E98:E118" si="3">TRUNC(+D98*3.3058,-1)</f>
        <v>59070</v>
      </c>
    </row>
    <row r="99" spans="1:7" x14ac:dyDescent="0.3">
      <c r="A99" s="2">
        <v>2</v>
      </c>
      <c r="C99" s="38" t="s">
        <v>40</v>
      </c>
      <c r="D99" s="42">
        <f>TRUNC(13867,-1)</f>
        <v>13860</v>
      </c>
      <c r="E99" s="63">
        <f t="shared" si="3"/>
        <v>45810</v>
      </c>
    </row>
    <row r="100" spans="1:7" x14ac:dyDescent="0.3">
      <c r="A100" s="2">
        <v>3</v>
      </c>
      <c r="C100" s="38" t="s">
        <v>41</v>
      </c>
      <c r="D100" s="42">
        <v>0</v>
      </c>
      <c r="E100" s="63">
        <f t="shared" si="3"/>
        <v>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TRUNC(19509,-1)</f>
        <v>19500</v>
      </c>
      <c r="E102" s="63">
        <f t="shared" si="3"/>
        <v>64460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TRUNC(8153,-1)</f>
        <v>8150</v>
      </c>
      <c r="E104" s="63">
        <f t="shared" si="3"/>
        <v>26940</v>
      </c>
    </row>
    <row r="105" spans="1:7" x14ac:dyDescent="0.3">
      <c r="A105" s="2">
        <v>8</v>
      </c>
      <c r="C105" s="38" t="s">
        <v>46</v>
      </c>
      <c r="D105" s="42">
        <v>2290</v>
      </c>
      <c r="E105" s="63">
        <f t="shared" si="3"/>
        <v>7570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TRUNC(47105,-1)</f>
        <v>47100</v>
      </c>
      <c r="E114" s="63">
        <f t="shared" si="3"/>
        <v>155700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TRUNC(8303,-1)</f>
        <v>8300</v>
      </c>
      <c r="E116" s="63">
        <f t="shared" si="3"/>
        <v>27430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TRUNC(117283,-1)</f>
        <v>117280</v>
      </c>
      <c r="E118" s="64">
        <f t="shared" si="3"/>
        <v>387700</v>
      </c>
    </row>
    <row r="119" spans="1:7" x14ac:dyDescent="0.3">
      <c r="A119" s="2">
        <v>22</v>
      </c>
      <c r="C119" s="27" t="s">
        <v>112</v>
      </c>
      <c r="D119" s="39">
        <f>SUM(D98:D118)</f>
        <v>234350</v>
      </c>
      <c r="E119" s="39">
        <f>SUM(E98:E118)</f>
        <v>774680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234</v>
      </c>
      <c r="E121" s="57" t="s">
        <v>240</v>
      </c>
      <c r="G121" s="55"/>
    </row>
    <row r="122" spans="1:7" x14ac:dyDescent="0.3">
      <c r="A122" s="2">
        <v>1</v>
      </c>
      <c r="C122" s="38" t="s">
        <v>55</v>
      </c>
      <c r="D122" s="40">
        <f>TRUNC(4461,-1)</f>
        <v>4460</v>
      </c>
      <c r="E122" s="62">
        <f t="shared" ref="E122:E132" si="4">TRUNC(+D122*3.3058,-1)</f>
        <v>14740</v>
      </c>
      <c r="F122" s="2" t="s">
        <v>256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TRUNC(4458,-1)</f>
        <v>4450</v>
      </c>
      <c r="E124" s="63">
        <f t="shared" si="4"/>
        <v>14710</v>
      </c>
    </row>
    <row r="125" spans="1:7" x14ac:dyDescent="0.3">
      <c r="A125" s="2">
        <v>4</v>
      </c>
      <c r="C125" s="38" t="s">
        <v>138</v>
      </c>
      <c r="D125" s="42">
        <f>TRUNC(6465,-1)</f>
        <v>6460</v>
      </c>
      <c r="E125" s="63">
        <f t="shared" si="4"/>
        <v>21350</v>
      </c>
    </row>
    <row r="126" spans="1:7" x14ac:dyDescent="0.3">
      <c r="A126" s="2">
        <v>5</v>
      </c>
      <c r="C126" s="38" t="s">
        <v>53</v>
      </c>
      <c r="D126" s="42">
        <f>TRUNC(2496,-1)</f>
        <v>2490</v>
      </c>
      <c r="E126" s="63">
        <f t="shared" si="4"/>
        <v>8230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TRUNC(1821,-1)</f>
        <v>1820</v>
      </c>
      <c r="E128" s="63">
        <f t="shared" si="4"/>
        <v>6010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TRUNC(7889,-1)</f>
        <v>7880</v>
      </c>
      <c r="E130" s="63">
        <f t="shared" si="4"/>
        <v>26040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TRUNC(4707,-1)</f>
        <v>4700</v>
      </c>
      <c r="E132" s="64">
        <f t="shared" si="4"/>
        <v>15530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32260</v>
      </c>
      <c r="E133" s="39">
        <f>SUM(E122:E132)</f>
        <v>106610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234</v>
      </c>
      <c r="E135" s="57" t="s">
        <v>240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TRUNC(8593,-1)</f>
        <v>8590</v>
      </c>
      <c r="E137" s="63">
        <f t="shared" si="5"/>
        <v>28390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TRUNC(2357,-1)</f>
        <v>2350</v>
      </c>
      <c r="E139" s="63">
        <f t="shared" si="5"/>
        <v>7760</v>
      </c>
    </row>
    <row r="140" spans="1:7" x14ac:dyDescent="0.3">
      <c r="A140" s="2">
        <v>5</v>
      </c>
      <c r="C140" s="38" t="s">
        <v>57</v>
      </c>
      <c r="D140" s="42">
        <f>TRUNC(1727,-1)</f>
        <v>1720</v>
      </c>
      <c r="E140" s="63">
        <f t="shared" si="5"/>
        <v>5680</v>
      </c>
    </row>
    <row r="141" spans="1:7" x14ac:dyDescent="0.3">
      <c r="A141" s="2">
        <v>6</v>
      </c>
      <c r="C141" s="38" t="s">
        <v>59</v>
      </c>
      <c r="D141" s="42">
        <f>TRUNC(1936,-1)</f>
        <v>1930</v>
      </c>
      <c r="E141" s="63">
        <f t="shared" si="5"/>
        <v>6380</v>
      </c>
    </row>
    <row r="142" spans="1:7" x14ac:dyDescent="0.3">
      <c r="A142" s="2">
        <v>7</v>
      </c>
      <c r="C142" s="38" t="s">
        <v>58</v>
      </c>
      <c r="D142" s="42">
        <f>TRUNC(7114,-1)</f>
        <v>7110</v>
      </c>
      <c r="E142" s="63">
        <f t="shared" si="5"/>
        <v>23500</v>
      </c>
    </row>
    <row r="143" spans="1:7" x14ac:dyDescent="0.3">
      <c r="A143" s="2">
        <v>8</v>
      </c>
      <c r="C143" s="38" t="s">
        <v>62</v>
      </c>
      <c r="D143" s="42">
        <f>TRUNC(2385,-1)</f>
        <v>2380</v>
      </c>
      <c r="E143" s="63">
        <f t="shared" si="5"/>
        <v>7860</v>
      </c>
    </row>
    <row r="144" spans="1:7" x14ac:dyDescent="0.3">
      <c r="A144" s="2">
        <v>9</v>
      </c>
      <c r="C144" s="38" t="s">
        <v>63</v>
      </c>
      <c r="D144" s="42">
        <f>TRUNC(4028,-1)</f>
        <v>4020</v>
      </c>
      <c r="E144" s="63">
        <f t="shared" si="5"/>
        <v>13280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28100</v>
      </c>
      <c r="E146" s="39">
        <f>SUM(E136:E145)</f>
        <v>92850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234</v>
      </c>
      <c r="E148" s="57" t="s">
        <v>240</v>
      </c>
      <c r="G148" s="55"/>
    </row>
    <row r="149" spans="1:7" x14ac:dyDescent="0.3">
      <c r="A149" s="2">
        <v>1</v>
      </c>
      <c r="C149" s="38" t="s">
        <v>48</v>
      </c>
      <c r="D149" s="40">
        <f>TRUNC(24249+3000,-1)</f>
        <v>27240</v>
      </c>
      <c r="E149" s="62">
        <f>TRUNC(+D149*3.3058,-1)</f>
        <v>90040</v>
      </c>
    </row>
    <row r="150" spans="1:7" x14ac:dyDescent="0.3">
      <c r="A150" s="2">
        <v>2</v>
      </c>
      <c r="C150" s="38" t="s">
        <v>49</v>
      </c>
      <c r="D150" s="42">
        <f>TRUNC(7798,-1)</f>
        <v>7790</v>
      </c>
      <c r="E150" s="63">
        <f>TRUNC(+D150*3.3058,-1)</f>
        <v>25750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TRUNC(2535+11193+1044,-1)</f>
        <v>14770</v>
      </c>
      <c r="E152" s="63">
        <f>TRUNC(+D152*3.3058,-1)</f>
        <v>48820</v>
      </c>
      <c r="F152" s="2" t="s">
        <v>258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49800</v>
      </c>
      <c r="E154" s="39">
        <f>SUM(E149:E153)</f>
        <v>164610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234</v>
      </c>
      <c r="E156" s="57" t="s">
        <v>240</v>
      </c>
      <c r="G156" s="55"/>
    </row>
    <row r="157" spans="1:7" x14ac:dyDescent="0.3">
      <c r="A157" s="2">
        <v>1</v>
      </c>
      <c r="C157" s="38" t="s">
        <v>51</v>
      </c>
      <c r="D157" s="40">
        <f>TRUNC(31354,-1)</f>
        <v>31350</v>
      </c>
      <c r="E157" s="62">
        <f>TRUNC(+D157*3.3058,-1)</f>
        <v>103630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31350</v>
      </c>
      <c r="E161" s="39">
        <f>SUM(E157:E160)</f>
        <v>103630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2020-12-08T01:13:46Z</dcterms:modified>
</cp:coreProperties>
</file>