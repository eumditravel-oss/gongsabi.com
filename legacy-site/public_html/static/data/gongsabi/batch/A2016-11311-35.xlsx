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4" i="4"/>
  <c r="D143" i="4"/>
  <c r="D142" i="4"/>
  <c r="D141" i="4"/>
  <c r="D140" i="4"/>
  <c r="D139" i="4"/>
  <c r="D138" i="4"/>
  <c r="D137" i="4"/>
  <c r="D132" i="4"/>
  <c r="D130" i="4"/>
  <c r="D125" i="4"/>
  <c r="D124" i="4"/>
  <c r="D122" i="4"/>
  <c r="D118" i="4"/>
  <c r="D117" i="4"/>
  <c r="D116" i="4"/>
  <c r="D114" i="4"/>
  <c r="D105" i="4"/>
  <c r="D104" i="4"/>
  <c r="D103" i="4"/>
  <c r="D102" i="4"/>
  <c r="D101" i="4"/>
  <c r="D99" i="4"/>
  <c r="D98" i="4"/>
  <c r="D94" i="4"/>
  <c r="D93" i="4"/>
  <c r="D91" i="4"/>
  <c r="D89" i="4"/>
  <c r="D76" i="4"/>
  <c r="D75" i="4"/>
  <c r="D73" i="4"/>
  <c r="D72" i="4"/>
  <c r="D71" i="4"/>
  <c r="D69" i="4"/>
  <c r="D63" i="4"/>
  <c r="D59" i="4"/>
  <c r="D58" i="4"/>
  <c r="D52" i="4"/>
  <c r="D50" i="4"/>
  <c r="D49" i="4"/>
  <c r="D48" i="4"/>
  <c r="D46" i="4"/>
  <c r="D45" i="4"/>
  <c r="D44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<sst xmlns="http://schemas.openxmlformats.org/spreadsheetml/2006/main" count="393" uniqueCount="267">
  <si>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</si>
  <si>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</si>
  <si>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</si>
  <si>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</si>
  <si>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</si>
  <si>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</si>
  <si>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</si>
  <si>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</si>
  <si>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</si>
  <si>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</si>
  <si>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</si>
  <si>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</si>
  <si>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</si>
  <si>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</si>
  <si>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</si>
  <si>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</si>
  <si>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</si>
  <si>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</si>
  <si>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</si>
  <si>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</si>
  <si>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</si>
  <si>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</si>
  <si>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</si>
  <si>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</si>
  <si>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</si>
  <si>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</si>
  <si>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</si>
  <si>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</si>
  <si>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</si>
  <si>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</si>
  <si>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</si>
  <si>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</si>
  <si>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</si>
  <si>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</si>
  <si>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</si>
  <si>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</si>
  <si>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</si>
  <si>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</si>
  <si>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</si>
  <si>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</si>
  <si>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</si>
  <si>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</si>
  <si>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</si>
  <si>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</si>
  <si>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</si>
  <si>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</si>
  <si>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</si>
  <si>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</si>
  <si>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</si>
  <si>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</si>
  <si>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</si>
  <si>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</si>
  <si>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</si>
  <si>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</si>
  <si>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</si>
  <si>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</si>
  <si>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</si>
  <si>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</si>
  <si>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</si>
  <si>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</si>
  <si>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</si>
  <si>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</si>
  <si>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</si>
  <si>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</si>
  <si>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</si>
  <si>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</si>
  <si>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</si>
  <si>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</si>
  <si>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</si>
  <si>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</si>
  <si>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</si>
  <si>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</si>
  <si>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</si>
  <si>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</si>
  <si>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</si>
  <si>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</si>
  <si>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</si>
  <si>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</si>
  <si>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</si>
  <si>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</si>
  <si>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</si>
  <si>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</si>
  <si>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</si>
  <si>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</si>
  <si>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</si>
  <si>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</si>
  <si>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</si>
  <si>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</si>
  <si>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</si>
  <si>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</si>
  <si>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</si>
  <si>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</si>
  <si>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</si>
  <si>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</si>
  <si>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</si>
  <si>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</si>
  <si>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</si>
  <si>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</si>
  <si>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</si>
  <si>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</si>
  <si>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</si>
  <si>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</si>
  <si>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</si>
  <si>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</si>
  <si>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</si>
  <si>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</si>
  <si>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</si>
  <si>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</si>
  <si>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</si>
  <si>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</si>
  <si>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</si>
  <si>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</si>
  <si>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</si>
  <si>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</si>
  <si>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</si>
  <si>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</si>
  <si>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</si>
  <si>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</si>
  <si>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</si>
  <si>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</si>
  <si>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</si>
  <si>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</si>
  <si>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</si>
  <si>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</si>
  <si>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</si>
  <si>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</si>
  <si>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</si>
  <si>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</si>
  <si>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</si>
  <si>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</si>
  <si>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</si>
  <si>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</si>
  <si>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</si>
  <si>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</si>
  <si>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</si>
  <si>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</si>
  <si>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</si>
  <si>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</si>
  <si>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</si>
  <si>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</si>
  <si>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</si>
  <si>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</si>
  <si>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</si>
  <si>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</si>
  <si>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</si>
  <si>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</si>
  <si>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</si>
  <si>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</si>
  <si>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</si>
  <si>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</si>
  <si>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</si>
  <si>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</si>
  <si>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</si>
  <si>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</si>
  <si>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</si>
  <si>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</si>
  <si>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</si>
  <si>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</si>
  <si>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</si>
  <si>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</si>
  <si>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</si>
  <si>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</si>
  <si>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</si>
  <si>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</si>
  <si>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</si>
  <si>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</si>
  <si>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</si>
  <si>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</si>
  <si>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</si>
  <si>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</si>
  <si>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</si>
  <si>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</si>
  <si>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</si>
  <si>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</si>
  <si>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</si>
  <si>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</si>
  <si>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</si>
  <si>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</si>
  <si>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</si>
  <si>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</si>
  <si>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</si>
  <si>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</si>
  <si>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</si>
  <si>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</si>
  <si>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</si>
  <si>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</si>
  <si>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</si>
  <si>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</si>
  <si>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</si>
  <si>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</si>
  <si>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</si>
  <si>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</si>
  <si>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</si>
  <si>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</si>
  <si>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</si>
  <si>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</si>
  <si>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</si>
  <si>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</si>
  <si>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</si>
  <si>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</si>
  <si>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</si>
  <si>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</si>
  <si>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</si>
  <si>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</si>
  <si>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</si>
  <si>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</si>
  <si>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</si>
  <si>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</si>
  <si>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</si>
  <si>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</si>
  <si>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</si>
  <si>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</si>
  <si>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</si>
  <si>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</si>
  <si>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</si>
  <si>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</si>
  <si>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</si>
  <si>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</si>
  <si>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</si>
  <si>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</si>
  <si>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</si>
  <si>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</si>
  <si>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</si>
  <si>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</si>
  <si>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</si>
  <si>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</si>
  <si>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</si>
  <si>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</si>
  <si>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</si>
  <si>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</si>
  <si>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</si>
  <si>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</si>
  <si>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</si>
  <si>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</si>
  <si>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</si>
  <si>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</si>
  <si>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</si>
  <si>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</si>
  <si>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</si>
  <si>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</si>
  <si>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</si>
  <si>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</si>
  <si>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</si>
  <si>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</si>
  <si>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</si>
  <si>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</si>
  <si>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</si>
  <si>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</si>
  <si>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</si>
  <si>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</si>
  <si>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</si>
  <si>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</si>
  <si>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</si>
  <si>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</si>
  <si>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</si>
  <si>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</si>
  <si>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</si>
  <si>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포장공사, 기타공사</t>
    <phoneticPr fontId="2" type="noConversion"/>
  </si>
  <si>
    <t>사법역사문화교육관 신축공사</t>
    <phoneticPr fontId="2" type="noConversion"/>
  </si>
  <si>
    <t>충청도</t>
  </si>
  <si>
    <t>기초공사, 골재비및운반비, 품질시험비, 기타공사</t>
    <phoneticPr fontId="2" type="noConversion"/>
  </si>
  <si>
    <t>공조배관공사, 난방배관공사,우수처리시설공사, 기타공사</t>
    <phoneticPr fontId="2" type="noConversion"/>
  </si>
  <si>
    <t>옥외소화배관공사, 펌프실배관공사, 기타공사</t>
    <phoneticPr fontId="2" type="noConversion"/>
  </si>
  <si>
    <t>상수도공사,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</si>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</sst>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9913.85</v>
      </c>
      <c r="D7" s="36">
        <f>+C7/3.3058</f>
        <v>2998.9261298324159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950750</v>
      </c>
      <c r="E25" s="59">
        <f t="shared" si="0"/>
        <v>3142980</v>
      </c>
    </row>
    <row r="26" spans="1:5" x14ac:dyDescent="0.3">
      <c r="B26" s="2">
        <v>3</v>
      </c>
      <c r="C26" s="35" t="s">
        <v>95</v>
      </c>
      <c r="D26" s="45">
        <f>+D66</f>
        <v>92810</v>
      </c>
      <c r="E26" s="59">
        <f t="shared" si="0"/>
        <v>306810</v>
      </c>
    </row>
    <row r="27" spans="1:5" x14ac:dyDescent="0.3">
      <c r="B27" s="2">
        <v>4</v>
      </c>
      <c r="C27" s="35" t="s">
        <v>96</v>
      </c>
      <c r="D27" s="45">
        <f>+D95</f>
        <v>384900</v>
      </c>
      <c r="E27" s="59">
        <f t="shared" si="0"/>
        <v>1272400</v>
      </c>
    </row>
    <row r="28" spans="1:5" x14ac:dyDescent="0.3">
      <c r="B28" s="2">
        <v>5</v>
      </c>
      <c r="C28" s="35" t="s">
        <v>97</v>
      </c>
      <c r="D28" s="45">
        <f>+D119</f>
        <v>268630</v>
      </c>
      <c r="E28" s="59">
        <f t="shared" si="0"/>
        <v>888030</v>
      </c>
    </row>
    <row r="29" spans="1:5" x14ac:dyDescent="0.3">
      <c r="B29" s="2">
        <v>6</v>
      </c>
      <c r="C29" s="35" t="s">
        <v>98</v>
      </c>
      <c r="D29" s="45">
        <f>+D133</f>
        <v>101330</v>
      </c>
      <c r="E29" s="59">
        <f t="shared" si="0"/>
        <v>334970</v>
      </c>
    </row>
    <row r="30" spans="1:5" x14ac:dyDescent="0.3">
      <c r="B30" s="2">
        <v>7</v>
      </c>
      <c r="C30" s="35" t="s">
        <v>99</v>
      </c>
      <c r="D30" s="45">
        <f>+D146</f>
        <v>76310</v>
      </c>
      <c r="E30" s="59">
        <f t="shared" si="0"/>
        <v>252260</v>
      </c>
    </row>
    <row r="31" spans="1:5" x14ac:dyDescent="0.3">
      <c r="B31" s="2">
        <v>8</v>
      </c>
      <c r="C31" s="35" t="s">
        <v>100</v>
      </c>
      <c r="D31" s="45">
        <f>+D154</f>
        <v>170260</v>
      </c>
      <c r="E31" s="59">
        <f t="shared" si="0"/>
        <v>562840</v>
      </c>
    </row>
    <row r="32" spans="1:5" x14ac:dyDescent="0.3">
      <c r="B32" s="2">
        <v>9</v>
      </c>
      <c r="C32" s="35" t="s">
        <v>101</v>
      </c>
      <c r="D32" s="45">
        <f>+D161</f>
        <v>37360</v>
      </c>
      <c r="E32" s="59">
        <f t="shared" si="0"/>
        <v>123500</v>
      </c>
    </row>
    <row r="33" spans="1:7" x14ac:dyDescent="0.3">
      <c r="B33" s="2">
        <v>10</v>
      </c>
      <c r="C33" s="35" t="s">
        <v>155</v>
      </c>
      <c r="D33" s="53">
        <f>TRUNC(SUM(D24:D32)*0.275,-1)</f>
        <v>572640</v>
      </c>
      <c r="E33" s="60">
        <f t="shared" si="0"/>
        <v>1893030</v>
      </c>
    </row>
    <row r="34" spans="1:7" x14ac:dyDescent="0.3">
      <c r="C34" s="35" t="s">
        <v>112</v>
      </c>
      <c r="D34" s="44">
        <f>SUM(D24:D33)</f>
        <v>2654990</v>
      </c>
      <c r="E34" s="44">
        <f>SUM(E24:E33)</f>
        <v>8776820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TRUNC(71922,-1)</f>
        <v>71920</v>
      </c>
      <c r="E40" s="62">
        <f t="shared" ref="E40:E59" si="1">TRUNC(+D40*3.3058,-1)</f>
        <v>237750</v>
      </c>
    </row>
    <row r="41" spans="1:7" x14ac:dyDescent="0.3">
      <c r="A41" s="2">
        <v>2</v>
      </c>
      <c r="C41" s="38" t="s">
        <v>13</v>
      </c>
      <c r="D41" s="42">
        <f>TRUNC(187647,-1)</f>
        <v>187640</v>
      </c>
      <c r="E41" s="63">
        <f t="shared" si="1"/>
        <v>620300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14100</v>
      </c>
      <c r="E43" s="63">
        <f t="shared" si="1"/>
        <v>46610</v>
      </c>
    </row>
    <row r="44" spans="1:7" x14ac:dyDescent="0.3">
      <c r="A44" s="2">
        <v>5</v>
      </c>
      <c r="C44" s="38" t="s">
        <v>17</v>
      </c>
      <c r="D44" s="42">
        <f>TRUNC(29283,-1)</f>
        <v>29280</v>
      </c>
      <c r="E44" s="63">
        <f t="shared" si="1"/>
        <v>96790</v>
      </c>
    </row>
    <row r="45" spans="1:7" x14ac:dyDescent="0.3">
      <c r="A45" s="2">
        <v>6</v>
      </c>
      <c r="C45" s="38" t="s">
        <v>18</v>
      </c>
      <c r="D45" s="42">
        <f>TRUNC(14585,-1)</f>
        <v>14580</v>
      </c>
      <c r="E45" s="63">
        <f t="shared" si="1"/>
        <v>48190</v>
      </c>
    </row>
    <row r="46" spans="1:7" x14ac:dyDescent="0.3">
      <c r="A46" s="2">
        <v>7</v>
      </c>
      <c r="C46" s="38" t="s">
        <v>19</v>
      </c>
      <c r="D46" s="42">
        <f>TRUNC(14896,-1)</f>
        <v>14890</v>
      </c>
      <c r="E46" s="63">
        <f t="shared" si="1"/>
        <v>49220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TRUNC(37952,-1)</f>
        <v>37950</v>
      </c>
      <c r="E48" s="63">
        <f t="shared" si="1"/>
        <v>125450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TRUNC(13126,-1)</f>
        <v>13120</v>
      </c>
      <c r="E49" s="63">
        <f t="shared" si="1"/>
        <v>43370</v>
      </c>
    </row>
    <row r="50" spans="1:7" x14ac:dyDescent="0.3">
      <c r="A50" s="2">
        <v>11</v>
      </c>
      <c r="C50" s="38" t="s">
        <v>156</v>
      </c>
      <c r="D50" s="42">
        <f>TRUNC(61023,-1)</f>
        <v>61020</v>
      </c>
      <c r="E50" s="63">
        <f t="shared" si="1"/>
        <v>201710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TRUNC(14461,-1)</f>
        <v>14460</v>
      </c>
      <c r="E52" s="63">
        <f t="shared" si="1"/>
        <v>47800</v>
      </c>
    </row>
    <row r="53" spans="1:7" x14ac:dyDescent="0.3">
      <c r="A53" s="2">
        <v>14</v>
      </c>
      <c r="C53" s="38" t="s">
        <v>25</v>
      </c>
      <c r="D53" s="42">
        <v>161190</v>
      </c>
      <c r="E53" s="63">
        <f t="shared" si="1"/>
        <v>532860</v>
      </c>
      <c r="F53" s="2" t="s">
        <v>252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TRUNC(9+4802+1460+59718,-1)</f>
        <v>65980</v>
      </c>
      <c r="E58" s="63">
        <f t="shared" si="1"/>
        <v>218110</v>
      </c>
      <c r="F58" s="2" t="s">
        <v>260</v>
      </c>
    </row>
    <row r="59" spans="1:7" ht="17.25" thickBot="1" x14ac:dyDescent="0.35">
      <c r="A59" s="2">
        <v>20</v>
      </c>
      <c r="C59" s="38" t="s">
        <v>149</v>
      </c>
      <c r="D59" s="43">
        <f>TRUNC(264626,-1)</f>
        <v>264620</v>
      </c>
      <c r="E59" s="64">
        <f t="shared" si="1"/>
        <v>874780</v>
      </c>
    </row>
    <row r="60" spans="1:7" x14ac:dyDescent="0.3">
      <c r="A60" s="2">
        <v>21</v>
      </c>
      <c r="C60" s="27" t="s">
        <v>112</v>
      </c>
      <c r="D60" s="39">
        <f>SUM(D40:D59)</f>
        <v>950750</v>
      </c>
      <c r="E60" s="39">
        <f>SUM(E40:E59)</f>
        <v>3142940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TRUNC(92817,-1)</f>
        <v>92810</v>
      </c>
      <c r="E63" s="62">
        <f>TRUNC(+D63*3.3058,-1)</f>
        <v>306810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92810</v>
      </c>
      <c r="E66" s="65">
        <f>SUM(E63:E65)</f>
        <v>306810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TRUNC(24281,-1)</f>
        <v>24280</v>
      </c>
      <c r="E69" s="62">
        <f t="shared" ref="E69:E94" si="2">TRUNC(+D69*3.3058,-1)</f>
        <v>80260</v>
      </c>
    </row>
    <row r="70" spans="1:7" ht="16.5" customHeight="1" x14ac:dyDescent="0.3">
      <c r="A70" s="2">
        <v>2</v>
      </c>
      <c r="C70" s="38" t="s">
        <v>31</v>
      </c>
      <c r="D70" s="42">
        <v>1310</v>
      </c>
      <c r="E70" s="63">
        <f t="shared" si="2"/>
        <v>4330</v>
      </c>
    </row>
    <row r="71" spans="1:7" x14ac:dyDescent="0.3">
      <c r="A71" s="2">
        <v>3</v>
      </c>
      <c r="C71" s="38" t="s">
        <v>32</v>
      </c>
      <c r="D71" s="42">
        <f>TRUNC(19771,-1)</f>
        <v>19770</v>
      </c>
      <c r="E71" s="63">
        <f t="shared" si="2"/>
        <v>65350</v>
      </c>
    </row>
    <row r="72" spans="1:7" x14ac:dyDescent="0.3">
      <c r="A72" s="2">
        <v>4</v>
      </c>
      <c r="C72" s="38" t="s">
        <v>33</v>
      </c>
      <c r="D72" s="42">
        <f>TRUNC(11305,-1)</f>
        <v>11300</v>
      </c>
      <c r="E72" s="63">
        <f t="shared" si="2"/>
        <v>37350</v>
      </c>
    </row>
    <row r="73" spans="1:7" x14ac:dyDescent="0.3">
      <c r="A73" s="2">
        <v>5</v>
      </c>
      <c r="C73" s="38" t="s">
        <v>34</v>
      </c>
      <c r="D73" s="42">
        <f>TRUNC(14375,-1)</f>
        <v>14370</v>
      </c>
      <c r="E73" s="63">
        <f t="shared" si="2"/>
        <v>47500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TRUNC(1502,-1)</f>
        <v>1500</v>
      </c>
      <c r="E75" s="63">
        <f t="shared" si="2"/>
        <v>4950</v>
      </c>
    </row>
    <row r="76" spans="1:7" x14ac:dyDescent="0.3">
      <c r="A76" s="2">
        <v>8</v>
      </c>
      <c r="C76" s="38" t="s">
        <v>119</v>
      </c>
      <c r="D76" s="42">
        <f>TRUNC(45684,-1)</f>
        <v>45680</v>
      </c>
      <c r="E76" s="63">
        <f t="shared" si="2"/>
        <v>151000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TRUNC(23926,-1)</f>
        <v>23920</v>
      </c>
      <c r="E89" s="63">
        <f t="shared" si="2"/>
        <v>79070</v>
      </c>
    </row>
    <row r="90" spans="1:7" x14ac:dyDescent="0.3">
      <c r="A90" s="2">
        <v>22</v>
      </c>
      <c r="C90" s="38" t="s">
        <v>36</v>
      </c>
      <c r="D90" s="42">
        <v>1360</v>
      </c>
      <c r="E90" s="63">
        <f t="shared" si="2"/>
        <v>4490</v>
      </c>
    </row>
    <row r="91" spans="1:7" x14ac:dyDescent="0.3">
      <c r="A91" s="2">
        <v>23</v>
      </c>
      <c r="C91" s="38" t="s">
        <v>37</v>
      </c>
      <c r="D91" s="42">
        <f>TRUNC(30913,-1)</f>
        <v>30910</v>
      </c>
      <c r="E91" s="63">
        <f t="shared" si="2"/>
        <v>102180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149</v>
      </c>
      <c r="D93" s="42">
        <f>TRUNC(152419,-1)</f>
        <v>152410</v>
      </c>
      <c r="E93" s="63">
        <f t="shared" si="2"/>
        <v>503830</v>
      </c>
    </row>
    <row r="94" spans="1:7" ht="17.25" thickBot="1" x14ac:dyDescent="0.35">
      <c r="A94" s="2">
        <v>26</v>
      </c>
      <c r="C94" s="38" t="s">
        <v>47</v>
      </c>
      <c r="D94" s="43">
        <f>TRUNC(2148+19749+28107+8091,-1)</f>
        <v>58090</v>
      </c>
      <c r="E94" s="64">
        <f t="shared" si="2"/>
        <v>192030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384900</v>
      </c>
      <c r="E95" s="39">
        <f>SUM(E69:E94)</f>
        <v>1272340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TRUNC(23851,-1)</f>
        <v>23850</v>
      </c>
      <c r="E98" s="62">
        <f t="shared" ref="E98:E118" si="3">TRUNC(+D98*3.3058,-1)</f>
        <v>78840</v>
      </c>
    </row>
    <row r="99" spans="1:7" x14ac:dyDescent="0.3">
      <c r="A99" s="2">
        <v>2</v>
      </c>
      <c r="C99" s="38" t="s">
        <v>40</v>
      </c>
      <c r="D99" s="42">
        <f>TRUNC(10966,-1)</f>
        <v>10960</v>
      </c>
      <c r="E99" s="63">
        <f t="shared" si="3"/>
        <v>36230</v>
      </c>
    </row>
    <row r="100" spans="1:7" x14ac:dyDescent="0.3">
      <c r="A100" s="2">
        <v>3</v>
      </c>
      <c r="C100" s="38" t="s">
        <v>41</v>
      </c>
      <c r="D100" s="42">
        <v>34710</v>
      </c>
      <c r="E100" s="63">
        <f t="shared" si="3"/>
        <v>114740</v>
      </c>
    </row>
    <row r="101" spans="1:7" x14ac:dyDescent="0.3">
      <c r="A101" s="2">
        <v>4</v>
      </c>
      <c r="C101" s="38" t="s">
        <v>42</v>
      </c>
      <c r="D101" s="42">
        <f>TRUNC(1205,-1)</f>
        <v>1200</v>
      </c>
      <c r="E101" s="63">
        <f t="shared" si="3"/>
        <v>3960</v>
      </c>
    </row>
    <row r="102" spans="1:7" x14ac:dyDescent="0.3">
      <c r="A102" s="2">
        <v>5</v>
      </c>
      <c r="C102" s="38" t="s">
        <v>43</v>
      </c>
      <c r="D102" s="42">
        <f>TRUNC(23277,-1)</f>
        <v>23270</v>
      </c>
      <c r="E102" s="63">
        <f t="shared" si="3"/>
        <v>76920</v>
      </c>
    </row>
    <row r="103" spans="1:7" x14ac:dyDescent="0.3">
      <c r="A103" s="2">
        <v>6</v>
      </c>
      <c r="C103" s="38" t="s">
        <v>44</v>
      </c>
      <c r="D103" s="42">
        <f>TRUNC(1206,-1)</f>
        <v>1200</v>
      </c>
      <c r="E103" s="63">
        <f t="shared" si="3"/>
        <v>3960</v>
      </c>
    </row>
    <row r="104" spans="1:7" x14ac:dyDescent="0.3">
      <c r="A104" s="2">
        <v>7</v>
      </c>
      <c r="C104" s="38" t="s">
        <v>45</v>
      </c>
      <c r="D104" s="42">
        <f>TRUNC(6916,-1)</f>
        <v>6910</v>
      </c>
      <c r="E104" s="63">
        <f t="shared" si="3"/>
        <v>22840</v>
      </c>
    </row>
    <row r="105" spans="1:7" x14ac:dyDescent="0.3">
      <c r="A105" s="2">
        <v>8</v>
      </c>
      <c r="C105" s="38" t="s">
        <v>46</v>
      </c>
      <c r="D105" s="42">
        <f>TRUNC(9418,-1)</f>
        <v>9410</v>
      </c>
      <c r="E105" s="63">
        <f t="shared" si="3"/>
        <v>31100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TRUNC(8964,-1)</f>
        <v>8960</v>
      </c>
      <c r="E114" s="63">
        <f t="shared" si="3"/>
        <v>29610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TRUNC(16088,-1)</f>
        <v>16080</v>
      </c>
      <c r="E116" s="63">
        <f t="shared" si="3"/>
        <v>53150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TRUNC(118059,-1)</f>
        <v>118050</v>
      </c>
      <c r="E117" s="63">
        <f t="shared" si="3"/>
        <v>390240</v>
      </c>
    </row>
    <row r="118" spans="1:7" ht="17.25" thickBot="1" x14ac:dyDescent="0.35">
      <c r="A118" s="2">
        <v>21</v>
      </c>
      <c r="C118" s="38" t="s">
        <v>47</v>
      </c>
      <c r="D118" s="43">
        <f>TRUNC(14036,-1)</f>
        <v>14030</v>
      </c>
      <c r="E118" s="64">
        <f t="shared" si="3"/>
        <v>46380</v>
      </c>
    </row>
    <row r="119" spans="1:7" x14ac:dyDescent="0.3">
      <c r="A119" s="2">
        <v>22</v>
      </c>
      <c r="C119" s="27" t="s">
        <v>112</v>
      </c>
      <c r="D119" s="39">
        <f>SUM(D98:D118)</f>
        <v>268630</v>
      </c>
      <c r="E119" s="39">
        <f>SUM(E98:E118)</f>
        <v>887970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TRUNC(14287,-1)</f>
        <v>14280</v>
      </c>
      <c r="E122" s="62">
        <f t="shared" ref="E122:E132" si="4">TRUNC(+D122*3.3058,-1)</f>
        <v>47200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TRUNC(2603,-1)</f>
        <v>2600</v>
      </c>
      <c r="E124" s="63">
        <f t="shared" si="4"/>
        <v>8590</v>
      </c>
    </row>
    <row r="125" spans="1:7" x14ac:dyDescent="0.3">
      <c r="A125" s="2">
        <v>4</v>
      </c>
      <c r="C125" s="38" t="s">
        <v>138</v>
      </c>
      <c r="D125" s="42">
        <f>TRUNC(7666,-1)</f>
        <v>7660</v>
      </c>
      <c r="E125" s="63">
        <f t="shared" si="4"/>
        <v>25320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7910</v>
      </c>
      <c r="E128" s="63">
        <f t="shared" si="4"/>
        <v>26140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TRUNC(37564,-1)</f>
        <v>37560</v>
      </c>
      <c r="E130" s="63">
        <f t="shared" si="4"/>
        <v>124160</v>
      </c>
    </row>
    <row r="131" spans="1:7" x14ac:dyDescent="0.3">
      <c r="A131" s="2">
        <v>10</v>
      </c>
      <c r="C131" s="38" t="s">
        <v>149</v>
      </c>
      <c r="D131" s="42">
        <v>24770</v>
      </c>
      <c r="E131" s="63">
        <f t="shared" si="4"/>
        <v>81880</v>
      </c>
    </row>
    <row r="132" spans="1:7" ht="18" thickBot="1" x14ac:dyDescent="0.35">
      <c r="A132" s="2">
        <v>11</v>
      </c>
      <c r="C132" s="38" t="s">
        <v>47</v>
      </c>
      <c r="D132" s="43">
        <f>TRUNC(4954+1603,-1)</f>
        <v>6550</v>
      </c>
      <c r="E132" s="64">
        <f t="shared" si="4"/>
        <v>21650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101330</v>
      </c>
      <c r="E133" s="39">
        <f>SUM(E122:E132)</f>
        <v>334940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TRUNC(131+3058+106,-1)</f>
        <v>3290</v>
      </c>
      <c r="E137" s="63">
        <f t="shared" si="5"/>
        <v>10870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f>TRUNC(3187,-1)</f>
        <v>3180</v>
      </c>
      <c r="E138" s="63">
        <f t="shared" si="5"/>
        <v>10510</v>
      </c>
    </row>
    <row r="139" spans="1:7" x14ac:dyDescent="0.3">
      <c r="A139" s="2">
        <v>4</v>
      </c>
      <c r="C139" s="38" t="s">
        <v>61</v>
      </c>
      <c r="D139" s="42">
        <f>TRUNC(4466,-1)</f>
        <v>4460</v>
      </c>
      <c r="E139" s="63">
        <f t="shared" si="5"/>
        <v>14740</v>
      </c>
    </row>
    <row r="140" spans="1:7" x14ac:dyDescent="0.3">
      <c r="A140" s="2">
        <v>5</v>
      </c>
      <c r="C140" s="38" t="s">
        <v>57</v>
      </c>
      <c r="D140" s="42">
        <f>TRUNC(1916,-1)</f>
        <v>1910</v>
      </c>
      <c r="E140" s="63">
        <f t="shared" si="5"/>
        <v>6310</v>
      </c>
    </row>
    <row r="141" spans="1:7" x14ac:dyDescent="0.3">
      <c r="A141" s="2">
        <v>6</v>
      </c>
      <c r="C141" s="38" t="s">
        <v>59</v>
      </c>
      <c r="D141" s="42">
        <f>TRUNC(34294,-1)</f>
        <v>34290</v>
      </c>
      <c r="E141" s="63">
        <f t="shared" si="5"/>
        <v>113350</v>
      </c>
    </row>
    <row r="142" spans="1:7" x14ac:dyDescent="0.3">
      <c r="A142" s="2">
        <v>7</v>
      </c>
      <c r="C142" s="38" t="s">
        <v>58</v>
      </c>
      <c r="D142" s="42">
        <f>TRUNC(7187,-1)</f>
        <v>7180</v>
      </c>
      <c r="E142" s="63">
        <f t="shared" si="5"/>
        <v>23730</v>
      </c>
    </row>
    <row r="143" spans="1:7" x14ac:dyDescent="0.3">
      <c r="A143" s="2">
        <v>8</v>
      </c>
      <c r="C143" s="38" t="s">
        <v>62</v>
      </c>
      <c r="D143" s="42">
        <f>TRUNC(3844,-1)</f>
        <v>3840</v>
      </c>
      <c r="E143" s="63">
        <f t="shared" si="5"/>
        <v>12690</v>
      </c>
    </row>
    <row r="144" spans="1:7" x14ac:dyDescent="0.3">
      <c r="A144" s="2">
        <v>9</v>
      </c>
      <c r="C144" s="38" t="s">
        <v>63</v>
      </c>
      <c r="D144" s="42">
        <f>TRUNC(18165,-1)</f>
        <v>18160</v>
      </c>
      <c r="E144" s="63">
        <f t="shared" si="5"/>
        <v>60030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76310</v>
      </c>
      <c r="E146" s="39">
        <f>SUM(E136:E145)</f>
        <v>252230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TRUNC(20598+2707,-1)</f>
        <v>23300</v>
      </c>
      <c r="E149" s="62">
        <f>TRUNC(+D149*3.3058,-1)</f>
        <v>77020</v>
      </c>
    </row>
    <row r="150" spans="1:7" x14ac:dyDescent="0.3">
      <c r="A150" s="2">
        <v>2</v>
      </c>
      <c r="C150" s="38" t="s">
        <v>49</v>
      </c>
      <c r="D150" s="42">
        <f>TRUNC(8549,-1)</f>
        <v>8540</v>
      </c>
      <c r="E150" s="63">
        <f>TRUNC(+D150*3.3058,-1)</f>
        <v>28230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TRUNC(1794+360+38507,-1)</f>
        <v>40660</v>
      </c>
      <c r="E152" s="63">
        <f>TRUNC(+D152*3.3058,-1)</f>
        <v>134410</v>
      </c>
      <c r="F152" s="2" t="s">
        <v>263</v>
      </c>
    </row>
    <row r="153" spans="1:7" ht="17.25" thickBot="1" x14ac:dyDescent="0.35">
      <c r="A153" s="2">
        <v>5</v>
      </c>
      <c r="C153" s="38" t="s">
        <v>149</v>
      </c>
      <c r="D153" s="43">
        <f>TRUNC(97767,-1)</f>
        <v>97760</v>
      </c>
      <c r="E153" s="64">
        <f>TRUNC(+D153*3.3058,-1)</f>
        <v>323170</v>
      </c>
    </row>
    <row r="154" spans="1:7" x14ac:dyDescent="0.3">
      <c r="A154" s="2">
        <v>6</v>
      </c>
      <c r="C154" s="27" t="s">
        <v>112</v>
      </c>
      <c r="D154" s="39">
        <f>SUM(D149:D153)</f>
        <v>170260</v>
      </c>
      <c r="E154" s="39">
        <f>SUM(E149:E153)</f>
        <v>562830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TRUNC(16578,-1)</f>
        <v>16570</v>
      </c>
      <c r="E157" s="62">
        <f>TRUNC(+D157*3.3058,-1)</f>
        <v>54770</v>
      </c>
    </row>
    <row r="158" spans="1:7" x14ac:dyDescent="0.3">
      <c r="A158" s="2">
        <v>2</v>
      </c>
      <c r="C158" s="38" t="s">
        <v>52</v>
      </c>
      <c r="D158" s="42">
        <f>TRUNC(2668,-1)</f>
        <v>2660</v>
      </c>
      <c r="E158" s="63">
        <f>TRUNC(+D158*3.3058,-1)</f>
        <v>8790</v>
      </c>
    </row>
    <row r="159" spans="1:7" x14ac:dyDescent="0.3">
      <c r="A159" s="2">
        <v>3</v>
      </c>
      <c r="C159" s="38" t="s">
        <v>47</v>
      </c>
      <c r="D159" s="42">
        <f>TRUNC(17147+989,-1)</f>
        <v>18130</v>
      </c>
      <c r="E159" s="63">
        <f>TRUNC(+D159*3.3058,-1)</f>
        <v>59930</v>
      </c>
      <c r="F159" s="2" t="s">
        <v>257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37360</v>
      </c>
      <c r="E161" s="39">
        <f>SUM(E157:E160)</f>
        <v>123490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2020-12-08T01:24:00Z</dcterms:modified>
</cp:coreProperties>
</file>