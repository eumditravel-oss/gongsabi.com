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58" i="4"/>
  <c r="D157" i="4"/>
  <c r="D152" i="4"/>
  <c r="D151" i="4"/>
  <c r="D150" i="4"/>
  <c r="D149" i="4"/>
  <c r="D144" i="4"/>
  <c r="D143" i="4"/>
  <c r="D139" i="4"/>
  <c r="D138" i="4"/>
  <c r="D141" i="4"/>
  <c r="D142" i="4"/>
  <c r="D140" i="4"/>
  <c r="D137" i="4"/>
  <c r="D132" i="4"/>
  <c r="D128" i="4"/>
  <c r="D127" i="4"/>
  <c r="D124" i="4"/>
  <c r="D125" i="4"/>
  <c r="D122" i="4"/>
  <c r="D130" i="4"/>
  <c r="D126" i="4"/>
  <c r="D118" i="4"/>
  <c r="D105" i="4"/>
  <c r="D104" i="4"/>
  <c r="D102" i="4"/>
  <c r="D101" i="4"/>
  <c r="D100" i="4"/>
  <c r="D99" i="4"/>
  <c r="D114" i="4"/>
  <c r="D98" i="4"/>
  <c r="D116" i="4"/>
  <c r="D91" i="4"/>
  <c r="D73" i="4"/>
  <c r="D72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3" i="4"/>
  <c r="D44" i="4"/>
  <c r="D41" i="4"/>
  <c r="D40" i="4"/>
  <c r="D145" i="4"/>
  <c r="D131" i="4"/>
  <c r="D117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95" i="4"/>
  <c r="E66" i="4"/>
  <c r="E60" i="4"/>
  <c r="E146" i="4"/>
  <c r="E133" i="4"/>
  <c r="E119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<sst xmlns="http://schemas.openxmlformats.org/spreadsheetml/2006/main" count="395" uniqueCount="268">
  <si>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</si>
  <si>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</si>
  <si>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</si>
  <si>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</si>
  <si>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</si>
  <si>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</si>
  <si>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</si>
  <si>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</si>
  <si>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</si>
  <si>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</si>
  <si>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</si>
  <si>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</si>
  <si>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</si>
  <si>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</si>
  <si>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</si>
  <si>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</si>
  <si>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</si>
  <si>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</si>
  <si>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</si>
  <si>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</si>
  <si>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</si>
  <si>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</si>
  <si>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</si>
  <si>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</si>
  <si>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</si>
  <si>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</si>
  <si>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</si>
  <si>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</si>
  <si>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</si>
  <si>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</si>
  <si>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</si>
  <si>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</si>
  <si>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</si>
  <si>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</si>
  <si>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</si>
  <si>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</si>
  <si>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</si>
  <si>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</si>
  <si>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</si>
  <si>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</si>
  <si>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</si>
  <si>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</si>
  <si>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</si>
  <si>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</si>
  <si>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</si>
  <si>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</si>
  <si>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</si>
  <si>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</si>
  <si>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</si>
  <si>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</si>
  <si>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</si>
  <si>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</si>
  <si>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</si>
  <si>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</si>
  <si>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</si>
  <si>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</si>
  <si>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</si>
  <si>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</si>
  <si>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</si>
  <si>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</si>
  <si>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</si>
  <si>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</si>
  <si>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</si>
  <si>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</si>
  <si>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</si>
  <si>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</si>
  <si>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</si>
  <si>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</si>
  <si>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</si>
  <si>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</si>
  <si>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</si>
  <si>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</si>
  <si>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</si>
  <si>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</si>
  <si>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</si>
  <si>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</si>
  <si>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</si>
  <si>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</si>
  <si>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</si>
  <si>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</si>
  <si>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</si>
  <si>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</si>
  <si>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</si>
  <si>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</si>
  <si>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</si>
  <si>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</si>
  <si>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</si>
  <si>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</si>
  <si>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</si>
  <si>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</si>
  <si>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</si>
  <si>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</si>
  <si>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</si>
  <si>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</si>
  <si>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</si>
  <si>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</si>
  <si>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</si>
  <si>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</si>
  <si>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</si>
  <si>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</si>
  <si>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</si>
  <si>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</si>
  <si>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</si>
  <si>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</si>
  <si>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</si>
  <si>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</si>
  <si>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</si>
  <si>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</si>
  <si>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</si>
  <si>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</si>
  <si>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</si>
  <si>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</si>
  <si>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</si>
  <si>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</si>
  <si>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</si>
  <si>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</si>
  <si>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</si>
  <si>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</si>
  <si>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</si>
  <si>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</si>
  <si>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</si>
  <si>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</si>
  <si>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</si>
  <si>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</si>
  <si>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</si>
  <si>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</si>
  <si>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</si>
  <si>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</si>
  <si>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</si>
  <si>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</si>
  <si>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</si>
  <si>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</si>
  <si>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</si>
  <si>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</si>
  <si>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</si>
  <si>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</si>
  <si>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</si>
  <si>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</si>
  <si>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</si>
  <si>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</si>
  <si>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</si>
  <si>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</si>
  <si>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</si>
  <si>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</si>
  <si>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</si>
  <si>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</si>
  <si>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</si>
  <si>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</si>
  <si>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</si>
  <si>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</si>
  <si>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</si>
  <si>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</si>
  <si>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</si>
  <si>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</si>
  <si>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</si>
  <si>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</si>
  <si>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</si>
  <si>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</si>
  <si>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</si>
  <si>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</si>
  <si>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</si>
  <si>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</si>
  <si>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</si>
  <si>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</si>
  <si>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</si>
  <si>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</si>
  <si>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</si>
  <si>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</si>
  <si>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</si>
  <si>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</si>
  <si>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</si>
  <si>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</si>
  <si>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</si>
  <si>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</si>
  <si>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</si>
  <si>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</si>
  <si>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</si>
  <si>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</si>
  <si>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</si>
  <si>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</si>
  <si>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</si>
  <si>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</si>
  <si>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</si>
  <si>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</si>
  <si>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</si>
  <si>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</si>
  <si>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</si>
  <si>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</si>
  <si>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</si>
  <si>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</si>
  <si>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</si>
  <si>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</si>
  <si>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</si>
  <si>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</si>
  <si>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</si>
  <si>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</si>
  <si>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</si>
  <si>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</si>
  <si>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</si>
  <si>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</si>
  <si>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</si>
  <si>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</si>
  <si>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</si>
  <si>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</si>
  <si>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</si>
  <si>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</si>
  <si>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</si>
  <si>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</si>
  <si>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</si>
  <si>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</si>
  <si>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</si>
  <si>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</si>
  <si>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</si>
  <si>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</si>
  <si>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</si>
  <si>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</si>
  <si>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</si>
  <si>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</si>
  <si>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</si>
  <si>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</si>
  <si>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</si>
  <si>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</si>
  <si>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</si>
  <si>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</si>
  <si>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</si>
  <si>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</si>
  <si>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</si>
  <si>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</si>
  <si>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</si>
  <si>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</si>
  <si>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</si>
  <si>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</si>
  <si>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</si>
  <si>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</si>
  <si>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</si>
  <si>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</si>
  <si>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</si>
  <si>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</si>
  <si>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</si>
  <si>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</si>
  <si>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</si>
  <si>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</si>
  <si>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</si>
  <si>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</si>
  <si>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</si>
  <si>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</si>
  <si>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</si>
  <si>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</si>
  <si>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황악산 하야로비공원 신축공사</t>
    <phoneticPr fontId="2" type="noConversion"/>
  </si>
  <si>
    <t>문화및집회</t>
  </si>
  <si>
    <t>경상도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</si>
  <si>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</si>
  <si>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</si>
  <si>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</si>
  <si>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</si>
  <si>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</si>
  <si>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</si>
  <si>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</si>
  <si>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</si>
  <si>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</si>
  <si>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</si>
  <si>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</si>
  <si>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포장공사</t>
    <phoneticPr fontId="2" type="noConversion"/>
  </si>
  <si>
    <t>조경시설물</t>
    <phoneticPr fontId="2" type="noConversion"/>
  </si>
  <si>
    <t>공조배관공사,난방배관공사,기타공사, 바닥난방공사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</si>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</sst>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11093.72</v>
      </c>
      <c r="D7" s="36">
        <f>+C7/3.3058</f>
        <v>3355.8351987416054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2223120</v>
      </c>
      <c r="E25" s="59">
        <f t="shared" si="0"/>
        <v>7349190</v>
      </c>
    </row>
    <row r="26" spans="1:5" x14ac:dyDescent="0.3">
      <c r="B26" s="2">
        <v>3</v>
      </c>
      <c r="C26" s="35" t="s">
        <v>95</v>
      </c>
      <c r="D26" s="45">
        <f>+D66</f>
        <v>72230</v>
      </c>
      <c r="E26" s="59">
        <f t="shared" si="0"/>
        <v>238770</v>
      </c>
    </row>
    <row r="27" spans="1:5" x14ac:dyDescent="0.3">
      <c r="B27" s="2">
        <v>4</v>
      </c>
      <c r="C27" s="35" t="s">
        <v>96</v>
      </c>
      <c r="D27" s="45">
        <f>+D95</f>
        <v>117670</v>
      </c>
      <c r="E27" s="59">
        <f t="shared" si="0"/>
        <v>388990</v>
      </c>
    </row>
    <row r="28" spans="1:5" x14ac:dyDescent="0.3">
      <c r="B28" s="2">
        <v>5</v>
      </c>
      <c r="C28" s="35" t="s">
        <v>97</v>
      </c>
      <c r="D28" s="45">
        <f>+D119</f>
        <v>364110</v>
      </c>
      <c r="E28" s="59">
        <f t="shared" si="0"/>
        <v>1203670</v>
      </c>
    </row>
    <row r="29" spans="1:5" x14ac:dyDescent="0.3">
      <c r="B29" s="2">
        <v>6</v>
      </c>
      <c r="C29" s="35" t="s">
        <v>98</v>
      </c>
      <c r="D29" s="45">
        <f>+D133</f>
        <v>166520</v>
      </c>
      <c r="E29" s="59">
        <f t="shared" si="0"/>
        <v>550480</v>
      </c>
    </row>
    <row r="30" spans="1:5" x14ac:dyDescent="0.3">
      <c r="B30" s="2">
        <v>7</v>
      </c>
      <c r="C30" s="35" t="s">
        <v>99</v>
      </c>
      <c r="D30" s="45">
        <f>+D146</f>
        <v>100320</v>
      </c>
      <c r="E30" s="59">
        <f t="shared" si="0"/>
        <v>331630</v>
      </c>
    </row>
    <row r="31" spans="1:5" x14ac:dyDescent="0.3">
      <c r="B31" s="2">
        <v>8</v>
      </c>
      <c r="C31" s="35" t="s">
        <v>100</v>
      </c>
      <c r="D31" s="45">
        <f>+D154</f>
        <v>64800</v>
      </c>
      <c r="E31" s="59">
        <f t="shared" si="0"/>
        <v>214210</v>
      </c>
    </row>
    <row r="32" spans="1:5" x14ac:dyDescent="0.3">
      <c r="B32" s="2">
        <v>9</v>
      </c>
      <c r="C32" s="35" t="s">
        <v>101</v>
      </c>
      <c r="D32" s="45">
        <f>+D161</f>
        <v>206560</v>
      </c>
      <c r="E32" s="59">
        <f t="shared" si="0"/>
        <v>682840</v>
      </c>
    </row>
    <row r="33" spans="1:7" x14ac:dyDescent="0.3">
      <c r="B33" s="2">
        <v>10</v>
      </c>
      <c r="C33" s="35" t="s">
        <v>154</v>
      </c>
      <c r="D33" s="53">
        <f>TRUNC(SUM(D24:D32)*0.275,-1)</f>
        <v>911710</v>
      </c>
      <c r="E33" s="60">
        <f t="shared" si="0"/>
        <v>3013930</v>
      </c>
    </row>
    <row r="34" spans="1:7" x14ac:dyDescent="0.3">
      <c r="C34" s="35" t="s">
        <v>112</v>
      </c>
      <c r="D34" s="44">
        <f>SUM(D24:D33)</f>
        <v>4227040</v>
      </c>
      <c r="E34" s="44">
        <f>SUM(E24:E33)</f>
        <v>13973710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237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TRUNC(94095,-1)</f>
        <v>94090</v>
      </c>
      <c r="E40" s="62">
        <f t="shared" ref="E40:E59" si="1">TRUNC(+D40*3.3058,-1)</f>
        <v>311040</v>
      </c>
    </row>
    <row r="41" spans="1:7" x14ac:dyDescent="0.3">
      <c r="A41" s="2">
        <v>2</v>
      </c>
      <c r="C41" s="38" t="s">
        <v>13</v>
      </c>
      <c r="D41" s="42">
        <f>TRUNC(147763,-1)</f>
        <v>147760</v>
      </c>
      <c r="E41" s="63">
        <f t="shared" si="1"/>
        <v>488460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TRUNC(11396,-1)</f>
        <v>11390</v>
      </c>
      <c r="E43" s="63">
        <f t="shared" si="1"/>
        <v>37650</v>
      </c>
    </row>
    <row r="44" spans="1:7" x14ac:dyDescent="0.3">
      <c r="A44" s="2">
        <v>5</v>
      </c>
      <c r="C44" s="38" t="s">
        <v>17</v>
      </c>
      <c r="D44" s="42">
        <f>TRUNC(35463,-1)</f>
        <v>35460</v>
      </c>
      <c r="E44" s="63">
        <f t="shared" si="1"/>
        <v>117220</v>
      </c>
    </row>
    <row r="45" spans="1:7" x14ac:dyDescent="0.3">
      <c r="A45" s="2">
        <v>6</v>
      </c>
      <c r="C45" s="38" t="s">
        <v>18</v>
      </c>
      <c r="D45" s="42">
        <f>TRUNC(10860,-1)</f>
        <v>10860</v>
      </c>
      <c r="E45" s="63">
        <f t="shared" si="1"/>
        <v>35900</v>
      </c>
    </row>
    <row r="46" spans="1:7" x14ac:dyDescent="0.3">
      <c r="A46" s="2">
        <v>7</v>
      </c>
      <c r="C46" s="38" t="s">
        <v>19</v>
      </c>
      <c r="D46" s="42">
        <f>TRUNC(29758,-1)</f>
        <v>29750</v>
      </c>
      <c r="E46" s="63">
        <f t="shared" si="1"/>
        <v>98340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TRUNC(166019,-1)</f>
        <v>166010</v>
      </c>
      <c r="E48" s="63">
        <f t="shared" si="1"/>
        <v>548790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TRUNC(19118,-1)</f>
        <v>19110</v>
      </c>
      <c r="E49" s="63">
        <f t="shared" si="1"/>
        <v>63170</v>
      </c>
    </row>
    <row r="50" spans="1:7" x14ac:dyDescent="0.3">
      <c r="A50" s="2">
        <v>11</v>
      </c>
      <c r="C50" s="38" t="s">
        <v>155</v>
      </c>
      <c r="D50" s="42">
        <f>TRUNC(200623,-1)</f>
        <v>200620</v>
      </c>
      <c r="E50" s="63">
        <f t="shared" si="1"/>
        <v>663200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TRUNC(10150,-1)</f>
        <v>10150</v>
      </c>
      <c r="E52" s="63">
        <f t="shared" si="1"/>
        <v>33550</v>
      </c>
    </row>
    <row r="53" spans="1:7" x14ac:dyDescent="0.3">
      <c r="A53" s="2">
        <v>14</v>
      </c>
      <c r="C53" s="38" t="s">
        <v>25</v>
      </c>
      <c r="D53" s="42">
        <f>TRUNC(735163,-1)</f>
        <v>735160</v>
      </c>
      <c r="E53" s="63">
        <f t="shared" si="1"/>
        <v>2430290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TRUNC(24576+22095-224+85588,-1)</f>
        <v>132030</v>
      </c>
      <c r="E58" s="63">
        <f t="shared" si="1"/>
        <v>436460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TRUNC(630730,-1)</f>
        <v>630730</v>
      </c>
      <c r="E59" s="64">
        <f t="shared" si="1"/>
        <v>2085060</v>
      </c>
    </row>
    <row r="60" spans="1:7" x14ac:dyDescent="0.3">
      <c r="A60" s="2">
        <v>21</v>
      </c>
      <c r="C60" s="27" t="s">
        <v>112</v>
      </c>
      <c r="D60" s="39">
        <f>SUM(D40:D59)</f>
        <v>2223120</v>
      </c>
      <c r="E60" s="39">
        <f>SUM(E40:E59)</f>
        <v>7349130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TRUNC(42770,-1)</f>
        <v>42770</v>
      </c>
      <c r="E63" s="62">
        <f>TRUNC(+D63*3.3058,-1)</f>
        <v>141380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TRUNC(29463,-1)</f>
        <v>29460</v>
      </c>
      <c r="E65" s="64">
        <f>TRUNC(+D65*3.3058,-1)</f>
        <v>97380</v>
      </c>
    </row>
    <row r="66" spans="1:7" x14ac:dyDescent="0.3">
      <c r="A66" s="2">
        <v>4</v>
      </c>
      <c r="C66" s="27" t="s">
        <v>112</v>
      </c>
      <c r="D66" s="39">
        <f>SUM(D63:D65)</f>
        <v>72230</v>
      </c>
      <c r="E66" s="65">
        <f>SUM(E63:E65)</f>
        <v>238760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TRUNC(23823,-1)</f>
        <v>23820</v>
      </c>
      <c r="E69" s="62">
        <f t="shared" ref="E69:E94" si="2">TRUNC(+D69*3.3058,-1)</f>
        <v>78740</v>
      </c>
    </row>
    <row r="70" spans="1:7" ht="16.5" customHeight="1" x14ac:dyDescent="0.3">
      <c r="A70" s="2">
        <v>2</v>
      </c>
      <c r="C70" s="38" t="s">
        <v>31</v>
      </c>
      <c r="D70" s="42">
        <f>TRUNC(5616,-1)</f>
        <v>5610</v>
      </c>
      <c r="E70" s="63">
        <f t="shared" si="2"/>
        <v>18540</v>
      </c>
    </row>
    <row r="71" spans="1:7" x14ac:dyDescent="0.3">
      <c r="A71" s="2">
        <v>3</v>
      </c>
      <c r="C71" s="38" t="s">
        <v>32</v>
      </c>
      <c r="D71" s="42">
        <f>TRUNC(17002,-1)</f>
        <v>17000</v>
      </c>
      <c r="E71" s="63">
        <f t="shared" si="2"/>
        <v>56190</v>
      </c>
    </row>
    <row r="72" spans="1:7" x14ac:dyDescent="0.3">
      <c r="A72" s="2">
        <v>4</v>
      </c>
      <c r="C72" s="38" t="s">
        <v>33</v>
      </c>
      <c r="D72" s="42">
        <f>TRUNC(496,-1)</f>
        <v>490</v>
      </c>
      <c r="E72" s="63">
        <f t="shared" si="2"/>
        <v>1610</v>
      </c>
    </row>
    <row r="73" spans="1:7" x14ac:dyDescent="0.3">
      <c r="A73" s="2">
        <v>5</v>
      </c>
      <c r="C73" s="38" t="s">
        <v>34</v>
      </c>
      <c r="D73" s="42">
        <f>TRUNC(25935,-1)</f>
        <v>25930</v>
      </c>
      <c r="E73" s="63">
        <f t="shared" si="2"/>
        <v>85710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TRUNC(9871,-1)</f>
        <v>9870</v>
      </c>
      <c r="E91" s="63">
        <f t="shared" si="2"/>
        <v>32620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TRUNC(22454+5568+6657+275,-1)</f>
        <v>34950</v>
      </c>
      <c r="E94" s="64">
        <f t="shared" si="2"/>
        <v>115530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117670</v>
      </c>
      <c r="E95" s="39">
        <f>SUM(E69:E94)</f>
        <v>388940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TRUNC(53070,-1)</f>
        <v>53070</v>
      </c>
      <c r="E98" s="62">
        <f t="shared" ref="E98:E118" si="3">TRUNC(+D98*3.3058,-1)</f>
        <v>175430</v>
      </c>
    </row>
    <row r="99" spans="1:7" x14ac:dyDescent="0.3">
      <c r="A99" s="2">
        <v>2</v>
      </c>
      <c r="C99" s="38" t="s">
        <v>40</v>
      </c>
      <c r="D99" s="42">
        <f>TRUNC(37788,-1)</f>
        <v>37780</v>
      </c>
      <c r="E99" s="63">
        <f t="shared" si="3"/>
        <v>124890</v>
      </c>
    </row>
    <row r="100" spans="1:7" x14ac:dyDescent="0.3">
      <c r="A100" s="2">
        <v>3</v>
      </c>
      <c r="C100" s="38" t="s">
        <v>41</v>
      </c>
      <c r="D100" s="42">
        <f>TRUNC(27692,-1)</f>
        <v>27690</v>
      </c>
      <c r="E100" s="63">
        <f t="shared" si="3"/>
        <v>91530</v>
      </c>
    </row>
    <row r="101" spans="1:7" x14ac:dyDescent="0.3">
      <c r="A101" s="2">
        <v>4</v>
      </c>
      <c r="C101" s="38" t="s">
        <v>42</v>
      </c>
      <c r="D101" s="42">
        <f>TRUNC(3568,-1)</f>
        <v>3560</v>
      </c>
      <c r="E101" s="63">
        <f t="shared" si="3"/>
        <v>11760</v>
      </c>
    </row>
    <row r="102" spans="1:7" x14ac:dyDescent="0.3">
      <c r="A102" s="2">
        <v>5</v>
      </c>
      <c r="C102" s="38" t="s">
        <v>43</v>
      </c>
      <c r="D102" s="42">
        <f>TRUNC(14186,-1)</f>
        <v>14180</v>
      </c>
      <c r="E102" s="63">
        <f t="shared" si="3"/>
        <v>46870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TRUNC(3304,-1)</f>
        <v>3300</v>
      </c>
      <c r="E104" s="63">
        <f t="shared" si="3"/>
        <v>10900</v>
      </c>
    </row>
    <row r="105" spans="1:7" x14ac:dyDescent="0.3">
      <c r="A105" s="2">
        <v>8</v>
      </c>
      <c r="C105" s="38" t="s">
        <v>46</v>
      </c>
      <c r="D105" s="42">
        <f>TRUNC(6390,-1)</f>
        <v>6390</v>
      </c>
      <c r="E105" s="63">
        <f t="shared" si="3"/>
        <v>21120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TRUNC(14293,-1)</f>
        <v>14290</v>
      </c>
      <c r="E114" s="63">
        <f t="shared" si="3"/>
        <v>47230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TRUNC(23394,-1)</f>
        <v>23390</v>
      </c>
      <c r="E116" s="63">
        <f t="shared" si="3"/>
        <v>77320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TRUNC(180379,-1)</f>
        <v>180370</v>
      </c>
      <c r="E117" s="63">
        <f t="shared" si="3"/>
        <v>596260</v>
      </c>
    </row>
    <row r="118" spans="1:7" ht="17.25" thickBot="1" x14ac:dyDescent="0.35">
      <c r="A118" s="2">
        <v>21</v>
      </c>
      <c r="C118" s="38" t="s">
        <v>47</v>
      </c>
      <c r="D118" s="43">
        <f>TRUNC(90,-1)</f>
        <v>90</v>
      </c>
      <c r="E118" s="64">
        <f t="shared" si="3"/>
        <v>290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364110</v>
      </c>
      <c r="E119" s="39">
        <f>SUM(E98:E118)</f>
        <v>1203600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TRUNC(6377,-1)</f>
        <v>6370</v>
      </c>
      <c r="E122" s="62">
        <f t="shared" ref="E122:E132" si="4">TRUNC(+D122*3.3058,-1)</f>
        <v>21050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TRUNC(384,-1)</f>
        <v>380</v>
      </c>
      <c r="E124" s="63">
        <f t="shared" si="4"/>
        <v>1250</v>
      </c>
    </row>
    <row r="125" spans="1:7" x14ac:dyDescent="0.3">
      <c r="A125" s="2">
        <v>4</v>
      </c>
      <c r="C125" s="38" t="s">
        <v>138</v>
      </c>
      <c r="D125" s="42">
        <f>TRUNC(4752,-1)</f>
        <v>4750</v>
      </c>
      <c r="E125" s="63">
        <f t="shared" si="4"/>
        <v>15700</v>
      </c>
    </row>
    <row r="126" spans="1:7" x14ac:dyDescent="0.3">
      <c r="A126" s="2">
        <v>5</v>
      </c>
      <c r="C126" s="38" t="s">
        <v>53</v>
      </c>
      <c r="D126" s="42">
        <f>TRUNC(17223,-1)</f>
        <v>17220</v>
      </c>
      <c r="E126" s="63">
        <f t="shared" si="4"/>
        <v>56920</v>
      </c>
    </row>
    <row r="127" spans="1:7" x14ac:dyDescent="0.3">
      <c r="A127" s="2">
        <v>6</v>
      </c>
      <c r="C127" s="38" t="s">
        <v>56</v>
      </c>
      <c r="D127" s="42">
        <f>TRUNC(5566,-1)</f>
        <v>5560</v>
      </c>
      <c r="E127" s="63">
        <f t="shared" si="4"/>
        <v>18380</v>
      </c>
    </row>
    <row r="128" spans="1:7" x14ac:dyDescent="0.3">
      <c r="A128" s="2">
        <v>7</v>
      </c>
      <c r="C128" s="38" t="s">
        <v>46</v>
      </c>
      <c r="D128" s="42">
        <f>TRUNC(4803,-1)</f>
        <v>4800</v>
      </c>
      <c r="E128" s="63">
        <f t="shared" si="4"/>
        <v>15860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TRUNC(13536,-1)</f>
        <v>13530</v>
      </c>
      <c r="E130" s="63">
        <f t="shared" si="4"/>
        <v>44720</v>
      </c>
    </row>
    <row r="131" spans="1:7" x14ac:dyDescent="0.3">
      <c r="A131" s="2">
        <v>10</v>
      </c>
      <c r="C131" s="38" t="s">
        <v>148</v>
      </c>
      <c r="D131" s="42">
        <f>TRUNC(89749,-1)</f>
        <v>89740</v>
      </c>
      <c r="E131" s="63">
        <f t="shared" si="4"/>
        <v>296660</v>
      </c>
    </row>
    <row r="132" spans="1:7" ht="18" thickBot="1" x14ac:dyDescent="0.35">
      <c r="A132" s="2">
        <v>11</v>
      </c>
      <c r="C132" s="38" t="s">
        <v>47</v>
      </c>
      <c r="D132" s="43">
        <f>TRUNC(11864+12309,-1)</f>
        <v>24170</v>
      </c>
      <c r="E132" s="64">
        <f t="shared" si="4"/>
        <v>79900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166520</v>
      </c>
      <c r="E133" s="39">
        <f>SUM(E122:E132)</f>
        <v>550440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TRUNC(3771+4027+3878,-1)</f>
        <v>11670</v>
      </c>
      <c r="E137" s="63">
        <f t="shared" si="5"/>
        <v>38570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f>TRUNC(29127,-1)</f>
        <v>29120</v>
      </c>
      <c r="E138" s="63">
        <f t="shared" si="5"/>
        <v>96260</v>
      </c>
    </row>
    <row r="139" spans="1:7" x14ac:dyDescent="0.3">
      <c r="A139" s="2">
        <v>4</v>
      </c>
      <c r="C139" s="38" t="s">
        <v>61</v>
      </c>
      <c r="D139" s="42">
        <f>TRUNC(3264,-1)</f>
        <v>3260</v>
      </c>
      <c r="E139" s="63">
        <f t="shared" si="5"/>
        <v>10770</v>
      </c>
    </row>
    <row r="140" spans="1:7" x14ac:dyDescent="0.3">
      <c r="A140" s="2">
        <v>5</v>
      </c>
      <c r="C140" s="38" t="s">
        <v>57</v>
      </c>
      <c r="D140" s="42">
        <f>TRUNC(3294,-1)</f>
        <v>3290</v>
      </c>
      <c r="E140" s="63">
        <f t="shared" si="5"/>
        <v>10870</v>
      </c>
    </row>
    <row r="141" spans="1:7" x14ac:dyDescent="0.3">
      <c r="A141" s="2">
        <v>6</v>
      </c>
      <c r="C141" s="38" t="s">
        <v>59</v>
      </c>
      <c r="D141" s="42">
        <f>TRUNC(17356,-1)</f>
        <v>17350</v>
      </c>
      <c r="E141" s="63">
        <f t="shared" si="5"/>
        <v>57350</v>
      </c>
    </row>
    <row r="142" spans="1:7" x14ac:dyDescent="0.3">
      <c r="A142" s="2">
        <v>7</v>
      </c>
      <c r="C142" s="38" t="s">
        <v>58</v>
      </c>
      <c r="D142" s="42">
        <f>TRUNC(5674,-1)</f>
        <v>5670</v>
      </c>
      <c r="E142" s="63">
        <f t="shared" si="5"/>
        <v>18740</v>
      </c>
    </row>
    <row r="143" spans="1:7" x14ac:dyDescent="0.3">
      <c r="A143" s="2">
        <v>8</v>
      </c>
      <c r="C143" s="38" t="s">
        <v>62</v>
      </c>
      <c r="D143" s="42">
        <f>TRUNC(5237,-1)</f>
        <v>5230</v>
      </c>
      <c r="E143" s="63">
        <f t="shared" si="5"/>
        <v>17280</v>
      </c>
    </row>
    <row r="144" spans="1:7" x14ac:dyDescent="0.3">
      <c r="A144" s="2">
        <v>9</v>
      </c>
      <c r="C144" s="38" t="s">
        <v>63</v>
      </c>
      <c r="D144" s="42">
        <f>TRUNC(20175,-1)</f>
        <v>20170</v>
      </c>
      <c r="E144" s="63">
        <f t="shared" si="5"/>
        <v>66670</v>
      </c>
    </row>
    <row r="145" spans="1:7" ht="17.25" thickBot="1" x14ac:dyDescent="0.35">
      <c r="A145" s="2">
        <v>10</v>
      </c>
      <c r="C145" s="38" t="s">
        <v>148</v>
      </c>
      <c r="D145" s="43">
        <f>TRUNC(4566,-1)</f>
        <v>4560</v>
      </c>
      <c r="E145" s="64">
        <f t="shared" si="5"/>
        <v>15070</v>
      </c>
    </row>
    <row r="146" spans="1:7" x14ac:dyDescent="0.3">
      <c r="A146" s="2">
        <v>11</v>
      </c>
      <c r="C146" s="27" t="s">
        <v>112</v>
      </c>
      <c r="D146" s="39">
        <f>SUM(D136:D145)</f>
        <v>100320</v>
      </c>
      <c r="E146" s="39">
        <f>SUM(E136:E145)</f>
        <v>331580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TRUNC(20512+9596,-1)</f>
        <v>30100</v>
      </c>
      <c r="E149" s="62">
        <f>TRUNC(+D149*3.3058,-1)</f>
        <v>99500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TRUNC(193,-1)</f>
        <v>190</v>
      </c>
      <c r="E150" s="63">
        <f>TRUNC(+D150*3.3058,-1)</f>
        <v>620</v>
      </c>
    </row>
    <row r="151" spans="1:7" x14ac:dyDescent="0.3">
      <c r="A151" s="2">
        <v>3</v>
      </c>
      <c r="C151" s="38" t="s">
        <v>50</v>
      </c>
      <c r="D151" s="42">
        <f>TRUNC(3121,-1)</f>
        <v>3120</v>
      </c>
      <c r="E151" s="63">
        <f>TRUNC(+D151*3.3058,-1)</f>
        <v>10310</v>
      </c>
    </row>
    <row r="152" spans="1:7" x14ac:dyDescent="0.3">
      <c r="A152" s="2">
        <v>4</v>
      </c>
      <c r="C152" s="38" t="s">
        <v>47</v>
      </c>
      <c r="D152" s="42">
        <f>TRUNC(3097+21591+593+6114,-1)</f>
        <v>31390</v>
      </c>
      <c r="E152" s="63">
        <f>TRUNC(+D152*3.3058,-1)</f>
        <v>103760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64800</v>
      </c>
      <c r="E154" s="39">
        <f>SUM(E149:E153)</f>
        <v>214190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TRUNC(144580,-1)</f>
        <v>144580</v>
      </c>
      <c r="E157" s="62">
        <f>TRUNC(+D157*3.3058,-1)</f>
        <v>477950</v>
      </c>
    </row>
    <row r="158" spans="1:7" x14ac:dyDescent="0.3">
      <c r="A158" s="2">
        <v>2</v>
      </c>
      <c r="C158" s="38" t="s">
        <v>52</v>
      </c>
      <c r="D158" s="42">
        <f>TRUNC(38885,-1)</f>
        <v>38880</v>
      </c>
      <c r="E158" s="63">
        <f>TRUNC(+D158*3.3058,-1)</f>
        <v>128520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TRUNC(23105,-1)</f>
        <v>23100</v>
      </c>
      <c r="E159" s="63">
        <f>TRUNC(+D159*3.3058,-1)</f>
        <v>76360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206560</v>
      </c>
      <c r="E161" s="39">
        <f>SUM(E157:E160)</f>
        <v>682830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2020-12-08T01:52:58Z</dcterms:modified>
</cp:coreProperties>
</file>