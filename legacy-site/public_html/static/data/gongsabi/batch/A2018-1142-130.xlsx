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2" i="4" l="1"/>
  <c r="D158" i="4" l="1"/>
  <c r="D157" i="4"/>
  <c r="D151" i="4"/>
  <c r="D150" i="4"/>
  <c r="D149" i="4"/>
  <c r="D137" i="4"/>
  <c r="D144" i="4"/>
  <c r="D143" i="4"/>
  <c r="D139" i="4"/>
  <c r="D141" i="4"/>
  <c r="D142" i="4"/>
  <c r="D140" i="4"/>
  <c r="D128" i="4"/>
  <c r="D124" i="4"/>
  <c r="D125" i="4"/>
  <c r="D122" i="4"/>
  <c r="D130" i="4"/>
  <c r="D118" i="4"/>
  <c r="D105" i="4"/>
  <c r="D104" i="4"/>
  <c r="D103" i="4"/>
  <c r="D102" i="4"/>
  <c r="D100" i="4"/>
  <c r="D99" i="4"/>
  <c r="D98" i="4"/>
  <c r="D114" i="4"/>
  <c r="D116" i="4"/>
  <c r="D92" i="4"/>
  <c r="D91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60" i="4"/>
  <c r="D153" i="4"/>
  <c r="D117" i="4"/>
  <c r="D93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46" i="4" l="1"/>
  <c r="E133" i="4"/>
  <c r="E119" i="4"/>
  <c r="E95" i="4"/>
  <c r="E60" i="4"/>
  <c r="E154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<sst xmlns="http://schemas.openxmlformats.org/spreadsheetml/2006/main" count="393" uniqueCount="269">
  <si>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</si>
  <si>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</si>
  <si>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</si>
  <si>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</si>
  <si>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</si>
  <si>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</si>
  <si>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</si>
  <si>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</si>
  <si>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</si>
  <si>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</si>
  <si>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</si>
  <si>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</si>
  <si>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</si>
  <si>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</si>
  <si>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</si>
  <si>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</si>
  <si>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</si>
  <si>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</si>
  <si>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</si>
  <si>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</si>
  <si>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</si>
  <si>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</si>
  <si>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</si>
  <si>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</si>
  <si>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</si>
  <si>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</si>
  <si>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</si>
  <si>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</si>
  <si>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</si>
  <si>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</si>
  <si>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</si>
  <si>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</si>
  <si>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</si>
  <si>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</si>
  <si>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</si>
  <si>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</si>
  <si>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</si>
  <si>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</si>
  <si>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</si>
  <si>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</si>
  <si>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</si>
  <si>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</si>
  <si>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</si>
  <si>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</si>
  <si>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</si>
  <si>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</si>
  <si>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</si>
  <si>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</si>
  <si>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</si>
  <si>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</si>
  <si>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</si>
  <si>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</si>
  <si>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</si>
  <si>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</si>
  <si>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</si>
  <si>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</si>
  <si>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</si>
  <si>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</si>
  <si>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</si>
  <si>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</si>
  <si>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</si>
  <si>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</si>
  <si>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</si>
  <si>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</si>
  <si>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</si>
  <si>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</si>
  <si>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</si>
  <si>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</si>
  <si>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</si>
  <si>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</si>
  <si>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</si>
  <si>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</si>
  <si>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</si>
  <si>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</si>
  <si>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</si>
  <si>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</si>
  <si>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</si>
  <si>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</si>
  <si>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</si>
  <si>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</si>
  <si>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</si>
  <si>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</si>
  <si>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</si>
  <si>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</si>
  <si>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</si>
  <si>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</si>
  <si>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</si>
  <si>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</si>
  <si>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</si>
  <si>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</si>
  <si>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</si>
  <si>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</si>
  <si>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</si>
  <si>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</si>
  <si>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</si>
  <si>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</si>
  <si>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</si>
  <si>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</si>
  <si>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</si>
  <si>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</si>
  <si>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</si>
  <si>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</si>
  <si>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</si>
  <si>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</si>
  <si>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</si>
  <si>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</si>
  <si>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</si>
  <si>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</si>
  <si>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</si>
  <si>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</si>
  <si>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</si>
  <si>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</si>
  <si>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</si>
  <si>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</si>
  <si>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</si>
  <si>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</si>
  <si>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</si>
  <si>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</si>
  <si>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</si>
  <si>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</si>
  <si>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</si>
  <si>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</si>
  <si>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</si>
  <si>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</si>
  <si>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</si>
  <si>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</si>
  <si>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</si>
  <si>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</si>
  <si>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</si>
  <si>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</si>
  <si>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</si>
  <si>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</si>
  <si>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</si>
  <si>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</si>
  <si>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</si>
  <si>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</si>
  <si>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</si>
  <si>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</si>
  <si>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</si>
  <si>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</si>
  <si>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</si>
  <si>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</si>
  <si>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</si>
  <si>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</si>
  <si>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</si>
  <si>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</si>
  <si>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</si>
  <si>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</si>
  <si>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</si>
  <si>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</si>
  <si>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</si>
  <si>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</si>
  <si>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</si>
  <si>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</si>
  <si>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</si>
  <si>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</si>
  <si>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</si>
  <si>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</si>
  <si>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</si>
  <si>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</si>
  <si>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</si>
  <si>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</si>
  <si>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</si>
  <si>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</si>
  <si>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</si>
  <si>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</si>
  <si>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</si>
  <si>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</si>
  <si>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</si>
  <si>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</si>
  <si>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</si>
  <si>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</si>
  <si>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</si>
  <si>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</si>
  <si>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</si>
  <si>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</si>
  <si>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</si>
  <si>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</si>
  <si>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</si>
  <si>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</si>
  <si>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</si>
  <si>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</si>
  <si>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</si>
  <si>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</si>
  <si>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</si>
  <si>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</si>
  <si>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</si>
  <si>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</si>
  <si>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</si>
  <si>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</si>
  <si>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</si>
  <si>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</si>
  <si>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</si>
  <si>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</si>
  <si>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</si>
  <si>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</si>
  <si>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</si>
  <si>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</si>
  <si>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</si>
  <si>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</si>
  <si>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</si>
  <si>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</si>
  <si>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</si>
  <si>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</si>
  <si>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</si>
  <si>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</si>
  <si>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</si>
  <si>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</si>
  <si>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</si>
  <si>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</si>
  <si>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</si>
  <si>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</si>
  <si>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</si>
  <si>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</si>
  <si>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</si>
  <si>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</si>
  <si>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</si>
  <si>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</si>
  <si>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</si>
  <si>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</si>
  <si>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</si>
  <si>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</si>
  <si>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</si>
  <si>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</si>
  <si>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</si>
  <si>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</si>
  <si>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</si>
  <si>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</si>
  <si>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</si>
  <si>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</si>
  <si>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</si>
  <si>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</si>
  <si>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</si>
  <si>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</si>
  <si>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</si>
  <si>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</si>
  <si>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</si>
  <si>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</si>
  <si>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</si>
  <si>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</si>
  <si>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</si>
  <si>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</si>
  <si>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</si>
  <si>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</si>
  <si>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</si>
  <si>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</si>
  <si>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</si>
  <si>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</si>
  <si>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가칭)송산1고등학교 신축공사</t>
    <phoneticPr fontId="2" type="noConversion"/>
  </si>
  <si>
    <t>교육연구</t>
  </si>
  <si>
    <t>경기도</t>
  </si>
  <si>
    <t>조경시설물</t>
    <phoneticPr fontId="2" type="noConversion"/>
  </si>
  <si>
    <t>우수공사,오수공사</t>
    <phoneticPr fontId="2" type="noConversion"/>
  </si>
  <si>
    <t>통합배선</t>
    <phoneticPr fontId="2" type="noConversion"/>
  </si>
  <si>
    <t>운반비,기타공사</t>
    <phoneticPr fontId="2" type="noConversion"/>
  </si>
  <si>
    <t>옥외소화배관공사</t>
    <phoneticPr fontId="2" type="noConversion"/>
  </si>
  <si>
    <t>CATV 및 TV 설비공사</t>
    <phoneticPr fontId="2" type="noConversion"/>
  </si>
  <si>
    <t xml:space="preserve">기타공사 </t>
    <phoneticPr fontId="2" type="noConversion"/>
  </si>
  <si>
    <t>전기인입 및 수변전 설비공사</t>
    <phoneticPr fontId="2" type="noConversion"/>
  </si>
  <si>
    <t>기초공사,골재비및운반비,작업부산물,기타공사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</si>
  <si>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</si>
  <si>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</si>
  <si>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</si>
  <si>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난방배관공사,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</si>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</sst>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13055.93</v>
      </c>
      <c r="D7" s="36">
        <f>+C7/3.3058</f>
        <v>3949.4010526952629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704080</v>
      </c>
      <c r="E25" s="59">
        <f t="shared" si="0"/>
        <v>2327540</v>
      </c>
    </row>
    <row r="26" spans="1:5" x14ac:dyDescent="0.3">
      <c r="B26" s="2">
        <v>3</v>
      </c>
      <c r="C26" s="35" t="s">
        <v>95</v>
      </c>
      <c r="D26" s="45">
        <f>+D66</f>
        <v>570</v>
      </c>
      <c r="E26" s="59">
        <f t="shared" si="0"/>
        <v>1880</v>
      </c>
    </row>
    <row r="27" spans="1:5" x14ac:dyDescent="0.3">
      <c r="B27" s="2">
        <v>4</v>
      </c>
      <c r="C27" s="35" t="s">
        <v>96</v>
      </c>
      <c r="D27" s="45">
        <f>+D95</f>
        <v>166620</v>
      </c>
      <c r="E27" s="59">
        <f t="shared" si="0"/>
        <v>550810</v>
      </c>
    </row>
    <row r="28" spans="1:5" x14ac:dyDescent="0.3">
      <c r="B28" s="2">
        <v>5</v>
      </c>
      <c r="C28" s="35" t="s">
        <v>97</v>
      </c>
      <c r="D28" s="45">
        <f>+D119</f>
        <v>166700</v>
      </c>
      <c r="E28" s="59">
        <f t="shared" si="0"/>
        <v>551070</v>
      </c>
    </row>
    <row r="29" spans="1:5" x14ac:dyDescent="0.3">
      <c r="B29" s="2">
        <v>6</v>
      </c>
      <c r="C29" s="35" t="s">
        <v>98</v>
      </c>
      <c r="D29" s="45">
        <f>+D133</f>
        <v>28420</v>
      </c>
      <c r="E29" s="59">
        <f t="shared" si="0"/>
        <v>93950</v>
      </c>
    </row>
    <row r="30" spans="1:5" x14ac:dyDescent="0.3">
      <c r="B30" s="2">
        <v>7</v>
      </c>
      <c r="C30" s="35" t="s">
        <v>99</v>
      </c>
      <c r="D30" s="45">
        <f>+D146</f>
        <v>35290</v>
      </c>
      <c r="E30" s="59">
        <f t="shared" si="0"/>
        <v>116660</v>
      </c>
    </row>
    <row r="31" spans="1:5" x14ac:dyDescent="0.3">
      <c r="B31" s="2">
        <v>8</v>
      </c>
      <c r="C31" s="35" t="s">
        <v>100</v>
      </c>
      <c r="D31" s="45">
        <f>+D154</f>
        <v>53940</v>
      </c>
      <c r="E31" s="59">
        <f t="shared" si="0"/>
        <v>178310</v>
      </c>
    </row>
    <row r="32" spans="1:5" x14ac:dyDescent="0.3">
      <c r="B32" s="2">
        <v>9</v>
      </c>
      <c r="C32" s="35" t="s">
        <v>101</v>
      </c>
      <c r="D32" s="45">
        <f>+D161</f>
        <v>18370</v>
      </c>
      <c r="E32" s="59">
        <f t="shared" si="0"/>
        <v>60720</v>
      </c>
    </row>
    <row r="33" spans="1:7" x14ac:dyDescent="0.3">
      <c r="B33" s="2">
        <v>10</v>
      </c>
      <c r="C33" s="35" t="s">
        <v>154</v>
      </c>
      <c r="D33" s="53">
        <f>TRUNC(SUM(D24:D32)*0.275,-1)</f>
        <v>322840</v>
      </c>
      <c r="E33" s="60">
        <f t="shared" si="0"/>
        <v>1067240</v>
      </c>
    </row>
    <row r="34" spans="1:7" x14ac:dyDescent="0.3">
      <c r="C34" s="35" t="s">
        <v>112</v>
      </c>
      <c r="D34" s="44">
        <f>SUM(D24:D33)</f>
        <v>1496830</v>
      </c>
      <c r="E34" s="44">
        <f>SUM(E24:E33)</f>
        <v>4948180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TRUNC(44078,-1)</f>
        <v>44070</v>
      </c>
      <c r="E40" s="62">
        <f t="shared" ref="E40:E59" si="1">TRUNC(+D40*3.3058,-1)</f>
        <v>145680</v>
      </c>
    </row>
    <row r="41" spans="1:7" x14ac:dyDescent="0.3">
      <c r="A41" s="2">
        <v>2</v>
      </c>
      <c r="C41" s="38" t="s">
        <v>13</v>
      </c>
      <c r="D41" s="42">
        <f>TRUNC(121848,-1)</f>
        <v>121840</v>
      </c>
      <c r="E41" s="63">
        <f t="shared" si="1"/>
        <v>402770</v>
      </c>
    </row>
    <row r="42" spans="1:7" x14ac:dyDescent="0.3">
      <c r="A42" s="2">
        <v>3</v>
      </c>
      <c r="C42" s="38" t="s">
        <v>14</v>
      </c>
      <c r="D42" s="42">
        <f>TRUNC(6164,-1)</f>
        <v>6160</v>
      </c>
      <c r="E42" s="63">
        <f t="shared" si="1"/>
        <v>20360</v>
      </c>
    </row>
    <row r="43" spans="1:7" x14ac:dyDescent="0.3">
      <c r="A43" s="2">
        <v>4</v>
      </c>
      <c r="C43" s="38" t="s">
        <v>16</v>
      </c>
      <c r="D43" s="42">
        <f>TRUNC(35160,-1)</f>
        <v>35160</v>
      </c>
      <c r="E43" s="63">
        <f t="shared" si="1"/>
        <v>116230</v>
      </c>
    </row>
    <row r="44" spans="1:7" x14ac:dyDescent="0.3">
      <c r="A44" s="2">
        <v>5</v>
      </c>
      <c r="C44" s="38" t="s">
        <v>17</v>
      </c>
      <c r="D44" s="42">
        <f>TRUNC(20615,-1)</f>
        <v>20610</v>
      </c>
      <c r="E44" s="63">
        <f t="shared" si="1"/>
        <v>68130</v>
      </c>
    </row>
    <row r="45" spans="1:7" x14ac:dyDescent="0.3">
      <c r="A45" s="2">
        <v>6</v>
      </c>
      <c r="C45" s="38" t="s">
        <v>18</v>
      </c>
      <c r="D45" s="42">
        <f>TRUNC(7382,-1)</f>
        <v>7380</v>
      </c>
      <c r="E45" s="63">
        <f t="shared" si="1"/>
        <v>24390</v>
      </c>
    </row>
    <row r="46" spans="1:7" x14ac:dyDescent="0.3">
      <c r="A46" s="2">
        <v>7</v>
      </c>
      <c r="C46" s="38" t="s">
        <v>19</v>
      </c>
      <c r="D46" s="42">
        <f>TRUNC(28253,-1)</f>
        <v>28250</v>
      </c>
      <c r="E46" s="63">
        <f t="shared" si="1"/>
        <v>93380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TRUNC(35199,-1)</f>
        <v>35190</v>
      </c>
      <c r="E48" s="63">
        <f t="shared" si="1"/>
        <v>116330</v>
      </c>
      <c r="F48" s="2" t="s">
        <v>260</v>
      </c>
    </row>
    <row r="49" spans="1:7" x14ac:dyDescent="0.3">
      <c r="A49" s="2">
        <v>10</v>
      </c>
      <c r="C49" s="38" t="s">
        <v>22</v>
      </c>
      <c r="D49" s="42">
        <f>TRUNC(17199,-1)</f>
        <v>17190</v>
      </c>
      <c r="E49" s="63">
        <f t="shared" si="1"/>
        <v>56820</v>
      </c>
    </row>
    <row r="50" spans="1:7" x14ac:dyDescent="0.3">
      <c r="A50" s="2">
        <v>11</v>
      </c>
      <c r="C50" s="38" t="s">
        <v>155</v>
      </c>
      <c r="D50" s="42">
        <f>TRUNC(42245,-1)</f>
        <v>42240</v>
      </c>
      <c r="E50" s="63">
        <f t="shared" si="1"/>
        <v>139630</v>
      </c>
      <c r="F50" s="2" t="s">
        <v>261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TRUNC(11644,-1)</f>
        <v>11640</v>
      </c>
      <c r="E52" s="63">
        <f t="shared" si="1"/>
        <v>38470</v>
      </c>
    </row>
    <row r="53" spans="1:7" x14ac:dyDescent="0.3">
      <c r="A53" s="2">
        <v>14</v>
      </c>
      <c r="C53" s="38" t="s">
        <v>25</v>
      </c>
      <c r="D53" s="42">
        <f>TRUNC(86642,-1)</f>
        <v>86640</v>
      </c>
      <c r="E53" s="63">
        <f t="shared" si="1"/>
        <v>286410</v>
      </c>
      <c r="F53" s="2" t="s">
        <v>262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TRUNC(23063+9282-466+11061,-1)</f>
        <v>42940</v>
      </c>
      <c r="E58" s="63">
        <f t="shared" si="1"/>
        <v>141950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f>TRUNC(204774,-1)</f>
        <v>204770</v>
      </c>
      <c r="E59" s="64">
        <f t="shared" si="1"/>
        <v>676920</v>
      </c>
    </row>
    <row r="60" spans="1:7" x14ac:dyDescent="0.3">
      <c r="A60" s="2">
        <v>21</v>
      </c>
      <c r="C60" s="27" t="s">
        <v>112</v>
      </c>
      <c r="D60" s="39">
        <f>SUM(D40:D59)</f>
        <v>704080</v>
      </c>
      <c r="E60" s="39">
        <f>SUM(E40:E59)</f>
        <v>2327470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TRUNC(570,-1)</f>
        <v>570</v>
      </c>
      <c r="E63" s="62">
        <f>TRUNC(+D63*3.3058,-1)</f>
        <v>1880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570</v>
      </c>
      <c r="E66" s="65">
        <f>SUM(E63:E65)</f>
        <v>1880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TRUNC(3754,-1)</f>
        <v>3750</v>
      </c>
      <c r="E69" s="62">
        <f t="shared" ref="E69:E94" si="2">TRUNC(+D69*3.3058,-1)</f>
        <v>12390</v>
      </c>
    </row>
    <row r="70" spans="1:7" ht="16.5" customHeight="1" x14ac:dyDescent="0.3">
      <c r="A70" s="2">
        <v>2</v>
      </c>
      <c r="C70" s="38" t="s">
        <v>31</v>
      </c>
      <c r="D70" s="42">
        <f>TRUNC(1807,-1)</f>
        <v>1800</v>
      </c>
      <c r="E70" s="63">
        <f t="shared" si="2"/>
        <v>5950</v>
      </c>
    </row>
    <row r="71" spans="1:7" x14ac:dyDescent="0.3">
      <c r="A71" s="2">
        <v>3</v>
      </c>
      <c r="C71" s="38" t="s">
        <v>32</v>
      </c>
      <c r="D71" s="42">
        <f>TRUNC(3794,-1)</f>
        <v>3790</v>
      </c>
      <c r="E71" s="63">
        <f t="shared" si="2"/>
        <v>12520</v>
      </c>
    </row>
    <row r="72" spans="1:7" x14ac:dyDescent="0.3">
      <c r="A72" s="2">
        <v>4</v>
      </c>
      <c r="C72" s="38" t="s">
        <v>33</v>
      </c>
      <c r="D72" s="42">
        <f>TRUNC(4839,-1)</f>
        <v>4830</v>
      </c>
      <c r="E72" s="63">
        <f t="shared" si="2"/>
        <v>15960</v>
      </c>
    </row>
    <row r="73" spans="1:7" x14ac:dyDescent="0.3">
      <c r="A73" s="2">
        <v>5</v>
      </c>
      <c r="C73" s="38" t="s">
        <v>34</v>
      </c>
      <c r="D73" s="42">
        <f>TRUNC(11760,-1)</f>
        <v>11760</v>
      </c>
      <c r="E73" s="63">
        <f t="shared" si="2"/>
        <v>38870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TRUNC(4890,-1)</f>
        <v>4890</v>
      </c>
      <c r="E89" s="63">
        <f t="shared" si="2"/>
        <v>16160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TRUNC(5265,-1)</f>
        <v>5260</v>
      </c>
      <c r="E91" s="63">
        <f t="shared" si="2"/>
        <v>17380</v>
      </c>
    </row>
    <row r="92" spans="1:7" x14ac:dyDescent="0.3">
      <c r="A92" s="2">
        <v>24</v>
      </c>
      <c r="C92" s="38" t="s">
        <v>38</v>
      </c>
      <c r="D92" s="42">
        <f>TRUNC(9280,-1)</f>
        <v>9280</v>
      </c>
      <c r="E92" s="63">
        <f t="shared" si="2"/>
        <v>30670</v>
      </c>
    </row>
    <row r="93" spans="1:7" x14ac:dyDescent="0.3">
      <c r="A93" s="2">
        <v>25</v>
      </c>
      <c r="C93" s="38" t="s">
        <v>148</v>
      </c>
      <c r="D93" s="42">
        <f>TRUNC(117989,-1)</f>
        <v>117980</v>
      </c>
      <c r="E93" s="63">
        <f t="shared" si="2"/>
        <v>390010</v>
      </c>
    </row>
    <row r="94" spans="1:7" ht="17.25" thickBot="1" x14ac:dyDescent="0.35">
      <c r="A94" s="2">
        <v>26</v>
      </c>
      <c r="C94" s="38" t="s">
        <v>47</v>
      </c>
      <c r="D94" s="43">
        <f>TRUNC(173+3110,-1)</f>
        <v>3280</v>
      </c>
      <c r="E94" s="64">
        <f t="shared" si="2"/>
        <v>10840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166620</v>
      </c>
      <c r="E95" s="39">
        <f>SUM(E69:E94)</f>
        <v>550750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TRUNC(13816,-1)</f>
        <v>13810</v>
      </c>
      <c r="E98" s="62">
        <f t="shared" ref="E98:E118" si="3">TRUNC(+D98*3.3058,-1)</f>
        <v>45650</v>
      </c>
    </row>
    <row r="99" spans="1:7" x14ac:dyDescent="0.3">
      <c r="A99" s="2">
        <v>2</v>
      </c>
      <c r="C99" s="38" t="s">
        <v>40</v>
      </c>
      <c r="D99" s="42">
        <f>TRUNC(3560,-1)</f>
        <v>3560</v>
      </c>
      <c r="E99" s="63">
        <f t="shared" si="3"/>
        <v>11760</v>
      </c>
    </row>
    <row r="100" spans="1:7" x14ac:dyDescent="0.3">
      <c r="A100" s="2">
        <v>3</v>
      </c>
      <c r="C100" s="38" t="s">
        <v>41</v>
      </c>
      <c r="D100" s="42">
        <f>TRUNC(25579,-1)</f>
        <v>25570</v>
      </c>
      <c r="E100" s="63">
        <f t="shared" si="3"/>
        <v>84520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TRUNC(10472,-1)</f>
        <v>10470</v>
      </c>
      <c r="E102" s="63">
        <f t="shared" si="3"/>
        <v>34610</v>
      </c>
    </row>
    <row r="103" spans="1:7" x14ac:dyDescent="0.3">
      <c r="A103" s="2">
        <v>6</v>
      </c>
      <c r="C103" s="38" t="s">
        <v>44</v>
      </c>
      <c r="D103" s="42">
        <f>TRUNC(8877,-1)</f>
        <v>8870</v>
      </c>
      <c r="E103" s="63">
        <f t="shared" si="3"/>
        <v>29320</v>
      </c>
    </row>
    <row r="104" spans="1:7" x14ac:dyDescent="0.3">
      <c r="A104" s="2">
        <v>7</v>
      </c>
      <c r="C104" s="38" t="s">
        <v>45</v>
      </c>
      <c r="D104" s="42">
        <f>TRUNC(4679,-1)</f>
        <v>4670</v>
      </c>
      <c r="E104" s="63">
        <f t="shared" si="3"/>
        <v>15430</v>
      </c>
    </row>
    <row r="105" spans="1:7" x14ac:dyDescent="0.3">
      <c r="A105" s="2">
        <v>8</v>
      </c>
      <c r="C105" s="38" t="s">
        <v>46</v>
      </c>
      <c r="D105" s="42">
        <f>TRUNC(4842,-1)</f>
        <v>4840</v>
      </c>
      <c r="E105" s="63">
        <f t="shared" si="3"/>
        <v>16000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TRUNC(1801,-1)</f>
        <v>1800</v>
      </c>
      <c r="E114" s="63">
        <f t="shared" si="3"/>
        <v>5950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TRUNC(938,-1)</f>
        <v>930</v>
      </c>
      <c r="E116" s="63">
        <f t="shared" si="3"/>
        <v>3070</v>
      </c>
      <c r="F116" s="2" t="s">
        <v>258</v>
      </c>
    </row>
    <row r="117" spans="1:7" x14ac:dyDescent="0.3">
      <c r="A117" s="2">
        <v>20</v>
      </c>
      <c r="C117" s="38" t="s">
        <v>148</v>
      </c>
      <c r="D117" s="42">
        <f>TRUNC(91027,-1)</f>
        <v>91020</v>
      </c>
      <c r="E117" s="63">
        <f t="shared" si="3"/>
        <v>300890</v>
      </c>
    </row>
    <row r="118" spans="1:7" ht="17.25" thickBot="1" x14ac:dyDescent="0.35">
      <c r="A118" s="2">
        <v>21</v>
      </c>
      <c r="C118" s="38" t="s">
        <v>47</v>
      </c>
      <c r="D118" s="43">
        <f>TRUNC(1164,-1)</f>
        <v>1160</v>
      </c>
      <c r="E118" s="64">
        <f t="shared" si="3"/>
        <v>3830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166700</v>
      </c>
      <c r="E119" s="39">
        <f>SUM(E98:E118)</f>
        <v>551030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TRUNC(4295,-1)</f>
        <v>4290</v>
      </c>
      <c r="E122" s="62">
        <f t="shared" ref="E122:E132" si="4">TRUNC(+D122*3.3058,-1)</f>
        <v>14180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TRUNC(1267,-1)</f>
        <v>1260</v>
      </c>
      <c r="E124" s="63">
        <f t="shared" si="4"/>
        <v>4160</v>
      </c>
    </row>
    <row r="125" spans="1:7" x14ac:dyDescent="0.3">
      <c r="A125" s="2">
        <v>4</v>
      </c>
      <c r="C125" s="38" t="s">
        <v>138</v>
      </c>
      <c r="D125" s="42">
        <f>TRUNC(11129,-1)</f>
        <v>11120</v>
      </c>
      <c r="E125" s="63">
        <f t="shared" si="4"/>
        <v>36760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TRUNC(2811,-1)</f>
        <v>2810</v>
      </c>
      <c r="E128" s="63">
        <f t="shared" si="4"/>
        <v>9280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253</v>
      </c>
      <c r="D130" s="42">
        <f>TRUNC(8949,-1)</f>
        <v>8940</v>
      </c>
      <c r="E130" s="63">
        <f t="shared" si="4"/>
        <v>29550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28420</v>
      </c>
      <c r="E133" s="39">
        <f>SUM(E122:E132)</f>
        <v>93930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TRUNC(141,-1)</f>
        <v>140</v>
      </c>
      <c r="E137" s="63">
        <f t="shared" si="5"/>
        <v>460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TRUNC(1140,-1)</f>
        <v>1140</v>
      </c>
      <c r="E139" s="63">
        <f t="shared" si="5"/>
        <v>3760</v>
      </c>
    </row>
    <row r="140" spans="1:7" x14ac:dyDescent="0.3">
      <c r="A140" s="2">
        <v>5</v>
      </c>
      <c r="C140" s="38" t="s">
        <v>57</v>
      </c>
      <c r="D140" s="42">
        <f>TRUNC(1465,-1)</f>
        <v>1460</v>
      </c>
      <c r="E140" s="63">
        <f t="shared" si="5"/>
        <v>4820</v>
      </c>
    </row>
    <row r="141" spans="1:7" x14ac:dyDescent="0.3">
      <c r="A141" s="2">
        <v>6</v>
      </c>
      <c r="C141" s="38" t="s">
        <v>59</v>
      </c>
      <c r="D141" s="42">
        <f>TRUNC(5800,-1)</f>
        <v>5800</v>
      </c>
      <c r="E141" s="63">
        <f t="shared" si="5"/>
        <v>19170</v>
      </c>
    </row>
    <row r="142" spans="1:7" x14ac:dyDescent="0.3">
      <c r="A142" s="2">
        <v>7</v>
      </c>
      <c r="C142" s="38" t="s">
        <v>58</v>
      </c>
      <c r="D142" s="42">
        <f>TRUNC(7870,-1)</f>
        <v>7870</v>
      </c>
      <c r="E142" s="63">
        <f t="shared" si="5"/>
        <v>26010</v>
      </c>
    </row>
    <row r="143" spans="1:7" x14ac:dyDescent="0.3">
      <c r="A143" s="2">
        <v>8</v>
      </c>
      <c r="C143" s="38" t="s">
        <v>62</v>
      </c>
      <c r="D143" s="42">
        <f>TRUNC(3593,-1)</f>
        <v>3590</v>
      </c>
      <c r="E143" s="63">
        <f t="shared" si="5"/>
        <v>11860</v>
      </c>
    </row>
    <row r="144" spans="1:7" x14ac:dyDescent="0.3">
      <c r="A144" s="2">
        <v>9</v>
      </c>
      <c r="C144" s="38" t="s">
        <v>63</v>
      </c>
      <c r="D144" s="42">
        <f>TRUNC(15298,-1)</f>
        <v>15290</v>
      </c>
      <c r="E144" s="63">
        <f t="shared" si="5"/>
        <v>50540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35290</v>
      </c>
      <c r="E146" s="39">
        <f>SUM(E136:E145)</f>
        <v>116620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TRUNC(11982+2930,-1)</f>
        <v>14910</v>
      </c>
      <c r="E149" s="62">
        <f>TRUNC(+D149*3.3058,-1)</f>
        <v>49280</v>
      </c>
      <c r="F149" s="2" t="s">
        <v>252</v>
      </c>
    </row>
    <row r="150" spans="1:7" x14ac:dyDescent="0.3">
      <c r="A150" s="2">
        <v>2</v>
      </c>
      <c r="C150" s="38" t="s">
        <v>49</v>
      </c>
      <c r="D150" s="42">
        <f>TRUNC(12812,-1)</f>
        <v>12810</v>
      </c>
      <c r="E150" s="63">
        <f>TRUNC(+D150*3.3058,-1)</f>
        <v>42340</v>
      </c>
    </row>
    <row r="151" spans="1:7" x14ac:dyDescent="0.3">
      <c r="A151" s="2">
        <v>3</v>
      </c>
      <c r="C151" s="38" t="s">
        <v>50</v>
      </c>
      <c r="D151" s="42">
        <f>TRUNC(3975,-1)</f>
        <v>3970</v>
      </c>
      <c r="E151" s="63">
        <f>TRUNC(+D151*3.3058,-1)</f>
        <v>13120</v>
      </c>
    </row>
    <row r="152" spans="1:7" x14ac:dyDescent="0.3">
      <c r="A152" s="2">
        <v>4</v>
      </c>
      <c r="C152" s="38" t="s">
        <v>47</v>
      </c>
      <c r="D152" s="42">
        <f>TRUNC(91+94,-1)</f>
        <v>180</v>
      </c>
      <c r="E152" s="63">
        <f>TRUNC(+D152*3.3058,-1)</f>
        <v>590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f>TRUNC(22074,-1)</f>
        <v>22070</v>
      </c>
      <c r="E153" s="64">
        <f>TRUNC(+D153*3.3058,-1)</f>
        <v>72950</v>
      </c>
    </row>
    <row r="154" spans="1:7" x14ac:dyDescent="0.3">
      <c r="A154" s="2">
        <v>6</v>
      </c>
      <c r="C154" s="27" t="s">
        <v>112</v>
      </c>
      <c r="D154" s="39">
        <f>SUM(D149:D153)</f>
        <v>53940</v>
      </c>
      <c r="E154" s="39">
        <f>SUM(E149:E153)</f>
        <v>178280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TRUNC(14826,-1)</f>
        <v>14820</v>
      </c>
      <c r="E157" s="62">
        <f>TRUNC(+D157*3.3058,-1)</f>
        <v>48990</v>
      </c>
    </row>
    <row r="158" spans="1:7" x14ac:dyDescent="0.3">
      <c r="A158" s="2">
        <v>2</v>
      </c>
      <c r="C158" s="38" t="s">
        <v>52</v>
      </c>
      <c r="D158" s="42">
        <f>TRUNC(2932,-1)</f>
        <v>2930</v>
      </c>
      <c r="E158" s="63">
        <f>TRUNC(+D158*3.3058,-1)</f>
        <v>9680</v>
      </c>
      <c r="F158" s="2" t="s">
        <v>251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f>TRUNC(621,-1)</f>
        <v>620</v>
      </c>
      <c r="E160" s="64">
        <f>TRUNC(+D160*3.3058,-1)</f>
        <v>2040</v>
      </c>
    </row>
    <row r="161" spans="1:5" x14ac:dyDescent="0.3">
      <c r="A161" s="2">
        <v>5</v>
      </c>
      <c r="C161" s="27" t="s">
        <v>112</v>
      </c>
      <c r="D161" s="39">
        <f>SUM(D157:D160)</f>
        <v>18370</v>
      </c>
      <c r="E161" s="39">
        <f>SUM(E157:E160)</f>
        <v>60710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2020-12-08T02:15:23Z</dcterms:modified>
</cp:coreProperties>
</file>