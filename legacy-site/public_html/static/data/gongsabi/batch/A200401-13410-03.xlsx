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146" i="4" l="1"/>
  <c r="E119" i="4"/>
  <c r="E60" i="4"/>
  <c r="E66" i="4"/>
  <c r="E154" i="4"/>
  <c r="E161" i="4"/>
  <c r="E95" i="4"/>
  <c r="D132" i="4"/>
  <c r="E132" i="4" s="1"/>
  <c r="E133" i="4" s="1"/>
  <c r="D161" i="4" l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2" i="4"/>
  <c r="E32" i="4" s="1"/>
  <c r="D31" i="4"/>
  <c r="E31" i="4" s="1"/>
  <c r="D26" i="4"/>
  <c r="E26" i="4" s="1"/>
  <c r="D25" i="4"/>
  <c r="E25" i="4" s="1"/>
  <c r="D24" i="4"/>
  <c r="E24" i="4" s="1"/>
  <c r="D7" i="4"/>
  <c r="E34" i="4" l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<sst xmlns="http://schemas.openxmlformats.org/spreadsheetml/2006/main" count="385" uniqueCount="261">
  <si>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</si>
  <si>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</si>
  <si>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</si>
  <si>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</si>
  <si>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</si>
  <si>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</si>
  <si>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</si>
  <si>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</si>
  <si>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</si>
  <si>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</si>
  <si>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</si>
  <si>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</si>
  <si>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</si>
  <si>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</si>
  <si>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</si>
  <si>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</si>
  <si>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</si>
  <si>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</si>
  <si>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</si>
  <si>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</si>
  <si>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</si>
  <si>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</si>
  <si>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</si>
  <si>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</si>
  <si>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</si>
  <si>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</si>
  <si>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</si>
  <si>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</si>
  <si>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</si>
  <si>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</si>
  <si>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</si>
  <si>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</si>
  <si>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</si>
  <si>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</si>
  <si>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</si>
  <si>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</si>
  <si>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</si>
  <si>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</si>
  <si>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</si>
  <si>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</si>
  <si>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</si>
  <si>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</si>
  <si>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</si>
  <si>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</si>
  <si>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</si>
  <si>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</si>
  <si>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</si>
  <si>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</si>
  <si>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</si>
  <si>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</si>
  <si>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</si>
  <si>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</si>
  <si>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</si>
  <si>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</si>
  <si>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</si>
  <si>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</si>
  <si>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</si>
  <si>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</si>
  <si>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</si>
  <si>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</si>
  <si>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</si>
  <si>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</si>
  <si>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</si>
  <si>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</si>
  <si>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</si>
  <si>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</si>
  <si>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</si>
  <si>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</si>
  <si>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</si>
  <si>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</si>
  <si>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</si>
  <si>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</si>
  <si>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</si>
  <si>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</si>
  <si>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</si>
  <si>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</si>
  <si>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</si>
  <si>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</si>
  <si>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</si>
  <si>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</si>
  <si>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</si>
  <si>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</si>
  <si>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</si>
  <si>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</si>
  <si>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</si>
  <si>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</si>
  <si>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</si>
  <si>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</si>
  <si>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</si>
  <si>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</si>
  <si>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</si>
  <si>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</si>
  <si>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</si>
  <si>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</si>
  <si>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</si>
  <si>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</si>
  <si>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</si>
  <si>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</si>
  <si>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</si>
  <si>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</si>
  <si>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</si>
  <si>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</si>
  <si>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</si>
  <si>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</si>
  <si>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</si>
  <si>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</si>
  <si>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</si>
  <si>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</si>
  <si>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</si>
  <si>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</si>
  <si>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</si>
  <si>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</si>
  <si>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</si>
  <si>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</si>
  <si>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</si>
  <si>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</si>
  <si>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</si>
  <si>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</si>
  <si>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</si>
  <si>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</si>
  <si>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</si>
  <si>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</si>
  <si>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</si>
  <si>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</si>
  <si>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</si>
  <si>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</si>
  <si>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</si>
  <si>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</si>
  <si>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</si>
  <si>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</si>
  <si>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</si>
  <si>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</si>
  <si>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</si>
  <si>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</si>
  <si>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</si>
  <si>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</si>
  <si>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</si>
  <si>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</si>
  <si>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</si>
  <si>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</si>
  <si>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</si>
  <si>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</si>
  <si>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</si>
  <si>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</si>
  <si>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</si>
  <si>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</si>
  <si>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</si>
  <si>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</si>
  <si>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</si>
  <si>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</si>
  <si>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</si>
  <si>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</si>
  <si>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</si>
  <si>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</si>
  <si>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</si>
  <si>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</si>
  <si>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</si>
  <si>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</si>
  <si>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</si>
  <si>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</si>
  <si>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</si>
  <si>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</si>
  <si>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</si>
  <si>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</si>
  <si>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</si>
  <si>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</si>
  <si>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</si>
  <si>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</si>
  <si>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</si>
  <si>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</si>
  <si>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</si>
  <si>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</si>
  <si>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</si>
  <si>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</si>
  <si>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</si>
  <si>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</si>
  <si>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</si>
  <si>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</si>
  <si>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</si>
  <si>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</si>
  <si>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</si>
  <si>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</si>
  <si>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</si>
  <si>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</si>
  <si>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</si>
  <si>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</si>
  <si>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</si>
  <si>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</si>
  <si>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</si>
  <si>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</si>
  <si>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</si>
  <si>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</si>
  <si>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</si>
  <si>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</si>
  <si>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</si>
  <si>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</si>
  <si>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</si>
  <si>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</si>
  <si>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</si>
  <si>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</si>
  <si>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</si>
  <si>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</si>
  <si>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</si>
  <si>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</si>
  <si>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</si>
  <si>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</si>
  <si>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</si>
  <si>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</si>
  <si>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</si>
  <si>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</si>
  <si>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</si>
  <si>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</si>
  <si>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</si>
  <si>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</si>
  <si>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</si>
  <si>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</si>
  <si>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</si>
  <si>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</si>
  <si>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</si>
  <si>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</si>
  <si>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</si>
  <si>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</si>
  <si>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</si>
  <si>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</si>
  <si>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</si>
  <si>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</si>
  <si>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</si>
  <si>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</si>
  <si>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</si>
  <si>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</si>
  <si>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</si>
  <si>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</si>
  <si>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</si>
  <si>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</si>
  <si>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</si>
  <si>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</si>
  <si>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</si>
  <si>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</si>
  <si>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</si>
  <si>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</si>
  <si>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</si>
  <si>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</si>
  <si>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</si>
  <si>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</si>
  <si>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</si>
  <si>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</si>
  <si>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</si>
  <si>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</si>
  <si>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업무</t>
  </si>
  <si>
    <t>강원도</t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</si>
  <si>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</si>
  <si>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</si>
  <si>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</si>
  <si>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옥외인입공사,기타설비</t>
    <phoneticPr fontId="2" type="noConversion"/>
  </si>
  <si>
    <t>강원도 춘천시 00 경찰서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</si>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</sst>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6.2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18745</v>
      </c>
      <c r="D7" s="36">
        <f>+C7/3.3058</f>
        <v>5670.3369834835739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587030.19370498799</v>
      </c>
      <c r="E25" s="59">
        <f t="shared" si="0"/>
        <v>1940600</v>
      </c>
    </row>
    <row r="26" spans="1:5" x14ac:dyDescent="0.3">
      <c r="B26" s="2">
        <v>3</v>
      </c>
      <c r="C26" s="35" t="s">
        <v>95</v>
      </c>
      <c r="D26" s="45">
        <f>+D66</f>
        <v>210</v>
      </c>
      <c r="E26" s="59">
        <f t="shared" si="0"/>
        <v>690</v>
      </c>
    </row>
    <row r="27" spans="1:5" x14ac:dyDescent="0.3">
      <c r="B27" s="2">
        <v>4</v>
      </c>
      <c r="C27" s="35" t="s">
        <v>96</v>
      </c>
      <c r="D27" s="45">
        <f>+D95</f>
        <v>234860</v>
      </c>
      <c r="E27" s="59">
        <f t="shared" si="0"/>
        <v>776400</v>
      </c>
    </row>
    <row r="28" spans="1:5" x14ac:dyDescent="0.3">
      <c r="B28" s="2">
        <v>5</v>
      </c>
      <c r="C28" s="35" t="s">
        <v>97</v>
      </c>
      <c r="D28" s="45">
        <f>+D119</f>
        <v>70800</v>
      </c>
      <c r="E28" s="59">
        <f t="shared" si="0"/>
        <v>234050</v>
      </c>
    </row>
    <row r="29" spans="1:5" x14ac:dyDescent="0.3">
      <c r="B29" s="2">
        <v>6</v>
      </c>
      <c r="C29" s="35" t="s">
        <v>98</v>
      </c>
      <c r="D29" s="45">
        <f>+D133</f>
        <v>45450</v>
      </c>
      <c r="E29" s="59">
        <f t="shared" si="0"/>
        <v>150240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350740</v>
      </c>
      <c r="E33" s="60">
        <f t="shared" si="0"/>
        <v>1159470</v>
      </c>
    </row>
    <row r="34" spans="1:7" x14ac:dyDescent="0.3">
      <c r="C34" s="35" t="s">
        <v>112</v>
      </c>
      <c r="D34" s="44">
        <f>SUM(D24:D33)</f>
        <v>1289090.1937049879</v>
      </c>
      <c r="E34" s="44">
        <f>SUM(E24:E33)</f>
        <v>4261450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30040.193704987996</v>
      </c>
      <c r="E40" s="62">
        <f t="shared" ref="E40:E59" si="1">TRUNC(+D40*3.3058,-1)</f>
        <v>99300</v>
      </c>
    </row>
    <row r="41" spans="1:7" x14ac:dyDescent="0.3">
      <c r="A41" s="2">
        <v>2</v>
      </c>
      <c r="C41" s="38" t="s">
        <v>13</v>
      </c>
      <c r="D41" s="42">
        <v>261570</v>
      </c>
      <c r="E41" s="63">
        <f t="shared" si="1"/>
        <v>864690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295420</v>
      </c>
      <c r="E58" s="63">
        <f t="shared" si="1"/>
        <v>976590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587030.19370498799</v>
      </c>
      <c r="E60" s="39">
        <f>SUM(E40:E59)</f>
        <v>1940580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210</v>
      </c>
      <c r="E63" s="62">
        <f>TRUNC(+D63*3.3058,-1)</f>
        <v>690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210</v>
      </c>
      <c r="E66" s="57">
        <f>SUM(E63:E65)</f>
        <v>690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2583</v>
      </c>
      <c r="E74" s="63">
        <f>TRUNC(+D74*3.3058,-1)</f>
        <v>8530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55479</v>
      </c>
      <c r="E84" s="63">
        <f>TRUNC(+D84*3.3058,-1)</f>
        <v>183400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1924</v>
      </c>
      <c r="E90" s="63">
        <f>TRUNC(+D90*3.3058,-1)</f>
        <v>6360</v>
      </c>
    </row>
    <row r="91" spans="1:7" x14ac:dyDescent="0.3">
      <c r="A91" s="2">
        <v>23</v>
      </c>
      <c r="C91" s="38" t="s">
        <v>37</v>
      </c>
      <c r="D91" s="42">
        <v>53391</v>
      </c>
      <c r="E91" s="63">
        <f>TRUNC(+D91*3.3058,-1)</f>
        <v>176490</v>
      </c>
    </row>
    <row r="92" spans="1:7" x14ac:dyDescent="0.3">
      <c r="A92" s="2">
        <v>24</v>
      </c>
      <c r="C92" s="38" t="s">
        <v>38</v>
      </c>
      <c r="D92" s="42">
        <v>22398</v>
      </c>
      <c r="E92" s="63">
        <f>TRUNC(+D92*3.3058,-1)</f>
        <v>74040</v>
      </c>
    </row>
    <row r="93" spans="1:7" x14ac:dyDescent="0.3">
      <c r="A93" s="2">
        <v>25</v>
      </c>
      <c r="C93" s="38" t="s">
        <v>148</v>
      </c>
      <c r="D93" s="42">
        <v>99085</v>
      </c>
      <c r="E93" s="63">
        <f>TRUNC(+D93*3.3058,-1)</f>
        <v>327550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234860</v>
      </c>
      <c r="E95" s="39">
        <f>SUM(E69:E94)</f>
        <v>776370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24350</v>
      </c>
      <c r="E100" s="63">
        <f t="shared" si="4"/>
        <v>80490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17120</v>
      </c>
      <c r="E116" s="63">
        <f t="shared" si="4"/>
        <v>56590</v>
      </c>
    </row>
    <row r="117" spans="1:7" x14ac:dyDescent="0.3">
      <c r="A117" s="2">
        <v>20</v>
      </c>
      <c r="C117" s="38" t="s">
        <v>148</v>
      </c>
      <c r="D117" s="42">
        <v>25800</v>
      </c>
      <c r="E117" s="63">
        <f t="shared" si="4"/>
        <v>85280</v>
      </c>
    </row>
    <row r="118" spans="1:7" ht="17.25" thickBot="1" x14ac:dyDescent="0.35">
      <c r="A118" s="2">
        <v>21</v>
      </c>
      <c r="C118" s="38" t="s">
        <v>47</v>
      </c>
      <c r="D118" s="43">
        <v>3530</v>
      </c>
      <c r="E118" s="64">
        <f t="shared" si="4"/>
        <v>11660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70800</v>
      </c>
      <c r="E119" s="39">
        <f>SUM(E98:E118)</f>
        <v>234020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6010</v>
      </c>
      <c r="E125" s="63">
        <f t="shared" si="5"/>
        <v>19860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20060</v>
      </c>
      <c r="E130" s="63">
        <f t="shared" si="5"/>
        <v>66310</v>
      </c>
    </row>
    <row r="131" spans="1:7" x14ac:dyDescent="0.3">
      <c r="A131" s="2">
        <v>10</v>
      </c>
      <c r="C131" s="38" t="s">
        <v>148</v>
      </c>
      <c r="D131" s="42">
        <v>11740</v>
      </c>
      <c r="E131" s="63">
        <f t="shared" si="5"/>
        <v>38810</v>
      </c>
    </row>
    <row r="132" spans="1:7" ht="17.25" thickBot="1" x14ac:dyDescent="0.35">
      <c r="A132" s="2">
        <v>11</v>
      </c>
      <c r="C132" s="38" t="s">
        <v>47</v>
      </c>
      <c r="D132" s="43">
        <f>3610+4030</f>
        <v>7640</v>
      </c>
      <c r="E132" s="64">
        <f t="shared" si="5"/>
        <v>25250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45450</v>
      </c>
      <c r="E133" s="39">
        <f>SUM(E122:E132)</f>
        <v>150230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2020-12-07T08:52:13Z</dcterms:modified>
</cp:coreProperties>
</file>