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8" i="4" l="1"/>
  <c r="D128" i="4"/>
  <c r="D125" i="4"/>
  <c r="D122" i="4"/>
  <c r="D132" i="4"/>
  <c r="D118" i="4"/>
  <c r="D105" i="4"/>
  <c r="D104" i="4"/>
  <c r="D103" i="4"/>
  <c r="D108" i="4"/>
  <c r="D102" i="4"/>
  <c r="D100" i="4"/>
  <c r="D99" i="4"/>
  <c r="D98" i="4"/>
  <c r="D116" i="4"/>
  <c r="D114" i="4"/>
  <c r="D72" i="4"/>
  <c r="D89" i="4"/>
  <c r="D73" i="4"/>
  <c r="D79" i="4"/>
  <c r="D71" i="4"/>
  <c r="D70" i="4"/>
  <c r="D92" i="4"/>
  <c r="D69" i="4"/>
  <c r="D45" i="4"/>
  <c r="D41" i="4"/>
  <c r="D42" i="4"/>
  <c r="D50" i="4"/>
  <c r="D55" i="4"/>
  <c r="D43" i="4"/>
  <c r="D51" i="4"/>
  <c r="D53" i="4"/>
  <c r="D46" i="4"/>
  <c r="D44" i="4"/>
  <c r="D49" i="4"/>
  <c r="D47" i="4"/>
  <c r="D52" i="4"/>
  <c r="D48" i="4"/>
  <c r="D37" i="4"/>
  <c r="D40" i="4"/>
  <c r="D159" i="4"/>
  <c r="D152" i="4"/>
  <c r="D137" i="4"/>
  <c r="D136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19" i="4"/>
  <c r="E95" i="4"/>
  <c r="E60" i="4"/>
  <c r="E154" i="4"/>
  <c r="E146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<sst xmlns="http://schemas.openxmlformats.org/spreadsheetml/2006/main" count="394" uniqueCount="269">
  <si>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</si>
  <si>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</si>
  <si>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</si>
  <si>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</si>
  <si>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</si>
  <si>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</si>
  <si>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</si>
  <si>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</si>
  <si>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</si>
  <si>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</si>
  <si>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</si>
  <si>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</si>
  <si>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</si>
  <si>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</si>
  <si>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</si>
  <si>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</si>
  <si>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</si>
  <si>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</si>
  <si>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</si>
  <si>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</si>
  <si>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</si>
  <si>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</si>
  <si>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</si>
  <si>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</si>
  <si>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</si>
  <si>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</si>
  <si>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</si>
  <si>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</si>
  <si>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</si>
  <si>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</si>
  <si>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</si>
  <si>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</si>
  <si>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</si>
  <si>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</si>
  <si>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</si>
  <si>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</si>
  <si>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</si>
  <si>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</si>
  <si>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</si>
  <si>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</si>
  <si>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</si>
  <si>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</si>
  <si>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</si>
  <si>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</si>
  <si>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</si>
  <si>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</si>
  <si>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</si>
  <si>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</si>
  <si>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</si>
  <si>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</si>
  <si>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</si>
  <si>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</si>
  <si>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</si>
  <si>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</si>
  <si>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</si>
  <si>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</si>
  <si>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</si>
  <si>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</si>
  <si>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</si>
  <si>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</si>
  <si>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</si>
  <si>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</si>
  <si>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</si>
  <si>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</si>
  <si>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</si>
  <si>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</si>
  <si>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</si>
  <si>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</si>
  <si>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</si>
  <si>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</si>
  <si>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</si>
  <si>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</si>
  <si>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</si>
  <si>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</si>
  <si>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</si>
  <si>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</si>
  <si>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</si>
  <si>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</si>
  <si>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</si>
  <si>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</si>
  <si>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</si>
  <si>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</si>
  <si>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</si>
  <si>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</si>
  <si>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</si>
  <si>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</si>
  <si>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</si>
  <si>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</si>
  <si>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</si>
  <si>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</si>
  <si>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</si>
  <si>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</si>
  <si>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</si>
  <si>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</si>
  <si>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</si>
  <si>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</si>
  <si>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</si>
  <si>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</si>
  <si>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</si>
  <si>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</si>
  <si>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</si>
  <si>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</si>
  <si>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</si>
  <si>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</si>
  <si>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</si>
  <si>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</si>
  <si>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</si>
  <si>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</si>
  <si>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</si>
  <si>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</si>
  <si>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</si>
  <si>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</si>
  <si>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</si>
  <si>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</si>
  <si>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</si>
  <si>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</si>
  <si>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</si>
  <si>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</si>
  <si>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</si>
  <si>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</si>
  <si>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</si>
  <si>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</si>
  <si>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</si>
  <si>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</si>
  <si>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</si>
  <si>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</si>
  <si>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</si>
  <si>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</si>
  <si>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</si>
  <si>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</si>
  <si>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</si>
  <si>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</si>
  <si>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</si>
  <si>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</si>
  <si>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</si>
  <si>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</si>
  <si>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</si>
  <si>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</si>
  <si>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</si>
  <si>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</si>
  <si>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</si>
  <si>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</si>
  <si>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</si>
  <si>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</si>
  <si>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</si>
  <si>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</si>
  <si>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</si>
  <si>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</si>
  <si>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</si>
  <si>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</si>
  <si>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</si>
  <si>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</si>
  <si>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</si>
  <si>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</si>
  <si>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</si>
  <si>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</si>
  <si>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</si>
  <si>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</si>
  <si>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</si>
  <si>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</si>
  <si>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</si>
  <si>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</si>
  <si>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</si>
  <si>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</si>
  <si>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</si>
  <si>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</si>
  <si>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</si>
  <si>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</si>
  <si>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</si>
  <si>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</si>
  <si>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</si>
  <si>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</si>
  <si>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</si>
  <si>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</si>
  <si>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</si>
  <si>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</si>
  <si>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</si>
  <si>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</si>
  <si>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</si>
  <si>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</si>
  <si>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</si>
  <si>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</si>
  <si>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</si>
  <si>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</si>
  <si>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</si>
  <si>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</si>
  <si>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</si>
  <si>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</si>
  <si>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</si>
  <si>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</si>
  <si>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</si>
  <si>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</si>
  <si>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</si>
  <si>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</si>
  <si>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</si>
  <si>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</si>
  <si>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</si>
  <si>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</si>
  <si>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</si>
  <si>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</si>
  <si>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</si>
  <si>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</si>
  <si>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</si>
  <si>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</si>
  <si>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</si>
  <si>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</si>
  <si>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</si>
  <si>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</si>
  <si>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</si>
  <si>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</si>
  <si>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</si>
  <si>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</si>
  <si>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</si>
  <si>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</si>
  <si>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</si>
  <si>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</si>
  <si>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</si>
  <si>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</si>
  <si>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</si>
  <si>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</si>
  <si>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</si>
  <si>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</si>
  <si>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</si>
  <si>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</si>
  <si>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</si>
  <si>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</si>
  <si>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</si>
  <si>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</si>
  <si>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</si>
  <si>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</si>
  <si>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</si>
  <si>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</si>
  <si>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</si>
  <si>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</si>
  <si>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</si>
  <si>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</si>
  <si>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</si>
  <si>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</si>
  <si>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</si>
  <si>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</si>
  <si>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</si>
  <si>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</si>
  <si>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</si>
  <si>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</si>
  <si>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</si>
  <si>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</si>
  <si>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</si>
  <si>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</si>
  <si>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00면사무소 건립공사</t>
    <phoneticPr fontId="2" type="noConversion"/>
  </si>
  <si>
    <t>업무</t>
  </si>
  <si>
    <t>경기도</t>
  </si>
  <si>
    <t>기계 소화설비공사</t>
    <phoneticPr fontId="2" type="noConversion"/>
  </si>
  <si>
    <t>전기 소방공사</t>
    <phoneticPr fontId="2" type="noConversion"/>
  </si>
  <si>
    <t>부대토목공사(흙막이공사 포함)</t>
    <phoneticPr fontId="2" type="noConversion"/>
  </si>
  <si>
    <t>부대조경공사</t>
    <phoneticPr fontId="2" type="noConversion"/>
  </si>
  <si>
    <t>골재및운반비,기타공사,작업부산물,정화조공사,지정공사,판넬공사</t>
    <phoneticPr fontId="2" type="noConversion"/>
  </si>
  <si>
    <t>환기덕트공사</t>
    <phoneticPr fontId="2" type="noConversion"/>
  </si>
  <si>
    <t>오배수통기배관공사</t>
    <phoneticPr fontId="2" type="noConversion"/>
  </si>
  <si>
    <t>전기인입및전기실설비</t>
    <phoneticPr fontId="2" type="noConversion"/>
  </si>
  <si>
    <t>환기기설비공사</t>
    <phoneticPr fontId="2" type="noConversion"/>
  </si>
  <si>
    <t>지열설비공사</t>
    <phoneticPr fontId="2" type="noConversion"/>
  </si>
  <si>
    <t>정보통신설비공사,CCTV설비공사</t>
    <phoneticPr fontId="2" type="noConversion"/>
  </si>
  <si>
    <t>방송및AV설비공사</t>
    <phoneticPr fontId="2" type="noConversion"/>
  </si>
  <si>
    <t>전기난방공사,공조배관공사,우수배관공사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</si>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</sst>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4785</v>
      </c>
      <c r="D7" s="36">
        <f>+C7/3.3058</f>
        <v>1447.4559864480609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2040</v>
      </c>
      <c r="E24" s="58">
        <f t="shared" ref="E24:E33" si="0">TRUNC(+D24*3.3058,-1)</f>
        <v>6740</v>
      </c>
    </row>
    <row r="25" spans="1:5" x14ac:dyDescent="0.3">
      <c r="B25" s="2">
        <v>2</v>
      </c>
      <c r="C25" s="35" t="s">
        <v>111</v>
      </c>
      <c r="D25" s="45">
        <f>+D60</f>
        <v>611950</v>
      </c>
      <c r="E25" s="59">
        <f t="shared" si="0"/>
        <v>2022980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93400</v>
      </c>
      <c r="E27" s="59">
        <f t="shared" si="0"/>
        <v>308760</v>
      </c>
    </row>
    <row r="28" spans="1:5" x14ac:dyDescent="0.3">
      <c r="B28" s="2">
        <v>5</v>
      </c>
      <c r="C28" s="35" t="s">
        <v>97</v>
      </c>
      <c r="D28" s="45">
        <f>+D119</f>
        <v>54090</v>
      </c>
      <c r="E28" s="59">
        <f t="shared" si="0"/>
        <v>178810</v>
      </c>
    </row>
    <row r="29" spans="1:5" x14ac:dyDescent="0.3">
      <c r="B29" s="2">
        <v>6</v>
      </c>
      <c r="C29" s="35" t="s">
        <v>98</v>
      </c>
      <c r="D29" s="45">
        <f>+D133</f>
        <v>29120</v>
      </c>
      <c r="E29" s="59">
        <f t="shared" si="0"/>
        <v>96260</v>
      </c>
    </row>
    <row r="30" spans="1:5" x14ac:dyDescent="0.3">
      <c r="B30" s="2">
        <v>7</v>
      </c>
      <c r="C30" s="35" t="s">
        <v>99</v>
      </c>
      <c r="D30" s="45">
        <f>+D146</f>
        <v>34040</v>
      </c>
      <c r="E30" s="59">
        <f t="shared" si="0"/>
        <v>112520</v>
      </c>
    </row>
    <row r="31" spans="1:5" x14ac:dyDescent="0.3">
      <c r="B31" s="2">
        <v>8</v>
      </c>
      <c r="C31" s="35" t="s">
        <v>100</v>
      </c>
      <c r="D31" s="45">
        <f>+D154</f>
        <v>123140</v>
      </c>
      <c r="E31" s="59">
        <f t="shared" si="0"/>
        <v>407070</v>
      </c>
    </row>
    <row r="32" spans="1:5" x14ac:dyDescent="0.3">
      <c r="B32" s="2">
        <v>9</v>
      </c>
      <c r="C32" s="35" t="s">
        <v>101</v>
      </c>
      <c r="D32" s="45">
        <f>+D161</f>
        <v>49890</v>
      </c>
      <c r="E32" s="59">
        <f t="shared" si="0"/>
        <v>164920</v>
      </c>
    </row>
    <row r="33" spans="1:7" x14ac:dyDescent="0.3">
      <c r="B33" s="2">
        <v>10</v>
      </c>
      <c r="C33" s="35" t="s">
        <v>154</v>
      </c>
      <c r="D33" s="53">
        <f>TRUNC(SUM(D24:D32)*0.275,-1)</f>
        <v>274350</v>
      </c>
      <c r="E33" s="60">
        <f t="shared" si="0"/>
        <v>906940</v>
      </c>
    </row>
    <row r="34" spans="1:7" x14ac:dyDescent="0.3">
      <c r="C34" s="35" t="s">
        <v>112</v>
      </c>
      <c r="D34" s="44">
        <f>SUM(D24:D33)</f>
        <v>1272020</v>
      </c>
      <c r="E34" s="44">
        <f>SUM(E24:E33)</f>
        <v>4205000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TRUNC(2043,-1)</f>
        <v>2040</v>
      </c>
      <c r="E37" s="61">
        <f>TRUNC(+D37*3.3058,-1)</f>
        <v>6740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TRUNC(47915,-1)</f>
        <v>47910</v>
      </c>
      <c r="E40" s="62">
        <f t="shared" ref="E40:E59" si="1">TRUNC(+D40*3.3058,-1)</f>
        <v>158380</v>
      </c>
    </row>
    <row r="41" spans="1:7" x14ac:dyDescent="0.3">
      <c r="A41" s="2">
        <v>2</v>
      </c>
      <c r="C41" s="38" t="s">
        <v>13</v>
      </c>
      <c r="D41" s="42">
        <f>TRUNC(131035,-1)</f>
        <v>131030</v>
      </c>
      <c r="E41" s="63">
        <f t="shared" si="1"/>
        <v>433150</v>
      </c>
    </row>
    <row r="42" spans="1:7" x14ac:dyDescent="0.3">
      <c r="A42" s="2">
        <v>3</v>
      </c>
      <c r="C42" s="38" t="s">
        <v>14</v>
      </c>
      <c r="D42" s="42">
        <f>TRUNC(6538,-1)</f>
        <v>6530</v>
      </c>
      <c r="E42" s="63">
        <f t="shared" si="1"/>
        <v>21580</v>
      </c>
    </row>
    <row r="43" spans="1:7" x14ac:dyDescent="0.3">
      <c r="A43" s="2">
        <v>4</v>
      </c>
      <c r="C43" s="38" t="s">
        <v>16</v>
      </c>
      <c r="D43" s="42">
        <f>TRUNC(20053,-1)</f>
        <v>20050</v>
      </c>
      <c r="E43" s="63">
        <f t="shared" si="1"/>
        <v>66280</v>
      </c>
    </row>
    <row r="44" spans="1:7" x14ac:dyDescent="0.3">
      <c r="A44" s="2">
        <v>5</v>
      </c>
      <c r="C44" s="38" t="s">
        <v>17</v>
      </c>
      <c r="D44" s="42">
        <f>TRUNC(38533,-1)</f>
        <v>38530</v>
      </c>
      <c r="E44" s="63">
        <f t="shared" si="1"/>
        <v>127370</v>
      </c>
    </row>
    <row r="45" spans="1:7" x14ac:dyDescent="0.3">
      <c r="A45" s="2">
        <v>6</v>
      </c>
      <c r="C45" s="38" t="s">
        <v>18</v>
      </c>
      <c r="D45" s="42">
        <f>TRUNC(11693,-1)</f>
        <v>11690</v>
      </c>
      <c r="E45" s="63">
        <f t="shared" si="1"/>
        <v>38640</v>
      </c>
    </row>
    <row r="46" spans="1:7" x14ac:dyDescent="0.3">
      <c r="A46" s="2">
        <v>7</v>
      </c>
      <c r="C46" s="38" t="s">
        <v>19</v>
      </c>
      <c r="D46" s="42">
        <f>TRUNC(26109,-1)</f>
        <v>26100</v>
      </c>
      <c r="E46" s="63">
        <f t="shared" si="1"/>
        <v>86280</v>
      </c>
    </row>
    <row r="47" spans="1:7" x14ac:dyDescent="0.3">
      <c r="A47" s="2">
        <v>8</v>
      </c>
      <c r="C47" s="38" t="s">
        <v>20</v>
      </c>
      <c r="D47" s="42">
        <f>TRUNC(16485,-1)</f>
        <v>16480</v>
      </c>
      <c r="E47" s="63">
        <f t="shared" si="1"/>
        <v>54470</v>
      </c>
    </row>
    <row r="48" spans="1:7" x14ac:dyDescent="0.3">
      <c r="A48" s="2">
        <v>9</v>
      </c>
      <c r="C48" s="38" t="s">
        <v>21</v>
      </c>
      <c r="D48" s="42">
        <f>TRUNC(128588,-1)</f>
        <v>128580</v>
      </c>
      <c r="E48" s="63">
        <f t="shared" si="1"/>
        <v>425050</v>
      </c>
    </row>
    <row r="49" spans="1:7" x14ac:dyDescent="0.3">
      <c r="A49" s="2">
        <v>10</v>
      </c>
      <c r="C49" s="38" t="s">
        <v>22</v>
      </c>
      <c r="D49" s="42">
        <f>TRUNC(22266,-1)</f>
        <v>22260</v>
      </c>
      <c r="E49" s="63">
        <f t="shared" si="1"/>
        <v>73580</v>
      </c>
    </row>
    <row r="50" spans="1:7" x14ac:dyDescent="0.3">
      <c r="A50" s="2">
        <v>11</v>
      </c>
      <c r="C50" s="38" t="s">
        <v>155</v>
      </c>
      <c r="D50" s="42">
        <f>TRUNC(30857,-1)</f>
        <v>30850</v>
      </c>
      <c r="E50" s="63">
        <f t="shared" si="1"/>
        <v>101980</v>
      </c>
    </row>
    <row r="51" spans="1:7" x14ac:dyDescent="0.3">
      <c r="A51" s="2">
        <v>12</v>
      </c>
      <c r="C51" s="38" t="s">
        <v>23</v>
      </c>
      <c r="D51" s="42">
        <f>TRUNC(20968,-1)</f>
        <v>20960</v>
      </c>
      <c r="E51" s="63">
        <f t="shared" si="1"/>
        <v>69280</v>
      </c>
    </row>
    <row r="52" spans="1:7" x14ac:dyDescent="0.3">
      <c r="A52" s="2">
        <v>13</v>
      </c>
      <c r="C52" s="38" t="s">
        <v>24</v>
      </c>
      <c r="D52" s="42">
        <f>TRUNC(20744,-1)</f>
        <v>20740</v>
      </c>
      <c r="E52" s="63">
        <f t="shared" si="1"/>
        <v>68560</v>
      </c>
    </row>
    <row r="53" spans="1:7" x14ac:dyDescent="0.3">
      <c r="A53" s="2">
        <v>14</v>
      </c>
      <c r="C53" s="38" t="s">
        <v>25</v>
      </c>
      <c r="D53" s="42">
        <f>TRUNC(73357,-1)</f>
        <v>73350</v>
      </c>
      <c r="E53" s="63">
        <f t="shared" si="1"/>
        <v>242480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TRUNC(5636,-1)</f>
        <v>5630</v>
      </c>
      <c r="E55" s="63">
        <f t="shared" si="1"/>
        <v>18610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TRUNC(8406+3162-1239+519+284+130,-1)</f>
        <v>11260</v>
      </c>
      <c r="E58" s="63">
        <f t="shared" si="1"/>
        <v>37220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611950</v>
      </c>
      <c r="E60" s="39">
        <f>SUM(E40:E59)</f>
        <v>2022910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TRUNC(11182,-1)</f>
        <v>11180</v>
      </c>
      <c r="E69" s="62">
        <f t="shared" ref="E69:E94" si="2">TRUNC(+D69*3.3058,-1)</f>
        <v>36950</v>
      </c>
    </row>
    <row r="70" spans="1:7" ht="16.5" customHeight="1" x14ac:dyDescent="0.3">
      <c r="A70" s="2">
        <v>2</v>
      </c>
      <c r="C70" s="38" t="s">
        <v>31</v>
      </c>
      <c r="D70" s="42">
        <f>TRUNC(1842,-1)</f>
        <v>1840</v>
      </c>
      <c r="E70" s="63">
        <f t="shared" si="2"/>
        <v>6080</v>
      </c>
    </row>
    <row r="71" spans="1:7" x14ac:dyDescent="0.3">
      <c r="A71" s="2">
        <v>3</v>
      </c>
      <c r="C71" s="38" t="s">
        <v>32</v>
      </c>
      <c r="D71" s="42">
        <f>TRUNC(16701,-1)</f>
        <v>16700</v>
      </c>
      <c r="E71" s="63">
        <f t="shared" si="2"/>
        <v>55200</v>
      </c>
    </row>
    <row r="72" spans="1:7" x14ac:dyDescent="0.3">
      <c r="A72" s="2">
        <v>4</v>
      </c>
      <c r="C72" s="38" t="s">
        <v>33</v>
      </c>
      <c r="D72" s="42">
        <f>TRUNC(915,-1)</f>
        <v>910</v>
      </c>
      <c r="E72" s="63">
        <f t="shared" si="2"/>
        <v>3000</v>
      </c>
    </row>
    <row r="73" spans="1:7" x14ac:dyDescent="0.3">
      <c r="A73" s="2">
        <v>5</v>
      </c>
      <c r="C73" s="38" t="s">
        <v>34</v>
      </c>
      <c r="D73" s="42">
        <f>TRUNC(5079,-1)</f>
        <v>5070</v>
      </c>
      <c r="E73" s="63">
        <f t="shared" si="2"/>
        <v>16760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TRUNC(5185,-1)</f>
        <v>5180</v>
      </c>
      <c r="E79" s="63">
        <f t="shared" si="2"/>
        <v>17120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TRUNC(3324,-1)</f>
        <v>3320</v>
      </c>
      <c r="E89" s="63">
        <f t="shared" si="2"/>
        <v>10970</v>
      </c>
      <c r="F89" s="2" t="s">
        <v>257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TRUNC(7154,-1)</f>
        <v>7150</v>
      </c>
      <c r="E92" s="63">
        <f t="shared" si="2"/>
        <v>23630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TRUNC(1313+25204+15535,-1)</f>
        <v>42050</v>
      </c>
      <c r="E94" s="64">
        <f t="shared" si="2"/>
        <v>139000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93400</v>
      </c>
      <c r="E95" s="39">
        <f>SUM(E69:E94)</f>
        <v>308710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TRUNC(8275,-1)</f>
        <v>8270</v>
      </c>
      <c r="E98" s="62">
        <f t="shared" ref="E98:E118" si="3">TRUNC(+D98*3.3058,-1)</f>
        <v>27330</v>
      </c>
    </row>
    <row r="99" spans="1:7" x14ac:dyDescent="0.3">
      <c r="A99" s="2">
        <v>2</v>
      </c>
      <c r="C99" s="38" t="s">
        <v>40</v>
      </c>
      <c r="D99" s="42">
        <f>TRUNC(3268,-1)</f>
        <v>3260</v>
      </c>
      <c r="E99" s="63">
        <f t="shared" si="3"/>
        <v>10770</v>
      </c>
    </row>
    <row r="100" spans="1:7" x14ac:dyDescent="0.3">
      <c r="A100" s="2">
        <v>3</v>
      </c>
      <c r="C100" s="38" t="s">
        <v>41</v>
      </c>
      <c r="D100" s="42">
        <f>TRUNC(21103,-1)</f>
        <v>21100</v>
      </c>
      <c r="E100" s="63">
        <f t="shared" si="3"/>
        <v>69750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TRUNC(7377,-1)</f>
        <v>7370</v>
      </c>
      <c r="E102" s="63">
        <f t="shared" si="3"/>
        <v>24360</v>
      </c>
    </row>
    <row r="103" spans="1:7" x14ac:dyDescent="0.3">
      <c r="A103" s="2">
        <v>6</v>
      </c>
      <c r="C103" s="38" t="s">
        <v>44</v>
      </c>
      <c r="D103" s="42">
        <f>TRUNC(962,-1)</f>
        <v>960</v>
      </c>
      <c r="E103" s="63">
        <f t="shared" si="3"/>
        <v>3170</v>
      </c>
      <c r="F103" s="2" t="s">
        <v>259</v>
      </c>
    </row>
    <row r="104" spans="1:7" x14ac:dyDescent="0.3">
      <c r="A104" s="2">
        <v>7</v>
      </c>
      <c r="C104" s="38" t="s">
        <v>45</v>
      </c>
      <c r="D104" s="42">
        <f>TRUNC(2511,-1)</f>
        <v>2510</v>
      </c>
      <c r="E104" s="63">
        <f t="shared" si="3"/>
        <v>8290</v>
      </c>
    </row>
    <row r="105" spans="1:7" x14ac:dyDescent="0.3">
      <c r="A105" s="2">
        <v>8</v>
      </c>
      <c r="C105" s="38" t="s">
        <v>46</v>
      </c>
      <c r="D105" s="42">
        <f>TRUNC(1118,-1)</f>
        <v>1110</v>
      </c>
      <c r="E105" s="63">
        <f t="shared" si="3"/>
        <v>3660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TRUNC(1339,-1)</f>
        <v>1330</v>
      </c>
      <c r="E108" s="63">
        <f t="shared" si="3"/>
        <v>4390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TRUNC(1313,-1)</f>
        <v>1310</v>
      </c>
      <c r="E114" s="63">
        <f t="shared" si="3"/>
        <v>4330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TRUNC(4368,-1)</f>
        <v>4360</v>
      </c>
      <c r="E116" s="63">
        <f t="shared" si="3"/>
        <v>14410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TRUNC(2511,-1)</f>
        <v>2510</v>
      </c>
      <c r="E118" s="64">
        <f t="shared" si="3"/>
        <v>8290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54090</v>
      </c>
      <c r="E119" s="39">
        <f>SUM(E98:E118)</f>
        <v>178750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TRUNC(5447,-1)</f>
        <v>5440</v>
      </c>
      <c r="E122" s="62">
        <f t="shared" ref="E122:E132" si="4">TRUNC(+D122*3.3058,-1)</f>
        <v>17980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TRUNC(5786,-1)</f>
        <v>5780</v>
      </c>
      <c r="E125" s="63">
        <f t="shared" si="4"/>
        <v>19100</v>
      </c>
      <c r="F125" s="2" t="s">
        <v>262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TRUNC(485,-1)</f>
        <v>480</v>
      </c>
      <c r="E128" s="63">
        <f t="shared" si="4"/>
        <v>1580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TRUNC(14152+3271,-1)</f>
        <v>17420</v>
      </c>
      <c r="E132" s="64">
        <f t="shared" si="4"/>
        <v>57580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29120</v>
      </c>
      <c r="E133" s="39">
        <f>SUM(E122:E132)</f>
        <v>96240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TRUNC(20783,-1)</f>
        <v>20780</v>
      </c>
      <c r="E136" s="62">
        <f t="shared" ref="E136:E145" si="5">TRUNC(+D136*3.3058,-1)</f>
        <v>68690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TRUNC(13265,-1)</f>
        <v>13260</v>
      </c>
      <c r="E137" s="63">
        <f t="shared" si="5"/>
        <v>43830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34040</v>
      </c>
      <c r="E146" s="39">
        <f>SUM(E136:E145)</f>
        <v>112520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TRUNC(123144,-1)</f>
        <v>123140</v>
      </c>
      <c r="E152" s="63">
        <f>TRUNC(+D152*3.3058,-1)</f>
        <v>407070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123140</v>
      </c>
      <c r="E154" s="39">
        <f>SUM(E149:E153)</f>
        <v>407070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TRUNC(49891,-1)</f>
        <v>49890</v>
      </c>
      <c r="E159" s="63">
        <f>TRUNC(+D159*3.3058,-1)</f>
        <v>164920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49890</v>
      </c>
      <c r="E161" s="39">
        <f>SUM(E157:E160)</f>
        <v>164920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2020-12-07T09:41:34Z</dcterms:modified>
</cp:coreProperties>
</file>