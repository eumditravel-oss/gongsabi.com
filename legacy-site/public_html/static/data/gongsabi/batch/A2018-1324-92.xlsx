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90" i="4"/>
  <c r="D89" i="4"/>
  <c r="D73" i="4"/>
  <c r="D72" i="4"/>
  <c r="D71" i="4"/>
  <c r="D70" i="4"/>
  <c r="D69" i="4"/>
  <c r="D65" i="4"/>
  <c r="D63" i="4"/>
  <c r="D118" i="4"/>
  <c r="D105" i="4"/>
  <c r="D104" i="4"/>
  <c r="D103" i="4"/>
  <c r="D102" i="4"/>
  <c r="D101" i="4"/>
  <c r="D100" i="4"/>
  <c r="D99" i="4"/>
  <c r="D98" i="4"/>
  <c r="D132" i="4"/>
  <c r="D130" i="4"/>
  <c r="D128" i="4"/>
  <c r="D127" i="4"/>
  <c r="D126" i="4"/>
  <c r="D125" i="4"/>
  <c r="D124" i="4"/>
  <c r="D122" i="4"/>
  <c r="D144" i="4"/>
  <c r="D143" i="4"/>
  <c r="D142" i="4"/>
  <c r="D141" i="4"/>
  <c r="D140" i="4"/>
  <c r="D139" i="4"/>
  <c r="D138" i="4"/>
  <c r="D152" i="4"/>
  <c r="D151" i="4"/>
  <c r="D150" i="4"/>
  <c r="D149" i="4"/>
  <c r="D158" i="4"/>
  <c r="D157" i="4"/>
  <c r="D159" i="4"/>
  <c r="D16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<sst xmlns="http://schemas.openxmlformats.org/spreadsheetml/2006/main" count="393" uniqueCount="268">
  <si>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</si>
  <si>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</si>
  <si>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</si>
  <si>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</si>
  <si>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</si>
  <si>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</si>
  <si>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</si>
  <si>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</si>
  <si>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</si>
  <si>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</si>
  <si>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</si>
  <si>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</si>
  <si>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</si>
  <si>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</si>
  <si>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</si>
  <si>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</si>
  <si>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</si>
  <si>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</si>
  <si>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</si>
  <si>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</si>
  <si>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</si>
  <si>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</si>
  <si>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</si>
  <si>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</si>
  <si>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</si>
  <si>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</si>
  <si>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</si>
  <si>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</si>
  <si>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</si>
  <si>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</si>
  <si>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</si>
  <si>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</si>
  <si>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</si>
  <si>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</si>
  <si>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</si>
  <si>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</si>
  <si>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</si>
  <si>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</si>
  <si>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</si>
  <si>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</si>
  <si>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</si>
  <si>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</si>
  <si>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</si>
  <si>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</si>
  <si>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</si>
  <si>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</si>
  <si>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</si>
  <si>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</si>
  <si>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</si>
  <si>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</si>
  <si>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</si>
  <si>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</si>
  <si>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</si>
  <si>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</si>
  <si>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</si>
  <si>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</si>
  <si>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</si>
  <si>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</si>
  <si>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</si>
  <si>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</si>
  <si>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</si>
  <si>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</si>
  <si>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</si>
  <si>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</si>
  <si>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</si>
  <si>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</si>
  <si>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</si>
  <si>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</si>
  <si>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</si>
  <si>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</si>
  <si>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</si>
  <si>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</si>
  <si>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</si>
  <si>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</si>
  <si>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</si>
  <si>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</si>
  <si>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</si>
  <si>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</si>
  <si>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</si>
  <si>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</si>
  <si>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</si>
  <si>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</si>
  <si>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</si>
  <si>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</si>
  <si>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</si>
  <si>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</si>
  <si>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</si>
  <si>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</si>
  <si>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</si>
  <si>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</si>
  <si>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</si>
  <si>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</si>
  <si>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</si>
  <si>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</si>
  <si>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</si>
  <si>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</si>
  <si>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</si>
  <si>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</si>
  <si>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</si>
  <si>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</si>
  <si>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</si>
  <si>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</si>
  <si>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</si>
  <si>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</si>
  <si>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</si>
  <si>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</si>
  <si>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</si>
  <si>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</si>
  <si>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</si>
  <si>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</si>
  <si>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</si>
  <si>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</si>
  <si>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</si>
  <si>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</si>
  <si>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</si>
  <si>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</si>
  <si>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</si>
  <si>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</si>
  <si>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</si>
  <si>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</si>
  <si>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</si>
  <si>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</si>
  <si>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</si>
  <si>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</si>
  <si>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</si>
  <si>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</si>
  <si>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</si>
  <si>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</si>
  <si>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</si>
  <si>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</si>
  <si>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</si>
  <si>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</si>
  <si>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</si>
  <si>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</si>
  <si>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</si>
  <si>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</si>
  <si>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</si>
  <si>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</si>
  <si>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</si>
  <si>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</si>
  <si>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</si>
  <si>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</si>
  <si>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</si>
  <si>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</si>
  <si>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</si>
  <si>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</si>
  <si>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</si>
  <si>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</si>
  <si>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</si>
  <si>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</si>
  <si>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</si>
  <si>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</si>
  <si>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</si>
  <si>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</si>
  <si>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</si>
  <si>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</si>
  <si>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</si>
  <si>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</si>
  <si>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</si>
  <si>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</si>
  <si>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</si>
  <si>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</si>
  <si>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</si>
  <si>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</si>
  <si>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</si>
  <si>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</si>
  <si>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</si>
  <si>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</si>
  <si>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</si>
  <si>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</si>
  <si>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</si>
  <si>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</si>
  <si>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</si>
  <si>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</si>
  <si>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</si>
  <si>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</si>
  <si>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</si>
  <si>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</si>
  <si>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</si>
  <si>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</si>
  <si>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</si>
  <si>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</si>
  <si>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</si>
  <si>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</si>
  <si>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</si>
  <si>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</si>
  <si>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</si>
  <si>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</si>
  <si>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</si>
  <si>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</si>
  <si>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</si>
  <si>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</si>
  <si>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</si>
  <si>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</si>
  <si>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</si>
  <si>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</si>
  <si>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</si>
  <si>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</si>
  <si>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</si>
  <si>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</si>
  <si>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</si>
  <si>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</si>
  <si>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</si>
  <si>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</si>
  <si>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</si>
  <si>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</si>
  <si>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</si>
  <si>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</si>
  <si>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</si>
  <si>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</si>
  <si>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</si>
  <si>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</si>
  <si>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</si>
  <si>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</si>
  <si>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</si>
  <si>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</si>
  <si>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</si>
  <si>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</si>
  <si>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</si>
  <si>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</si>
  <si>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</si>
  <si>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</si>
  <si>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</si>
  <si>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</si>
  <si>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</si>
  <si>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</si>
  <si>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</si>
  <si>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</si>
  <si>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</si>
  <si>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</si>
  <si>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</si>
  <si>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</si>
  <si>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</si>
  <si>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</si>
  <si>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</si>
  <si>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</si>
  <si>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</si>
  <si>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</si>
  <si>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</si>
  <si>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</si>
  <si>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</si>
  <si>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</si>
  <si>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</si>
  <si>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</si>
  <si>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</si>
  <si>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</si>
  <si>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</si>
  <si>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</si>
  <si>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부산지방법원 광역등기국 청사 신축공사</t>
    <phoneticPr fontId="2" type="noConversion"/>
  </si>
  <si>
    <t>업무</t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</si>
  <si>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</si>
  <si>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</si>
  <si>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</si>
  <si>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</si>
  <si>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골재비및운반비,기타공사</t>
    <phoneticPr fontId="2" type="noConversion"/>
  </si>
  <si>
    <t>난방배관공사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</si>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</sst>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4892.34</v>
      </c>
      <c r="D7" s="36">
        <f>+C7/3.3058</f>
        <v>1479.9261903321435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715500</v>
      </c>
      <c r="E25" s="59">
        <f t="shared" si="0"/>
        <v>2365290</v>
      </c>
    </row>
    <row r="26" spans="1:5" x14ac:dyDescent="0.3">
      <c r="B26" s="2">
        <v>3</v>
      </c>
      <c r="C26" s="35" t="s">
        <v>95</v>
      </c>
      <c r="D26" s="45">
        <f>+D66</f>
        <v>108300</v>
      </c>
      <c r="E26" s="59">
        <f t="shared" si="0"/>
        <v>358010</v>
      </c>
    </row>
    <row r="27" spans="1:5" x14ac:dyDescent="0.3">
      <c r="B27" s="2">
        <v>4</v>
      </c>
      <c r="C27" s="35" t="s">
        <v>96</v>
      </c>
      <c r="D27" s="45">
        <f>+D95</f>
        <v>251720</v>
      </c>
      <c r="E27" s="59">
        <f t="shared" si="0"/>
        <v>832130</v>
      </c>
    </row>
    <row r="28" spans="1:5" x14ac:dyDescent="0.3">
      <c r="B28" s="2">
        <v>5</v>
      </c>
      <c r="C28" s="35" t="s">
        <v>97</v>
      </c>
      <c r="D28" s="45">
        <f>+D119</f>
        <v>267260</v>
      </c>
      <c r="E28" s="59">
        <f t="shared" si="0"/>
        <v>883500</v>
      </c>
    </row>
    <row r="29" spans="1:5" x14ac:dyDescent="0.3">
      <c r="B29" s="2">
        <v>6</v>
      </c>
      <c r="C29" s="35" t="s">
        <v>98</v>
      </c>
      <c r="D29" s="45">
        <f>+D133</f>
        <v>60710</v>
      </c>
      <c r="E29" s="59">
        <f t="shared" si="0"/>
        <v>200690</v>
      </c>
    </row>
    <row r="30" spans="1:5" x14ac:dyDescent="0.3">
      <c r="B30" s="2">
        <v>7</v>
      </c>
      <c r="C30" s="35" t="s">
        <v>99</v>
      </c>
      <c r="D30" s="45">
        <f>+D146</f>
        <v>79450</v>
      </c>
      <c r="E30" s="59">
        <f t="shared" si="0"/>
        <v>262640</v>
      </c>
    </row>
    <row r="31" spans="1:5" x14ac:dyDescent="0.3">
      <c r="B31" s="2">
        <v>8</v>
      </c>
      <c r="C31" s="35" t="s">
        <v>100</v>
      </c>
      <c r="D31" s="45">
        <f>+D154</f>
        <v>75980</v>
      </c>
      <c r="E31" s="59">
        <f t="shared" si="0"/>
        <v>251170</v>
      </c>
    </row>
    <row r="32" spans="1:5" x14ac:dyDescent="0.3">
      <c r="B32" s="2">
        <v>9</v>
      </c>
      <c r="C32" s="35" t="s">
        <v>101</v>
      </c>
      <c r="D32" s="45">
        <f>+D161</f>
        <v>29940</v>
      </c>
      <c r="E32" s="59">
        <f t="shared" si="0"/>
        <v>98970</v>
      </c>
    </row>
    <row r="33" spans="1:7" x14ac:dyDescent="0.3">
      <c r="B33" s="2">
        <v>10</v>
      </c>
      <c r="C33" s="35" t="s">
        <v>154</v>
      </c>
      <c r="D33" s="53">
        <f>TRUNC(SUM(D24:D32)*0.275,-1)</f>
        <v>436930</v>
      </c>
      <c r="E33" s="60">
        <f t="shared" si="0"/>
        <v>1444400</v>
      </c>
    </row>
    <row r="34" spans="1:7" x14ac:dyDescent="0.3">
      <c r="C34" s="35" t="s">
        <v>112</v>
      </c>
      <c r="D34" s="44">
        <f>SUM(D24:D33)</f>
        <v>2025790</v>
      </c>
      <c r="E34" s="44">
        <f>SUM(E24:E33)</f>
        <v>6696800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TRUNC(59343,-1)</f>
        <v>59340</v>
      </c>
      <c r="E40" s="62">
        <f t="shared" ref="E40:E59" si="1">TRUNC(+D40*3.3058,-1)</f>
        <v>196160</v>
      </c>
    </row>
    <row r="41" spans="1:7" x14ac:dyDescent="0.3">
      <c r="A41" s="2">
        <v>2</v>
      </c>
      <c r="C41" s="38" t="s">
        <v>13</v>
      </c>
      <c r="D41" s="42">
        <f>TRUNC(191869,-1)</f>
        <v>191860</v>
      </c>
      <c r="E41" s="63">
        <f t="shared" si="1"/>
        <v>634250</v>
      </c>
    </row>
    <row r="42" spans="1:7" x14ac:dyDescent="0.3">
      <c r="A42" s="2">
        <v>3</v>
      </c>
      <c r="C42" s="38" t="s">
        <v>14</v>
      </c>
      <c r="D42" s="42">
        <f>TRUNC(284,-1)</f>
        <v>280</v>
      </c>
      <c r="E42" s="63">
        <f t="shared" si="1"/>
        <v>920</v>
      </c>
    </row>
    <row r="43" spans="1:7" x14ac:dyDescent="0.3">
      <c r="A43" s="2">
        <v>4</v>
      </c>
      <c r="C43" s="38" t="s">
        <v>16</v>
      </c>
      <c r="D43" s="42">
        <f>TRUNC(11681,-1)</f>
        <v>11680</v>
      </c>
      <c r="E43" s="63">
        <f t="shared" si="1"/>
        <v>38610</v>
      </c>
    </row>
    <row r="44" spans="1:7" x14ac:dyDescent="0.3">
      <c r="A44" s="2">
        <v>5</v>
      </c>
      <c r="C44" s="38" t="s">
        <v>17</v>
      </c>
      <c r="D44" s="42">
        <f>TRUNC(23251,-1)</f>
        <v>23250</v>
      </c>
      <c r="E44" s="63">
        <f t="shared" si="1"/>
        <v>76850</v>
      </c>
    </row>
    <row r="45" spans="1:7" x14ac:dyDescent="0.3">
      <c r="A45" s="2">
        <v>6</v>
      </c>
      <c r="C45" s="38" t="s">
        <v>18</v>
      </c>
      <c r="D45" s="42">
        <f>TRUNC(11304,-1)</f>
        <v>11300</v>
      </c>
      <c r="E45" s="63">
        <f t="shared" si="1"/>
        <v>37350</v>
      </c>
    </row>
    <row r="46" spans="1:7" x14ac:dyDescent="0.3">
      <c r="A46" s="2">
        <v>7</v>
      </c>
      <c r="C46" s="38" t="s">
        <v>19</v>
      </c>
      <c r="D46" s="42">
        <f>TRUNC(58399,-1)</f>
        <v>58390</v>
      </c>
      <c r="E46" s="63">
        <f t="shared" si="1"/>
        <v>193020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TRUNC(34693,-1)</f>
        <v>34690</v>
      </c>
      <c r="E48" s="63">
        <f t="shared" si="1"/>
        <v>114670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TRUNC(19192,-1)</f>
        <v>19190</v>
      </c>
      <c r="E49" s="63">
        <f t="shared" si="1"/>
        <v>63430</v>
      </c>
    </row>
    <row r="50" spans="1:7" x14ac:dyDescent="0.3">
      <c r="A50" s="2">
        <v>11</v>
      </c>
      <c r="C50" s="38" t="s">
        <v>155</v>
      </c>
      <c r="D50" s="42">
        <f>TRUNC(36880,-1)</f>
        <v>36880</v>
      </c>
      <c r="E50" s="63">
        <f t="shared" si="1"/>
        <v>121910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TRUNC(18940,-1)</f>
        <v>18940</v>
      </c>
      <c r="E52" s="63">
        <f t="shared" si="1"/>
        <v>62610</v>
      </c>
    </row>
    <row r="53" spans="1:7" x14ac:dyDescent="0.3">
      <c r="A53" s="2">
        <v>14</v>
      </c>
      <c r="C53" s="38" t="s">
        <v>25</v>
      </c>
      <c r="D53" s="42">
        <f>TRUNC(48200,-1)</f>
        <v>48200</v>
      </c>
      <c r="E53" s="63">
        <f t="shared" si="1"/>
        <v>159330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TRUNC(7236+7643,-1)</f>
        <v>14870</v>
      </c>
      <c r="E58" s="63">
        <f t="shared" si="1"/>
        <v>49150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TRUNC(186639,-1)</f>
        <v>186630</v>
      </c>
      <c r="E59" s="64">
        <f t="shared" si="1"/>
        <v>616960</v>
      </c>
    </row>
    <row r="60" spans="1:7" x14ac:dyDescent="0.3">
      <c r="A60" s="2">
        <v>21</v>
      </c>
      <c r="C60" s="27" t="s">
        <v>112</v>
      </c>
      <c r="D60" s="39">
        <f>SUM(D40:D59)</f>
        <v>715500</v>
      </c>
      <c r="E60" s="39">
        <f>SUM(E40:E59)</f>
        <v>2365220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TRUNC(42852,-1)</f>
        <v>42850</v>
      </c>
      <c r="E63" s="62">
        <f>TRUNC(+D63*3.3058,-1)</f>
        <v>141650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TRUNC(65456,-1)</f>
        <v>65450</v>
      </c>
      <c r="E65" s="64">
        <f>TRUNC(+D65*3.3058,-1)</f>
        <v>216360</v>
      </c>
    </row>
    <row r="66" spans="1:7" x14ac:dyDescent="0.3">
      <c r="A66" s="2">
        <v>4</v>
      </c>
      <c r="C66" s="27" t="s">
        <v>112</v>
      </c>
      <c r="D66" s="39">
        <f>SUM(D63:D65)</f>
        <v>108300</v>
      </c>
      <c r="E66" s="65">
        <f>SUM(E63:E65)</f>
        <v>358010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TRUNC(15574,-1)</f>
        <v>15570</v>
      </c>
      <c r="E69" s="62">
        <f t="shared" ref="E69:E94" si="2">TRUNC(+D69*3.3058,-1)</f>
        <v>51470</v>
      </c>
    </row>
    <row r="70" spans="1:7" ht="16.5" customHeight="1" x14ac:dyDescent="0.3">
      <c r="A70" s="2">
        <v>2</v>
      </c>
      <c r="C70" s="38" t="s">
        <v>31</v>
      </c>
      <c r="D70" s="42">
        <f>TRUNC(283,-1)</f>
        <v>280</v>
      </c>
      <c r="E70" s="63">
        <f t="shared" si="2"/>
        <v>920</v>
      </c>
    </row>
    <row r="71" spans="1:7" x14ac:dyDescent="0.3">
      <c r="A71" s="2">
        <v>3</v>
      </c>
      <c r="C71" s="38" t="s">
        <v>32</v>
      </c>
      <c r="D71" s="42">
        <f>TRUNC(8369,-1)</f>
        <v>8360</v>
      </c>
      <c r="E71" s="63">
        <f t="shared" si="2"/>
        <v>27630</v>
      </c>
    </row>
    <row r="72" spans="1:7" x14ac:dyDescent="0.3">
      <c r="A72" s="2">
        <v>4</v>
      </c>
      <c r="C72" s="38" t="s">
        <v>33</v>
      </c>
      <c r="D72" s="42">
        <f>TRUNC(5633,-1)</f>
        <v>5630</v>
      </c>
      <c r="E72" s="63">
        <f t="shared" si="2"/>
        <v>18610</v>
      </c>
    </row>
    <row r="73" spans="1:7" x14ac:dyDescent="0.3">
      <c r="A73" s="2">
        <v>5</v>
      </c>
      <c r="C73" s="38" t="s">
        <v>34</v>
      </c>
      <c r="D73" s="42">
        <f>TRUNC(8110,-1)</f>
        <v>8110</v>
      </c>
      <c r="E73" s="63">
        <f t="shared" si="2"/>
        <v>26810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TRUNC(14370,-1)</f>
        <v>14370</v>
      </c>
      <c r="E89" s="63">
        <f t="shared" si="2"/>
        <v>47500</v>
      </c>
    </row>
    <row r="90" spans="1:7" x14ac:dyDescent="0.3">
      <c r="A90" s="2">
        <v>22</v>
      </c>
      <c r="C90" s="38" t="s">
        <v>36</v>
      </c>
      <c r="D90" s="42">
        <f>TRUNC(3884,-1)</f>
        <v>3880</v>
      </c>
      <c r="E90" s="63">
        <f t="shared" si="2"/>
        <v>12820</v>
      </c>
    </row>
    <row r="91" spans="1:7" x14ac:dyDescent="0.3">
      <c r="A91" s="2">
        <v>23</v>
      </c>
      <c r="C91" s="38" t="s">
        <v>37</v>
      </c>
      <c r="D91" s="42">
        <f>TRUNC(5991,-1)</f>
        <v>5990</v>
      </c>
      <c r="E91" s="63">
        <f t="shared" si="2"/>
        <v>19800</v>
      </c>
    </row>
    <row r="92" spans="1:7" x14ac:dyDescent="0.3">
      <c r="A92" s="2">
        <v>24</v>
      </c>
      <c r="C92" s="38" t="s">
        <v>38</v>
      </c>
      <c r="D92" s="42">
        <f>TRUNC(8292,-1)</f>
        <v>8290</v>
      </c>
      <c r="E92" s="63">
        <f t="shared" si="2"/>
        <v>27400</v>
      </c>
    </row>
    <row r="93" spans="1:7" x14ac:dyDescent="0.3">
      <c r="A93" s="2">
        <v>25</v>
      </c>
      <c r="C93" s="38" t="s">
        <v>148</v>
      </c>
      <c r="D93" s="42">
        <f>TRUNC(142219,-1)</f>
        <v>142210</v>
      </c>
      <c r="E93" s="63">
        <f t="shared" si="2"/>
        <v>470110</v>
      </c>
    </row>
    <row r="94" spans="1:7" ht="17.25" thickBot="1" x14ac:dyDescent="0.35">
      <c r="A94" s="2">
        <v>26</v>
      </c>
      <c r="C94" s="38" t="s">
        <v>47</v>
      </c>
      <c r="D94" s="43">
        <f>TRUNC(39031,-1)</f>
        <v>39030</v>
      </c>
      <c r="E94" s="64">
        <f t="shared" si="2"/>
        <v>129020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251720</v>
      </c>
      <c r="E95" s="39">
        <f>SUM(E69:E94)</f>
        <v>832090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TRUNC(29585,-1)</f>
        <v>29580</v>
      </c>
      <c r="E98" s="62">
        <f t="shared" ref="E98:E118" si="3">TRUNC(+D98*3.3058,-1)</f>
        <v>97780</v>
      </c>
    </row>
    <row r="99" spans="1:7" x14ac:dyDescent="0.3">
      <c r="A99" s="2">
        <v>2</v>
      </c>
      <c r="C99" s="38" t="s">
        <v>40</v>
      </c>
      <c r="D99" s="42">
        <f>TRUNC(8918,-1)</f>
        <v>8910</v>
      </c>
      <c r="E99" s="63">
        <f t="shared" si="3"/>
        <v>29450</v>
      </c>
    </row>
    <row r="100" spans="1:7" x14ac:dyDescent="0.3">
      <c r="A100" s="2">
        <v>3</v>
      </c>
      <c r="C100" s="38" t="s">
        <v>41</v>
      </c>
      <c r="D100" s="42">
        <f>TRUNC(26915,-1)</f>
        <v>26910</v>
      </c>
      <c r="E100" s="63">
        <f t="shared" si="3"/>
        <v>88950</v>
      </c>
    </row>
    <row r="101" spans="1:7" x14ac:dyDescent="0.3">
      <c r="A101" s="2">
        <v>4</v>
      </c>
      <c r="C101" s="38" t="s">
        <v>42</v>
      </c>
      <c r="D101" s="42">
        <f>TRUNC(1883,-1)</f>
        <v>1880</v>
      </c>
      <c r="E101" s="63">
        <f t="shared" si="3"/>
        <v>6210</v>
      </c>
    </row>
    <row r="102" spans="1:7" x14ac:dyDescent="0.3">
      <c r="A102" s="2">
        <v>5</v>
      </c>
      <c r="C102" s="38" t="s">
        <v>43</v>
      </c>
      <c r="D102" s="42">
        <f>TRUNC(14202,-1)</f>
        <v>14200</v>
      </c>
      <c r="E102" s="63">
        <f t="shared" si="3"/>
        <v>46940</v>
      </c>
    </row>
    <row r="103" spans="1:7" x14ac:dyDescent="0.3">
      <c r="A103" s="2">
        <v>6</v>
      </c>
      <c r="C103" s="38" t="s">
        <v>44</v>
      </c>
      <c r="D103" s="42">
        <f>TRUNC(4802,-1)</f>
        <v>4800</v>
      </c>
      <c r="E103" s="63">
        <f t="shared" si="3"/>
        <v>15860</v>
      </c>
    </row>
    <row r="104" spans="1:7" x14ac:dyDescent="0.3">
      <c r="A104" s="2">
        <v>7</v>
      </c>
      <c r="C104" s="38" t="s">
        <v>45</v>
      </c>
      <c r="D104" s="42">
        <f>TRUNC(6704,-1)</f>
        <v>6700</v>
      </c>
      <c r="E104" s="63">
        <f t="shared" si="3"/>
        <v>22140</v>
      </c>
    </row>
    <row r="105" spans="1:7" x14ac:dyDescent="0.3">
      <c r="A105" s="2">
        <v>8</v>
      </c>
      <c r="C105" s="38" t="s">
        <v>46</v>
      </c>
      <c r="D105" s="42">
        <f>TRUNC(4622,-1)</f>
        <v>4620</v>
      </c>
      <c r="E105" s="63">
        <f t="shared" si="3"/>
        <v>15270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TRUNC(168364,-1)</f>
        <v>168360</v>
      </c>
      <c r="E117" s="63">
        <f t="shared" si="3"/>
        <v>556560</v>
      </c>
    </row>
    <row r="118" spans="1:7" ht="17.25" thickBot="1" x14ac:dyDescent="0.35">
      <c r="A118" s="2">
        <v>21</v>
      </c>
      <c r="C118" s="38" t="s">
        <v>47</v>
      </c>
      <c r="D118" s="43">
        <f>TRUNC(1304,-1)</f>
        <v>1300</v>
      </c>
      <c r="E118" s="64">
        <f t="shared" si="3"/>
        <v>4290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267260</v>
      </c>
      <c r="E119" s="39">
        <f>SUM(E98:E118)</f>
        <v>883450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TRUNC(1500,-1)</f>
        <v>1500</v>
      </c>
      <c r="E122" s="62">
        <f t="shared" ref="E122:E132" si="4">TRUNC(+D122*3.3058,-1)</f>
        <v>4950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TRUNC(538,-1)</f>
        <v>530</v>
      </c>
      <c r="E124" s="63">
        <f t="shared" si="4"/>
        <v>1750</v>
      </c>
    </row>
    <row r="125" spans="1:7" x14ac:dyDescent="0.3">
      <c r="A125" s="2">
        <v>4</v>
      </c>
      <c r="C125" s="38" t="s">
        <v>138</v>
      </c>
      <c r="D125" s="42">
        <f>TRUNC(2703,-1)</f>
        <v>2700</v>
      </c>
      <c r="E125" s="63">
        <f t="shared" si="4"/>
        <v>8920</v>
      </c>
    </row>
    <row r="126" spans="1:7" x14ac:dyDescent="0.3">
      <c r="A126" s="2">
        <v>5</v>
      </c>
      <c r="C126" s="38" t="s">
        <v>53</v>
      </c>
      <c r="D126" s="42">
        <f>TRUNC(1641,-1)</f>
        <v>1640</v>
      </c>
      <c r="E126" s="63">
        <f t="shared" si="4"/>
        <v>5420</v>
      </c>
    </row>
    <row r="127" spans="1:7" x14ac:dyDescent="0.3">
      <c r="A127" s="2">
        <v>6</v>
      </c>
      <c r="C127" s="38" t="s">
        <v>56</v>
      </c>
      <c r="D127" s="42">
        <f>TRUNC(3391,-1)</f>
        <v>3390</v>
      </c>
      <c r="E127" s="63">
        <f t="shared" si="4"/>
        <v>11200</v>
      </c>
    </row>
    <row r="128" spans="1:7" x14ac:dyDescent="0.3">
      <c r="A128" s="2">
        <v>7</v>
      </c>
      <c r="C128" s="38" t="s">
        <v>46</v>
      </c>
      <c r="D128" s="42">
        <f>TRUNC(5556,-1)</f>
        <v>5550</v>
      </c>
      <c r="E128" s="63">
        <f t="shared" si="4"/>
        <v>18340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TRUNC(13503,-1)</f>
        <v>13500</v>
      </c>
      <c r="E130" s="63">
        <f t="shared" si="4"/>
        <v>44620</v>
      </c>
    </row>
    <row r="131" spans="1:7" x14ac:dyDescent="0.3">
      <c r="A131" s="2">
        <v>10</v>
      </c>
      <c r="C131" s="38" t="s">
        <v>148</v>
      </c>
      <c r="D131" s="42">
        <f>TRUNC(29467,-1)</f>
        <v>29460</v>
      </c>
      <c r="E131" s="63">
        <f t="shared" si="4"/>
        <v>97380</v>
      </c>
    </row>
    <row r="132" spans="1:7" ht="18" thickBot="1" x14ac:dyDescent="0.35">
      <c r="A132" s="2">
        <v>11</v>
      </c>
      <c r="C132" s="38" t="s">
        <v>47</v>
      </c>
      <c r="D132" s="43">
        <f>TRUNC(2445,-1)</f>
        <v>2440</v>
      </c>
      <c r="E132" s="64">
        <f t="shared" si="4"/>
        <v>8060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60710</v>
      </c>
      <c r="E133" s="39">
        <f>SUM(E122:E132)</f>
        <v>200640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f>TRUNC(14432,-1)</f>
        <v>14430</v>
      </c>
      <c r="E138" s="63">
        <f t="shared" si="5"/>
        <v>47700</v>
      </c>
    </row>
    <row r="139" spans="1:7" x14ac:dyDescent="0.3">
      <c r="A139" s="2">
        <v>4</v>
      </c>
      <c r="C139" s="38" t="s">
        <v>61</v>
      </c>
      <c r="D139" s="42">
        <f>TRUNC(2216,-1)</f>
        <v>2210</v>
      </c>
      <c r="E139" s="63">
        <f t="shared" si="5"/>
        <v>7300</v>
      </c>
    </row>
    <row r="140" spans="1:7" x14ac:dyDescent="0.3">
      <c r="A140" s="2">
        <v>5</v>
      </c>
      <c r="C140" s="38" t="s">
        <v>57</v>
      </c>
      <c r="D140" s="42">
        <f>TRUNC(2017,-1)</f>
        <v>2010</v>
      </c>
      <c r="E140" s="63">
        <f t="shared" si="5"/>
        <v>6640</v>
      </c>
    </row>
    <row r="141" spans="1:7" x14ac:dyDescent="0.3">
      <c r="A141" s="2">
        <v>6</v>
      </c>
      <c r="C141" s="38" t="s">
        <v>59</v>
      </c>
      <c r="D141" s="42">
        <f>TRUNC(24555,-1)</f>
        <v>24550</v>
      </c>
      <c r="E141" s="63">
        <f t="shared" si="5"/>
        <v>81150</v>
      </c>
    </row>
    <row r="142" spans="1:7" x14ac:dyDescent="0.3">
      <c r="A142" s="2">
        <v>7</v>
      </c>
      <c r="C142" s="38" t="s">
        <v>58</v>
      </c>
      <c r="D142" s="42">
        <f>TRUNC(7915,-1)</f>
        <v>7910</v>
      </c>
      <c r="E142" s="63">
        <f t="shared" si="5"/>
        <v>26140</v>
      </c>
    </row>
    <row r="143" spans="1:7" x14ac:dyDescent="0.3">
      <c r="A143" s="2">
        <v>8</v>
      </c>
      <c r="C143" s="38" t="s">
        <v>62</v>
      </c>
      <c r="D143" s="42">
        <f>TRUNC(11246,-1)</f>
        <v>11240</v>
      </c>
      <c r="E143" s="63">
        <f t="shared" si="5"/>
        <v>37150</v>
      </c>
    </row>
    <row r="144" spans="1:7" x14ac:dyDescent="0.3">
      <c r="A144" s="2">
        <v>9</v>
      </c>
      <c r="C144" s="38" t="s">
        <v>63</v>
      </c>
      <c r="D144" s="42">
        <f>TRUNC(17104,-1)</f>
        <v>17100</v>
      </c>
      <c r="E144" s="63">
        <f t="shared" si="5"/>
        <v>56520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79450</v>
      </c>
      <c r="E146" s="39">
        <f>SUM(E136:E145)</f>
        <v>262600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TRUNC(12400+950,-1)</f>
        <v>13350</v>
      </c>
      <c r="E149" s="62">
        <f>TRUNC(+D149*3.3058,-1)</f>
        <v>44130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TRUNC(3941,-1)</f>
        <v>3940</v>
      </c>
      <c r="E150" s="63">
        <f>TRUNC(+D150*3.3058,-1)</f>
        <v>13020</v>
      </c>
    </row>
    <row r="151" spans="1:7" x14ac:dyDescent="0.3">
      <c r="A151" s="2">
        <v>3</v>
      </c>
      <c r="C151" s="38" t="s">
        <v>50</v>
      </c>
      <c r="D151" s="42">
        <f>TRUNC(28379,-1)</f>
        <v>28370</v>
      </c>
      <c r="E151" s="63">
        <f>TRUNC(+D151*3.3058,-1)</f>
        <v>93780</v>
      </c>
    </row>
    <row r="152" spans="1:7" x14ac:dyDescent="0.3">
      <c r="A152" s="2">
        <v>4</v>
      </c>
      <c r="C152" s="38" t="s">
        <v>47</v>
      </c>
      <c r="D152" s="42">
        <f>TRUNC(243+2595,-1)</f>
        <v>2830</v>
      </c>
      <c r="E152" s="63">
        <f>TRUNC(+D152*3.3058,-1)</f>
        <v>9350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TRUNC(27494,-1)</f>
        <v>27490</v>
      </c>
      <c r="E153" s="64">
        <f>TRUNC(+D153*3.3058,-1)</f>
        <v>90870</v>
      </c>
    </row>
    <row r="154" spans="1:7" x14ac:dyDescent="0.3">
      <c r="A154" s="2">
        <v>6</v>
      </c>
      <c r="C154" s="27" t="s">
        <v>112</v>
      </c>
      <c r="D154" s="39">
        <f>SUM(D149:D153)</f>
        <v>75980</v>
      </c>
      <c r="E154" s="39">
        <f>SUM(E149:E153)</f>
        <v>251150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TRUNC(16702,-1)</f>
        <v>16700</v>
      </c>
      <c r="E157" s="62">
        <f>TRUNC(+D157*3.3058,-1)</f>
        <v>55200</v>
      </c>
    </row>
    <row r="158" spans="1:7" x14ac:dyDescent="0.3">
      <c r="A158" s="2">
        <v>2</v>
      </c>
      <c r="C158" s="38" t="s">
        <v>52</v>
      </c>
      <c r="D158" s="42">
        <f>TRUNC(2923,-1)</f>
        <v>2920</v>
      </c>
      <c r="E158" s="63">
        <f>TRUNC(+D158*3.3058,-1)</f>
        <v>9650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TRUNC(3805+232,-1)</f>
        <v>4030</v>
      </c>
      <c r="E159" s="63">
        <f>TRUNC(+D159*3.3058,-1)</f>
        <v>13320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TRUNC(6299,-1)</f>
        <v>6290</v>
      </c>
      <c r="E160" s="64">
        <f>TRUNC(+D160*3.3058,-1)</f>
        <v>20790</v>
      </c>
    </row>
    <row r="161" spans="1:5" x14ac:dyDescent="0.3">
      <c r="A161" s="2">
        <v>5</v>
      </c>
      <c r="C161" s="27" t="s">
        <v>112</v>
      </c>
      <c r="D161" s="39">
        <f>SUM(D157:D160)</f>
        <v>29940</v>
      </c>
      <c r="E161" s="39">
        <f>SUM(E157:E160)</f>
        <v>98960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2020-12-08T02:23:53Z</dcterms:modified>
</cp:coreProperties>
</file>