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8" i="4" l="1"/>
  <c r="D132" i="4"/>
  <c r="D124" i="4"/>
  <c r="D125" i="4"/>
  <c r="D122" i="4"/>
  <c r="D130" i="4"/>
  <c r="D126" i="4"/>
  <c r="D100" i="4"/>
  <c r="D105" i="4"/>
  <c r="D104" i="4"/>
  <c r="D102" i="4"/>
  <c r="D101" i="4"/>
  <c r="D99" i="4"/>
  <c r="D98" i="4"/>
  <c r="D115" i="4"/>
  <c r="D118" i="4"/>
  <c r="D114" i="4"/>
  <c r="D116" i="4"/>
  <c r="D94" i="4"/>
  <c r="D79" i="4"/>
  <c r="D89" i="4"/>
  <c r="D73" i="4"/>
  <c r="D92" i="4"/>
  <c r="D69" i="4"/>
  <c r="D72" i="4"/>
  <c r="D71" i="4"/>
  <c r="D58" i="4"/>
  <c r="D137" i="4"/>
  <c r="D136" i="4"/>
  <c r="D152" i="4"/>
  <c r="D45" i="4"/>
  <c r="D41" i="4"/>
  <c r="D50" i="4"/>
  <c r="D55" i="4"/>
  <c r="D43" i="4"/>
  <c r="D51" i="4"/>
  <c r="D53" i="4"/>
  <c r="D46" i="4"/>
  <c r="D44" i="4"/>
  <c r="D49" i="4"/>
  <c r="D47" i="4"/>
  <c r="D52" i="4"/>
  <c r="D48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19" i="4"/>
  <c r="E95" i="4"/>
  <c r="E146" i="4"/>
  <c r="E154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<sst xmlns="http://schemas.openxmlformats.org/spreadsheetml/2006/main" count="390" uniqueCount="265">
  <si>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</si>
  <si>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</si>
  <si>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</si>
  <si>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</si>
  <si>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</si>
  <si>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</si>
  <si>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</si>
  <si>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</si>
  <si>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</si>
  <si>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</si>
  <si>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</si>
  <si>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</si>
  <si>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</si>
  <si>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</si>
  <si>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</si>
  <si>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</si>
  <si>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</si>
  <si>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</si>
  <si>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</si>
  <si>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</si>
  <si>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</si>
  <si>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</si>
  <si>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</si>
  <si>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</si>
  <si>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</si>
  <si>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</si>
  <si>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</si>
  <si>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</si>
  <si>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</si>
  <si>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</si>
  <si>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</si>
  <si>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</si>
  <si>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</si>
  <si>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</si>
  <si>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</si>
  <si>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</si>
  <si>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</si>
  <si>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</si>
  <si>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</si>
  <si>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</si>
  <si>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</si>
  <si>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</si>
  <si>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</si>
  <si>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</si>
  <si>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</si>
  <si>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</si>
  <si>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</si>
  <si>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</si>
  <si>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</si>
  <si>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</si>
  <si>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</si>
  <si>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</si>
  <si>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</si>
  <si>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</si>
  <si>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</si>
  <si>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</si>
  <si>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</si>
  <si>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</si>
  <si>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</si>
  <si>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</si>
  <si>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</si>
  <si>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</si>
  <si>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</si>
  <si>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</si>
  <si>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</si>
  <si>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</si>
  <si>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</si>
  <si>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</si>
  <si>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</si>
  <si>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</si>
  <si>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</si>
  <si>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</si>
  <si>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</si>
  <si>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</si>
  <si>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</si>
  <si>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</si>
  <si>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</si>
  <si>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</si>
  <si>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</si>
  <si>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</si>
  <si>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</si>
  <si>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</si>
  <si>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</si>
  <si>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</si>
  <si>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</si>
  <si>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</si>
  <si>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</si>
  <si>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</si>
  <si>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</si>
  <si>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</si>
  <si>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</si>
  <si>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</si>
  <si>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</si>
  <si>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</si>
  <si>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</si>
  <si>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</si>
  <si>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</si>
  <si>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</si>
  <si>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</si>
  <si>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</si>
  <si>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</si>
  <si>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</si>
  <si>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</si>
  <si>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</si>
  <si>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</si>
  <si>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</si>
  <si>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</si>
  <si>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</si>
  <si>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</si>
  <si>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</si>
  <si>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</si>
  <si>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</si>
  <si>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</si>
  <si>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</si>
  <si>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</si>
  <si>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</si>
  <si>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</si>
  <si>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</si>
  <si>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</si>
  <si>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</si>
  <si>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</si>
  <si>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</si>
  <si>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</si>
  <si>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</si>
  <si>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</si>
  <si>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</si>
  <si>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</si>
  <si>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</si>
  <si>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</si>
  <si>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</si>
  <si>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</si>
  <si>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</si>
  <si>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</si>
  <si>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</si>
  <si>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</si>
  <si>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</si>
  <si>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</si>
  <si>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</si>
  <si>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</si>
  <si>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</si>
  <si>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</si>
  <si>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</si>
  <si>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</si>
  <si>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</si>
  <si>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</si>
  <si>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</si>
  <si>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</si>
  <si>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</si>
  <si>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</si>
  <si>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</si>
  <si>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</si>
  <si>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</si>
  <si>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</si>
  <si>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</si>
  <si>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</si>
  <si>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</si>
  <si>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</si>
  <si>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</si>
  <si>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</si>
  <si>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</si>
  <si>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</si>
  <si>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</si>
  <si>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</si>
  <si>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</si>
  <si>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</si>
  <si>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</si>
  <si>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</si>
  <si>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</si>
  <si>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</si>
  <si>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</si>
  <si>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</si>
  <si>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</si>
  <si>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</si>
  <si>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</si>
  <si>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</si>
  <si>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</si>
  <si>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</si>
  <si>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</si>
  <si>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</si>
  <si>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</si>
  <si>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</si>
  <si>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</si>
  <si>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</si>
  <si>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</si>
  <si>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</si>
  <si>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</si>
  <si>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</si>
  <si>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</si>
  <si>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</si>
  <si>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</si>
  <si>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</si>
  <si>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</si>
  <si>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</si>
  <si>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</si>
  <si>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</si>
  <si>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</si>
  <si>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</si>
  <si>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</si>
  <si>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</si>
  <si>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</si>
  <si>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</si>
  <si>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</si>
  <si>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</si>
  <si>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</si>
  <si>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</si>
  <si>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</si>
  <si>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</si>
  <si>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</si>
  <si>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</si>
  <si>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</si>
  <si>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</si>
  <si>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</si>
  <si>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</si>
  <si>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</si>
  <si>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</si>
  <si>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</si>
  <si>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</si>
  <si>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</si>
  <si>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</si>
  <si>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</si>
  <si>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</si>
  <si>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</si>
  <si>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</si>
  <si>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</si>
  <si>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</si>
  <si>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</si>
  <si>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</si>
  <si>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</si>
  <si>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</si>
  <si>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</si>
  <si>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</si>
  <si>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</si>
  <si>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</si>
  <si>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</si>
  <si>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</si>
  <si>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</si>
  <si>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</si>
  <si>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</si>
  <si>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</si>
  <si>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</si>
  <si>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</si>
  <si>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</si>
  <si>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</si>
  <si>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</si>
  <si>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</si>
  <si>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</si>
  <si>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</si>
  <si>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</si>
  <si>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</si>
  <si>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00산림교육센터 건립공사</t>
    <phoneticPr fontId="2" type="noConversion"/>
  </si>
  <si>
    <t>교육연구</t>
  </si>
  <si>
    <t>전라도</t>
  </si>
  <si>
    <t>부대토목공사</t>
    <phoneticPr fontId="2" type="noConversion"/>
  </si>
  <si>
    <t>기계 소화설비공사</t>
    <phoneticPr fontId="2" type="noConversion"/>
  </si>
  <si>
    <t>전기 소방공사</t>
    <phoneticPr fontId="2" type="noConversion"/>
  </si>
  <si>
    <t>골재비,기타공사,데크하부,부대공사,운반비,작업부산물,코아공사,토및지정공사</t>
    <phoneticPr fontId="2" type="noConversion"/>
  </si>
  <si>
    <t>환기닥트설치공사</t>
    <phoneticPr fontId="2" type="noConversion"/>
  </si>
  <si>
    <t>주방기구설치공사,보일러실배관공사,난방배관공사</t>
    <phoneticPr fontId="2" type="noConversion"/>
  </si>
  <si>
    <t>옥외전력인입설비공사</t>
    <phoneticPr fontId="2" type="noConversion"/>
  </si>
  <si>
    <t>교육-관리동전기공사,무대장치설비공사,태양광발전설비공사</t>
    <phoneticPr fontId="2" type="noConversion"/>
  </si>
  <si>
    <t>CCTV설비공사,CCTV설비공사</t>
    <phoneticPr fontId="2" type="noConversion"/>
  </si>
  <si>
    <t>원/ m2</t>
  </si>
  <si>
    <t>원 /평</t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</si>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</sst>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157</v>
      </c>
      <c r="B2" s="75" t="s">
        <v>0</v>
      </c>
      <c r="C2" s="76"/>
      <c r="D2" s="75" t="s">
        <v>1</v>
      </c>
      <c r="E2" s="76"/>
      <c r="F2" s="75" t="s">
        <v>158</v>
      </c>
      <c r="G2" s="76"/>
      <c r="H2" s="75" t="s">
        <v>2</v>
      </c>
      <c r="I2" s="76"/>
      <c r="J2" s="75" t="s">
        <v>3</v>
      </c>
      <c r="K2" s="76"/>
      <c r="L2" s="75" t="s">
        <v>159</v>
      </c>
      <c r="M2" s="76"/>
      <c r="N2" s="75" t="s">
        <v>160</v>
      </c>
      <c r="O2" s="76"/>
      <c r="P2" s="75" t="s">
        <v>5</v>
      </c>
      <c r="Q2" s="76"/>
      <c r="R2" s="69" t="s">
        <v>95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103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104</v>
      </c>
      <c r="C4" s="36" t="s">
        <v>250</v>
      </c>
    </row>
    <row r="6" spans="1:4" ht="17.25" thickBot="1" x14ac:dyDescent="0.35">
      <c r="A6" s="2">
        <v>3</v>
      </c>
      <c r="B6" s="2" t="s">
        <v>151</v>
      </c>
      <c r="C6" s="2" t="s">
        <v>105</v>
      </c>
      <c r="D6" s="35" t="s">
        <v>237</v>
      </c>
    </row>
    <row r="7" spans="1:4" ht="17.25" thickBot="1" x14ac:dyDescent="0.35">
      <c r="C7" s="37">
        <v>1902</v>
      </c>
      <c r="D7" s="36">
        <f>+C7/3.3058</f>
        <v>575.35241091415082</v>
      </c>
    </row>
    <row r="8" spans="1:4" ht="17.25" thickBot="1" x14ac:dyDescent="0.35"/>
    <row r="9" spans="1:4" ht="17.25" thickBot="1" x14ac:dyDescent="0.35">
      <c r="A9" s="2">
        <v>4</v>
      </c>
      <c r="B9" s="2" t="s">
        <v>106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107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108</v>
      </c>
      <c r="C13" s="36" t="s">
        <v>115</v>
      </c>
    </row>
    <row r="14" spans="1:4" ht="17.25" thickBot="1" x14ac:dyDescent="0.35"/>
    <row r="15" spans="1:4" ht="17.25" thickBot="1" x14ac:dyDescent="0.35">
      <c r="A15" s="2">
        <v>7</v>
      </c>
      <c r="B15" s="2" t="s">
        <v>109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110</v>
      </c>
      <c r="C23" s="2" t="s">
        <v>114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111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112</v>
      </c>
      <c r="D25" s="45">
        <f>+D60</f>
        <v>1064790</v>
      </c>
      <c r="E25" s="59">
        <f t="shared" si="0"/>
        <v>3519980</v>
      </c>
    </row>
    <row r="26" spans="1:5" x14ac:dyDescent="0.3">
      <c r="B26" s="2">
        <v>3</v>
      </c>
      <c r="C26" s="35" t="s">
        <v>96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97</v>
      </c>
      <c r="D27" s="45">
        <f>+D95</f>
        <v>97600</v>
      </c>
      <c r="E27" s="59">
        <f t="shared" si="0"/>
        <v>322640</v>
      </c>
    </row>
    <row r="28" spans="1:5" x14ac:dyDescent="0.3">
      <c r="B28" s="2">
        <v>5</v>
      </c>
      <c r="C28" s="35" t="s">
        <v>98</v>
      </c>
      <c r="D28" s="45">
        <f>+D119</f>
        <v>202270</v>
      </c>
      <c r="E28" s="59">
        <f t="shared" si="0"/>
        <v>668660</v>
      </c>
    </row>
    <row r="29" spans="1:5" x14ac:dyDescent="0.3">
      <c r="B29" s="2">
        <v>6</v>
      </c>
      <c r="C29" s="35" t="s">
        <v>99</v>
      </c>
      <c r="D29" s="45">
        <f>+D133</f>
        <v>44440</v>
      </c>
      <c r="E29" s="59">
        <f t="shared" si="0"/>
        <v>146900</v>
      </c>
    </row>
    <row r="30" spans="1:5" x14ac:dyDescent="0.3">
      <c r="B30" s="2">
        <v>7</v>
      </c>
      <c r="C30" s="35" t="s">
        <v>100</v>
      </c>
      <c r="D30" s="45">
        <f>+D146</f>
        <v>29370</v>
      </c>
      <c r="E30" s="59">
        <f t="shared" si="0"/>
        <v>97090</v>
      </c>
    </row>
    <row r="31" spans="1:5" x14ac:dyDescent="0.3">
      <c r="B31" s="2">
        <v>8</v>
      </c>
      <c r="C31" s="35" t="s">
        <v>101</v>
      </c>
      <c r="D31" s="45">
        <f>+D154</f>
        <v>270750</v>
      </c>
      <c r="E31" s="59">
        <f t="shared" si="0"/>
        <v>895040</v>
      </c>
    </row>
    <row r="32" spans="1:5" x14ac:dyDescent="0.3">
      <c r="B32" s="2">
        <v>9</v>
      </c>
      <c r="C32" s="35" t="s">
        <v>102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470030</v>
      </c>
      <c r="E33" s="60">
        <f t="shared" si="0"/>
        <v>1553820</v>
      </c>
    </row>
    <row r="34" spans="1:7" x14ac:dyDescent="0.3">
      <c r="C34" s="35" t="s">
        <v>113</v>
      </c>
      <c r="D34" s="44">
        <f>SUM(D24:D33)</f>
        <v>2179250</v>
      </c>
      <c r="E34" s="44">
        <f>SUM(E24:E33)</f>
        <v>7204130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144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112</v>
      </c>
      <c r="C39" s="66" t="s">
        <v>243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TRUNC(48968,-1)</f>
        <v>48960</v>
      </c>
      <c r="E40" s="62">
        <f t="shared" ref="E40:E59" si="1">TRUNC(+D40*3.3058,-1)</f>
        <v>161850</v>
      </c>
    </row>
    <row r="41" spans="1:7" x14ac:dyDescent="0.3">
      <c r="A41" s="2">
        <v>2</v>
      </c>
      <c r="C41" s="38" t="s">
        <v>13</v>
      </c>
      <c r="D41" s="42">
        <f>TRUNC(110719,-1)</f>
        <v>110710</v>
      </c>
      <c r="E41" s="63">
        <f t="shared" si="1"/>
        <v>365980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TRUNC(6116,-1)</f>
        <v>6110</v>
      </c>
      <c r="E43" s="63">
        <f t="shared" si="1"/>
        <v>20190</v>
      </c>
    </row>
    <row r="44" spans="1:7" x14ac:dyDescent="0.3">
      <c r="A44" s="2">
        <v>5</v>
      </c>
      <c r="C44" s="38" t="s">
        <v>17</v>
      </c>
      <c r="D44" s="42">
        <f>TRUNC(33554,-1)</f>
        <v>33550</v>
      </c>
      <c r="E44" s="63">
        <f t="shared" si="1"/>
        <v>110900</v>
      </c>
    </row>
    <row r="45" spans="1:7" x14ac:dyDescent="0.3">
      <c r="A45" s="2">
        <v>6</v>
      </c>
      <c r="C45" s="38" t="s">
        <v>18</v>
      </c>
      <c r="D45" s="42">
        <f>TRUNC(10933,-1)</f>
        <v>10930</v>
      </c>
      <c r="E45" s="63">
        <f t="shared" si="1"/>
        <v>36130</v>
      </c>
    </row>
    <row r="46" spans="1:7" x14ac:dyDescent="0.3">
      <c r="A46" s="2">
        <v>7</v>
      </c>
      <c r="C46" s="38" t="s">
        <v>19</v>
      </c>
      <c r="D46" s="42">
        <f>TRUNC(1267,-1)</f>
        <v>1260</v>
      </c>
      <c r="E46" s="63">
        <f t="shared" si="1"/>
        <v>4160</v>
      </c>
    </row>
    <row r="47" spans="1:7" x14ac:dyDescent="0.3">
      <c r="A47" s="2">
        <v>8</v>
      </c>
      <c r="C47" s="38" t="s">
        <v>20</v>
      </c>
      <c r="D47" s="42">
        <f>TRUNC(438049,-1)</f>
        <v>438040</v>
      </c>
      <c r="E47" s="63">
        <f t="shared" si="1"/>
        <v>1448070</v>
      </c>
    </row>
    <row r="48" spans="1:7" x14ac:dyDescent="0.3">
      <c r="A48" s="2">
        <v>9</v>
      </c>
      <c r="C48" s="38" t="s">
        <v>21</v>
      </c>
      <c r="D48" s="42">
        <f>TRUNC(102710,-1)</f>
        <v>102710</v>
      </c>
      <c r="E48" s="63">
        <f t="shared" si="1"/>
        <v>339530</v>
      </c>
    </row>
    <row r="49" spans="1:7" x14ac:dyDescent="0.3">
      <c r="A49" s="2">
        <v>10</v>
      </c>
      <c r="C49" s="38" t="s">
        <v>22</v>
      </c>
      <c r="D49" s="42">
        <f>TRUNC(31499,-1)</f>
        <v>31490</v>
      </c>
      <c r="E49" s="63">
        <f t="shared" si="1"/>
        <v>104090</v>
      </c>
    </row>
    <row r="50" spans="1:7" x14ac:dyDescent="0.3">
      <c r="A50" s="2">
        <v>11</v>
      </c>
      <c r="C50" s="38" t="s">
        <v>156</v>
      </c>
      <c r="D50" s="42">
        <f>TRUNC(23421,-1)</f>
        <v>23420</v>
      </c>
      <c r="E50" s="63">
        <f t="shared" si="1"/>
        <v>77420</v>
      </c>
    </row>
    <row r="51" spans="1:7" x14ac:dyDescent="0.3">
      <c r="A51" s="2">
        <v>12</v>
      </c>
      <c r="C51" s="38" t="s">
        <v>23</v>
      </c>
      <c r="D51" s="42">
        <f>TRUNC(13466,-1)</f>
        <v>13460</v>
      </c>
      <c r="E51" s="63">
        <f t="shared" si="1"/>
        <v>44490</v>
      </c>
    </row>
    <row r="52" spans="1:7" x14ac:dyDescent="0.3">
      <c r="A52" s="2">
        <v>13</v>
      </c>
      <c r="C52" s="38" t="s">
        <v>24</v>
      </c>
      <c r="D52" s="42">
        <f>TRUNC(30370,-1)</f>
        <v>30370</v>
      </c>
      <c r="E52" s="63">
        <f t="shared" si="1"/>
        <v>100390</v>
      </c>
    </row>
    <row r="53" spans="1:7" x14ac:dyDescent="0.3">
      <c r="A53" s="2">
        <v>14</v>
      </c>
      <c r="C53" s="38" t="s">
        <v>25</v>
      </c>
      <c r="D53" s="42">
        <f>TRUNC(102205,-1)</f>
        <v>102200</v>
      </c>
      <c r="E53" s="63">
        <f t="shared" si="1"/>
        <v>337850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f>TRUNC(607,-1)</f>
        <v>600</v>
      </c>
      <c r="E55" s="63">
        <f t="shared" si="1"/>
        <v>1980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TRUNC(5210+5100+72263+222+997-688+17370+10509,-1)</f>
        <v>110980</v>
      </c>
      <c r="E58" s="63">
        <f t="shared" si="1"/>
        <v>366870</v>
      </c>
      <c r="F58" s="2" t="s">
        <v>255</v>
      </c>
    </row>
    <row r="59" spans="1:7" ht="17.25" thickBot="1" x14ac:dyDescent="0.35">
      <c r="A59" s="2">
        <v>20</v>
      </c>
      <c r="C59" s="38" t="s">
        <v>149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113</v>
      </c>
      <c r="D60" s="39">
        <f>SUM(D40:D59)</f>
        <v>1064790</v>
      </c>
      <c r="E60" s="39">
        <f>SUM(E40:E59)</f>
        <v>3519900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113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TRUNC(18842+3100,-1)</f>
        <v>21940</v>
      </c>
      <c r="E69" s="62">
        <f t="shared" ref="E69:E94" si="2">TRUNC(+D69*3.3058,-1)</f>
        <v>72520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TRUNC(4911,-1)</f>
        <v>4910</v>
      </c>
      <c r="E71" s="63">
        <f t="shared" si="2"/>
        <v>16230</v>
      </c>
    </row>
    <row r="72" spans="1:7" x14ac:dyDescent="0.3">
      <c r="A72" s="2">
        <v>4</v>
      </c>
      <c r="C72" s="38" t="s">
        <v>33</v>
      </c>
      <c r="D72" s="42">
        <f>TRUNC(2612,-1)</f>
        <v>2610</v>
      </c>
      <c r="E72" s="63">
        <f t="shared" si="2"/>
        <v>8620</v>
      </c>
    </row>
    <row r="73" spans="1:7" x14ac:dyDescent="0.3">
      <c r="A73" s="2">
        <v>5</v>
      </c>
      <c r="C73" s="38" t="s">
        <v>34</v>
      </c>
      <c r="D73" s="42">
        <f>TRUNC(9674+6233,-1)</f>
        <v>15900</v>
      </c>
      <c r="E73" s="63">
        <f t="shared" si="2"/>
        <v>52560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141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120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138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134</v>
      </c>
      <c r="D79" s="42">
        <f>TRUNC(10370+337,-1)</f>
        <v>10700</v>
      </c>
      <c r="E79" s="63">
        <f t="shared" si="2"/>
        <v>35370</v>
      </c>
      <c r="F79" s="2" t="s">
        <v>256</v>
      </c>
    </row>
    <row r="80" spans="1:7" x14ac:dyDescent="0.3">
      <c r="A80" s="2">
        <v>12</v>
      </c>
      <c r="C80" s="38" t="s">
        <v>129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122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135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137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123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124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142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140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143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TRUNC(4860+4276,-1)</f>
        <v>9130</v>
      </c>
      <c r="E89" s="63">
        <f t="shared" si="2"/>
        <v>30180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TRUNC(6140+4465,-1)</f>
        <v>10600</v>
      </c>
      <c r="E92" s="63">
        <f t="shared" si="2"/>
        <v>35040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TRUNC(14424+1981+5409,-1)</f>
        <v>21810</v>
      </c>
      <c r="E94" s="64">
        <f t="shared" si="2"/>
        <v>72090</v>
      </c>
      <c r="F94" s="2" t="s">
        <v>257</v>
      </c>
    </row>
    <row r="95" spans="1:7" x14ac:dyDescent="0.3">
      <c r="A95" s="2">
        <v>27</v>
      </c>
      <c r="C95" s="27" t="s">
        <v>113</v>
      </c>
      <c r="D95" s="39">
        <f>SUM(D69:D94)</f>
        <v>97600</v>
      </c>
      <c r="E95" s="39">
        <f>SUM(E69:E94)</f>
        <v>322610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TRUNC(11924+15167-1)</f>
        <v>27090</v>
      </c>
      <c r="E98" s="62">
        <f t="shared" ref="E98:E118" si="3">TRUNC(+D98*3.3058,-1)</f>
        <v>89550</v>
      </c>
    </row>
    <row r="99" spans="1:7" x14ac:dyDescent="0.3">
      <c r="A99" s="2">
        <v>2</v>
      </c>
      <c r="C99" s="38" t="s">
        <v>40</v>
      </c>
      <c r="D99" s="42">
        <f>TRUNC(6533+8619,-1)</f>
        <v>15150</v>
      </c>
      <c r="E99" s="63">
        <f t="shared" si="3"/>
        <v>50080</v>
      </c>
    </row>
    <row r="100" spans="1:7" x14ac:dyDescent="0.3">
      <c r="A100" s="2">
        <v>3</v>
      </c>
      <c r="C100" s="38" t="s">
        <v>41</v>
      </c>
      <c r="D100" s="42">
        <f>TRUNC(22327+29830,-1)</f>
        <v>52150</v>
      </c>
      <c r="E100" s="63">
        <f t="shared" si="3"/>
        <v>172390</v>
      </c>
    </row>
    <row r="101" spans="1:7" x14ac:dyDescent="0.3">
      <c r="A101" s="2">
        <v>4</v>
      </c>
      <c r="C101" s="38" t="s">
        <v>42</v>
      </c>
      <c r="D101" s="42">
        <f>TRUNC(1217+12706,-1)</f>
        <v>13920</v>
      </c>
      <c r="E101" s="63">
        <f t="shared" si="3"/>
        <v>46010</v>
      </c>
    </row>
    <row r="102" spans="1:7" x14ac:dyDescent="0.3">
      <c r="A102" s="2">
        <v>5</v>
      </c>
      <c r="C102" s="38" t="s">
        <v>43</v>
      </c>
      <c r="D102" s="42">
        <f>TRUNC(9778+8379,-1)</f>
        <v>18150</v>
      </c>
      <c r="E102" s="63">
        <f t="shared" si="3"/>
        <v>60000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TRUNC(2351+20068,-1)</f>
        <v>22410</v>
      </c>
      <c r="E104" s="63">
        <f t="shared" si="3"/>
        <v>74080</v>
      </c>
    </row>
    <row r="105" spans="1:7" x14ac:dyDescent="0.3">
      <c r="A105" s="2">
        <v>8</v>
      </c>
      <c r="C105" s="38" t="s">
        <v>46</v>
      </c>
      <c r="D105" s="42">
        <f>TRUNC(2493+2622,-1)</f>
        <v>5110</v>
      </c>
      <c r="E105" s="63">
        <f t="shared" si="3"/>
        <v>16890</v>
      </c>
    </row>
    <row r="106" spans="1:7" x14ac:dyDescent="0.3">
      <c r="A106" s="2">
        <v>9</v>
      </c>
      <c r="C106" s="38" t="s">
        <v>136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118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121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126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128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130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133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119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131</v>
      </c>
      <c r="D114" s="42">
        <f>TRUNC(12616,-1)</f>
        <v>12610</v>
      </c>
      <c r="E114" s="63">
        <f t="shared" si="3"/>
        <v>41680</v>
      </c>
    </row>
    <row r="115" spans="1:7" x14ac:dyDescent="0.3">
      <c r="A115" s="2">
        <v>18</v>
      </c>
      <c r="C115" s="38" t="s">
        <v>117</v>
      </c>
      <c r="D115" s="42">
        <f>TRUNC(13865,-1)</f>
        <v>13860</v>
      </c>
      <c r="E115" s="63">
        <f t="shared" si="3"/>
        <v>45810</v>
      </c>
    </row>
    <row r="116" spans="1:7" x14ac:dyDescent="0.3">
      <c r="A116" s="2">
        <v>19</v>
      </c>
      <c r="C116" s="38" t="s">
        <v>116</v>
      </c>
      <c r="D116" s="42">
        <f>TRUNC(15841,-1)</f>
        <v>15840</v>
      </c>
      <c r="E116" s="63">
        <f t="shared" si="3"/>
        <v>52360</v>
      </c>
      <c r="F116" s="2" t="s">
        <v>258</v>
      </c>
    </row>
    <row r="117" spans="1:7" x14ac:dyDescent="0.3">
      <c r="A117" s="2">
        <v>20</v>
      </c>
      <c r="C117" s="38" t="s">
        <v>149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TRUNC(-1+4397+1591,-1)</f>
        <v>5980</v>
      </c>
      <c r="E118" s="64">
        <f t="shared" si="3"/>
        <v>19760</v>
      </c>
      <c r="F118" s="2" t="s">
        <v>259</v>
      </c>
    </row>
    <row r="119" spans="1:7" x14ac:dyDescent="0.3">
      <c r="A119" s="2">
        <v>22</v>
      </c>
      <c r="C119" s="27" t="s">
        <v>113</v>
      </c>
      <c r="D119" s="39">
        <f>SUM(D98:D118)</f>
        <v>202270</v>
      </c>
      <c r="E119" s="39">
        <f>SUM(E98:E118)</f>
        <v>668610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TRUNC(2676+1172,-1)</f>
        <v>3840</v>
      </c>
      <c r="E122" s="62">
        <f t="shared" ref="E122:E132" si="4">TRUNC(+D122*3.3058,-1)</f>
        <v>12690</v>
      </c>
    </row>
    <row r="123" spans="1:7" x14ac:dyDescent="0.3">
      <c r="A123" s="2">
        <v>2</v>
      </c>
      <c r="C123" s="38" t="s">
        <v>125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TRUNC(3075,-1)</f>
        <v>3070</v>
      </c>
      <c r="E124" s="63">
        <f t="shared" si="4"/>
        <v>10140</v>
      </c>
    </row>
    <row r="125" spans="1:7" x14ac:dyDescent="0.3">
      <c r="A125" s="2">
        <v>4</v>
      </c>
      <c r="C125" s="38" t="s">
        <v>139</v>
      </c>
      <c r="D125" s="42">
        <f>TRUNC(3037+3886,-1)</f>
        <v>6920</v>
      </c>
      <c r="E125" s="63">
        <f t="shared" si="4"/>
        <v>22870</v>
      </c>
    </row>
    <row r="126" spans="1:7" x14ac:dyDescent="0.3">
      <c r="A126" s="2">
        <v>5</v>
      </c>
      <c r="C126" s="38" t="s">
        <v>53</v>
      </c>
      <c r="D126" s="42">
        <f>TRUNC(7017,-1)</f>
        <v>7010</v>
      </c>
      <c r="E126" s="63">
        <f t="shared" si="4"/>
        <v>23170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TRUNC(2226+1399,-1)</f>
        <v>3620</v>
      </c>
      <c r="E128" s="63">
        <f t="shared" si="4"/>
        <v>11960</v>
      </c>
    </row>
    <row r="129" spans="1:7" x14ac:dyDescent="0.3">
      <c r="A129" s="2">
        <v>8</v>
      </c>
      <c r="C129" s="38" t="s">
        <v>127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TRUNC(5110+10479,-1)</f>
        <v>15580</v>
      </c>
      <c r="E130" s="63">
        <f t="shared" si="4"/>
        <v>51500</v>
      </c>
    </row>
    <row r="131" spans="1:7" x14ac:dyDescent="0.3">
      <c r="A131" s="2">
        <v>10</v>
      </c>
      <c r="C131" s="38" t="s">
        <v>149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TRUNC(2604+1797,-1)</f>
        <v>4400</v>
      </c>
      <c r="E132" s="64">
        <f t="shared" si="4"/>
        <v>14540</v>
      </c>
      <c r="F132" s="54" t="s">
        <v>260</v>
      </c>
    </row>
    <row r="133" spans="1:7" x14ac:dyDescent="0.3">
      <c r="A133" s="2">
        <v>12</v>
      </c>
      <c r="C133" s="27" t="s">
        <v>113</v>
      </c>
      <c r="D133" s="39">
        <f>SUM(D122:D132)</f>
        <v>44440</v>
      </c>
      <c r="E133" s="39">
        <f>SUM(E122:E132)</f>
        <v>146870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132</v>
      </c>
      <c r="D136" s="40">
        <f>TRUNC(10288,-1)</f>
        <v>10280</v>
      </c>
      <c r="E136" s="62">
        <f t="shared" ref="E136:E145" si="5">TRUNC(+D136*3.3058,-1)</f>
        <v>33980</v>
      </c>
      <c r="F136" s="2" t="s">
        <v>253</v>
      </c>
    </row>
    <row r="137" spans="1:7" x14ac:dyDescent="0.3">
      <c r="A137" s="2">
        <v>2</v>
      </c>
      <c r="C137" s="38" t="s">
        <v>47</v>
      </c>
      <c r="D137" s="42">
        <f>TRUNC(19097,-1)</f>
        <v>19090</v>
      </c>
      <c r="E137" s="63">
        <f t="shared" si="5"/>
        <v>63100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113</v>
      </c>
      <c r="D146" s="39">
        <f>SUM(D136:D145)</f>
        <v>29370</v>
      </c>
      <c r="E146" s="39">
        <f>SUM(E136:E145)</f>
        <v>97080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TRUNC(270754,-1)</f>
        <v>270750</v>
      </c>
      <c r="E152" s="63">
        <f>TRUNC(+D152*3.3058,-1)</f>
        <v>895040</v>
      </c>
      <c r="F152" s="2" t="s">
        <v>252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113</v>
      </c>
      <c r="D154" s="39">
        <f>SUM(D149:D153)</f>
        <v>270750</v>
      </c>
      <c r="E154" s="39">
        <f>SUM(E149:E153)</f>
        <v>895040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113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2020-12-07T09:51:44Z</dcterms:modified>
</cp:coreProperties>
</file>