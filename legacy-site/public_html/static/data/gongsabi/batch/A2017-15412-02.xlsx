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31" i="4"/>
  <c r="D117" i="4"/>
  <c r="D93" i="4"/>
  <c r="D59" i="4"/>
  <c r="D159" i="4" l="1"/>
  <c r="D157" i="4"/>
  <c r="D152" i="4"/>
  <c r="D151" i="4"/>
  <c r="D150" i="4"/>
  <c r="D149" i="4"/>
  <c r="D144" i="4"/>
  <c r="D143" i="4"/>
  <c r="D142" i="4"/>
  <c r="D141" i="4"/>
  <c r="D140" i="4"/>
  <c r="D139" i="4"/>
  <c r="D137" i="4"/>
  <c r="D132" i="4"/>
  <c r="D130" i="4"/>
  <c r="D128" i="4"/>
  <c r="D126" i="4"/>
  <c r="D125" i="4"/>
  <c r="D118" i="4"/>
  <c r="D114" i="4"/>
  <c r="D105" i="4"/>
  <c r="D104" i="4"/>
  <c r="D102" i="4"/>
  <c r="D100" i="4"/>
  <c r="D99" i="4"/>
  <c r="D98" i="4"/>
  <c r="D94" i="4"/>
  <c r="D92" i="4"/>
  <c r="D91" i="4"/>
  <c r="D89" i="4"/>
  <c r="D73" i="4"/>
  <c r="D72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 l="1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<sst xmlns="http://schemas.openxmlformats.org/spreadsheetml/2006/main" count="390" uniqueCount="264">
  <si>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</si>
  <si>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</si>
  <si>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</si>
  <si>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</si>
  <si>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</si>
  <si>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</si>
  <si>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</si>
  <si>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</si>
  <si>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</si>
  <si>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</si>
  <si>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</si>
  <si>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</si>
  <si>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</si>
  <si>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</si>
  <si>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</si>
  <si>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</si>
  <si>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</si>
  <si>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</si>
  <si>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</si>
  <si>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</si>
  <si>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</si>
  <si>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</si>
  <si>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</si>
  <si>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</si>
  <si>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</si>
  <si>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</si>
  <si>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</si>
  <si>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</si>
  <si>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</si>
  <si>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</si>
  <si>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</si>
  <si>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</si>
  <si>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</si>
  <si>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</si>
  <si>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</si>
  <si>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</si>
  <si>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</si>
  <si>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</si>
  <si>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</si>
  <si>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</si>
  <si>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</si>
  <si>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</si>
  <si>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</si>
  <si>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</si>
  <si>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</si>
  <si>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</si>
  <si>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</si>
  <si>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</si>
  <si>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</si>
  <si>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</si>
  <si>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</si>
  <si>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</si>
  <si>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</si>
  <si>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</si>
  <si>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</si>
  <si>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</si>
  <si>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</si>
  <si>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</si>
  <si>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</si>
  <si>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</si>
  <si>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</si>
  <si>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</si>
  <si>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</si>
  <si>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</si>
  <si>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</si>
  <si>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</si>
  <si>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</si>
  <si>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</si>
  <si>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</si>
  <si>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</si>
  <si>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</si>
  <si>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</si>
  <si>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</si>
  <si>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</si>
  <si>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</si>
  <si>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</si>
  <si>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</si>
  <si>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</si>
  <si>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</si>
  <si>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</si>
  <si>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</si>
  <si>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</si>
  <si>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</si>
  <si>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</si>
  <si>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</si>
  <si>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</si>
  <si>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</si>
  <si>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</si>
  <si>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</si>
  <si>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</si>
  <si>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</si>
  <si>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</si>
  <si>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</si>
  <si>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</si>
  <si>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</si>
  <si>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</si>
  <si>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</si>
  <si>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</si>
  <si>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</si>
  <si>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</si>
  <si>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</si>
  <si>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</si>
  <si>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</si>
  <si>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</si>
  <si>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</si>
  <si>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</si>
  <si>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</si>
  <si>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</si>
  <si>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</si>
  <si>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</si>
  <si>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</si>
  <si>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</si>
  <si>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</si>
  <si>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</si>
  <si>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</si>
  <si>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</si>
  <si>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</si>
  <si>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</si>
  <si>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</si>
  <si>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</si>
  <si>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</si>
  <si>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</si>
  <si>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</si>
  <si>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</si>
  <si>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</si>
  <si>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</si>
  <si>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</si>
  <si>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</si>
  <si>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</si>
  <si>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</si>
  <si>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</si>
  <si>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</si>
  <si>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</si>
  <si>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</si>
  <si>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</si>
  <si>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</si>
  <si>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</si>
  <si>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</si>
  <si>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</si>
  <si>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</si>
  <si>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</si>
  <si>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</si>
  <si>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</si>
  <si>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</si>
  <si>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</si>
  <si>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</si>
  <si>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</si>
  <si>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</si>
  <si>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</si>
  <si>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</si>
  <si>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</si>
  <si>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</si>
  <si>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</si>
  <si>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</si>
  <si>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</si>
  <si>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</si>
  <si>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</si>
  <si>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</si>
  <si>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</si>
  <si>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</si>
  <si>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</si>
  <si>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</si>
  <si>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</si>
  <si>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</si>
  <si>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</si>
  <si>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</si>
  <si>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</si>
  <si>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</si>
  <si>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</si>
  <si>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</si>
  <si>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</si>
  <si>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</si>
  <si>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</si>
  <si>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</si>
  <si>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</si>
  <si>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</si>
  <si>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</si>
  <si>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</si>
  <si>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</si>
  <si>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</si>
  <si>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</si>
  <si>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</si>
  <si>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</si>
  <si>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</si>
  <si>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</si>
  <si>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</si>
  <si>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</si>
  <si>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</si>
  <si>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</si>
  <si>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</si>
  <si>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</si>
  <si>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</si>
  <si>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</si>
  <si>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</si>
  <si>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</si>
  <si>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</si>
  <si>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</si>
  <si>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</si>
  <si>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</si>
  <si>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</si>
  <si>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</si>
  <si>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</si>
  <si>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</si>
  <si>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</si>
  <si>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</si>
  <si>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</si>
  <si>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</si>
  <si>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</si>
  <si>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</si>
  <si>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</si>
  <si>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</si>
  <si>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</si>
  <si>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</si>
  <si>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</si>
  <si>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</si>
  <si>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</si>
  <si>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</si>
  <si>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</si>
  <si>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</si>
  <si>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</si>
  <si>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</si>
  <si>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</si>
  <si>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</si>
  <si>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</si>
  <si>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</si>
  <si>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</si>
  <si>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</si>
  <si>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</si>
  <si>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</si>
  <si>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</si>
  <si>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</si>
  <si>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</si>
  <si>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</si>
  <si>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</si>
  <si>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</si>
  <si>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</si>
  <si>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</si>
  <si>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</si>
  <si>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</si>
  <si>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</si>
  <si>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</si>
  <si>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</si>
  <si>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</si>
  <si>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</si>
  <si>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</si>
  <si>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</si>
  <si>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</si>
  <si>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</si>
  <si>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</si>
  <si>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진주 지식산업센터(아파트형공장) 건립공사</t>
    <phoneticPr fontId="2" type="noConversion"/>
  </si>
  <si>
    <t>공장</t>
  </si>
  <si>
    <t>경상도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</si>
  <si>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</si>
  <si>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</si>
  <si>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</si>
  <si>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기초공사,골재비및운반비,기타공사</t>
    <phoneticPr fontId="2" type="noConversion"/>
  </si>
  <si>
    <t>공조배관공사</t>
    <phoneticPr fontId="2" type="noConversion"/>
  </si>
  <si>
    <t xml:space="preserve">기타공사 </t>
    <phoneticPr fontId="2" type="noConversion"/>
  </si>
  <si>
    <t>오수공사</t>
    <phoneticPr fontId="2" type="noConversion"/>
  </si>
  <si>
    <t>사급자재비,운반비,기타공사</t>
    <phoneticPr fontId="2" type="noConversion"/>
  </si>
  <si>
    <t>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</si>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</sst>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15856</v>
      </c>
      <c r="D7" s="36">
        <f>+C7/3.3058</f>
        <v>4796.418416117127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723310</v>
      </c>
      <c r="E25" s="59">
        <f t="shared" si="0"/>
        <v>2391110</v>
      </c>
    </row>
    <row r="26" spans="1:5" x14ac:dyDescent="0.3">
      <c r="B26" s="2">
        <v>3</v>
      </c>
      <c r="C26" s="35" t="s">
        <v>95</v>
      </c>
      <c r="D26" s="45">
        <f>+D66</f>
        <v>128800</v>
      </c>
      <c r="E26" s="59">
        <f t="shared" si="0"/>
        <v>425780</v>
      </c>
    </row>
    <row r="27" spans="1:5" x14ac:dyDescent="0.3">
      <c r="B27" s="2">
        <v>4</v>
      </c>
      <c r="C27" s="35" t="s">
        <v>96</v>
      </c>
      <c r="D27" s="45">
        <f>+D95</f>
        <v>22530</v>
      </c>
      <c r="E27" s="59">
        <f t="shared" si="0"/>
        <v>74470</v>
      </c>
    </row>
    <row r="28" spans="1:5" x14ac:dyDescent="0.3">
      <c r="B28" s="2">
        <v>5</v>
      </c>
      <c r="C28" s="35" t="s">
        <v>97</v>
      </c>
      <c r="D28" s="45">
        <f>+D119</f>
        <v>111440</v>
      </c>
      <c r="E28" s="59">
        <f t="shared" si="0"/>
        <v>368390</v>
      </c>
    </row>
    <row r="29" spans="1:5" x14ac:dyDescent="0.3">
      <c r="B29" s="2">
        <v>6</v>
      </c>
      <c r="C29" s="35" t="s">
        <v>98</v>
      </c>
      <c r="D29" s="45">
        <f>+D133</f>
        <v>35480</v>
      </c>
      <c r="E29" s="59">
        <f t="shared" si="0"/>
        <v>117280</v>
      </c>
    </row>
    <row r="30" spans="1:5" x14ac:dyDescent="0.3">
      <c r="B30" s="2">
        <v>7</v>
      </c>
      <c r="C30" s="35" t="s">
        <v>99</v>
      </c>
      <c r="D30" s="45">
        <f>+D146</f>
        <v>58590</v>
      </c>
      <c r="E30" s="59">
        <f t="shared" si="0"/>
        <v>193680</v>
      </c>
    </row>
    <row r="31" spans="1:5" x14ac:dyDescent="0.3">
      <c r="B31" s="2">
        <v>8</v>
      </c>
      <c r="C31" s="35" t="s">
        <v>100</v>
      </c>
      <c r="D31" s="45">
        <f>+D154</f>
        <v>35650</v>
      </c>
      <c r="E31" s="59">
        <f t="shared" si="0"/>
        <v>117850</v>
      </c>
    </row>
    <row r="32" spans="1:5" x14ac:dyDescent="0.3">
      <c r="B32" s="2">
        <v>9</v>
      </c>
      <c r="C32" s="35" t="s">
        <v>101</v>
      </c>
      <c r="D32" s="45">
        <f>+D161</f>
        <v>8010</v>
      </c>
      <c r="E32" s="59">
        <f t="shared" si="0"/>
        <v>26470</v>
      </c>
    </row>
    <row r="33" spans="1:7" x14ac:dyDescent="0.3">
      <c r="B33" s="2">
        <v>10</v>
      </c>
      <c r="C33" s="35" t="s">
        <v>155</v>
      </c>
      <c r="D33" s="53">
        <f>TRUNC(SUM(D24:D32)*0.275,-1)</f>
        <v>309040</v>
      </c>
      <c r="E33" s="60">
        <f t="shared" si="0"/>
        <v>1021620</v>
      </c>
    </row>
    <row r="34" spans="1:7" x14ac:dyDescent="0.3">
      <c r="C34" s="35" t="s">
        <v>112</v>
      </c>
      <c r="D34" s="44">
        <f>SUM(D24:D33)</f>
        <v>1432850</v>
      </c>
      <c r="E34" s="44">
        <f>SUM(E24:E33)</f>
        <v>4736650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6" t="s">
        <v>241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TRUNC(57704,-1)</f>
        <v>57700</v>
      </c>
      <c r="E40" s="62">
        <f t="shared" ref="E40:E59" si="1">TRUNC(+D40*3.3058,-1)</f>
        <v>190740</v>
      </c>
    </row>
    <row r="41" spans="1:7" x14ac:dyDescent="0.3">
      <c r="A41" s="2">
        <v>2</v>
      </c>
      <c r="C41" s="38" t="s">
        <v>13</v>
      </c>
      <c r="D41" s="42">
        <f>TRUNC(123505,-1)</f>
        <v>123500</v>
      </c>
      <c r="E41" s="63">
        <f t="shared" si="1"/>
        <v>408260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TRUNC(6457,-1)</f>
        <v>6450</v>
      </c>
      <c r="E43" s="63">
        <f t="shared" si="1"/>
        <v>21320</v>
      </c>
    </row>
    <row r="44" spans="1:7" x14ac:dyDescent="0.3">
      <c r="A44" s="2">
        <v>5</v>
      </c>
      <c r="C44" s="38" t="s">
        <v>17</v>
      </c>
      <c r="D44" s="42">
        <f>TRUNC(21055,-1)</f>
        <v>21050</v>
      </c>
      <c r="E44" s="63">
        <f t="shared" si="1"/>
        <v>69580</v>
      </c>
    </row>
    <row r="45" spans="1:7" x14ac:dyDescent="0.3">
      <c r="A45" s="2">
        <v>6</v>
      </c>
      <c r="C45" s="38" t="s">
        <v>18</v>
      </c>
      <c r="D45" s="42">
        <f>TRUNC(6969,-1)</f>
        <v>6960</v>
      </c>
      <c r="E45" s="63">
        <f t="shared" si="1"/>
        <v>23000</v>
      </c>
    </row>
    <row r="46" spans="1:7" x14ac:dyDescent="0.3">
      <c r="A46" s="2">
        <v>7</v>
      </c>
      <c r="C46" s="38" t="s">
        <v>19</v>
      </c>
      <c r="D46" s="42">
        <f>TRUNC(20456,-1)</f>
        <v>20450</v>
      </c>
      <c r="E46" s="63">
        <f t="shared" si="1"/>
        <v>67600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TRUNC(32911,-1)</f>
        <v>32910</v>
      </c>
      <c r="E48" s="63">
        <f t="shared" si="1"/>
        <v>108790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TRUNC(9284,-1)</f>
        <v>9280</v>
      </c>
      <c r="E49" s="63">
        <f t="shared" si="1"/>
        <v>30670</v>
      </c>
    </row>
    <row r="50" spans="1:7" x14ac:dyDescent="0.3">
      <c r="A50" s="2">
        <v>11</v>
      </c>
      <c r="C50" s="38" t="s">
        <v>156</v>
      </c>
      <c r="D50" s="42">
        <f>TRUNC(57693,-1)</f>
        <v>57690</v>
      </c>
      <c r="E50" s="63">
        <f t="shared" si="1"/>
        <v>190710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TRUNC(18218,-1)</f>
        <v>18210</v>
      </c>
      <c r="E52" s="63">
        <f t="shared" si="1"/>
        <v>60190</v>
      </c>
    </row>
    <row r="53" spans="1:7" x14ac:dyDescent="0.3">
      <c r="A53" s="2">
        <v>14</v>
      </c>
      <c r="C53" s="38" t="s">
        <v>25</v>
      </c>
      <c r="D53" s="42">
        <f>TRUNC(71341,-1)</f>
        <v>71340</v>
      </c>
      <c r="E53" s="63">
        <f t="shared" si="1"/>
        <v>235830</v>
      </c>
      <c r="F53" s="2" t="s">
        <v>254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TRUNC(9736+6315+2525,-1)</f>
        <v>18570</v>
      </c>
      <c r="E58" s="63">
        <f t="shared" si="1"/>
        <v>61380</v>
      </c>
      <c r="F58" s="2" t="s">
        <v>255</v>
      </c>
    </row>
    <row r="59" spans="1:7" ht="17.25" thickBot="1" x14ac:dyDescent="0.35">
      <c r="A59" s="2">
        <v>20</v>
      </c>
      <c r="C59" s="38" t="s">
        <v>149</v>
      </c>
      <c r="D59" s="43">
        <f>TRUNC(279203,-1)</f>
        <v>279200</v>
      </c>
      <c r="E59" s="64">
        <f t="shared" si="1"/>
        <v>922970</v>
      </c>
    </row>
    <row r="60" spans="1:7" x14ac:dyDescent="0.3">
      <c r="A60" s="2">
        <v>21</v>
      </c>
      <c r="C60" s="27" t="s">
        <v>112</v>
      </c>
      <c r="D60" s="39">
        <f>SUM(D40:D59)</f>
        <v>723310</v>
      </c>
      <c r="E60" s="39">
        <f>SUM(E40:E59)</f>
        <v>2391040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TRUNC(16694,-1)</f>
        <v>16690</v>
      </c>
      <c r="E63" s="62">
        <f>TRUNC(+D63*3.3058,-1)</f>
        <v>55170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TRUNC(112117,-1)</f>
        <v>112110</v>
      </c>
      <c r="E65" s="64">
        <f>TRUNC(+D65*3.3058,-1)</f>
        <v>370610</v>
      </c>
    </row>
    <row r="66" spans="1:7" x14ac:dyDescent="0.3">
      <c r="A66" s="2">
        <v>4</v>
      </c>
      <c r="C66" s="27" t="s">
        <v>112</v>
      </c>
      <c r="D66" s="39">
        <f>SUM(D63:D65)</f>
        <v>128800</v>
      </c>
      <c r="E66" s="65">
        <f>SUM(E63:E65)</f>
        <v>425780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TRUNC(1808,-1)</f>
        <v>1800</v>
      </c>
      <c r="E69" s="62">
        <f t="shared" ref="E69:E94" si="2">TRUNC(+D69*3.3058,-1)</f>
        <v>5950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TRUNC(1053,-1)</f>
        <v>1050</v>
      </c>
      <c r="E72" s="63">
        <f t="shared" si="2"/>
        <v>3470</v>
      </c>
    </row>
    <row r="73" spans="1:7" x14ac:dyDescent="0.3">
      <c r="A73" s="2">
        <v>5</v>
      </c>
      <c r="C73" s="38" t="s">
        <v>34</v>
      </c>
      <c r="D73" s="42">
        <f>TRUNC(7594,-1)</f>
        <v>7590</v>
      </c>
      <c r="E73" s="63">
        <f t="shared" si="2"/>
        <v>25090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TRUNC(4743,-1)</f>
        <v>4740</v>
      </c>
      <c r="E89" s="63">
        <f t="shared" si="2"/>
        <v>15660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TRUNC(2008,-1)</f>
        <v>2000</v>
      </c>
      <c r="E91" s="63">
        <f t="shared" si="2"/>
        <v>6610</v>
      </c>
    </row>
    <row r="92" spans="1:7" x14ac:dyDescent="0.3">
      <c r="A92" s="2">
        <v>24</v>
      </c>
      <c r="C92" s="38" t="s">
        <v>38</v>
      </c>
      <c r="D92" s="42">
        <f>TRUNC(3455,-1)</f>
        <v>3450</v>
      </c>
      <c r="E92" s="63">
        <f t="shared" si="2"/>
        <v>11400</v>
      </c>
    </row>
    <row r="93" spans="1:7" x14ac:dyDescent="0.3">
      <c r="A93" s="2">
        <v>25</v>
      </c>
      <c r="C93" s="38" t="s">
        <v>149</v>
      </c>
      <c r="D93" s="42">
        <f>TRUNC(1673,-1)</f>
        <v>1670</v>
      </c>
      <c r="E93" s="63">
        <f t="shared" si="2"/>
        <v>5520</v>
      </c>
    </row>
    <row r="94" spans="1:7" ht="17.25" thickBot="1" x14ac:dyDescent="0.35">
      <c r="A94" s="2">
        <v>26</v>
      </c>
      <c r="C94" s="38" t="s">
        <v>47</v>
      </c>
      <c r="D94" s="43">
        <f>TRUNC(239,-1)</f>
        <v>230</v>
      </c>
      <c r="E94" s="64">
        <f t="shared" si="2"/>
        <v>760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22530</v>
      </c>
      <c r="E95" s="39">
        <f>SUM(E69:E94)</f>
        <v>74460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TRUNC(11817,-1)</f>
        <v>11810</v>
      </c>
      <c r="E98" s="62">
        <f t="shared" ref="E98:E118" si="3">TRUNC(+D98*3.3058,-1)</f>
        <v>39040</v>
      </c>
    </row>
    <row r="99" spans="1:7" x14ac:dyDescent="0.3">
      <c r="A99" s="2">
        <v>2</v>
      </c>
      <c r="C99" s="38" t="s">
        <v>40</v>
      </c>
      <c r="D99" s="42">
        <f>TRUNC(1672,-1)</f>
        <v>1670</v>
      </c>
      <c r="E99" s="63">
        <f t="shared" si="3"/>
        <v>5520</v>
      </c>
    </row>
    <row r="100" spans="1:7" x14ac:dyDescent="0.3">
      <c r="A100" s="2">
        <v>3</v>
      </c>
      <c r="C100" s="38" t="s">
        <v>41</v>
      </c>
      <c r="D100" s="42">
        <f>TRUNC(23010,-1)</f>
        <v>23010</v>
      </c>
      <c r="E100" s="63">
        <f t="shared" si="3"/>
        <v>76060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TRUNC(13029,-1)</f>
        <v>13020</v>
      </c>
      <c r="E102" s="63">
        <f t="shared" si="3"/>
        <v>43040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TRUNC(1031,-1)</f>
        <v>1030</v>
      </c>
      <c r="E104" s="63">
        <f t="shared" si="3"/>
        <v>3400</v>
      </c>
    </row>
    <row r="105" spans="1:7" x14ac:dyDescent="0.3">
      <c r="A105" s="2">
        <v>8</v>
      </c>
      <c r="C105" s="38" t="s">
        <v>46</v>
      </c>
      <c r="D105" s="42">
        <f>TRUNC(8532,-1)</f>
        <v>8530</v>
      </c>
      <c r="E105" s="63">
        <f t="shared" si="3"/>
        <v>28190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TRUNC(2516,-1)</f>
        <v>2510</v>
      </c>
      <c r="E114" s="63">
        <f t="shared" si="3"/>
        <v>8290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f>TRUNC(47139,-1)</f>
        <v>47130</v>
      </c>
      <c r="E117" s="63">
        <f t="shared" si="3"/>
        <v>155800</v>
      </c>
    </row>
    <row r="118" spans="1:7" ht="17.25" thickBot="1" x14ac:dyDescent="0.35">
      <c r="A118" s="2">
        <v>21</v>
      </c>
      <c r="C118" s="38" t="s">
        <v>47</v>
      </c>
      <c r="D118" s="43">
        <f>TRUNC(2738,-1)</f>
        <v>2730</v>
      </c>
      <c r="E118" s="64">
        <f t="shared" si="3"/>
        <v>9020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111440</v>
      </c>
      <c r="E119" s="39">
        <f>SUM(E98:E118)</f>
        <v>368360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TRUNC(4403,-1)</f>
        <v>4400</v>
      </c>
      <c r="E125" s="63">
        <f t="shared" si="4"/>
        <v>14540</v>
      </c>
    </row>
    <row r="126" spans="1:7" x14ac:dyDescent="0.3">
      <c r="A126" s="2">
        <v>5</v>
      </c>
      <c r="C126" s="38" t="s">
        <v>53</v>
      </c>
      <c r="D126" s="42">
        <f>TRUNC(156,-1)</f>
        <v>150</v>
      </c>
      <c r="E126" s="63">
        <f t="shared" si="4"/>
        <v>490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TRUNC(3120,-1)</f>
        <v>3120</v>
      </c>
      <c r="E128" s="63">
        <f t="shared" si="4"/>
        <v>10310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TRUNC(16465,-1)</f>
        <v>16460</v>
      </c>
      <c r="E130" s="63">
        <f t="shared" si="4"/>
        <v>54410</v>
      </c>
    </row>
    <row r="131" spans="1:7" x14ac:dyDescent="0.3">
      <c r="A131" s="2">
        <v>10</v>
      </c>
      <c r="C131" s="38" t="s">
        <v>149</v>
      </c>
      <c r="D131" s="42">
        <f>TRUNC(9482,-1)</f>
        <v>9480</v>
      </c>
      <c r="E131" s="63">
        <f t="shared" si="4"/>
        <v>31330</v>
      </c>
    </row>
    <row r="132" spans="1:7" ht="18" thickBot="1" x14ac:dyDescent="0.35">
      <c r="A132" s="2">
        <v>11</v>
      </c>
      <c r="C132" s="38" t="s">
        <v>47</v>
      </c>
      <c r="D132" s="43">
        <f>TRUNC(1718+161,-1)</f>
        <v>1870</v>
      </c>
      <c r="E132" s="64">
        <f t="shared" si="4"/>
        <v>6180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35480</v>
      </c>
      <c r="E133" s="39">
        <f>SUM(E122:E132)</f>
        <v>117260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TRUNC(6685,-1)</f>
        <v>6680</v>
      </c>
      <c r="E137" s="63">
        <f t="shared" si="5"/>
        <v>22080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TRUNC(3867,-1)</f>
        <v>3860</v>
      </c>
      <c r="E139" s="63">
        <f t="shared" si="5"/>
        <v>12760</v>
      </c>
    </row>
    <row r="140" spans="1:7" x14ac:dyDescent="0.3">
      <c r="A140" s="2">
        <v>5</v>
      </c>
      <c r="C140" s="38" t="s">
        <v>57</v>
      </c>
      <c r="D140" s="42">
        <f>TRUNC(2154,-1)</f>
        <v>2150</v>
      </c>
      <c r="E140" s="63">
        <f t="shared" si="5"/>
        <v>7100</v>
      </c>
    </row>
    <row r="141" spans="1:7" x14ac:dyDescent="0.3">
      <c r="A141" s="2">
        <v>6</v>
      </c>
      <c r="C141" s="38" t="s">
        <v>59</v>
      </c>
      <c r="D141" s="42">
        <f>TRUNC(25501,-1)</f>
        <v>25500</v>
      </c>
      <c r="E141" s="63">
        <f t="shared" si="5"/>
        <v>84290</v>
      </c>
    </row>
    <row r="142" spans="1:7" x14ac:dyDescent="0.3">
      <c r="A142" s="2">
        <v>7</v>
      </c>
      <c r="C142" s="38" t="s">
        <v>58</v>
      </c>
      <c r="D142" s="42">
        <f>TRUNC(6704,-1)</f>
        <v>6700</v>
      </c>
      <c r="E142" s="63">
        <f t="shared" si="5"/>
        <v>22140</v>
      </c>
    </row>
    <row r="143" spans="1:7" x14ac:dyDescent="0.3">
      <c r="A143" s="2">
        <v>8</v>
      </c>
      <c r="C143" s="38" t="s">
        <v>62</v>
      </c>
      <c r="D143" s="42">
        <f>TRUNC(4631,-1)</f>
        <v>4630</v>
      </c>
      <c r="E143" s="63">
        <f t="shared" si="5"/>
        <v>15300</v>
      </c>
    </row>
    <row r="144" spans="1:7" x14ac:dyDescent="0.3">
      <c r="A144" s="2">
        <v>9</v>
      </c>
      <c r="C144" s="38" t="s">
        <v>63</v>
      </c>
      <c r="D144" s="42">
        <f>TRUNC(9074,-1)</f>
        <v>9070</v>
      </c>
      <c r="E144" s="63">
        <f t="shared" si="5"/>
        <v>29980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58590</v>
      </c>
      <c r="E146" s="39">
        <f>SUM(E136:E145)</f>
        <v>193650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TRUNC(1008,-1)</f>
        <v>1000</v>
      </c>
      <c r="E149" s="62">
        <f>TRUNC(+D149*3.3058,-1)</f>
        <v>3300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TRUNC(1842,-1)</f>
        <v>1840</v>
      </c>
      <c r="E150" s="63">
        <f>TRUNC(+D150*3.3058,-1)</f>
        <v>6080</v>
      </c>
    </row>
    <row r="151" spans="1:7" x14ac:dyDescent="0.3">
      <c r="A151" s="2">
        <v>3</v>
      </c>
      <c r="C151" s="38" t="s">
        <v>50</v>
      </c>
      <c r="D151" s="42">
        <f>TRUNC(1095,-1)</f>
        <v>1090</v>
      </c>
      <c r="E151" s="63">
        <f>TRUNC(+D151*3.3058,-1)</f>
        <v>3600</v>
      </c>
    </row>
    <row r="152" spans="1:7" x14ac:dyDescent="0.3">
      <c r="A152" s="2">
        <v>4</v>
      </c>
      <c r="C152" s="38" t="s">
        <v>47</v>
      </c>
      <c r="D152" s="42">
        <f>TRUNC(1743+442+76,-1)</f>
        <v>2260</v>
      </c>
      <c r="E152" s="63">
        <f>TRUNC(+D152*3.3058,-1)</f>
        <v>7470</v>
      </c>
      <c r="F152" s="2" t="s">
        <v>259</v>
      </c>
    </row>
    <row r="153" spans="1:7" ht="17.25" thickBot="1" x14ac:dyDescent="0.35">
      <c r="A153" s="2">
        <v>5</v>
      </c>
      <c r="C153" s="38" t="s">
        <v>149</v>
      </c>
      <c r="D153" s="43">
        <f>TRUNC(29465,-1)</f>
        <v>29460</v>
      </c>
      <c r="E153" s="64">
        <f>TRUNC(+D153*3.3058,-1)</f>
        <v>97380</v>
      </c>
    </row>
    <row r="154" spans="1:7" x14ac:dyDescent="0.3">
      <c r="A154" s="2">
        <v>6</v>
      </c>
      <c r="C154" s="27" t="s">
        <v>112</v>
      </c>
      <c r="D154" s="39">
        <f>SUM(D149:D153)</f>
        <v>35650</v>
      </c>
      <c r="E154" s="39">
        <f>SUM(E149:E153)</f>
        <v>117830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TRUNC(7535,-1)</f>
        <v>7530</v>
      </c>
      <c r="E157" s="62">
        <f>TRUNC(+D157*3.3058,-1)</f>
        <v>24890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TRUNC(487,-1)</f>
        <v>480</v>
      </c>
      <c r="E159" s="63">
        <f>TRUNC(+D159*3.3058,-1)</f>
        <v>1580</v>
      </c>
      <c r="F159" s="2" t="s">
        <v>260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8010</v>
      </c>
      <c r="E161" s="39">
        <f>SUM(E157:E160)</f>
        <v>26470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2020-12-08T02:06:51Z</dcterms:modified>
</cp:coreProperties>
</file>