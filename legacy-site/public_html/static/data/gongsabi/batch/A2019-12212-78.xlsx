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4" l="1"/>
  <c r="D93" i="4"/>
  <c r="D117" i="4"/>
  <c r="D131" i="4"/>
  <c r="D153" i="4"/>
  <c r="D159" i="4"/>
  <c r="D157" i="4"/>
  <c r="D152" i="4"/>
  <c r="D150" i="4"/>
  <c r="D149" i="4"/>
  <c r="D144" i="4"/>
  <c r="D143" i="4"/>
  <c r="D142" i="4"/>
  <c r="D132" i="4"/>
  <c r="D128" i="4"/>
  <c r="D127" i="4"/>
  <c r="D124" i="4"/>
  <c r="D125" i="4"/>
  <c r="D122" i="4"/>
  <c r="D130" i="4"/>
  <c r="D118" i="4"/>
  <c r="D105" i="4"/>
  <c r="D104" i="4"/>
  <c r="D103" i="4"/>
  <c r="D102" i="4"/>
  <c r="D101" i="4"/>
  <c r="D100" i="4"/>
  <c r="D99" i="4"/>
  <c r="D114" i="4"/>
  <c r="D98" i="4"/>
  <c r="D116" i="4"/>
  <c r="D94" i="4"/>
  <c r="D92" i="4"/>
  <c r="D91" i="4"/>
  <c r="D73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<sst xmlns="http://schemas.openxmlformats.org/spreadsheetml/2006/main" count="393" uniqueCount="266">
  <si>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</si>
  <si>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</si>
  <si>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</si>
  <si>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</si>
  <si>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</si>
  <si>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</si>
  <si>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</si>
  <si>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</si>
  <si>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</si>
  <si>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</si>
  <si>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</si>
  <si>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</si>
  <si>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</si>
  <si>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</si>
  <si>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</si>
  <si>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</si>
  <si>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</si>
  <si>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</si>
  <si>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</si>
  <si>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</si>
  <si>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</si>
  <si>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</si>
  <si>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</si>
  <si>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</si>
  <si>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</si>
  <si>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</si>
  <si>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</si>
  <si>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</si>
  <si>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</si>
  <si>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</si>
  <si>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</si>
  <si>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</si>
  <si>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</si>
  <si>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</si>
  <si>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</si>
  <si>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</si>
  <si>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</si>
  <si>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</si>
  <si>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</si>
  <si>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</si>
  <si>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</si>
  <si>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</si>
  <si>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</si>
  <si>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</si>
  <si>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</si>
  <si>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</si>
  <si>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</si>
  <si>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</si>
  <si>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</si>
  <si>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</si>
  <si>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</si>
  <si>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</si>
  <si>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</si>
  <si>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</si>
  <si>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</si>
  <si>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</si>
  <si>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</si>
  <si>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</si>
  <si>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</si>
  <si>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</si>
  <si>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</si>
  <si>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</si>
  <si>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</si>
  <si>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</si>
  <si>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</si>
  <si>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</si>
  <si>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</si>
  <si>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</si>
  <si>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</si>
  <si>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</si>
  <si>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</si>
  <si>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</si>
  <si>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</si>
  <si>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</si>
  <si>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</si>
  <si>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</si>
  <si>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</si>
  <si>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</si>
  <si>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</si>
  <si>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</si>
  <si>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</si>
  <si>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</si>
  <si>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</si>
  <si>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</si>
  <si>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</si>
  <si>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</si>
  <si>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</si>
  <si>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</si>
  <si>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</si>
  <si>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</si>
  <si>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</si>
  <si>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</si>
  <si>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</si>
  <si>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</si>
  <si>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</si>
  <si>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</si>
  <si>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</si>
  <si>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</si>
  <si>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</si>
  <si>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</si>
  <si>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</si>
  <si>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</si>
  <si>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</si>
  <si>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</si>
  <si>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</si>
  <si>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</si>
  <si>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</si>
  <si>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</si>
  <si>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</si>
  <si>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</si>
  <si>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</si>
  <si>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</si>
  <si>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</si>
  <si>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</si>
  <si>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</si>
  <si>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</si>
  <si>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</si>
  <si>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</si>
  <si>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</si>
  <si>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</si>
  <si>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</si>
  <si>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</si>
  <si>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</si>
  <si>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</si>
  <si>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</si>
  <si>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</si>
  <si>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</si>
  <si>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</si>
  <si>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</si>
  <si>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</si>
  <si>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</si>
  <si>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</si>
  <si>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</si>
  <si>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</si>
  <si>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</si>
  <si>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</si>
  <si>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</si>
  <si>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</si>
  <si>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</si>
  <si>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</si>
  <si>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</si>
  <si>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</si>
  <si>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</si>
  <si>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</si>
  <si>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</si>
  <si>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</si>
  <si>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</si>
  <si>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</si>
  <si>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</si>
  <si>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</si>
  <si>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</si>
  <si>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</si>
  <si>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</si>
  <si>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</si>
  <si>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</si>
  <si>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</si>
  <si>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</si>
  <si>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</si>
  <si>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</si>
  <si>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</si>
  <si>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</si>
  <si>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</si>
  <si>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</si>
  <si>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</si>
  <si>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</si>
  <si>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</si>
  <si>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</si>
  <si>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</si>
  <si>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</si>
  <si>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</si>
  <si>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</si>
  <si>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</si>
  <si>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</si>
  <si>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</si>
  <si>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</si>
  <si>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</si>
  <si>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</si>
  <si>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</si>
  <si>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</si>
  <si>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</si>
  <si>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</si>
  <si>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</si>
  <si>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</si>
  <si>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</si>
  <si>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</si>
  <si>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</si>
  <si>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</si>
  <si>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</si>
  <si>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</si>
  <si>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</si>
  <si>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</si>
  <si>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</si>
  <si>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</si>
  <si>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</si>
  <si>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</si>
  <si>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</si>
  <si>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</si>
  <si>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</si>
  <si>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</si>
  <si>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</si>
  <si>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</si>
  <si>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</si>
  <si>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</si>
  <si>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</si>
  <si>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</si>
  <si>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</si>
  <si>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</si>
  <si>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</si>
  <si>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</si>
  <si>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</si>
  <si>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</si>
  <si>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</si>
  <si>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</si>
  <si>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</si>
  <si>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</si>
  <si>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</si>
  <si>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</si>
  <si>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</si>
  <si>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</si>
  <si>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</si>
  <si>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</si>
  <si>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</si>
  <si>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</si>
  <si>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</si>
  <si>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</si>
  <si>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</si>
  <si>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</si>
  <si>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</si>
  <si>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</si>
  <si>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</si>
  <si>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</si>
  <si>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</si>
  <si>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</si>
  <si>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</si>
  <si>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</si>
  <si>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</si>
  <si>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</si>
  <si>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</si>
  <si>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</si>
  <si>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</si>
  <si>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</si>
  <si>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</si>
  <si>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</si>
  <si>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</si>
  <si>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</si>
  <si>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</si>
  <si>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</si>
  <si>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</si>
  <si>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할매할배 스포츠센터 건립사업(건축,토목,조경,기계)</t>
    <phoneticPr fontId="2" type="noConversion"/>
  </si>
  <si>
    <t>운동</t>
  </si>
  <si>
    <t>경상도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</si>
  <si>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</si>
  <si>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</si>
  <si>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</si>
  <si>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기초공사,해체및철거공사,골재비및운반비,작업부산물,품질시험비,기타공사</t>
    <phoneticPr fontId="2" type="noConversion"/>
  </si>
  <si>
    <t>난방배관공사,기타공사</t>
    <phoneticPr fontId="2" type="noConversion"/>
  </si>
  <si>
    <t>전기인입 및 수변전 설비공사</t>
    <phoneticPr fontId="2" type="noConversion"/>
  </si>
  <si>
    <t>기타공사</t>
    <phoneticPr fontId="2" type="noConversion"/>
  </si>
  <si>
    <t>CCTV설비공사</t>
    <phoneticPr fontId="2" type="noConversion"/>
  </si>
  <si>
    <t>CATV 및 TV 설비공사</t>
    <phoneticPr fontId="2" type="noConversion"/>
  </si>
  <si>
    <t>우수공사,오수공사</t>
    <phoneticPr fontId="2" type="noConversion"/>
  </si>
  <si>
    <t>사급자재비,기타공사</t>
    <phoneticPr fontId="2" type="noConversion"/>
  </si>
  <si>
    <t>포장공사,기타공사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</si>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</sst>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2165.96</v>
      </c>
      <c r="D7" s="36">
        <f>+C7/3.3058</f>
        <v>655.19995160021779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1464010</v>
      </c>
      <c r="E25" s="59">
        <f t="shared" si="0"/>
        <v>4839720</v>
      </c>
    </row>
    <row r="26" spans="1:5" x14ac:dyDescent="0.3">
      <c r="B26" s="2">
        <v>3</v>
      </c>
      <c r="C26" s="35" t="s">
        <v>95</v>
      </c>
      <c r="D26" s="45">
        <f>+D66</f>
        <v>13200</v>
      </c>
      <c r="E26" s="59">
        <f t="shared" si="0"/>
        <v>43630</v>
      </c>
    </row>
    <row r="27" spans="1:5" x14ac:dyDescent="0.3">
      <c r="B27" s="2">
        <v>4</v>
      </c>
      <c r="C27" s="35" t="s">
        <v>96</v>
      </c>
      <c r="D27" s="45">
        <f>+D95</f>
        <v>252910</v>
      </c>
      <c r="E27" s="59">
        <f t="shared" si="0"/>
        <v>836060</v>
      </c>
    </row>
    <row r="28" spans="1:5" x14ac:dyDescent="0.3">
      <c r="B28" s="2">
        <v>5</v>
      </c>
      <c r="C28" s="35" t="s">
        <v>97</v>
      </c>
      <c r="D28" s="45">
        <f>+D119</f>
        <v>407750</v>
      </c>
      <c r="E28" s="59">
        <f t="shared" si="0"/>
        <v>1347930</v>
      </c>
    </row>
    <row r="29" spans="1:5" x14ac:dyDescent="0.3">
      <c r="B29" s="2">
        <v>6</v>
      </c>
      <c r="C29" s="35" t="s">
        <v>98</v>
      </c>
      <c r="D29" s="45">
        <f>+D133</f>
        <v>124740</v>
      </c>
      <c r="E29" s="59">
        <f t="shared" si="0"/>
        <v>412360</v>
      </c>
    </row>
    <row r="30" spans="1:5" x14ac:dyDescent="0.3">
      <c r="B30" s="2">
        <v>7</v>
      </c>
      <c r="C30" s="35" t="s">
        <v>99</v>
      </c>
      <c r="D30" s="45">
        <f>+D146</f>
        <v>132120</v>
      </c>
      <c r="E30" s="59">
        <f t="shared" si="0"/>
        <v>436760</v>
      </c>
    </row>
    <row r="31" spans="1:5" x14ac:dyDescent="0.3">
      <c r="B31" s="2">
        <v>8</v>
      </c>
      <c r="C31" s="35" t="s">
        <v>100</v>
      </c>
      <c r="D31" s="45">
        <f>+D154</f>
        <v>63650</v>
      </c>
      <c r="E31" s="59">
        <f t="shared" si="0"/>
        <v>210410</v>
      </c>
    </row>
    <row r="32" spans="1:5" x14ac:dyDescent="0.3">
      <c r="B32" s="2">
        <v>9</v>
      </c>
      <c r="C32" s="35" t="s">
        <v>101</v>
      </c>
      <c r="D32" s="45">
        <f>+D161</f>
        <v>98030</v>
      </c>
      <c r="E32" s="59">
        <f t="shared" si="0"/>
        <v>324060</v>
      </c>
    </row>
    <row r="33" spans="1:7" x14ac:dyDescent="0.3">
      <c r="B33" s="2">
        <v>10</v>
      </c>
      <c r="C33" s="35" t="s">
        <v>154</v>
      </c>
      <c r="D33" s="53">
        <f>TRUNC(SUM(D24:D32)*0.275,-1)</f>
        <v>703010</v>
      </c>
      <c r="E33" s="60">
        <f t="shared" si="0"/>
        <v>2324010</v>
      </c>
    </row>
    <row r="34" spans="1:7" x14ac:dyDescent="0.3">
      <c r="C34" s="35" t="s">
        <v>112</v>
      </c>
      <c r="D34" s="44">
        <f>SUM(D24:D33)</f>
        <v>3259420</v>
      </c>
      <c r="E34" s="44">
        <f>SUM(E24:E33)</f>
        <v>10774940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113</v>
      </c>
      <c r="D39" s="57" t="s">
        <v>237</v>
      </c>
      <c r="E39" s="57" t="s">
        <v>153</v>
      </c>
      <c r="G39" s="55"/>
    </row>
    <row r="40" spans="1:7" x14ac:dyDescent="0.3">
      <c r="A40" s="2">
        <v>1</v>
      </c>
      <c r="C40" s="38" t="s">
        <v>15</v>
      </c>
      <c r="D40" s="40">
        <f>TRUNC(106959,-1)</f>
        <v>106950</v>
      </c>
      <c r="E40" s="62">
        <f t="shared" ref="E40:E59" si="1">TRUNC(+D40*3.3058,-1)</f>
        <v>353550</v>
      </c>
    </row>
    <row r="41" spans="1:7" x14ac:dyDescent="0.3">
      <c r="A41" s="2">
        <v>2</v>
      </c>
      <c r="C41" s="38" t="s">
        <v>13</v>
      </c>
      <c r="D41" s="42">
        <f>TRUNC(243054,-1)</f>
        <v>243050</v>
      </c>
      <c r="E41" s="63">
        <f t="shared" si="1"/>
        <v>803470</v>
      </c>
    </row>
    <row r="42" spans="1:7" x14ac:dyDescent="0.3">
      <c r="A42" s="2">
        <v>3</v>
      </c>
      <c r="C42" s="38" t="s">
        <v>14</v>
      </c>
      <c r="D42" s="42">
        <f>TRUNC(57782,-1)</f>
        <v>57780</v>
      </c>
      <c r="E42" s="63">
        <f t="shared" si="1"/>
        <v>191000</v>
      </c>
    </row>
    <row r="43" spans="1:7" x14ac:dyDescent="0.3">
      <c r="A43" s="2">
        <v>4</v>
      </c>
      <c r="C43" s="38" t="s">
        <v>16</v>
      </c>
      <c r="D43" s="42">
        <f>TRUNC(78850,-1)</f>
        <v>78850</v>
      </c>
      <c r="E43" s="63">
        <f t="shared" si="1"/>
        <v>260660</v>
      </c>
    </row>
    <row r="44" spans="1:7" x14ac:dyDescent="0.3">
      <c r="A44" s="2">
        <v>5</v>
      </c>
      <c r="C44" s="38" t="s">
        <v>17</v>
      </c>
      <c r="D44" s="42">
        <f>TRUNC(31525,-1)</f>
        <v>31520</v>
      </c>
      <c r="E44" s="63">
        <f t="shared" si="1"/>
        <v>104190</v>
      </c>
    </row>
    <row r="45" spans="1:7" x14ac:dyDescent="0.3">
      <c r="A45" s="2">
        <v>6</v>
      </c>
      <c r="C45" s="38" t="s">
        <v>18</v>
      </c>
      <c r="D45" s="42">
        <f>TRUNC(13454,-1)</f>
        <v>13450</v>
      </c>
      <c r="E45" s="63">
        <f t="shared" si="1"/>
        <v>44460</v>
      </c>
    </row>
    <row r="46" spans="1:7" x14ac:dyDescent="0.3">
      <c r="A46" s="2">
        <v>7</v>
      </c>
      <c r="C46" s="38" t="s">
        <v>19</v>
      </c>
      <c r="D46" s="42">
        <f>TRUNC(10248,-1)</f>
        <v>10240</v>
      </c>
      <c r="E46" s="63">
        <f t="shared" si="1"/>
        <v>33850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TRUNC(122527,-1)</f>
        <v>122520</v>
      </c>
      <c r="E48" s="63">
        <f t="shared" si="1"/>
        <v>405020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TRUNC(21757,-1)</f>
        <v>21750</v>
      </c>
      <c r="E49" s="63">
        <f t="shared" si="1"/>
        <v>71900</v>
      </c>
    </row>
    <row r="50" spans="1:7" x14ac:dyDescent="0.3">
      <c r="A50" s="2">
        <v>11</v>
      </c>
      <c r="C50" s="38" t="s">
        <v>155</v>
      </c>
      <c r="D50" s="42">
        <f>TRUNC(49867,-1)</f>
        <v>49860</v>
      </c>
      <c r="E50" s="63">
        <f t="shared" si="1"/>
        <v>164820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TRUNC(30957,-1)</f>
        <v>30950</v>
      </c>
      <c r="E52" s="63">
        <f t="shared" si="1"/>
        <v>102310</v>
      </c>
    </row>
    <row r="53" spans="1:7" x14ac:dyDescent="0.3">
      <c r="A53" s="2">
        <v>14</v>
      </c>
      <c r="C53" s="38" t="s">
        <v>25</v>
      </c>
      <c r="D53" s="42">
        <f>TRUNC(168816,-1)</f>
        <v>168810</v>
      </c>
      <c r="E53" s="63">
        <f t="shared" si="1"/>
        <v>558050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TRUNC(5833+12606+14886-4746+3896+25194,-1)</f>
        <v>57660</v>
      </c>
      <c r="E58" s="63">
        <f t="shared" si="1"/>
        <v>190610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TRUNC(470625,-1)</f>
        <v>470620</v>
      </c>
      <c r="E59" s="64">
        <f t="shared" si="1"/>
        <v>1555770</v>
      </c>
    </row>
    <row r="60" spans="1:7" x14ac:dyDescent="0.3">
      <c r="A60" s="2">
        <v>21</v>
      </c>
      <c r="C60" s="27" t="s">
        <v>112</v>
      </c>
      <c r="D60" s="39">
        <f>SUM(D40:D59)</f>
        <v>1464010</v>
      </c>
      <c r="E60" s="39">
        <f>SUM(E40:E59)</f>
        <v>4839660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TRUNC(13207,-1)</f>
        <v>13200</v>
      </c>
      <c r="E63" s="62">
        <f>TRUNC(+D63*3.3058,-1)</f>
        <v>43630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13200</v>
      </c>
      <c r="E66" s="65">
        <f>SUM(E63:E65)</f>
        <v>43630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TRUNC(43358,-1)</f>
        <v>43350</v>
      </c>
      <c r="E69" s="62">
        <f t="shared" ref="E69:E94" si="2">TRUNC(+D69*3.3058,-1)</f>
        <v>143300</v>
      </c>
    </row>
    <row r="70" spans="1:7" ht="16.5" customHeight="1" x14ac:dyDescent="0.3">
      <c r="A70" s="2">
        <v>2</v>
      </c>
      <c r="C70" s="38" t="s">
        <v>31</v>
      </c>
      <c r="D70" s="42">
        <f>TRUNC(783,-1)</f>
        <v>780</v>
      </c>
      <c r="E70" s="63">
        <f t="shared" si="2"/>
        <v>2570</v>
      </c>
    </row>
    <row r="71" spans="1:7" x14ac:dyDescent="0.3">
      <c r="A71" s="2">
        <v>3</v>
      </c>
      <c r="C71" s="38" t="s">
        <v>32</v>
      </c>
      <c r="D71" s="42">
        <f>TRUNC(14272,-1)</f>
        <v>14270</v>
      </c>
      <c r="E71" s="63">
        <f t="shared" si="2"/>
        <v>47170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TRUNC(42469,-1)</f>
        <v>42460</v>
      </c>
      <c r="E73" s="63">
        <f t="shared" si="2"/>
        <v>140360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TRUNC(8782,-1)</f>
        <v>8780</v>
      </c>
      <c r="E91" s="63">
        <f t="shared" si="2"/>
        <v>29020</v>
      </c>
    </row>
    <row r="92" spans="1:7" x14ac:dyDescent="0.3">
      <c r="A92" s="2">
        <v>24</v>
      </c>
      <c r="C92" s="38" t="s">
        <v>38</v>
      </c>
      <c r="D92" s="42">
        <f>TRUNC(7788,-1)</f>
        <v>7780</v>
      </c>
      <c r="E92" s="63">
        <f t="shared" si="2"/>
        <v>25710</v>
      </c>
    </row>
    <row r="93" spans="1:7" x14ac:dyDescent="0.3">
      <c r="A93" s="2">
        <v>25</v>
      </c>
      <c r="C93" s="38" t="s">
        <v>148</v>
      </c>
      <c r="D93" s="42">
        <f>TRUNC(121262,-1)</f>
        <v>121260</v>
      </c>
      <c r="E93" s="63">
        <f t="shared" si="2"/>
        <v>400860</v>
      </c>
    </row>
    <row r="94" spans="1:7" ht="17.25" thickBot="1" x14ac:dyDescent="0.35">
      <c r="A94" s="2">
        <v>26</v>
      </c>
      <c r="C94" s="38" t="s">
        <v>47</v>
      </c>
      <c r="D94" s="43">
        <f>TRUNC(2149+12082,-1)</f>
        <v>14230</v>
      </c>
      <c r="E94" s="64">
        <f t="shared" si="2"/>
        <v>47040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252910</v>
      </c>
      <c r="E95" s="39">
        <f>SUM(E69:E94)</f>
        <v>836030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TRUNC(28556,-1)</f>
        <v>28550</v>
      </c>
      <c r="E98" s="62">
        <f t="shared" ref="E98:E118" si="3">TRUNC(+D98*3.3058,-1)</f>
        <v>94380</v>
      </c>
    </row>
    <row r="99" spans="1:7" x14ac:dyDescent="0.3">
      <c r="A99" s="2">
        <v>2</v>
      </c>
      <c r="C99" s="38" t="s">
        <v>40</v>
      </c>
      <c r="D99" s="42">
        <f>TRUNC(19820,-1)</f>
        <v>19820</v>
      </c>
      <c r="E99" s="63">
        <f t="shared" si="3"/>
        <v>65520</v>
      </c>
    </row>
    <row r="100" spans="1:7" x14ac:dyDescent="0.3">
      <c r="A100" s="2">
        <v>3</v>
      </c>
      <c r="C100" s="38" t="s">
        <v>41</v>
      </c>
      <c r="D100" s="42">
        <f>TRUNC(38170,-1)</f>
        <v>38170</v>
      </c>
      <c r="E100" s="63">
        <f t="shared" si="3"/>
        <v>126180</v>
      </c>
    </row>
    <row r="101" spans="1:7" x14ac:dyDescent="0.3">
      <c r="A101" s="2">
        <v>4</v>
      </c>
      <c r="C101" s="38" t="s">
        <v>42</v>
      </c>
      <c r="D101" s="42">
        <f>TRUNC(7010,-1)</f>
        <v>7010</v>
      </c>
      <c r="E101" s="63">
        <f t="shared" si="3"/>
        <v>23170</v>
      </c>
    </row>
    <row r="102" spans="1:7" x14ac:dyDescent="0.3">
      <c r="A102" s="2">
        <v>5</v>
      </c>
      <c r="C102" s="38" t="s">
        <v>43</v>
      </c>
      <c r="D102" s="42">
        <f>TRUNC(16340,-1)</f>
        <v>16340</v>
      </c>
      <c r="E102" s="63">
        <f t="shared" si="3"/>
        <v>54010</v>
      </c>
    </row>
    <row r="103" spans="1:7" x14ac:dyDescent="0.3">
      <c r="A103" s="2">
        <v>6</v>
      </c>
      <c r="C103" s="38" t="s">
        <v>44</v>
      </c>
      <c r="D103" s="42">
        <f>TRUNC(1699,-1)</f>
        <v>1690</v>
      </c>
      <c r="E103" s="63">
        <f t="shared" si="3"/>
        <v>5580</v>
      </c>
    </row>
    <row r="104" spans="1:7" x14ac:dyDescent="0.3">
      <c r="A104" s="2">
        <v>7</v>
      </c>
      <c r="C104" s="38" t="s">
        <v>45</v>
      </c>
      <c r="D104" s="42">
        <f>TRUNC(6159,-1)</f>
        <v>6150</v>
      </c>
      <c r="E104" s="63">
        <f t="shared" si="3"/>
        <v>20330</v>
      </c>
    </row>
    <row r="105" spans="1:7" x14ac:dyDescent="0.3">
      <c r="A105" s="2">
        <v>8</v>
      </c>
      <c r="C105" s="38" t="s">
        <v>46</v>
      </c>
      <c r="D105" s="42">
        <f>TRUNC(9199,-1)</f>
        <v>9190</v>
      </c>
      <c r="E105" s="63">
        <f t="shared" si="3"/>
        <v>30380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TRUNC(14906,-1)</f>
        <v>14900</v>
      </c>
      <c r="E114" s="63">
        <f t="shared" si="3"/>
        <v>49250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TRUNC(9908,-1)</f>
        <v>9900</v>
      </c>
      <c r="E116" s="63">
        <f t="shared" si="3"/>
        <v>32720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TRUNC(252388,-1)</f>
        <v>252380</v>
      </c>
      <c r="E117" s="63">
        <f t="shared" si="3"/>
        <v>834310</v>
      </c>
    </row>
    <row r="118" spans="1:7" ht="17.25" thickBot="1" x14ac:dyDescent="0.35">
      <c r="A118" s="2">
        <v>21</v>
      </c>
      <c r="C118" s="38" t="s">
        <v>47</v>
      </c>
      <c r="D118" s="43">
        <f>TRUNC(3651,-1)</f>
        <v>3650</v>
      </c>
      <c r="E118" s="64">
        <f t="shared" si="3"/>
        <v>12060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407750</v>
      </c>
      <c r="E119" s="39">
        <f>SUM(E98:E118)</f>
        <v>1347890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TRUNC(3709,-1)</f>
        <v>3700</v>
      </c>
      <c r="E122" s="62">
        <f t="shared" ref="E122:E132" si="4">TRUNC(+D122*3.3058,-1)</f>
        <v>12230</v>
      </c>
      <c r="F122" s="2" t="s">
        <v>259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TRUNC(7767,-1)</f>
        <v>7760</v>
      </c>
      <c r="E124" s="63">
        <f t="shared" si="4"/>
        <v>25650</v>
      </c>
    </row>
    <row r="125" spans="1:7" x14ac:dyDescent="0.3">
      <c r="A125" s="2">
        <v>4</v>
      </c>
      <c r="C125" s="38" t="s">
        <v>138</v>
      </c>
      <c r="D125" s="42">
        <f>TRUNC(9160,-1)</f>
        <v>9160</v>
      </c>
      <c r="E125" s="63">
        <f t="shared" si="4"/>
        <v>30280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TRUNC(1897,-1)</f>
        <v>1890</v>
      </c>
      <c r="E127" s="63">
        <f t="shared" si="4"/>
        <v>6240</v>
      </c>
    </row>
    <row r="128" spans="1:7" x14ac:dyDescent="0.3">
      <c r="A128" s="2">
        <v>7</v>
      </c>
      <c r="C128" s="38" t="s">
        <v>46</v>
      </c>
      <c r="D128" s="42">
        <f>TRUNC(6104,-1)</f>
        <v>6100</v>
      </c>
      <c r="E128" s="63">
        <f t="shared" si="4"/>
        <v>20160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TRUNC(15121,-1)</f>
        <v>15120</v>
      </c>
      <c r="E130" s="63">
        <f t="shared" si="4"/>
        <v>49980</v>
      </c>
    </row>
    <row r="131" spans="1:7" x14ac:dyDescent="0.3">
      <c r="A131" s="2">
        <v>10</v>
      </c>
      <c r="C131" s="38" t="s">
        <v>148</v>
      </c>
      <c r="D131" s="42">
        <f>TRUNC(75631,-1)</f>
        <v>75630</v>
      </c>
      <c r="E131" s="63">
        <f t="shared" si="4"/>
        <v>250010</v>
      </c>
    </row>
    <row r="132" spans="1:7" ht="18" thickBot="1" x14ac:dyDescent="0.35">
      <c r="A132" s="2">
        <v>11</v>
      </c>
      <c r="C132" s="38" t="s">
        <v>47</v>
      </c>
      <c r="D132" s="43">
        <f>TRUNC(5386,-1)</f>
        <v>5380</v>
      </c>
      <c r="E132" s="64">
        <f t="shared" si="4"/>
        <v>17780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124740</v>
      </c>
      <c r="E133" s="39">
        <f>SUM(E122:E132)</f>
        <v>412330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TRUNC(83398,-1)</f>
        <v>83390</v>
      </c>
      <c r="E142" s="63">
        <f t="shared" si="5"/>
        <v>275670</v>
      </c>
    </row>
    <row r="143" spans="1:7" x14ac:dyDescent="0.3">
      <c r="A143" s="2">
        <v>8</v>
      </c>
      <c r="C143" s="38" t="s">
        <v>62</v>
      </c>
      <c r="D143" s="42">
        <f>TRUNC(6500,-1)</f>
        <v>6500</v>
      </c>
      <c r="E143" s="63">
        <f t="shared" si="5"/>
        <v>21480</v>
      </c>
    </row>
    <row r="144" spans="1:7" x14ac:dyDescent="0.3">
      <c r="A144" s="2">
        <v>9</v>
      </c>
      <c r="C144" s="38" t="s">
        <v>63</v>
      </c>
      <c r="D144" s="42">
        <f>TRUNC(42235,-1)</f>
        <v>42230</v>
      </c>
      <c r="E144" s="63">
        <f t="shared" si="5"/>
        <v>139600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132120</v>
      </c>
      <c r="E146" s="39">
        <f>SUM(E136:E145)</f>
        <v>436750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TRUNC(21495+2268,-1)</f>
        <v>23760</v>
      </c>
      <c r="E149" s="62">
        <f>TRUNC(+D149*3.3058,-1)</f>
        <v>78540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TRUNC(11246,-1)</f>
        <v>11240</v>
      </c>
      <c r="E150" s="63">
        <f>TRUNC(+D150*3.3058,-1)</f>
        <v>37150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TRUNC(6068+1601,-1)</f>
        <v>7660</v>
      </c>
      <c r="E152" s="63">
        <f>TRUNC(+D152*3.3058,-1)</f>
        <v>25320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TRUNC(20993,-1)</f>
        <v>20990</v>
      </c>
      <c r="E153" s="64">
        <f>TRUNC(+D153*3.3058,-1)</f>
        <v>69380</v>
      </c>
    </row>
    <row r="154" spans="1:7" x14ac:dyDescent="0.3">
      <c r="A154" s="2">
        <v>6</v>
      </c>
      <c r="C154" s="27" t="s">
        <v>112</v>
      </c>
      <c r="D154" s="39">
        <f>SUM(D149:D153)</f>
        <v>63650</v>
      </c>
      <c r="E154" s="39">
        <f>SUM(E149:E153)</f>
        <v>210390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TRUNC(91175,-1)</f>
        <v>91170</v>
      </c>
      <c r="E157" s="62">
        <f>TRUNC(+D157*3.3058,-1)</f>
        <v>301380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TRUNC(5678+1186,-1)</f>
        <v>6860</v>
      </c>
      <c r="E159" s="63">
        <f>TRUNC(+D159*3.3058,-1)</f>
        <v>22670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98030</v>
      </c>
      <c r="E161" s="39">
        <f>SUM(E157:E160)</f>
        <v>324050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2020-12-08T04:51:53Z</dcterms:modified>
</cp:coreProperties>
</file>