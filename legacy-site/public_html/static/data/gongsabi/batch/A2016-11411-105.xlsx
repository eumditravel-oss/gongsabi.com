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3" i="4"/>
  <c r="D142" i="4"/>
  <c r="D141" i="4"/>
  <c r="D140" i="4"/>
  <c r="D137" i="4"/>
  <c r="D131" i="4"/>
  <c r="D130" i="4"/>
  <c r="D128" i="4"/>
  <c r="D126" i="4"/>
  <c r="D125" i="4"/>
  <c r="D124" i="4"/>
  <c r="D122" i="4"/>
  <c r="D118" i="4"/>
  <c r="D117" i="4"/>
  <c r="D116" i="4"/>
  <c r="D114" i="4"/>
  <c r="D105" i="4"/>
  <c r="D104" i="4"/>
  <c r="D102" i="4"/>
  <c r="D100" i="4"/>
  <c r="D99" i="4"/>
  <c r="D98" i="4"/>
  <c r="D94" i="4"/>
  <c r="D93" i="4"/>
  <c r="D92" i="4"/>
  <c r="D91" i="4"/>
  <c r="D89" i="4"/>
  <c r="D76" i="4"/>
  <c r="D72" i="4"/>
  <c r="D70" i="4"/>
  <c r="D69" i="4"/>
  <c r="D52" i="4"/>
  <c r="D50" i="4"/>
  <c r="D48" i="4"/>
  <c r="D46" i="4"/>
  <c r="D45" i="4"/>
  <c r="D44" i="4"/>
  <c r="D43" i="4"/>
  <c r="D42" i="4"/>
  <c r="D49" i="4"/>
  <c r="D63" i="4"/>
  <c r="D59" i="4"/>
  <c r="D149" i="4" l="1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<sst xmlns="http://schemas.openxmlformats.org/spreadsheetml/2006/main" count="394" uniqueCount="268">
  <si>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</si>
  <si>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</si>
  <si>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</si>
  <si>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</si>
  <si>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</si>
  <si>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</si>
  <si>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</si>
  <si>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</si>
  <si>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</si>
  <si>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</si>
  <si>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</si>
  <si>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</si>
  <si>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</si>
  <si>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</si>
  <si>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</si>
  <si>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</si>
  <si>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</si>
  <si>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</si>
  <si>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</si>
  <si>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</si>
  <si>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</si>
  <si>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</si>
  <si>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</si>
  <si>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</si>
  <si>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</si>
  <si>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</si>
  <si>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</si>
  <si>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</si>
  <si>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</si>
  <si>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</si>
  <si>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</si>
  <si>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</si>
  <si>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</si>
  <si>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</si>
  <si>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</si>
  <si>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</si>
  <si>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</si>
  <si>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</si>
  <si>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</si>
  <si>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</si>
  <si>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</si>
  <si>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</si>
  <si>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</si>
  <si>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</si>
  <si>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</si>
  <si>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</si>
  <si>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</si>
  <si>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</si>
  <si>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</si>
  <si>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</si>
  <si>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</si>
  <si>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</si>
  <si>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</si>
  <si>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</si>
  <si>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</si>
  <si>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</si>
  <si>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</si>
  <si>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</si>
  <si>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</si>
  <si>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</si>
  <si>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</si>
  <si>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</si>
  <si>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</si>
  <si>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</si>
  <si>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</si>
  <si>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</si>
  <si>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</si>
  <si>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</si>
  <si>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</si>
  <si>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</si>
  <si>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</si>
  <si>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</si>
  <si>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</si>
  <si>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</si>
  <si>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</si>
  <si>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</si>
  <si>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</si>
  <si>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</si>
  <si>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</si>
  <si>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</si>
  <si>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</si>
  <si>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</si>
  <si>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</si>
  <si>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</si>
  <si>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</si>
  <si>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</si>
  <si>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</si>
  <si>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</si>
  <si>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</si>
  <si>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</si>
  <si>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</si>
  <si>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</si>
  <si>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</si>
  <si>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</si>
  <si>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</si>
  <si>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</si>
  <si>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</si>
  <si>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</si>
  <si>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</si>
  <si>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</si>
  <si>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</si>
  <si>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</si>
  <si>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</si>
  <si>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</si>
  <si>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</si>
  <si>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</si>
  <si>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</si>
  <si>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</si>
  <si>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</si>
  <si>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</si>
  <si>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</si>
  <si>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</si>
  <si>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</si>
  <si>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</si>
  <si>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</si>
  <si>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</si>
  <si>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</si>
  <si>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</si>
  <si>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</si>
  <si>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</si>
  <si>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</si>
  <si>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</si>
  <si>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</si>
  <si>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</si>
  <si>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</si>
  <si>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</si>
  <si>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</si>
  <si>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</si>
  <si>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</si>
  <si>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</si>
  <si>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</si>
  <si>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</si>
  <si>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</si>
  <si>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</si>
  <si>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</si>
  <si>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</si>
  <si>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</si>
  <si>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</si>
  <si>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</si>
  <si>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</si>
  <si>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</si>
  <si>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</si>
  <si>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</si>
  <si>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</si>
  <si>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</si>
  <si>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</si>
  <si>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</si>
  <si>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</si>
  <si>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</si>
  <si>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</si>
  <si>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</si>
  <si>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</si>
  <si>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</si>
  <si>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</si>
  <si>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</si>
  <si>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</si>
  <si>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</si>
  <si>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</si>
  <si>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</si>
  <si>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</si>
  <si>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</si>
  <si>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</si>
  <si>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</si>
  <si>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</si>
  <si>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</si>
  <si>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</si>
  <si>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</si>
  <si>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</si>
  <si>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</si>
  <si>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</si>
  <si>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</si>
  <si>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</si>
  <si>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</si>
  <si>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</si>
  <si>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</si>
  <si>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</si>
  <si>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</si>
  <si>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</si>
  <si>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</si>
  <si>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</si>
  <si>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</si>
  <si>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</si>
  <si>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</si>
  <si>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</si>
  <si>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</si>
  <si>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</si>
  <si>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</si>
  <si>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</si>
  <si>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</si>
  <si>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</si>
  <si>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</si>
  <si>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</si>
  <si>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</si>
  <si>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</si>
  <si>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</si>
  <si>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</si>
  <si>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</si>
  <si>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</si>
  <si>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</si>
  <si>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</si>
  <si>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</si>
  <si>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</si>
  <si>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</si>
  <si>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</si>
  <si>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</si>
  <si>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</si>
  <si>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</si>
  <si>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</si>
  <si>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</si>
  <si>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</si>
  <si>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</si>
  <si>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</si>
  <si>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</si>
  <si>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</si>
  <si>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</si>
  <si>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</si>
  <si>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</si>
  <si>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</si>
  <si>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</si>
  <si>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</si>
  <si>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</si>
  <si>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</si>
  <si>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</si>
  <si>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</si>
  <si>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</si>
  <si>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</si>
  <si>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</si>
  <si>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</si>
  <si>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</si>
  <si>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</si>
  <si>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</si>
  <si>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</si>
  <si>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</si>
  <si>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</si>
  <si>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</si>
  <si>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</si>
  <si>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</si>
  <si>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</si>
  <si>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</si>
  <si>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</si>
  <si>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</si>
  <si>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</si>
  <si>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</si>
  <si>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</si>
  <si>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</si>
  <si>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</si>
  <si>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</si>
  <si>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</si>
  <si>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</si>
  <si>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</si>
  <si>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</si>
  <si>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</si>
  <si>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</si>
  <si>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</si>
  <si>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</si>
  <si>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</si>
  <si>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</si>
  <si>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CCTV설비공사, 기타공사</t>
    <phoneticPr fontId="2" type="noConversion"/>
  </si>
  <si>
    <t>신리초등학교 교사 이전 신축공사</t>
    <phoneticPr fontId="2" type="noConversion"/>
  </si>
  <si>
    <t>충청도</t>
  </si>
  <si>
    <t>난방배관공사,바닥난방공사, 기타공사</t>
    <phoneticPr fontId="2" type="noConversion"/>
  </si>
  <si>
    <t>원격검침 설비공사, 기타공사</t>
    <phoneticPr fontId="2" type="noConversion"/>
  </si>
  <si>
    <t>옥외소화배관공사, 펌프실배관공사, 기타공사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</si>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</sst>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12947.2</v>
      </c>
      <c r="D7" s="36">
        <f>+C7/3.3058</f>
        <v>3916.5103757033094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733310</v>
      </c>
      <c r="E25" s="59">
        <f t="shared" si="0"/>
        <v>2424170</v>
      </c>
    </row>
    <row r="26" spans="1:5" x14ac:dyDescent="0.3">
      <c r="B26" s="2">
        <v>3</v>
      </c>
      <c r="C26" s="35" t="s">
        <v>95</v>
      </c>
      <c r="D26" s="45">
        <f>+D66</f>
        <v>17150</v>
      </c>
      <c r="E26" s="59">
        <f t="shared" si="0"/>
        <v>56690</v>
      </c>
    </row>
    <row r="27" spans="1:5" x14ac:dyDescent="0.3">
      <c r="B27" s="2">
        <v>4</v>
      </c>
      <c r="C27" s="35" t="s">
        <v>96</v>
      </c>
      <c r="D27" s="45">
        <f>+D95</f>
        <v>162850</v>
      </c>
      <c r="E27" s="59">
        <f t="shared" si="0"/>
        <v>538340</v>
      </c>
    </row>
    <row r="28" spans="1:5" x14ac:dyDescent="0.3">
      <c r="B28" s="2">
        <v>5</v>
      </c>
      <c r="C28" s="35" t="s">
        <v>97</v>
      </c>
      <c r="D28" s="45">
        <f>+D119</f>
        <v>143660</v>
      </c>
      <c r="E28" s="59">
        <f t="shared" si="0"/>
        <v>474910</v>
      </c>
    </row>
    <row r="29" spans="1:5" x14ac:dyDescent="0.3">
      <c r="B29" s="2">
        <v>6</v>
      </c>
      <c r="C29" s="35" t="s">
        <v>98</v>
      </c>
      <c r="D29" s="45">
        <f>+D133</f>
        <v>67370</v>
      </c>
      <c r="E29" s="59">
        <f t="shared" si="0"/>
        <v>222710</v>
      </c>
    </row>
    <row r="30" spans="1:5" x14ac:dyDescent="0.3">
      <c r="B30" s="2">
        <v>7</v>
      </c>
      <c r="C30" s="35" t="s">
        <v>99</v>
      </c>
      <c r="D30" s="45">
        <f>+D146</f>
        <v>31780</v>
      </c>
      <c r="E30" s="59">
        <f t="shared" si="0"/>
        <v>105050</v>
      </c>
    </row>
    <row r="31" spans="1:5" x14ac:dyDescent="0.3">
      <c r="B31" s="2">
        <v>8</v>
      </c>
      <c r="C31" s="35" t="s">
        <v>100</v>
      </c>
      <c r="D31" s="45">
        <f>+D154</f>
        <v>117080</v>
      </c>
      <c r="E31" s="59">
        <f t="shared" si="0"/>
        <v>387040</v>
      </c>
    </row>
    <row r="32" spans="1:5" x14ac:dyDescent="0.3">
      <c r="B32" s="2">
        <v>9</v>
      </c>
      <c r="C32" s="35" t="s">
        <v>101</v>
      </c>
      <c r="D32" s="45">
        <f>+D161</f>
        <v>30820</v>
      </c>
      <c r="E32" s="59">
        <f t="shared" si="0"/>
        <v>101880</v>
      </c>
    </row>
    <row r="33" spans="1:7" x14ac:dyDescent="0.3">
      <c r="B33" s="2">
        <v>10</v>
      </c>
      <c r="C33" s="35" t="s">
        <v>155</v>
      </c>
      <c r="D33" s="53">
        <f>TRUNC(SUM(D24:D32)*0.275,-1)</f>
        <v>358600</v>
      </c>
      <c r="E33" s="60">
        <f t="shared" si="0"/>
        <v>1185450</v>
      </c>
    </row>
    <row r="34" spans="1:7" x14ac:dyDescent="0.3">
      <c r="C34" s="35" t="s">
        <v>112</v>
      </c>
      <c r="D34" s="44">
        <f>SUM(D24:D33)</f>
        <v>1662620</v>
      </c>
      <c r="E34" s="44">
        <f>SUM(E24:E33)</f>
        <v>5496240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40380</v>
      </c>
      <c r="E40" s="62">
        <f t="shared" ref="E40:E59" si="1">TRUNC(+D40*3.3058,-1)</f>
        <v>133480</v>
      </c>
    </row>
    <row r="41" spans="1:7" x14ac:dyDescent="0.3">
      <c r="A41" s="2">
        <v>2</v>
      </c>
      <c r="C41" s="38" t="s">
        <v>13</v>
      </c>
      <c r="D41" s="42">
        <v>115790</v>
      </c>
      <c r="E41" s="63">
        <f t="shared" si="1"/>
        <v>382770</v>
      </c>
    </row>
    <row r="42" spans="1:7" x14ac:dyDescent="0.3">
      <c r="A42" s="2">
        <v>3</v>
      </c>
      <c r="C42" s="38" t="s">
        <v>14</v>
      </c>
      <c r="D42" s="42">
        <f>TRUNC(4266,-1)</f>
        <v>4260</v>
      </c>
      <c r="E42" s="63">
        <f t="shared" si="1"/>
        <v>14080</v>
      </c>
    </row>
    <row r="43" spans="1:7" x14ac:dyDescent="0.3">
      <c r="A43" s="2">
        <v>4</v>
      </c>
      <c r="C43" s="38" t="s">
        <v>16</v>
      </c>
      <c r="D43" s="42">
        <f>TRUNC(36265,-1)</f>
        <v>36260</v>
      </c>
      <c r="E43" s="63">
        <f t="shared" si="1"/>
        <v>119860</v>
      </c>
    </row>
    <row r="44" spans="1:7" x14ac:dyDescent="0.3">
      <c r="A44" s="2">
        <v>5</v>
      </c>
      <c r="C44" s="38" t="s">
        <v>17</v>
      </c>
      <c r="D44" s="42">
        <f>TRUNC(18026,-1)</f>
        <v>18020</v>
      </c>
      <c r="E44" s="63">
        <f t="shared" si="1"/>
        <v>59570</v>
      </c>
    </row>
    <row r="45" spans="1:7" x14ac:dyDescent="0.3">
      <c r="A45" s="2">
        <v>6</v>
      </c>
      <c r="C45" s="38" t="s">
        <v>18</v>
      </c>
      <c r="D45" s="42">
        <f>TRUNC(8468,-1)</f>
        <v>8460</v>
      </c>
      <c r="E45" s="63">
        <f t="shared" si="1"/>
        <v>27960</v>
      </c>
    </row>
    <row r="46" spans="1:7" x14ac:dyDescent="0.3">
      <c r="A46" s="2">
        <v>7</v>
      </c>
      <c r="C46" s="38" t="s">
        <v>19</v>
      </c>
      <c r="D46" s="42">
        <f>TRUNC(27269,-1)</f>
        <v>27260</v>
      </c>
      <c r="E46" s="63">
        <f t="shared" si="1"/>
        <v>90110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TRUNC(39304,-1)</f>
        <v>39300</v>
      </c>
      <c r="E48" s="63">
        <f t="shared" si="1"/>
        <v>129910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TRUNC(15502,-1)</f>
        <v>15500</v>
      </c>
      <c r="E49" s="63">
        <f t="shared" si="1"/>
        <v>51230</v>
      </c>
    </row>
    <row r="50" spans="1:7" x14ac:dyDescent="0.3">
      <c r="A50" s="2">
        <v>11</v>
      </c>
      <c r="C50" s="38" t="s">
        <v>156</v>
      </c>
      <c r="D50" s="42">
        <f>TRUNC(47093,-1)</f>
        <v>47090</v>
      </c>
      <c r="E50" s="63">
        <f t="shared" si="1"/>
        <v>155670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TRUNC(7469,-1)</f>
        <v>7460</v>
      </c>
      <c r="E52" s="63">
        <f t="shared" si="1"/>
        <v>24660</v>
      </c>
    </row>
    <row r="53" spans="1:7" x14ac:dyDescent="0.3">
      <c r="A53" s="2">
        <v>14</v>
      </c>
      <c r="C53" s="38" t="s">
        <v>25</v>
      </c>
      <c r="D53" s="42">
        <v>67570</v>
      </c>
      <c r="E53" s="63">
        <f t="shared" si="1"/>
        <v>223370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14556+2745-225+208+9516</f>
        <v>26800</v>
      </c>
      <c r="E58" s="63">
        <f t="shared" si="1"/>
        <v>88590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TRUNC(279163,-1)</f>
        <v>279160</v>
      </c>
      <c r="E59" s="64">
        <f t="shared" si="1"/>
        <v>922840</v>
      </c>
    </row>
    <row r="60" spans="1:7" x14ac:dyDescent="0.3">
      <c r="A60" s="2">
        <v>21</v>
      </c>
      <c r="C60" s="27" t="s">
        <v>112</v>
      </c>
      <c r="D60" s="39">
        <f>SUM(D40:D59)</f>
        <v>733310</v>
      </c>
      <c r="E60" s="39">
        <f>SUM(E40:E59)</f>
        <v>2424100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TRUNC(17155,-1)</f>
        <v>17150</v>
      </c>
      <c r="E63" s="62">
        <f>TRUNC(+D63*3.3058,-1)</f>
        <v>56690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17150</v>
      </c>
      <c r="E66" s="65">
        <f>SUM(E63:E65)</f>
        <v>56690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TRUNC(4423,-1)</f>
        <v>4420</v>
      </c>
      <c r="E69" s="62">
        <f t="shared" ref="E69:E94" si="2">TRUNC(+D69*3.3058,-1)</f>
        <v>14610</v>
      </c>
    </row>
    <row r="70" spans="1:7" ht="16.5" customHeight="1" x14ac:dyDescent="0.3">
      <c r="A70" s="2">
        <v>2</v>
      </c>
      <c r="C70" s="38" t="s">
        <v>31</v>
      </c>
      <c r="D70" s="42">
        <f>TRUNC(1034,-1)</f>
        <v>1030</v>
      </c>
      <c r="E70" s="63">
        <f t="shared" si="2"/>
        <v>3400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TRUNC(3355,-1)</f>
        <v>3350</v>
      </c>
      <c r="E72" s="63">
        <f t="shared" si="2"/>
        <v>11070</v>
      </c>
    </row>
    <row r="73" spans="1:7" x14ac:dyDescent="0.3">
      <c r="A73" s="2">
        <v>5</v>
      </c>
      <c r="C73" s="38" t="s">
        <v>34</v>
      </c>
      <c r="D73" s="42">
        <v>11110</v>
      </c>
      <c r="E73" s="63">
        <f t="shared" si="2"/>
        <v>36720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TRUNC(34527,-1)</f>
        <v>34520</v>
      </c>
      <c r="E76" s="63">
        <f t="shared" si="2"/>
        <v>114110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TRUNC(4222,-1)</f>
        <v>4220</v>
      </c>
      <c r="E89" s="63">
        <f t="shared" si="2"/>
        <v>13950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TRUNC(3172,-1)</f>
        <v>3170</v>
      </c>
      <c r="E91" s="63">
        <f t="shared" si="2"/>
        <v>10470</v>
      </c>
    </row>
    <row r="92" spans="1:7" x14ac:dyDescent="0.3">
      <c r="A92" s="2">
        <v>24</v>
      </c>
      <c r="C92" s="38" t="s">
        <v>38</v>
      </c>
      <c r="D92" s="42">
        <f>TRUNC(6429,-1)</f>
        <v>6420</v>
      </c>
      <c r="E92" s="63">
        <f t="shared" si="2"/>
        <v>21220</v>
      </c>
    </row>
    <row r="93" spans="1:7" x14ac:dyDescent="0.3">
      <c r="A93" s="2">
        <v>25</v>
      </c>
      <c r="C93" s="38" t="s">
        <v>149</v>
      </c>
      <c r="D93" s="42">
        <f>TRUNC(88985,-1)</f>
        <v>88980</v>
      </c>
      <c r="E93" s="63">
        <f t="shared" si="2"/>
        <v>294150</v>
      </c>
    </row>
    <row r="94" spans="1:7" ht="17.25" thickBot="1" x14ac:dyDescent="0.35">
      <c r="A94" s="2">
        <v>26</v>
      </c>
      <c r="C94" s="38" t="s">
        <v>47</v>
      </c>
      <c r="D94" s="43">
        <f>TRUNC(1690+1532+2413,-1)</f>
        <v>5630</v>
      </c>
      <c r="E94" s="64">
        <f t="shared" si="2"/>
        <v>18610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162850</v>
      </c>
      <c r="E95" s="39">
        <f>SUM(E69:E94)</f>
        <v>538310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TRUNC(13116,-1)</f>
        <v>13110</v>
      </c>
      <c r="E98" s="62">
        <f t="shared" ref="E98:E118" si="3">TRUNC(+D98*3.3058,-1)</f>
        <v>43330</v>
      </c>
    </row>
    <row r="99" spans="1:7" x14ac:dyDescent="0.3">
      <c r="A99" s="2">
        <v>2</v>
      </c>
      <c r="C99" s="38" t="s">
        <v>40</v>
      </c>
      <c r="D99" s="42">
        <f>TRUNC(10195,-1)</f>
        <v>10190</v>
      </c>
      <c r="E99" s="63">
        <f t="shared" si="3"/>
        <v>33680</v>
      </c>
    </row>
    <row r="100" spans="1:7" x14ac:dyDescent="0.3">
      <c r="A100" s="2">
        <v>3</v>
      </c>
      <c r="C100" s="38" t="s">
        <v>41</v>
      </c>
      <c r="D100" s="42">
        <f>TRUNC(28322,-1)</f>
        <v>28320</v>
      </c>
      <c r="E100" s="63">
        <f t="shared" si="3"/>
        <v>93620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TRUNC(19306,-1)</f>
        <v>19300</v>
      </c>
      <c r="E102" s="63">
        <f t="shared" si="3"/>
        <v>63800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TRUNC(2119,-1)</f>
        <v>2110</v>
      </c>
      <c r="E104" s="63">
        <f t="shared" si="3"/>
        <v>6970</v>
      </c>
    </row>
    <row r="105" spans="1:7" x14ac:dyDescent="0.3">
      <c r="A105" s="2">
        <v>8</v>
      </c>
      <c r="C105" s="38" t="s">
        <v>46</v>
      </c>
      <c r="D105" s="42">
        <f>TRUNC(3031,-1)</f>
        <v>3030</v>
      </c>
      <c r="E105" s="63">
        <f t="shared" si="3"/>
        <v>10010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TRUNC(2678,-1)</f>
        <v>2670</v>
      </c>
      <c r="E114" s="63">
        <f t="shared" si="3"/>
        <v>8820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TRUNC(3142,-1)</f>
        <v>3140</v>
      </c>
      <c r="E116" s="63">
        <f t="shared" si="3"/>
        <v>10380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TRUNC(59607,-1)</f>
        <v>59600</v>
      </c>
      <c r="E117" s="63">
        <f t="shared" si="3"/>
        <v>197020</v>
      </c>
    </row>
    <row r="118" spans="1:7" ht="17.25" thickBot="1" x14ac:dyDescent="0.35">
      <c r="A118" s="2">
        <v>21</v>
      </c>
      <c r="C118" s="38" t="s">
        <v>47</v>
      </c>
      <c r="D118" s="43">
        <f>TRUNC(838+1353,-1)</f>
        <v>2190</v>
      </c>
      <c r="E118" s="64">
        <f t="shared" si="3"/>
        <v>7230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143660</v>
      </c>
      <c r="E119" s="39">
        <f>SUM(E98:E118)</f>
        <v>474860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TRUNC(4144,-1)</f>
        <v>4140</v>
      </c>
      <c r="E122" s="62">
        <f t="shared" ref="E122:E132" si="4">TRUNC(+D122*3.3058,-1)</f>
        <v>13680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TRUNC(1444,-1)</f>
        <v>1440</v>
      </c>
      <c r="E124" s="63">
        <f t="shared" si="4"/>
        <v>4760</v>
      </c>
    </row>
    <row r="125" spans="1:7" x14ac:dyDescent="0.3">
      <c r="A125" s="2">
        <v>4</v>
      </c>
      <c r="C125" s="38" t="s">
        <v>138</v>
      </c>
      <c r="D125" s="42">
        <f>TRUNC(9276,-1)</f>
        <v>9270</v>
      </c>
      <c r="E125" s="63">
        <f t="shared" si="4"/>
        <v>30640</v>
      </c>
    </row>
    <row r="126" spans="1:7" x14ac:dyDescent="0.3">
      <c r="A126" s="2">
        <v>5</v>
      </c>
      <c r="C126" s="38" t="s">
        <v>53</v>
      </c>
      <c r="D126" s="42">
        <f>TRUNC(922,-1)</f>
        <v>920</v>
      </c>
      <c r="E126" s="63">
        <f t="shared" si="4"/>
        <v>3040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TRUNC(4668,-1)</f>
        <v>4660</v>
      </c>
      <c r="E128" s="63">
        <f t="shared" si="4"/>
        <v>15400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TRUNC(9861,-1)</f>
        <v>9860</v>
      </c>
      <c r="E130" s="63">
        <f t="shared" si="4"/>
        <v>32590</v>
      </c>
    </row>
    <row r="131" spans="1:7" x14ac:dyDescent="0.3">
      <c r="A131" s="2">
        <v>10</v>
      </c>
      <c r="C131" s="38" t="s">
        <v>149</v>
      </c>
      <c r="D131" s="42">
        <f>TRUNC(34435,-1)</f>
        <v>34430</v>
      </c>
      <c r="E131" s="63">
        <f t="shared" si="4"/>
        <v>113810</v>
      </c>
    </row>
    <row r="132" spans="1:7" ht="18" thickBot="1" x14ac:dyDescent="0.35">
      <c r="A132" s="2">
        <v>11</v>
      </c>
      <c r="C132" s="38" t="s">
        <v>47</v>
      </c>
      <c r="D132" s="43">
        <v>2650</v>
      </c>
      <c r="E132" s="64">
        <f t="shared" si="4"/>
        <v>8760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67370</v>
      </c>
      <c r="E133" s="39">
        <f>SUM(E122:E132)</f>
        <v>222680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TRUNC(310+1783+600,-1)</f>
        <v>2690</v>
      </c>
      <c r="E137" s="63">
        <f t="shared" si="5"/>
        <v>8890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TRUNC(785,-1)</f>
        <v>780</v>
      </c>
      <c r="E140" s="63">
        <f t="shared" si="5"/>
        <v>2570</v>
      </c>
    </row>
    <row r="141" spans="1:7" x14ac:dyDescent="0.3">
      <c r="A141" s="2">
        <v>6</v>
      </c>
      <c r="C141" s="38" t="s">
        <v>59</v>
      </c>
      <c r="D141" s="42">
        <f>TRUNC(6247,-1)</f>
        <v>6240</v>
      </c>
      <c r="E141" s="63">
        <f t="shared" si="5"/>
        <v>20620</v>
      </c>
    </row>
    <row r="142" spans="1:7" x14ac:dyDescent="0.3">
      <c r="A142" s="2">
        <v>7</v>
      </c>
      <c r="C142" s="38" t="s">
        <v>58</v>
      </c>
      <c r="D142" s="42">
        <f>TRUNC(4136,-1)</f>
        <v>4130</v>
      </c>
      <c r="E142" s="63">
        <f t="shared" si="5"/>
        <v>13650</v>
      </c>
    </row>
    <row r="143" spans="1:7" x14ac:dyDescent="0.3">
      <c r="A143" s="2">
        <v>8</v>
      </c>
      <c r="C143" s="38" t="s">
        <v>62</v>
      </c>
      <c r="D143" s="42">
        <f>TRUNC(5739,-1)</f>
        <v>5730</v>
      </c>
      <c r="E143" s="63">
        <f t="shared" si="5"/>
        <v>18940</v>
      </c>
    </row>
    <row r="144" spans="1:7" x14ac:dyDescent="0.3">
      <c r="A144" s="2">
        <v>9</v>
      </c>
      <c r="C144" s="38" t="s">
        <v>63</v>
      </c>
      <c r="D144" s="42">
        <v>12210</v>
      </c>
      <c r="E144" s="63">
        <f t="shared" si="5"/>
        <v>40360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31780</v>
      </c>
      <c r="E146" s="39">
        <f>SUM(E136:E145)</f>
        <v>105030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17855+3695</f>
        <v>21550</v>
      </c>
      <c r="E149" s="62">
        <f>TRUNC(+D149*3.3058,-1)</f>
        <v>71230</v>
      </c>
    </row>
    <row r="150" spans="1:7" x14ac:dyDescent="0.3">
      <c r="A150" s="2">
        <v>2</v>
      </c>
      <c r="C150" s="38" t="s">
        <v>49</v>
      </c>
      <c r="D150" s="42">
        <f>TRUNC(4461,-1)</f>
        <v>4460</v>
      </c>
      <c r="E150" s="63">
        <f>TRUNC(+D150*3.3058,-1)</f>
        <v>14740</v>
      </c>
    </row>
    <row r="151" spans="1:7" x14ac:dyDescent="0.3">
      <c r="A151" s="2">
        <v>3</v>
      </c>
      <c r="C151" s="38" t="s">
        <v>50</v>
      </c>
      <c r="D151" s="42">
        <f>TRUNC(23397,-1)</f>
        <v>23390</v>
      </c>
      <c r="E151" s="63">
        <f>TRUNC(+D151*3.3058,-1)</f>
        <v>77320</v>
      </c>
    </row>
    <row r="152" spans="1:7" x14ac:dyDescent="0.3">
      <c r="A152" s="2">
        <v>4</v>
      </c>
      <c r="C152" s="38" t="s">
        <v>47</v>
      </c>
      <c r="D152" s="42">
        <f>TRUNC(3568+294,-1)</f>
        <v>3860</v>
      </c>
      <c r="E152" s="63">
        <f>TRUNC(+D152*3.3058,-1)</f>
        <v>12760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TRUNC(63824,-1)</f>
        <v>63820</v>
      </c>
      <c r="E153" s="64">
        <f>TRUNC(+D153*3.3058,-1)</f>
        <v>210970</v>
      </c>
    </row>
    <row r="154" spans="1:7" x14ac:dyDescent="0.3">
      <c r="A154" s="2">
        <v>6</v>
      </c>
      <c r="C154" s="27" t="s">
        <v>112</v>
      </c>
      <c r="D154" s="39">
        <f>SUM(D149:D153)</f>
        <v>117080</v>
      </c>
      <c r="E154" s="39">
        <f>SUM(E149:E153)</f>
        <v>387020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TRUNC(17642,-1)</f>
        <v>17640</v>
      </c>
      <c r="E157" s="62">
        <f>TRUNC(+D157*3.3058,-1)</f>
        <v>58310</v>
      </c>
    </row>
    <row r="158" spans="1:7" x14ac:dyDescent="0.3">
      <c r="A158" s="2">
        <v>2</v>
      </c>
      <c r="C158" s="38" t="s">
        <v>52</v>
      </c>
      <c r="D158" s="42">
        <f>TRUNC(5274,-1)</f>
        <v>5270</v>
      </c>
      <c r="E158" s="63">
        <f>TRUNC(+D158*3.3058,-1)</f>
        <v>17420</v>
      </c>
    </row>
    <row r="159" spans="1:7" x14ac:dyDescent="0.3">
      <c r="A159" s="2">
        <v>3</v>
      </c>
      <c r="C159" s="38" t="s">
        <v>47</v>
      </c>
      <c r="D159" s="42">
        <f>TRUNC(7917,-1)</f>
        <v>7910</v>
      </c>
      <c r="E159" s="63">
        <f>TRUNC(+D159*3.3058,-1)</f>
        <v>26140</v>
      </c>
      <c r="F159" s="2" t="s">
        <v>264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30820</v>
      </c>
      <c r="E161" s="39">
        <f>SUM(E157:E160)</f>
        <v>101870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2020-12-08T01:22:27Z</dcterms:modified>
</cp:coreProperties>
</file>