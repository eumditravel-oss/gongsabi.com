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1" i="4"/>
  <c r="D150" i="4"/>
  <c r="D149" i="4"/>
  <c r="D144" i="4"/>
  <c r="D143" i="4"/>
  <c r="D142" i="4"/>
  <c r="D140" i="4"/>
  <c r="D132" i="4"/>
  <c r="D131" i="4"/>
  <c r="D130" i="4"/>
  <c r="D128" i="4"/>
  <c r="D127" i="4"/>
  <c r="D118" i="4"/>
  <c r="D117" i="4"/>
  <c r="D116" i="4"/>
  <c r="D114" i="4"/>
  <c r="D105" i="4"/>
  <c r="D103" i="4"/>
  <c r="D102" i="4"/>
  <c r="D100" i="4"/>
  <c r="D99" i="4"/>
  <c r="D98" i="4"/>
  <c r="D94" i="4"/>
  <c r="D92" i="4"/>
  <c r="D89" i="4"/>
  <c r="D73" i="4"/>
  <c r="D70" i="4"/>
  <c r="D69" i="4"/>
  <c r="D65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<sst xmlns="http://schemas.openxmlformats.org/spreadsheetml/2006/main" count="392" uniqueCount="269">
  <si>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</si>
  <si>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</si>
  <si>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</si>
  <si>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</si>
  <si>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</si>
  <si>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</si>
  <si>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</si>
  <si>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</si>
  <si>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</si>
  <si>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</si>
  <si>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</si>
  <si>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</si>
  <si>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</si>
  <si>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</si>
  <si>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</si>
  <si>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</si>
  <si>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</si>
  <si>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</si>
  <si>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</si>
  <si>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</si>
  <si>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</si>
  <si>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</si>
  <si>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</si>
  <si>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</si>
  <si>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</si>
  <si>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</si>
  <si>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</si>
  <si>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</si>
  <si>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</si>
  <si>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</si>
  <si>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</si>
  <si>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</si>
  <si>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</si>
  <si>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</si>
  <si>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</si>
  <si>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</si>
  <si>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</si>
  <si>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</si>
  <si>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</si>
  <si>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</si>
  <si>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</si>
  <si>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</si>
  <si>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</si>
  <si>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</si>
  <si>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</si>
  <si>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</si>
  <si>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</si>
  <si>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</si>
  <si>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</si>
  <si>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</si>
  <si>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</si>
  <si>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</si>
  <si>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</si>
  <si>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</si>
  <si>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</si>
  <si>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</si>
  <si>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</si>
  <si>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</si>
  <si>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</si>
  <si>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</si>
  <si>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</si>
  <si>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</si>
  <si>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</si>
  <si>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</si>
  <si>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</si>
  <si>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</si>
  <si>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</si>
  <si>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</si>
  <si>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</si>
  <si>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</si>
  <si>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</si>
  <si>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</si>
  <si>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</si>
  <si>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</si>
  <si>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</si>
  <si>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</si>
  <si>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</si>
  <si>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</si>
  <si>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</si>
  <si>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</si>
  <si>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</si>
  <si>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</si>
  <si>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</si>
  <si>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</si>
  <si>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</si>
  <si>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</si>
  <si>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</si>
  <si>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</si>
  <si>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</si>
  <si>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</si>
  <si>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</si>
  <si>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</si>
  <si>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</si>
  <si>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</si>
  <si>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</si>
  <si>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</si>
  <si>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</si>
  <si>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</si>
  <si>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</si>
  <si>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</si>
  <si>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</si>
  <si>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</si>
  <si>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</si>
  <si>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</si>
  <si>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</si>
  <si>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</si>
  <si>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</si>
  <si>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</si>
  <si>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</si>
  <si>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</si>
  <si>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</si>
  <si>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</si>
  <si>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</si>
  <si>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</si>
  <si>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</si>
  <si>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</si>
  <si>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</si>
  <si>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</si>
  <si>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</si>
  <si>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</si>
  <si>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</si>
  <si>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</si>
  <si>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</si>
  <si>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</si>
  <si>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</si>
  <si>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</si>
  <si>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</si>
  <si>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</si>
  <si>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</si>
  <si>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</si>
  <si>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</si>
  <si>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</si>
  <si>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</si>
  <si>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</si>
  <si>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</si>
  <si>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</si>
  <si>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</si>
  <si>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</si>
  <si>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</si>
  <si>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</si>
  <si>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</si>
  <si>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</si>
  <si>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</si>
  <si>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</si>
  <si>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</si>
  <si>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</si>
  <si>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</si>
  <si>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</si>
  <si>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</si>
  <si>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</si>
  <si>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</si>
  <si>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</si>
  <si>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</si>
  <si>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</si>
  <si>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</si>
  <si>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</si>
  <si>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</si>
  <si>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</si>
  <si>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</si>
  <si>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</si>
  <si>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</si>
  <si>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</si>
  <si>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</si>
  <si>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</si>
  <si>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</si>
  <si>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</si>
  <si>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</si>
  <si>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</si>
  <si>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</si>
  <si>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</si>
  <si>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</si>
  <si>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</si>
  <si>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</si>
  <si>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</si>
  <si>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</si>
  <si>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</si>
  <si>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</si>
  <si>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</si>
  <si>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</si>
  <si>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</si>
  <si>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</si>
  <si>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</si>
  <si>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</si>
  <si>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</si>
  <si>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</si>
  <si>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</si>
  <si>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</si>
  <si>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</si>
  <si>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</si>
  <si>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</si>
  <si>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</si>
  <si>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</si>
  <si>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</si>
  <si>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</si>
  <si>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</si>
  <si>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</si>
  <si>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</si>
  <si>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</si>
  <si>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</si>
  <si>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</si>
  <si>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</si>
  <si>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</si>
  <si>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</si>
  <si>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</si>
  <si>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</si>
  <si>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</si>
  <si>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</si>
  <si>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</si>
  <si>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</si>
  <si>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</si>
  <si>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</si>
  <si>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</si>
  <si>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</si>
  <si>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</si>
  <si>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</si>
  <si>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</si>
  <si>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</si>
  <si>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</si>
  <si>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</si>
  <si>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</si>
  <si>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</si>
  <si>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</si>
  <si>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</si>
  <si>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</si>
  <si>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</si>
  <si>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</si>
  <si>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</si>
  <si>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</si>
  <si>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</si>
  <si>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</si>
  <si>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</si>
  <si>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</si>
  <si>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</si>
  <si>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</si>
  <si>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</si>
  <si>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</si>
  <si>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</si>
  <si>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</si>
  <si>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</si>
  <si>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</si>
  <si>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</si>
  <si>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</si>
  <si>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</si>
  <si>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</si>
  <si>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</si>
  <si>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</si>
  <si>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</si>
  <si>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</si>
  <si>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</si>
  <si>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</si>
  <si>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</si>
  <si>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</si>
  <si>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</si>
  <si>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</si>
  <si>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</si>
  <si>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</si>
  <si>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</si>
  <si>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</si>
  <si>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</si>
  <si>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</si>
  <si>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한국전통문화대학교 대학원 기숙사 건립공사</t>
    <phoneticPr fontId="2" type="noConversion"/>
  </si>
  <si>
    <t>충청도</t>
  </si>
  <si>
    <t>기초공사, 골재비및운반비, 작업부산물, 품질시험비, 기타공사</t>
    <phoneticPr fontId="2" type="noConversion"/>
  </si>
  <si>
    <t>원격검침 설비공사, 기타공사</t>
    <phoneticPr fontId="2" type="noConversion"/>
  </si>
  <si>
    <t>원/ m2</t>
    <phoneticPr fontId="2" type="noConversion"/>
  </si>
  <si>
    <t>사급자재비, 기타공사</t>
    <phoneticPr fontId="2" type="noConversion"/>
  </si>
  <si>
    <t>1000 M2 미만</t>
    <phoneticPr fontId="2" type="noConversion"/>
  </si>
  <si>
    <t>외  장</t>
    <phoneticPr fontId="2" type="noConversion"/>
  </si>
  <si>
    <t>구  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</si>
</sst>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3542.67</v>
      </c>
      <c r="D7" s="36">
        <f>+C7/3.3058</f>
        <v>1071.6528525621634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  <c r="D17" s="35"/>
    </row>
    <row r="18" spans="1:5" x14ac:dyDescent="0.3">
      <c r="D18" s="35"/>
    </row>
    <row r="19" spans="1:5" x14ac:dyDescent="0.3">
      <c r="A19" s="2">
        <v>9</v>
      </c>
      <c r="B19" s="2" t="s">
        <v>267</v>
      </c>
      <c r="D19" s="35"/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803420</v>
      </c>
      <c r="E25" s="59">
        <f t="shared" si="0"/>
        <v>2655940</v>
      </c>
    </row>
    <row r="26" spans="1:5" x14ac:dyDescent="0.3">
      <c r="B26" s="2">
        <v>3</v>
      </c>
      <c r="C26" s="35" t="s">
        <v>95</v>
      </c>
      <c r="D26" s="45">
        <f>+D66</f>
        <v>21340</v>
      </c>
      <c r="E26" s="59">
        <f t="shared" si="0"/>
        <v>70540</v>
      </c>
    </row>
    <row r="27" spans="1:5" x14ac:dyDescent="0.3">
      <c r="B27" s="2">
        <v>4</v>
      </c>
      <c r="C27" s="35" t="s">
        <v>96</v>
      </c>
      <c r="D27" s="45">
        <f>+D95</f>
        <v>187860</v>
      </c>
      <c r="E27" s="59">
        <f t="shared" si="0"/>
        <v>621020</v>
      </c>
    </row>
    <row r="28" spans="1:5" x14ac:dyDescent="0.3">
      <c r="B28" s="2">
        <v>5</v>
      </c>
      <c r="C28" s="35" t="s">
        <v>97</v>
      </c>
      <c r="D28" s="45">
        <f>+D119</f>
        <v>257030</v>
      </c>
      <c r="E28" s="59">
        <f t="shared" si="0"/>
        <v>849680</v>
      </c>
    </row>
    <row r="29" spans="1:5" x14ac:dyDescent="0.3">
      <c r="B29" s="2">
        <v>6</v>
      </c>
      <c r="C29" s="35" t="s">
        <v>98</v>
      </c>
      <c r="D29" s="45">
        <f>+D133</f>
        <v>136550</v>
      </c>
      <c r="E29" s="59">
        <f t="shared" si="0"/>
        <v>451400</v>
      </c>
    </row>
    <row r="30" spans="1:5" x14ac:dyDescent="0.3">
      <c r="B30" s="2">
        <v>7</v>
      </c>
      <c r="C30" s="35" t="s">
        <v>99</v>
      </c>
      <c r="D30" s="45">
        <f>+D146</f>
        <v>23690</v>
      </c>
      <c r="E30" s="59">
        <f t="shared" si="0"/>
        <v>78310</v>
      </c>
    </row>
    <row r="31" spans="1:5" x14ac:dyDescent="0.3">
      <c r="B31" s="2">
        <v>8</v>
      </c>
      <c r="C31" s="35" t="s">
        <v>100</v>
      </c>
      <c r="D31" s="45">
        <f>+D154</f>
        <v>38410</v>
      </c>
      <c r="E31" s="59">
        <f t="shared" si="0"/>
        <v>126970</v>
      </c>
    </row>
    <row r="32" spans="1:5" x14ac:dyDescent="0.3">
      <c r="B32" s="2">
        <v>9</v>
      </c>
      <c r="C32" s="35" t="s">
        <v>101</v>
      </c>
      <c r="D32" s="45">
        <f>+D161</f>
        <v>20210</v>
      </c>
      <c r="E32" s="59">
        <f t="shared" si="0"/>
        <v>66810</v>
      </c>
    </row>
    <row r="33" spans="1:7" x14ac:dyDescent="0.3">
      <c r="B33" s="2">
        <v>10</v>
      </c>
      <c r="C33" s="35" t="s">
        <v>154</v>
      </c>
      <c r="D33" s="53">
        <f>TRUNC(SUM(D24:D32)*0.275,-1)</f>
        <v>409340</v>
      </c>
      <c r="E33" s="60">
        <f t="shared" si="0"/>
        <v>1353190</v>
      </c>
    </row>
    <row r="34" spans="1:7" x14ac:dyDescent="0.3">
      <c r="C34" s="35" t="s">
        <v>112</v>
      </c>
      <c r="D34" s="44">
        <f>SUM(D24:D33)</f>
        <v>1897850</v>
      </c>
      <c r="E34" s="44">
        <f>SUM(E24:E33)</f>
        <v>6273860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v>54170</v>
      </c>
      <c r="E40" s="62">
        <f t="shared" ref="E40:E59" si="1">TRUNC(+D40*3.3058,-1)</f>
        <v>179070</v>
      </c>
    </row>
    <row r="41" spans="1:7" x14ac:dyDescent="0.3">
      <c r="A41" s="2">
        <v>2</v>
      </c>
      <c r="C41" s="38" t="s">
        <v>13</v>
      </c>
      <c r="D41" s="42">
        <f>TRUNC(176555,-1)</f>
        <v>176550</v>
      </c>
      <c r="E41" s="63">
        <f t="shared" si="1"/>
        <v>583630</v>
      </c>
    </row>
    <row r="42" spans="1:7" x14ac:dyDescent="0.3">
      <c r="A42" s="2">
        <v>3</v>
      </c>
      <c r="C42" s="38" t="s">
        <v>14</v>
      </c>
      <c r="D42" s="42">
        <f>TRUNC(413,-1)</f>
        <v>410</v>
      </c>
      <c r="E42" s="63">
        <f t="shared" si="1"/>
        <v>1350</v>
      </c>
    </row>
    <row r="43" spans="1:7" x14ac:dyDescent="0.3">
      <c r="A43" s="2">
        <v>4</v>
      </c>
      <c r="C43" s="38" t="s">
        <v>16</v>
      </c>
      <c r="D43" s="42">
        <f>TRUNC(19175,-1)</f>
        <v>19170</v>
      </c>
      <c r="E43" s="63">
        <f t="shared" si="1"/>
        <v>63370</v>
      </c>
    </row>
    <row r="44" spans="1:7" x14ac:dyDescent="0.3">
      <c r="A44" s="2">
        <v>5</v>
      </c>
      <c r="C44" s="38" t="s">
        <v>17</v>
      </c>
      <c r="D44" s="42">
        <f>TRUNC(32217,-1)</f>
        <v>32210</v>
      </c>
      <c r="E44" s="63">
        <f t="shared" si="1"/>
        <v>106470</v>
      </c>
    </row>
    <row r="45" spans="1:7" x14ac:dyDescent="0.3">
      <c r="A45" s="2">
        <v>6</v>
      </c>
      <c r="C45" s="38" t="s">
        <v>18</v>
      </c>
      <c r="D45" s="42">
        <f>TRUNC(2339,-1)</f>
        <v>2330</v>
      </c>
      <c r="E45" s="63">
        <f t="shared" si="1"/>
        <v>7700</v>
      </c>
    </row>
    <row r="46" spans="1:7" x14ac:dyDescent="0.3">
      <c r="A46" s="2">
        <v>7</v>
      </c>
      <c r="C46" s="38" t="s">
        <v>19</v>
      </c>
      <c r="D46" s="42">
        <f>TRUNC(13548,-1)</f>
        <v>13540</v>
      </c>
      <c r="E46" s="63">
        <f t="shared" si="1"/>
        <v>44760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TRUNC(37728,-1)</f>
        <v>37720</v>
      </c>
      <c r="E48" s="63">
        <f t="shared" si="1"/>
        <v>124690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TRUNC(22231,-1)</f>
        <v>22230</v>
      </c>
      <c r="E49" s="63">
        <f t="shared" si="1"/>
        <v>73480</v>
      </c>
    </row>
    <row r="50" spans="1:7" x14ac:dyDescent="0.3">
      <c r="A50" s="2">
        <v>11</v>
      </c>
      <c r="C50" s="38" t="s">
        <v>155</v>
      </c>
      <c r="D50" s="42">
        <v>54980</v>
      </c>
      <c r="E50" s="63">
        <f t="shared" si="1"/>
        <v>181750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TRUNC(8123,-1)</f>
        <v>8120</v>
      </c>
      <c r="E52" s="63">
        <f t="shared" si="1"/>
        <v>26840</v>
      </c>
    </row>
    <row r="53" spans="1:7" x14ac:dyDescent="0.3">
      <c r="A53" s="2">
        <v>14</v>
      </c>
      <c r="C53" s="38" t="s">
        <v>25</v>
      </c>
      <c r="D53" s="42">
        <f>TRUNC(56594,-1)</f>
        <v>56590</v>
      </c>
      <c r="E53" s="63">
        <f t="shared" si="1"/>
        <v>187070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TRUNC(45916+5636-508+615+95839,-1)</f>
        <v>147490</v>
      </c>
      <c r="E58" s="63">
        <f t="shared" si="1"/>
        <v>487570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TRUNC(177918,-1)</f>
        <v>177910</v>
      </c>
      <c r="E59" s="64">
        <f t="shared" si="1"/>
        <v>588130</v>
      </c>
    </row>
    <row r="60" spans="1:7" x14ac:dyDescent="0.3">
      <c r="A60" s="2">
        <v>21</v>
      </c>
      <c r="C60" s="27" t="s">
        <v>112</v>
      </c>
      <c r="D60" s="39">
        <f>SUM(D40:D59)</f>
        <v>803420</v>
      </c>
      <c r="E60" s="39">
        <f>SUM(E40:E59)</f>
        <v>2655880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264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TRUNC(1235,-1)</f>
        <v>1230</v>
      </c>
      <c r="E63" s="62">
        <f>TRUNC(+D63*3.3058,-1)</f>
        <v>4060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TRUNC(20115,-1)</f>
        <v>20110</v>
      </c>
      <c r="E65" s="64">
        <f>TRUNC(+D65*3.3058,-1)</f>
        <v>66470</v>
      </c>
    </row>
    <row r="66" spans="1:7" x14ac:dyDescent="0.3">
      <c r="A66" s="2">
        <v>4</v>
      </c>
      <c r="C66" s="27" t="s">
        <v>112</v>
      </c>
      <c r="D66" s="39">
        <f>SUM(D63:D65)</f>
        <v>21340</v>
      </c>
      <c r="E66" s="65">
        <f>SUM(E63:E65)</f>
        <v>70530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TRUNC(11928,-1)</f>
        <v>11920</v>
      </c>
      <c r="E69" s="62">
        <f t="shared" ref="E69:E94" si="2">TRUNC(+D69*3.3058,-1)</f>
        <v>39400</v>
      </c>
    </row>
    <row r="70" spans="1:7" ht="16.5" customHeight="1" x14ac:dyDescent="0.3">
      <c r="A70" s="2">
        <v>2</v>
      </c>
      <c r="C70" s="38" t="s">
        <v>31</v>
      </c>
      <c r="D70" s="42">
        <f>TRUNC(4701,-1)</f>
        <v>4700</v>
      </c>
      <c r="E70" s="63">
        <f t="shared" si="2"/>
        <v>15530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TRUNC(29336,-1)</f>
        <v>29330</v>
      </c>
      <c r="E73" s="63">
        <f t="shared" si="2"/>
        <v>96950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TRUNC(20494,-1)</f>
        <v>20490</v>
      </c>
      <c r="E89" s="63">
        <f t="shared" si="2"/>
        <v>67730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9130</v>
      </c>
      <c r="E91" s="63">
        <f t="shared" si="2"/>
        <v>30180</v>
      </c>
    </row>
    <row r="92" spans="1:7" x14ac:dyDescent="0.3">
      <c r="A92" s="2">
        <v>24</v>
      </c>
      <c r="C92" s="38" t="s">
        <v>38</v>
      </c>
      <c r="D92" s="42">
        <f>TRUNC(242,-1)</f>
        <v>240</v>
      </c>
      <c r="E92" s="63">
        <f t="shared" si="2"/>
        <v>790</v>
      </c>
    </row>
    <row r="93" spans="1:7" x14ac:dyDescent="0.3">
      <c r="A93" s="2">
        <v>25</v>
      </c>
      <c r="C93" s="38" t="s">
        <v>148</v>
      </c>
      <c r="D93" s="42">
        <v>108000</v>
      </c>
      <c r="E93" s="63">
        <f t="shared" si="2"/>
        <v>357020</v>
      </c>
    </row>
    <row r="94" spans="1:7" ht="17.25" thickBot="1" x14ac:dyDescent="0.35">
      <c r="A94" s="2">
        <v>26</v>
      </c>
      <c r="C94" s="38" t="s">
        <v>47</v>
      </c>
      <c r="D94" s="43">
        <f>TRUNC(4052,-1)</f>
        <v>4050</v>
      </c>
      <c r="E94" s="64">
        <f t="shared" si="2"/>
        <v>13380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187860</v>
      </c>
      <c r="E95" s="39">
        <f>SUM(E69:E94)</f>
        <v>620980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TRUNC(22565,-1)</f>
        <v>22560</v>
      </c>
      <c r="E98" s="62">
        <f t="shared" ref="E98:E118" si="3">TRUNC(+D98*3.3058,-1)</f>
        <v>74570</v>
      </c>
    </row>
    <row r="99" spans="1:7" x14ac:dyDescent="0.3">
      <c r="A99" s="2">
        <v>2</v>
      </c>
      <c r="C99" s="38" t="s">
        <v>40</v>
      </c>
      <c r="D99" s="42">
        <f>TRUNC(3086,-1)</f>
        <v>3080</v>
      </c>
      <c r="E99" s="63">
        <f t="shared" si="3"/>
        <v>10180</v>
      </c>
    </row>
    <row r="100" spans="1:7" x14ac:dyDescent="0.3">
      <c r="A100" s="2">
        <v>3</v>
      </c>
      <c r="C100" s="38" t="s">
        <v>41</v>
      </c>
      <c r="D100" s="42">
        <f>TRUNC(34583,-1)</f>
        <v>34580</v>
      </c>
      <c r="E100" s="63">
        <f t="shared" si="3"/>
        <v>114310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TRUNC(17328,-1)</f>
        <v>17320</v>
      </c>
      <c r="E102" s="63">
        <f t="shared" si="3"/>
        <v>57250</v>
      </c>
    </row>
    <row r="103" spans="1:7" x14ac:dyDescent="0.3">
      <c r="A103" s="2">
        <v>6</v>
      </c>
      <c r="C103" s="38" t="s">
        <v>44</v>
      </c>
      <c r="D103" s="42">
        <f>TRUNC(5304,-1)</f>
        <v>5300</v>
      </c>
      <c r="E103" s="63">
        <f t="shared" si="3"/>
        <v>17520</v>
      </c>
    </row>
    <row r="104" spans="1:7" x14ac:dyDescent="0.3">
      <c r="A104" s="2">
        <v>7</v>
      </c>
      <c r="C104" s="38" t="s">
        <v>45</v>
      </c>
      <c r="D104" s="42">
        <v>9670</v>
      </c>
      <c r="E104" s="63">
        <f t="shared" si="3"/>
        <v>31960</v>
      </c>
    </row>
    <row r="105" spans="1:7" x14ac:dyDescent="0.3">
      <c r="A105" s="2">
        <v>8</v>
      </c>
      <c r="C105" s="38" t="s">
        <v>46</v>
      </c>
      <c r="D105" s="42">
        <f>TRUNC(7797,-1)</f>
        <v>7790</v>
      </c>
      <c r="E105" s="63">
        <f t="shared" si="3"/>
        <v>25750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TRUNC(5896,-1)</f>
        <v>5890</v>
      </c>
      <c r="E114" s="63">
        <f t="shared" si="3"/>
        <v>19470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TRUNC(2448,-1)</f>
        <v>2440</v>
      </c>
      <c r="E116" s="63">
        <f t="shared" si="3"/>
        <v>8060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TRUNC(141777,-1)</f>
        <v>141770</v>
      </c>
      <c r="E117" s="63">
        <f t="shared" si="3"/>
        <v>468660</v>
      </c>
    </row>
    <row r="118" spans="1:7" ht="17.25" thickBot="1" x14ac:dyDescent="0.35">
      <c r="A118" s="2">
        <v>21</v>
      </c>
      <c r="C118" s="38" t="s">
        <v>47</v>
      </c>
      <c r="D118" s="43">
        <f>TRUNC(4475+2161,-1)</f>
        <v>6630</v>
      </c>
      <c r="E118" s="64">
        <f t="shared" si="3"/>
        <v>21910</v>
      </c>
      <c r="F118" s="2" t="s">
        <v>263</v>
      </c>
    </row>
    <row r="119" spans="1:7" x14ac:dyDescent="0.3">
      <c r="A119" s="2">
        <v>22</v>
      </c>
      <c r="C119" s="27" t="s">
        <v>112</v>
      </c>
      <c r="D119" s="39">
        <f>SUM(D98:D118)</f>
        <v>257030</v>
      </c>
      <c r="E119" s="39">
        <f>SUM(E98:E118)</f>
        <v>849640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1740</v>
      </c>
      <c r="E122" s="62">
        <f t="shared" ref="E122:E132" si="4">TRUNC(+D122*3.3058,-1)</f>
        <v>5750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14050</v>
      </c>
      <c r="E125" s="63">
        <f t="shared" si="4"/>
        <v>46440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TRUNC(5748,-1)</f>
        <v>5740</v>
      </c>
      <c r="E127" s="63">
        <f t="shared" si="4"/>
        <v>18970</v>
      </c>
    </row>
    <row r="128" spans="1:7" x14ac:dyDescent="0.3">
      <c r="A128" s="2">
        <v>7</v>
      </c>
      <c r="C128" s="38" t="s">
        <v>46</v>
      </c>
      <c r="D128" s="42">
        <f>TRUNC(7277,-1)</f>
        <v>7270</v>
      </c>
      <c r="E128" s="63">
        <f t="shared" si="4"/>
        <v>24030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TRUNC(29212,-1)</f>
        <v>29210</v>
      </c>
      <c r="E130" s="63">
        <f t="shared" si="4"/>
        <v>96560</v>
      </c>
    </row>
    <row r="131" spans="1:7" x14ac:dyDescent="0.3">
      <c r="A131" s="2">
        <v>10</v>
      </c>
      <c r="C131" s="38" t="s">
        <v>148</v>
      </c>
      <c r="D131" s="42">
        <f>TRUNC(74653,-1)</f>
        <v>74650</v>
      </c>
      <c r="E131" s="63">
        <f t="shared" si="4"/>
        <v>246770</v>
      </c>
    </row>
    <row r="132" spans="1:7" ht="18" thickBot="1" x14ac:dyDescent="0.35">
      <c r="A132" s="2">
        <v>11</v>
      </c>
      <c r="C132" s="38" t="s">
        <v>47</v>
      </c>
      <c r="D132" s="43">
        <f>TRUNC(3896,-1)</f>
        <v>3890</v>
      </c>
      <c r="E132" s="64">
        <f t="shared" si="4"/>
        <v>12850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136550</v>
      </c>
      <c r="E133" s="39">
        <f>SUM(E122:E132)</f>
        <v>451370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TRUNC(2439,-1)</f>
        <v>2430</v>
      </c>
      <c r="E140" s="63">
        <f t="shared" si="5"/>
        <v>8030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TRUNC(4633,-1)</f>
        <v>4630</v>
      </c>
      <c r="E142" s="63">
        <f t="shared" si="5"/>
        <v>15300</v>
      </c>
    </row>
    <row r="143" spans="1:7" x14ac:dyDescent="0.3">
      <c r="A143" s="2">
        <v>8</v>
      </c>
      <c r="C143" s="38" t="s">
        <v>62</v>
      </c>
      <c r="D143" s="42">
        <f>TRUNC(3786,-1)</f>
        <v>3780</v>
      </c>
      <c r="E143" s="63">
        <f t="shared" si="5"/>
        <v>12490</v>
      </c>
    </row>
    <row r="144" spans="1:7" x14ac:dyDescent="0.3">
      <c r="A144" s="2">
        <v>9</v>
      </c>
      <c r="C144" s="38" t="s">
        <v>63</v>
      </c>
      <c r="D144" s="42">
        <f>TRUNC(12855,-1)</f>
        <v>12850</v>
      </c>
      <c r="E144" s="63">
        <f t="shared" si="5"/>
        <v>42470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23690</v>
      </c>
      <c r="E146" s="39">
        <f>SUM(E136:E145)</f>
        <v>78290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TRUNC(3082+785,-1)</f>
        <v>3860</v>
      </c>
      <c r="E149" s="62">
        <f>TRUNC(+D149*3.3058,-1)</f>
        <v>12760</v>
      </c>
    </row>
    <row r="150" spans="1:7" x14ac:dyDescent="0.3">
      <c r="A150" s="2">
        <v>2</v>
      </c>
      <c r="C150" s="38" t="s">
        <v>49</v>
      </c>
      <c r="D150" s="42">
        <f>TRUNC(5636,-1)</f>
        <v>5630</v>
      </c>
      <c r="E150" s="63">
        <f>TRUNC(+D150*3.3058,-1)</f>
        <v>18610</v>
      </c>
    </row>
    <row r="151" spans="1:7" x14ac:dyDescent="0.3">
      <c r="A151" s="2">
        <v>3</v>
      </c>
      <c r="C151" s="38" t="s">
        <v>50</v>
      </c>
      <c r="D151" s="42">
        <f>TRUNC(6472,-1)</f>
        <v>6470</v>
      </c>
      <c r="E151" s="63">
        <f>TRUNC(+D151*3.3058,-1)</f>
        <v>21380</v>
      </c>
    </row>
    <row r="152" spans="1:7" x14ac:dyDescent="0.3">
      <c r="A152" s="2">
        <v>4</v>
      </c>
      <c r="C152" s="38" t="s">
        <v>47</v>
      </c>
      <c r="D152" s="42">
        <f>TRUNC(5202+4051,-1)</f>
        <v>9250</v>
      </c>
      <c r="E152" s="63">
        <f>TRUNC(+D152*3.3058,-1)</f>
        <v>30570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f>TRUNC(13201,-1)</f>
        <v>13200</v>
      </c>
      <c r="E153" s="64">
        <f>TRUNC(+D153*3.3058,-1)</f>
        <v>43630</v>
      </c>
    </row>
    <row r="154" spans="1:7" x14ac:dyDescent="0.3">
      <c r="A154" s="2">
        <v>6</v>
      </c>
      <c r="C154" s="27" t="s">
        <v>112</v>
      </c>
      <c r="D154" s="39">
        <f>SUM(D149:D153)</f>
        <v>38410</v>
      </c>
      <c r="E154" s="39">
        <f>SUM(E149:E153)</f>
        <v>126950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TRUNC(14236,-1)</f>
        <v>14230</v>
      </c>
      <c r="E157" s="62">
        <f>TRUNC(+D157*3.3058,-1)</f>
        <v>47040</v>
      </c>
    </row>
    <row r="158" spans="1:7" x14ac:dyDescent="0.3">
      <c r="A158" s="2">
        <v>2</v>
      </c>
      <c r="C158" s="38" t="s">
        <v>52</v>
      </c>
      <c r="D158" s="42">
        <f>TRUNC(5982,-1)</f>
        <v>5980</v>
      </c>
      <c r="E158" s="63">
        <f>TRUNC(+D158*3.3058,-1)</f>
        <v>19760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20210</v>
      </c>
      <c r="E161" s="39">
        <f>SUM(E157:E160)</f>
        <v>66800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2020-12-07T10:09:53Z</dcterms:modified>
</cp:coreProperties>
</file>