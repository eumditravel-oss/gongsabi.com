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5" i="4"/>
  <c r="D144" i="4"/>
  <c r="D143" i="4"/>
  <c r="D142" i="4"/>
  <c r="D141" i="4"/>
  <c r="D140" i="4"/>
  <c r="D139" i="4"/>
  <c r="D137" i="4"/>
  <c r="D132" i="4"/>
  <c r="D131" i="4"/>
  <c r="D126" i="4"/>
  <c r="D125" i="4"/>
  <c r="D124" i="4"/>
  <c r="D122" i="4"/>
  <c r="D118" i="4"/>
  <c r="D117" i="4"/>
  <c r="D116" i="4"/>
  <c r="D105" i="4"/>
  <c r="D104" i="4"/>
  <c r="D103" i="4"/>
  <c r="D100" i="4"/>
  <c r="D99" i="4"/>
  <c r="D98" i="4"/>
  <c r="D94" i="4"/>
  <c r="D93" i="4"/>
  <c r="D92" i="4"/>
  <c r="D89" i="4"/>
  <c r="D73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46" i="4"/>
  <c r="E119" i="4"/>
  <c r="E154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<sst xmlns="http://schemas.openxmlformats.org/spreadsheetml/2006/main" count="392" uniqueCount="266">
  <si>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</si>
  <si>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</si>
  <si>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</si>
  <si>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</si>
  <si>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</si>
  <si>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</si>
  <si>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</si>
  <si>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</si>
  <si>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</si>
  <si>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</si>
  <si>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</si>
  <si>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</si>
  <si>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</si>
  <si>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</si>
  <si>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</si>
  <si>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</si>
  <si>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</si>
  <si>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</si>
  <si>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</si>
  <si>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</si>
  <si>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</si>
  <si>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</si>
  <si>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</si>
  <si>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</si>
  <si>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</si>
  <si>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</si>
  <si>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</si>
  <si>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</si>
  <si>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</si>
  <si>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</si>
  <si>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</si>
  <si>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</si>
  <si>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</si>
  <si>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</si>
  <si>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</si>
  <si>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</si>
  <si>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</si>
  <si>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</si>
  <si>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</si>
  <si>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</si>
  <si>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</si>
  <si>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</si>
  <si>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</si>
  <si>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</si>
  <si>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</si>
  <si>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</si>
  <si>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</si>
  <si>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</si>
  <si>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</si>
  <si>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</si>
  <si>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</si>
  <si>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</si>
  <si>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</si>
  <si>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</si>
  <si>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</si>
  <si>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</si>
  <si>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</si>
  <si>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</si>
  <si>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</si>
  <si>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</si>
  <si>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</si>
  <si>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</si>
  <si>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</si>
  <si>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</si>
  <si>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</si>
  <si>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</si>
  <si>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</si>
  <si>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</si>
  <si>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</si>
  <si>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</si>
  <si>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</si>
  <si>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</si>
  <si>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</si>
  <si>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</si>
  <si>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</si>
  <si>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</si>
  <si>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</si>
  <si>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</si>
  <si>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</si>
  <si>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</si>
  <si>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</si>
  <si>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</si>
  <si>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</si>
  <si>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</si>
  <si>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</si>
  <si>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</si>
  <si>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</si>
  <si>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</si>
  <si>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</si>
  <si>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</si>
  <si>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</si>
  <si>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</si>
  <si>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</si>
  <si>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</si>
  <si>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</si>
  <si>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</si>
  <si>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</si>
  <si>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</si>
  <si>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</si>
  <si>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</si>
  <si>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</si>
  <si>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</si>
  <si>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</si>
  <si>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</si>
  <si>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</si>
  <si>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</si>
  <si>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</si>
  <si>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</si>
  <si>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</si>
  <si>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</si>
  <si>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</si>
  <si>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</si>
  <si>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</si>
  <si>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</si>
  <si>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</si>
  <si>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</si>
  <si>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</si>
  <si>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</si>
  <si>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</si>
  <si>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</si>
  <si>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</si>
  <si>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</si>
  <si>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</si>
  <si>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</si>
  <si>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</si>
  <si>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</si>
  <si>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</si>
  <si>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</si>
  <si>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</si>
  <si>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</si>
  <si>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</si>
  <si>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</si>
  <si>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</si>
  <si>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</si>
  <si>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</si>
  <si>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</si>
  <si>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</si>
  <si>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</si>
  <si>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</si>
  <si>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</si>
  <si>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</si>
  <si>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</si>
  <si>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</si>
  <si>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</si>
  <si>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</si>
  <si>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</si>
  <si>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</si>
  <si>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</si>
  <si>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</si>
  <si>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</si>
  <si>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</si>
  <si>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</si>
  <si>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</si>
  <si>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</si>
  <si>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</si>
  <si>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</si>
  <si>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</si>
  <si>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</si>
  <si>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</si>
  <si>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</si>
  <si>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</si>
  <si>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</si>
  <si>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</si>
  <si>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</si>
  <si>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</si>
  <si>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</si>
  <si>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</si>
  <si>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</si>
  <si>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</si>
  <si>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</si>
  <si>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</si>
  <si>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</si>
  <si>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</si>
  <si>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</si>
  <si>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</si>
  <si>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</si>
  <si>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</si>
  <si>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</si>
  <si>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</si>
  <si>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</si>
  <si>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</si>
  <si>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</si>
  <si>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</si>
  <si>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</si>
  <si>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</si>
  <si>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</si>
  <si>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</si>
  <si>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</si>
  <si>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</si>
  <si>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</si>
  <si>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</si>
  <si>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</si>
  <si>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</si>
  <si>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</si>
  <si>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</si>
  <si>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</si>
  <si>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</si>
  <si>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</si>
  <si>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</si>
  <si>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</si>
  <si>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</si>
  <si>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</si>
  <si>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</si>
  <si>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</si>
  <si>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</si>
  <si>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</si>
  <si>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</si>
  <si>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</si>
  <si>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</si>
  <si>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</si>
  <si>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</si>
  <si>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</si>
  <si>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</si>
  <si>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</si>
  <si>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</si>
  <si>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</si>
  <si>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</si>
  <si>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</si>
  <si>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</si>
  <si>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</si>
  <si>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</si>
  <si>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</si>
  <si>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</si>
  <si>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</si>
  <si>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</si>
  <si>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</si>
  <si>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</si>
  <si>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</si>
  <si>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</si>
  <si>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</si>
  <si>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</si>
  <si>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</si>
  <si>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</si>
  <si>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</si>
  <si>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</si>
  <si>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</si>
  <si>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</si>
  <si>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</si>
  <si>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</si>
  <si>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</si>
  <si>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</si>
  <si>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</si>
  <si>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</si>
  <si>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</si>
  <si>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</si>
  <si>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</si>
  <si>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</si>
  <si>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</si>
  <si>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</si>
  <si>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</si>
  <si>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</si>
  <si>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</si>
  <si>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</si>
  <si>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</si>
  <si>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</si>
  <si>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</si>
  <si>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전쟁납치와 인권기념관 신축공사</t>
    <phoneticPr fontId="2" type="noConversion"/>
  </si>
  <si>
    <t>경기도</t>
  </si>
  <si>
    <t>기초공사, 해체및철거공사, 골재비및운반비, 작업부산물, 품질시험비, 기타공사</t>
    <phoneticPr fontId="2" type="noConversion"/>
  </si>
  <si>
    <t>공조배관공사, 기타공사</t>
    <phoneticPr fontId="2" type="noConversion"/>
  </si>
  <si>
    <t>펌프실배관공사, 기타공사</t>
    <phoneticPr fontId="2" type="noConversion"/>
  </si>
  <si>
    <t>상수도공사, 사급자재비, 운반비, 기타공사</t>
    <phoneticPr fontId="2" type="noConversion"/>
  </si>
  <si>
    <t>문화및집회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</si>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</sst>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262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3072.26</v>
      </c>
      <c r="D7" s="36">
        <f>+C7/3.3058</f>
        <v>929.35446790489448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995200</v>
      </c>
      <c r="E25" s="59">
        <f t="shared" si="0"/>
        <v>3289930</v>
      </c>
    </row>
    <row r="26" spans="1:5" x14ac:dyDescent="0.3">
      <c r="B26" s="2">
        <v>3</v>
      </c>
      <c r="C26" s="35" t="s">
        <v>95</v>
      </c>
      <c r="D26" s="45">
        <f>+D66</f>
        <v>2960</v>
      </c>
      <c r="E26" s="59">
        <f t="shared" si="0"/>
        <v>9780</v>
      </c>
    </row>
    <row r="27" spans="1:5" x14ac:dyDescent="0.3">
      <c r="B27" s="2">
        <v>4</v>
      </c>
      <c r="C27" s="35" t="s">
        <v>96</v>
      </c>
      <c r="D27" s="45">
        <f>+D95</f>
        <v>415490</v>
      </c>
      <c r="E27" s="59">
        <f t="shared" si="0"/>
        <v>1373520</v>
      </c>
    </row>
    <row r="28" spans="1:5" x14ac:dyDescent="0.3">
      <c r="B28" s="2">
        <v>5</v>
      </c>
      <c r="C28" s="35" t="s">
        <v>97</v>
      </c>
      <c r="D28" s="45">
        <f>+D119</f>
        <v>195220</v>
      </c>
      <c r="E28" s="59">
        <f t="shared" si="0"/>
        <v>645350</v>
      </c>
    </row>
    <row r="29" spans="1:5" x14ac:dyDescent="0.3">
      <c r="B29" s="2">
        <v>6</v>
      </c>
      <c r="C29" s="35" t="s">
        <v>98</v>
      </c>
      <c r="D29" s="45">
        <f>+D133</f>
        <v>132830</v>
      </c>
      <c r="E29" s="59">
        <f t="shared" si="0"/>
        <v>439100</v>
      </c>
    </row>
    <row r="30" spans="1:5" x14ac:dyDescent="0.3">
      <c r="B30" s="2">
        <v>7</v>
      </c>
      <c r="C30" s="35" t="s">
        <v>99</v>
      </c>
      <c r="D30" s="45">
        <f>+D146</f>
        <v>111960</v>
      </c>
      <c r="E30" s="59">
        <f t="shared" si="0"/>
        <v>370110</v>
      </c>
    </row>
    <row r="31" spans="1:5" x14ac:dyDescent="0.3">
      <c r="B31" s="2">
        <v>8</v>
      </c>
      <c r="C31" s="35" t="s">
        <v>100</v>
      </c>
      <c r="D31" s="45">
        <f>+D154</f>
        <v>70420</v>
      </c>
      <c r="E31" s="59">
        <f t="shared" si="0"/>
        <v>232790</v>
      </c>
    </row>
    <row r="32" spans="1:5" x14ac:dyDescent="0.3">
      <c r="B32" s="2">
        <v>9</v>
      </c>
      <c r="C32" s="35" t="s">
        <v>101</v>
      </c>
      <c r="D32" s="45">
        <f>+D161</f>
        <v>53490</v>
      </c>
      <c r="E32" s="59">
        <f t="shared" si="0"/>
        <v>176820</v>
      </c>
    </row>
    <row r="33" spans="1:7" x14ac:dyDescent="0.3">
      <c r="B33" s="2">
        <v>10</v>
      </c>
      <c r="C33" s="35" t="s">
        <v>155</v>
      </c>
      <c r="D33" s="53">
        <f>TRUNC(SUM(D24:D32)*0.275,-1)</f>
        <v>543830</v>
      </c>
      <c r="E33" s="60">
        <f t="shared" si="0"/>
        <v>1797790</v>
      </c>
    </row>
    <row r="34" spans="1:7" x14ac:dyDescent="0.3">
      <c r="C34" s="35" t="s">
        <v>112</v>
      </c>
      <c r="D34" s="44">
        <f>SUM(D24:D33)</f>
        <v>2521400</v>
      </c>
      <c r="E34" s="44">
        <f>SUM(E24:E33)</f>
        <v>8335190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TRUNC(108343,-1)</f>
        <v>108340</v>
      </c>
      <c r="E40" s="62">
        <f t="shared" ref="E40:E59" si="1">TRUNC(+D40*3.3058,-1)</f>
        <v>358150</v>
      </c>
    </row>
    <row r="41" spans="1:7" x14ac:dyDescent="0.3">
      <c r="A41" s="2">
        <v>2</v>
      </c>
      <c r="C41" s="38" t="s">
        <v>13</v>
      </c>
      <c r="D41" s="42">
        <f>TRUNC(137564,-1)</f>
        <v>137560</v>
      </c>
      <c r="E41" s="63">
        <f t="shared" si="1"/>
        <v>454740</v>
      </c>
    </row>
    <row r="42" spans="1:7" x14ac:dyDescent="0.3">
      <c r="A42" s="2">
        <v>3</v>
      </c>
      <c r="C42" s="38" t="s">
        <v>14</v>
      </c>
      <c r="D42" s="42">
        <f>TRUNC(30585,-1)</f>
        <v>30580</v>
      </c>
      <c r="E42" s="63">
        <f t="shared" si="1"/>
        <v>101090</v>
      </c>
    </row>
    <row r="43" spans="1:7" x14ac:dyDescent="0.3">
      <c r="A43" s="2">
        <v>4</v>
      </c>
      <c r="C43" s="38" t="s">
        <v>16</v>
      </c>
      <c r="D43" s="42">
        <f>TRUNC(30624,-1)</f>
        <v>30620</v>
      </c>
      <c r="E43" s="63">
        <f t="shared" si="1"/>
        <v>101220</v>
      </c>
    </row>
    <row r="44" spans="1:7" x14ac:dyDescent="0.3">
      <c r="A44" s="2">
        <v>5</v>
      </c>
      <c r="C44" s="38" t="s">
        <v>17</v>
      </c>
      <c r="D44" s="42">
        <f>TRUNC(38157,-1)</f>
        <v>38150</v>
      </c>
      <c r="E44" s="63">
        <f t="shared" si="1"/>
        <v>126110</v>
      </c>
    </row>
    <row r="45" spans="1:7" x14ac:dyDescent="0.3">
      <c r="A45" s="2">
        <v>6</v>
      </c>
      <c r="C45" s="38" t="s">
        <v>18</v>
      </c>
      <c r="D45" s="42">
        <f>TRUNC(39817,-1)</f>
        <v>39810</v>
      </c>
      <c r="E45" s="63">
        <f t="shared" si="1"/>
        <v>131600</v>
      </c>
    </row>
    <row r="46" spans="1:7" x14ac:dyDescent="0.3">
      <c r="A46" s="2">
        <v>7</v>
      </c>
      <c r="C46" s="38" t="s">
        <v>19</v>
      </c>
      <c r="D46" s="42">
        <f>TRUNC(6254,-1)</f>
        <v>6250</v>
      </c>
      <c r="E46" s="63">
        <f t="shared" si="1"/>
        <v>20660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TRUNC(93792,-1)</f>
        <v>93790</v>
      </c>
      <c r="E48" s="63">
        <f t="shared" si="1"/>
        <v>310050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TRUNC(24294,-1)</f>
        <v>24290</v>
      </c>
      <c r="E49" s="63">
        <f t="shared" si="1"/>
        <v>80290</v>
      </c>
    </row>
    <row r="50" spans="1:7" x14ac:dyDescent="0.3">
      <c r="A50" s="2">
        <v>11</v>
      </c>
      <c r="C50" s="38" t="s">
        <v>156</v>
      </c>
      <c r="D50" s="42">
        <f>TRUNC(25942,-1)</f>
        <v>25940</v>
      </c>
      <c r="E50" s="63">
        <f t="shared" si="1"/>
        <v>85750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TRUNC(22815,-1)</f>
        <v>22810</v>
      </c>
      <c r="E52" s="63">
        <f t="shared" si="1"/>
        <v>75400</v>
      </c>
    </row>
    <row r="53" spans="1:7" x14ac:dyDescent="0.3">
      <c r="A53" s="2">
        <v>14</v>
      </c>
      <c r="C53" s="38" t="s">
        <v>25</v>
      </c>
      <c r="D53" s="42">
        <f>TRUNC(129006,-1)</f>
        <v>129000</v>
      </c>
      <c r="E53" s="63">
        <f t="shared" si="1"/>
        <v>426440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TRUNC(49935+11368+2737-409+581+16641,-1)</f>
        <v>80850</v>
      </c>
      <c r="E58" s="63">
        <f t="shared" si="1"/>
        <v>267270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TRUNC(227212,-1)</f>
        <v>227210</v>
      </c>
      <c r="E59" s="64">
        <f t="shared" si="1"/>
        <v>751110</v>
      </c>
    </row>
    <row r="60" spans="1:7" x14ac:dyDescent="0.3">
      <c r="A60" s="2">
        <v>21</v>
      </c>
      <c r="C60" s="27" t="s">
        <v>112</v>
      </c>
      <c r="D60" s="39">
        <f>SUM(D40:D59)</f>
        <v>995200</v>
      </c>
      <c r="E60" s="39">
        <f>SUM(E40:E59)</f>
        <v>3289880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TRUNC(2961,-1)</f>
        <v>2960</v>
      </c>
      <c r="E63" s="62">
        <f>TRUNC(+D63*3.3058,-1)</f>
        <v>9780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2960</v>
      </c>
      <c r="E66" s="65">
        <f>SUM(E63:E65)</f>
        <v>9780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TRUNC(19524,-1)</f>
        <v>19520</v>
      </c>
      <c r="E69" s="62">
        <f t="shared" ref="E69:E94" si="2">TRUNC(+D69*3.3058,-1)</f>
        <v>64520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TRUNC(21339,-1)</f>
        <v>21330</v>
      </c>
      <c r="E71" s="63">
        <f t="shared" si="2"/>
        <v>70510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TRUNC(7631,-1)</f>
        <v>7630</v>
      </c>
      <c r="E73" s="63">
        <f t="shared" si="2"/>
        <v>25220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TRUNC(17547,-1)</f>
        <v>17540</v>
      </c>
      <c r="E89" s="63">
        <f>TRUNC(+D89*3.3058,-1)</f>
        <v>57980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3720</v>
      </c>
      <c r="E91" s="63">
        <f t="shared" si="2"/>
        <v>12290</v>
      </c>
    </row>
    <row r="92" spans="1:7" x14ac:dyDescent="0.3">
      <c r="A92" s="2">
        <v>24</v>
      </c>
      <c r="C92" s="38" t="s">
        <v>38</v>
      </c>
      <c r="D92" s="42">
        <f>TRUNC(5952,-1)</f>
        <v>5950</v>
      </c>
      <c r="E92" s="63">
        <f t="shared" si="2"/>
        <v>19660</v>
      </c>
    </row>
    <row r="93" spans="1:7" x14ac:dyDescent="0.3">
      <c r="A93" s="2">
        <v>25</v>
      </c>
      <c r="C93" s="38" t="s">
        <v>149</v>
      </c>
      <c r="D93" s="42">
        <f>TRUNC(307662,-1)</f>
        <v>307660</v>
      </c>
      <c r="E93" s="63">
        <f t="shared" si="2"/>
        <v>1017060</v>
      </c>
    </row>
    <row r="94" spans="1:7" ht="17.25" thickBot="1" x14ac:dyDescent="0.35">
      <c r="A94" s="2">
        <v>26</v>
      </c>
      <c r="C94" s="38" t="s">
        <v>47</v>
      </c>
      <c r="D94" s="43">
        <f>TRUNC(27275+4870,-1)</f>
        <v>32140</v>
      </c>
      <c r="E94" s="64">
        <f t="shared" si="2"/>
        <v>106240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415490</v>
      </c>
      <c r="E95" s="39">
        <f>SUM(E69:E94)</f>
        <v>1373480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TRUNC(27003,-1)</f>
        <v>27000</v>
      </c>
      <c r="E98" s="62">
        <f t="shared" ref="E98:E118" si="3">TRUNC(+D98*3.3058,-1)</f>
        <v>89250</v>
      </c>
    </row>
    <row r="99" spans="1:7" x14ac:dyDescent="0.3">
      <c r="A99" s="2">
        <v>2</v>
      </c>
      <c r="C99" s="38" t="s">
        <v>40</v>
      </c>
      <c r="D99" s="42">
        <f>TRUNC(7478,-1)</f>
        <v>7470</v>
      </c>
      <c r="E99" s="63">
        <f t="shared" si="3"/>
        <v>24690</v>
      </c>
    </row>
    <row r="100" spans="1:7" x14ac:dyDescent="0.3">
      <c r="A100" s="2">
        <v>3</v>
      </c>
      <c r="C100" s="38" t="s">
        <v>41</v>
      </c>
      <c r="D100" s="42">
        <f>TRUNC(35998,-1)</f>
        <v>35990</v>
      </c>
      <c r="E100" s="63">
        <f t="shared" si="3"/>
        <v>118970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14520</v>
      </c>
      <c r="E102" s="63">
        <f t="shared" si="3"/>
        <v>48000</v>
      </c>
    </row>
    <row r="103" spans="1:7" x14ac:dyDescent="0.3">
      <c r="A103" s="2">
        <v>6</v>
      </c>
      <c r="C103" s="38" t="s">
        <v>44</v>
      </c>
      <c r="D103" s="42">
        <f>TRUNC(8766,-1)</f>
        <v>8760</v>
      </c>
      <c r="E103" s="63">
        <f t="shared" si="3"/>
        <v>28950</v>
      </c>
    </row>
    <row r="104" spans="1:7" x14ac:dyDescent="0.3">
      <c r="A104" s="2">
        <v>7</v>
      </c>
      <c r="C104" s="38" t="s">
        <v>45</v>
      </c>
      <c r="D104" s="42">
        <f>TRUNC(5899,-1)</f>
        <v>5890</v>
      </c>
      <c r="E104" s="63">
        <f t="shared" si="3"/>
        <v>19470</v>
      </c>
    </row>
    <row r="105" spans="1:7" x14ac:dyDescent="0.3">
      <c r="A105" s="2">
        <v>8</v>
      </c>
      <c r="C105" s="38" t="s">
        <v>46</v>
      </c>
      <c r="D105" s="42">
        <f>TRUNC(3426,-1)</f>
        <v>3420</v>
      </c>
      <c r="E105" s="63">
        <f t="shared" si="3"/>
        <v>11300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TRUNC(27805,-1)</f>
        <v>27800</v>
      </c>
      <c r="E116" s="63">
        <f t="shared" si="3"/>
        <v>91900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TRUNC(50025,-1)</f>
        <v>50020</v>
      </c>
      <c r="E117" s="63">
        <f t="shared" si="3"/>
        <v>165350</v>
      </c>
    </row>
    <row r="118" spans="1:7" ht="17.25" thickBot="1" x14ac:dyDescent="0.35">
      <c r="A118" s="2">
        <v>21</v>
      </c>
      <c r="C118" s="38" t="s">
        <v>47</v>
      </c>
      <c r="D118" s="43">
        <f>TRUNC(14355,-1)</f>
        <v>14350</v>
      </c>
      <c r="E118" s="64">
        <f t="shared" si="3"/>
        <v>47430</v>
      </c>
    </row>
    <row r="119" spans="1:7" x14ac:dyDescent="0.3">
      <c r="A119" s="2">
        <v>22</v>
      </c>
      <c r="C119" s="27" t="s">
        <v>112</v>
      </c>
      <c r="D119" s="39">
        <f>SUM(D98:D118)</f>
        <v>195220</v>
      </c>
      <c r="E119" s="39">
        <f>SUM(E98:E118)</f>
        <v>645310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TRUNC(6904,-1)</f>
        <v>6900</v>
      </c>
      <c r="E122" s="62">
        <f t="shared" ref="E122:E132" si="4">TRUNC(+D122*3.3058,-1)</f>
        <v>22810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TRUNC(939,-1)</f>
        <v>930</v>
      </c>
      <c r="E124" s="63">
        <f t="shared" si="4"/>
        <v>3070</v>
      </c>
    </row>
    <row r="125" spans="1:7" x14ac:dyDescent="0.3">
      <c r="A125" s="2">
        <v>4</v>
      </c>
      <c r="C125" s="38" t="s">
        <v>138</v>
      </c>
      <c r="D125" s="42">
        <f>TRUNC(8485,-1)</f>
        <v>8480</v>
      </c>
      <c r="E125" s="63">
        <f t="shared" si="4"/>
        <v>28030</v>
      </c>
    </row>
    <row r="126" spans="1:7" x14ac:dyDescent="0.3">
      <c r="A126" s="2">
        <v>5</v>
      </c>
      <c r="C126" s="38" t="s">
        <v>53</v>
      </c>
      <c r="D126" s="42">
        <f>TRUNC(30727,-1)</f>
        <v>30720</v>
      </c>
      <c r="E126" s="63">
        <f t="shared" si="4"/>
        <v>101550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1890</v>
      </c>
      <c r="E128" s="63">
        <f t="shared" si="4"/>
        <v>6240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149</v>
      </c>
      <c r="D131" s="42">
        <f>TRUNC(81245,-1)</f>
        <v>81240</v>
      </c>
      <c r="E131" s="63">
        <f t="shared" si="4"/>
        <v>268560</v>
      </c>
    </row>
    <row r="132" spans="1:7" ht="18" thickBot="1" x14ac:dyDescent="0.35">
      <c r="A132" s="2">
        <v>11</v>
      </c>
      <c r="C132" s="38" t="s">
        <v>47</v>
      </c>
      <c r="D132" s="43">
        <f>TRUNC(2635+44,-1)</f>
        <v>2670</v>
      </c>
      <c r="E132" s="64">
        <f t="shared" si="4"/>
        <v>8820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132830</v>
      </c>
      <c r="E133" s="39">
        <f>SUM(E122:E132)</f>
        <v>439080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TRUNC(5471+908,-1)</f>
        <v>6370</v>
      </c>
      <c r="E137" s="63">
        <f t="shared" si="5"/>
        <v>21050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11900</v>
      </c>
      <c r="E138" s="63">
        <f t="shared" si="5"/>
        <v>39330</v>
      </c>
    </row>
    <row r="139" spans="1:7" x14ac:dyDescent="0.3">
      <c r="A139" s="2">
        <v>4</v>
      </c>
      <c r="C139" s="38" t="s">
        <v>61</v>
      </c>
      <c r="D139" s="42">
        <f>TRUNC(12426,-1)</f>
        <v>12420</v>
      </c>
      <c r="E139" s="63">
        <f t="shared" si="5"/>
        <v>41050</v>
      </c>
    </row>
    <row r="140" spans="1:7" x14ac:dyDescent="0.3">
      <c r="A140" s="2">
        <v>5</v>
      </c>
      <c r="C140" s="38" t="s">
        <v>57</v>
      </c>
      <c r="D140" s="42">
        <f>TRUNC(5378,-1)</f>
        <v>5370</v>
      </c>
      <c r="E140" s="63">
        <f t="shared" si="5"/>
        <v>17750</v>
      </c>
    </row>
    <row r="141" spans="1:7" x14ac:dyDescent="0.3">
      <c r="A141" s="2">
        <v>6</v>
      </c>
      <c r="C141" s="38" t="s">
        <v>59</v>
      </c>
      <c r="D141" s="42">
        <f>TRUNC(20842,-1)</f>
        <v>20840</v>
      </c>
      <c r="E141" s="63">
        <f t="shared" si="5"/>
        <v>68890</v>
      </c>
    </row>
    <row r="142" spans="1:7" x14ac:dyDescent="0.3">
      <c r="A142" s="2">
        <v>7</v>
      </c>
      <c r="C142" s="38" t="s">
        <v>58</v>
      </c>
      <c r="D142" s="42">
        <f>TRUNC(12361,-1)</f>
        <v>12360</v>
      </c>
      <c r="E142" s="63">
        <f t="shared" si="5"/>
        <v>40850</v>
      </c>
    </row>
    <row r="143" spans="1:7" x14ac:dyDescent="0.3">
      <c r="A143" s="2">
        <v>8</v>
      </c>
      <c r="C143" s="38" t="s">
        <v>62</v>
      </c>
      <c r="D143" s="42">
        <f>TRUNC(6456,-1)</f>
        <v>6450</v>
      </c>
      <c r="E143" s="63">
        <f t="shared" si="5"/>
        <v>21320</v>
      </c>
    </row>
    <row r="144" spans="1:7" x14ac:dyDescent="0.3">
      <c r="A144" s="2">
        <v>9</v>
      </c>
      <c r="C144" s="38" t="s">
        <v>63</v>
      </c>
      <c r="D144" s="42">
        <f>TRUNC(34022,-1)</f>
        <v>34020</v>
      </c>
      <c r="E144" s="63">
        <f t="shared" si="5"/>
        <v>112460</v>
      </c>
    </row>
    <row r="145" spans="1:7" ht="17.25" thickBot="1" x14ac:dyDescent="0.35">
      <c r="A145" s="2">
        <v>10</v>
      </c>
      <c r="C145" s="38" t="s">
        <v>149</v>
      </c>
      <c r="D145" s="43">
        <f>TRUNC(2232,-1)</f>
        <v>2230</v>
      </c>
      <c r="E145" s="64">
        <f t="shared" si="5"/>
        <v>7370</v>
      </c>
    </row>
    <row r="146" spans="1:7" x14ac:dyDescent="0.3">
      <c r="A146" s="2">
        <v>11</v>
      </c>
      <c r="C146" s="27" t="s">
        <v>112</v>
      </c>
      <c r="D146" s="39">
        <f>SUM(D136:D145)</f>
        <v>111960</v>
      </c>
      <c r="E146" s="39">
        <f>SUM(E136:E145)</f>
        <v>370070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TRUNC(24424,-1)</f>
        <v>24420</v>
      </c>
      <c r="E149" s="62">
        <f>TRUNC(+D149*3.3058,-1)</f>
        <v>80720</v>
      </c>
    </row>
    <row r="150" spans="1:7" x14ac:dyDescent="0.3">
      <c r="A150" s="2">
        <v>2</v>
      </c>
      <c r="C150" s="38" t="s">
        <v>49</v>
      </c>
      <c r="D150" s="42">
        <f>TRUNC(1635,-1)</f>
        <v>1630</v>
      </c>
      <c r="E150" s="63">
        <f>TRUNC(+D150*3.3058,-1)</f>
        <v>5380</v>
      </c>
    </row>
    <row r="151" spans="1:7" x14ac:dyDescent="0.3">
      <c r="A151" s="2">
        <v>3</v>
      </c>
      <c r="C151" s="38" t="s">
        <v>50</v>
      </c>
      <c r="D151" s="42">
        <f>TRUNC(6044,-1)</f>
        <v>6040</v>
      </c>
      <c r="E151" s="63">
        <f>TRUNC(+D151*3.3058,-1)</f>
        <v>19960</v>
      </c>
    </row>
    <row r="152" spans="1:7" x14ac:dyDescent="0.3">
      <c r="A152" s="2">
        <v>4</v>
      </c>
      <c r="C152" s="38" t="s">
        <v>47</v>
      </c>
      <c r="D152" s="42">
        <f>TRUNC(1435+6429+805+26248,-1)</f>
        <v>34910</v>
      </c>
      <c r="E152" s="63">
        <f>TRUNC(+D152*3.3058,-1)</f>
        <v>115400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TRUNC(3426,-1)</f>
        <v>3420</v>
      </c>
      <c r="E153" s="64">
        <f>TRUNC(+D153*3.3058,-1)</f>
        <v>11300</v>
      </c>
    </row>
    <row r="154" spans="1:7" x14ac:dyDescent="0.3">
      <c r="A154" s="2">
        <v>6</v>
      </c>
      <c r="C154" s="27" t="s">
        <v>112</v>
      </c>
      <c r="D154" s="39">
        <f>SUM(D149:D153)</f>
        <v>70420</v>
      </c>
      <c r="E154" s="39">
        <f>SUM(E149:E153)</f>
        <v>232760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TRUNC(24491,-1)</f>
        <v>24490</v>
      </c>
      <c r="E157" s="62">
        <f>TRUNC(+D157*3.3058,-1)</f>
        <v>80950</v>
      </c>
    </row>
    <row r="158" spans="1:7" x14ac:dyDescent="0.3">
      <c r="A158" s="2">
        <v>2</v>
      </c>
      <c r="C158" s="38" t="s">
        <v>52</v>
      </c>
      <c r="D158" s="42">
        <f>TRUNC(4072,-1)</f>
        <v>4070</v>
      </c>
      <c r="E158" s="63">
        <f>TRUNC(+D158*3.3058,-1)</f>
        <v>13450</v>
      </c>
    </row>
    <row r="159" spans="1:7" x14ac:dyDescent="0.3">
      <c r="A159" s="2">
        <v>3</v>
      </c>
      <c r="C159" s="38" t="s">
        <v>47</v>
      </c>
      <c r="D159" s="42">
        <f>TRUNC(20106+4829,-1)</f>
        <v>24930</v>
      </c>
      <c r="E159" s="63">
        <f>TRUNC(+D159*3.3058,-1)</f>
        <v>82410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53490</v>
      </c>
      <c r="E161" s="39">
        <f>SUM(E157:E160)</f>
        <v>176810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2020-12-08T01:14:30Z</dcterms:modified>
</cp:coreProperties>
</file>