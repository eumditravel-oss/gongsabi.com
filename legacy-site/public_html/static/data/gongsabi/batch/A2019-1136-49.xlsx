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60" i="4" l="1"/>
  <c r="D159" i="4"/>
  <c r="D158" i="4"/>
  <c r="D157" i="4"/>
  <c r="D153" i="4"/>
  <c r="D152" i="4"/>
  <c r="D151" i="4"/>
  <c r="D150" i="4"/>
  <c r="D149" i="4"/>
  <c r="D144" i="4"/>
  <c r="D143" i="4"/>
  <c r="D142" i="4"/>
  <c r="D140" i="4"/>
  <c r="D137" i="4"/>
  <c r="D132" i="4"/>
  <c r="D131" i="4"/>
  <c r="D130" i="4"/>
  <c r="D128" i="4"/>
  <c r="D127" i="4"/>
  <c r="D125" i="4"/>
  <c r="D122" i="4"/>
  <c r="D99" i="4"/>
  <c r="D118" i="4"/>
  <c r="D117" i="4"/>
  <c r="D116" i="4"/>
  <c r="D114" i="4"/>
  <c r="D105" i="4"/>
  <c r="D104" i="4"/>
  <c r="D103" i="4"/>
  <c r="D102" i="4"/>
  <c r="D101" i="4"/>
  <c r="D100" i="4"/>
  <c r="D98" i="4"/>
  <c r="D93" i="4"/>
  <c r="D92" i="4"/>
  <c r="D91" i="4"/>
  <c r="D90" i="4"/>
  <c r="D89" i="4"/>
  <c r="D73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<sst xmlns="http://schemas.openxmlformats.org/spreadsheetml/2006/main" count="395" uniqueCount="269">
  <si>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</si>
  <si>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</si>
  <si>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</si>
  <si>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</si>
  <si>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</si>
  <si>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</si>
  <si>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</si>
  <si>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</si>
  <si>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</si>
  <si>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</si>
  <si>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</si>
  <si>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</si>
  <si>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</si>
  <si>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</si>
  <si>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</si>
  <si>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</si>
  <si>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</si>
  <si>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</si>
  <si>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</si>
  <si>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</si>
  <si>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</si>
  <si>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</si>
  <si>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</si>
  <si>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</si>
  <si>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</si>
  <si>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</si>
  <si>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</si>
  <si>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</si>
  <si>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</si>
  <si>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</si>
  <si>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</si>
  <si>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</si>
  <si>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</si>
  <si>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</si>
  <si>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</si>
  <si>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</si>
  <si>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</si>
  <si>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</si>
  <si>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</si>
  <si>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</si>
  <si>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</si>
  <si>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</si>
  <si>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</si>
  <si>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</si>
  <si>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</si>
  <si>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</si>
  <si>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</si>
  <si>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</si>
  <si>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</si>
  <si>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</si>
  <si>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</si>
  <si>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</si>
  <si>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</si>
  <si>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</si>
  <si>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</si>
  <si>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</si>
  <si>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</si>
  <si>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</si>
  <si>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</si>
  <si>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</si>
  <si>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</si>
  <si>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</si>
  <si>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</si>
  <si>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</si>
  <si>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</si>
  <si>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</si>
  <si>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</si>
  <si>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</si>
  <si>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</si>
  <si>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</si>
  <si>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</si>
  <si>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</si>
  <si>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</si>
  <si>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</si>
  <si>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</si>
  <si>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</si>
  <si>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</si>
  <si>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</si>
  <si>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</si>
  <si>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</si>
  <si>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</si>
  <si>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</si>
  <si>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</si>
  <si>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</si>
  <si>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</si>
  <si>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</si>
  <si>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</si>
  <si>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</si>
  <si>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</si>
  <si>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</si>
  <si>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</si>
  <si>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</si>
  <si>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</si>
  <si>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</si>
  <si>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</si>
  <si>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</si>
  <si>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</si>
  <si>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</si>
  <si>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</si>
  <si>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</si>
  <si>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</si>
  <si>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</si>
  <si>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</si>
  <si>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</si>
  <si>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</si>
  <si>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</si>
  <si>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</si>
  <si>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</si>
  <si>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</si>
  <si>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</si>
  <si>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</si>
  <si>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</si>
  <si>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</si>
  <si>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</si>
  <si>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</si>
  <si>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</si>
  <si>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</si>
  <si>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</si>
  <si>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</si>
  <si>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</si>
  <si>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</si>
  <si>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</si>
  <si>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</si>
  <si>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</si>
  <si>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</si>
  <si>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</si>
  <si>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</si>
  <si>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</si>
  <si>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</si>
  <si>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</si>
  <si>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</si>
  <si>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</si>
  <si>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</si>
  <si>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</si>
  <si>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</si>
  <si>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</si>
  <si>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</si>
  <si>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</si>
  <si>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</si>
  <si>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</si>
  <si>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</si>
  <si>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</si>
  <si>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</si>
  <si>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</si>
  <si>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</si>
  <si>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</si>
  <si>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</si>
  <si>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</si>
  <si>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</si>
  <si>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</si>
  <si>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</si>
  <si>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</si>
  <si>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</si>
  <si>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</si>
  <si>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</si>
  <si>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</si>
  <si>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</si>
  <si>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</si>
  <si>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</si>
  <si>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</si>
  <si>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</si>
  <si>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</si>
  <si>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</si>
  <si>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</si>
  <si>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</si>
  <si>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</si>
  <si>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</si>
  <si>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</si>
  <si>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</si>
  <si>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</si>
  <si>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</si>
  <si>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</si>
  <si>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</si>
  <si>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</si>
  <si>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</si>
  <si>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</si>
  <si>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</si>
  <si>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</si>
  <si>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</si>
  <si>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</si>
  <si>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</si>
  <si>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</si>
  <si>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</si>
  <si>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</si>
  <si>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</si>
  <si>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</si>
  <si>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</si>
  <si>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</si>
  <si>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</si>
  <si>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</si>
  <si>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</si>
  <si>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</si>
  <si>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</si>
  <si>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</si>
  <si>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</si>
  <si>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</si>
  <si>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</si>
  <si>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</si>
  <si>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</si>
  <si>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</si>
  <si>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</si>
  <si>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</si>
  <si>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</si>
  <si>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</si>
  <si>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</si>
  <si>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</si>
  <si>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</si>
  <si>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</si>
  <si>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</si>
  <si>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</si>
  <si>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</si>
  <si>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</si>
  <si>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</si>
  <si>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</si>
  <si>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</si>
  <si>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</si>
  <si>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</si>
  <si>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</si>
  <si>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</si>
  <si>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</si>
  <si>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</si>
  <si>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</si>
  <si>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</si>
  <si>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</si>
  <si>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</si>
  <si>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</si>
  <si>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</si>
  <si>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</si>
  <si>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</si>
  <si>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</si>
  <si>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</si>
  <si>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</si>
  <si>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</si>
  <si>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</si>
  <si>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</si>
  <si>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</si>
  <si>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</si>
  <si>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</si>
  <si>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</si>
  <si>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</si>
  <si>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</si>
  <si>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</si>
  <si>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</si>
  <si>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</si>
  <si>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</si>
  <si>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</si>
  <si>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</si>
  <si>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</si>
  <si>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</si>
  <si>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스포츠산업지원센터 건립사업</t>
    <phoneticPr fontId="2" type="noConversion"/>
  </si>
  <si>
    <t>교육연구</t>
  </si>
  <si>
    <t>대구시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</si>
  <si>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</si>
  <si>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</si>
  <si>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</si>
  <si>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</si>
  <si>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 xml:space="preserve">전기인입 및 수변전 설비공사  </t>
    <phoneticPr fontId="2" type="noConversion"/>
  </si>
  <si>
    <t xml:space="preserve">원격검침 설비공사,기타공사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</si>
  <si>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</si>
  <si>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</si>
  <si>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</si>
  <si>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</si>
  <si>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사급자재비,기타공사</t>
    <phoneticPr fontId="2" type="noConversion"/>
  </si>
  <si>
    <t>포장공사</t>
    <phoneticPr fontId="2" type="noConversion"/>
  </si>
  <si>
    <t>조경시설물</t>
    <phoneticPr fontId="2" type="noConversion"/>
  </si>
  <si>
    <t>바닥난방공사,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</si>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</sst>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7202.92</v>
      </c>
      <c r="D7" s="36">
        <f>+C7/3.3058</f>
        <v>2178.8734950692719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1018130</v>
      </c>
      <c r="E25" s="59">
        <f t="shared" si="0"/>
        <v>3365730</v>
      </c>
    </row>
    <row r="26" spans="1:5" x14ac:dyDescent="0.3">
      <c r="B26" s="2">
        <v>3</v>
      </c>
      <c r="C26" s="35" t="s">
        <v>95</v>
      </c>
      <c r="D26" s="45">
        <f>+D66</f>
        <v>22550</v>
      </c>
      <c r="E26" s="59">
        <f t="shared" si="0"/>
        <v>74540</v>
      </c>
    </row>
    <row r="27" spans="1:5" x14ac:dyDescent="0.3">
      <c r="B27" s="2">
        <v>4</v>
      </c>
      <c r="C27" s="35" t="s">
        <v>96</v>
      </c>
      <c r="D27" s="45">
        <f>+D95</f>
        <v>277390</v>
      </c>
      <c r="E27" s="59">
        <f t="shared" si="0"/>
        <v>916990</v>
      </c>
    </row>
    <row r="28" spans="1:5" x14ac:dyDescent="0.3">
      <c r="B28" s="2">
        <v>5</v>
      </c>
      <c r="C28" s="35" t="s">
        <v>97</v>
      </c>
      <c r="D28" s="45">
        <f>+D119</f>
        <v>201700</v>
      </c>
      <c r="E28" s="59">
        <f t="shared" si="0"/>
        <v>666770</v>
      </c>
    </row>
    <row r="29" spans="1:5" x14ac:dyDescent="0.3">
      <c r="B29" s="2">
        <v>6</v>
      </c>
      <c r="C29" s="35" t="s">
        <v>98</v>
      </c>
      <c r="D29" s="45">
        <f>+D133</f>
        <v>59330</v>
      </c>
      <c r="E29" s="59">
        <f t="shared" si="0"/>
        <v>196130</v>
      </c>
    </row>
    <row r="30" spans="1:5" x14ac:dyDescent="0.3">
      <c r="B30" s="2">
        <v>7</v>
      </c>
      <c r="C30" s="35" t="s">
        <v>99</v>
      </c>
      <c r="D30" s="45">
        <f>+D146</f>
        <v>79120</v>
      </c>
      <c r="E30" s="59">
        <f t="shared" si="0"/>
        <v>261550</v>
      </c>
    </row>
    <row r="31" spans="1:5" x14ac:dyDescent="0.3">
      <c r="B31" s="2">
        <v>8</v>
      </c>
      <c r="C31" s="35" t="s">
        <v>100</v>
      </c>
      <c r="D31" s="45">
        <f>+D154</f>
        <v>18680</v>
      </c>
      <c r="E31" s="59">
        <f t="shared" si="0"/>
        <v>61750</v>
      </c>
    </row>
    <row r="32" spans="1:5" x14ac:dyDescent="0.3">
      <c r="B32" s="2">
        <v>9</v>
      </c>
      <c r="C32" s="35" t="s">
        <v>101</v>
      </c>
      <c r="D32" s="45">
        <f>+D161</f>
        <v>26190</v>
      </c>
      <c r="E32" s="59">
        <f t="shared" si="0"/>
        <v>86570</v>
      </c>
    </row>
    <row r="33" spans="1:7" x14ac:dyDescent="0.3">
      <c r="B33" s="2">
        <v>10</v>
      </c>
      <c r="C33" s="35" t="s">
        <v>154</v>
      </c>
      <c r="D33" s="53">
        <f>TRUNC(SUM(D24:D32)*0.275,-1)</f>
        <v>468340</v>
      </c>
      <c r="E33" s="60">
        <f t="shared" si="0"/>
        <v>1548230</v>
      </c>
    </row>
    <row r="34" spans="1:7" x14ac:dyDescent="0.3">
      <c r="C34" s="35" t="s">
        <v>112</v>
      </c>
      <c r="D34" s="44">
        <f>SUM(D24:D33)</f>
        <v>2171430</v>
      </c>
      <c r="E34" s="44">
        <f>SUM(E24:E33)</f>
        <v>7178260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236</v>
      </c>
      <c r="G39" s="55"/>
    </row>
    <row r="40" spans="1:7" x14ac:dyDescent="0.3">
      <c r="A40" s="2">
        <v>1</v>
      </c>
      <c r="C40" s="38" t="s">
        <v>15</v>
      </c>
      <c r="D40" s="40">
        <f>TRUNC(109826,-1)</f>
        <v>109820</v>
      </c>
      <c r="E40" s="62">
        <f t="shared" ref="E40:E59" si="1">TRUNC(+D40*3.3058,-1)</f>
        <v>363040</v>
      </c>
    </row>
    <row r="41" spans="1:7" x14ac:dyDescent="0.3">
      <c r="A41" s="2">
        <v>2</v>
      </c>
      <c r="C41" s="38" t="s">
        <v>13</v>
      </c>
      <c r="D41" s="42">
        <f>TRUNC(187689,-1)</f>
        <v>187680</v>
      </c>
      <c r="E41" s="63">
        <f t="shared" si="1"/>
        <v>620430</v>
      </c>
    </row>
    <row r="42" spans="1:7" x14ac:dyDescent="0.3">
      <c r="A42" s="2">
        <v>3</v>
      </c>
      <c r="C42" s="38" t="s">
        <v>14</v>
      </c>
      <c r="D42" s="42">
        <v>1600</v>
      </c>
      <c r="E42" s="63">
        <f t="shared" si="1"/>
        <v>5280</v>
      </c>
    </row>
    <row r="43" spans="1:7" x14ac:dyDescent="0.3">
      <c r="A43" s="2">
        <v>4</v>
      </c>
      <c r="C43" s="38" t="s">
        <v>16</v>
      </c>
      <c r="D43" s="42">
        <f>TRUNC(12481,-1)</f>
        <v>12480</v>
      </c>
      <c r="E43" s="63">
        <f t="shared" si="1"/>
        <v>41250</v>
      </c>
    </row>
    <row r="44" spans="1:7" x14ac:dyDescent="0.3">
      <c r="A44" s="2">
        <v>5</v>
      </c>
      <c r="C44" s="38" t="s">
        <v>17</v>
      </c>
      <c r="D44" s="42">
        <f>TRUNC(33671,-1)</f>
        <v>33670</v>
      </c>
      <c r="E44" s="63">
        <f t="shared" si="1"/>
        <v>111300</v>
      </c>
    </row>
    <row r="45" spans="1:7" x14ac:dyDescent="0.3">
      <c r="A45" s="2">
        <v>6</v>
      </c>
      <c r="C45" s="38" t="s">
        <v>18</v>
      </c>
      <c r="D45" s="42">
        <f>TRUNC(19431,-1)</f>
        <v>19430</v>
      </c>
      <c r="E45" s="63">
        <f t="shared" si="1"/>
        <v>64230</v>
      </c>
    </row>
    <row r="46" spans="1:7" x14ac:dyDescent="0.3">
      <c r="A46" s="2">
        <v>7</v>
      </c>
      <c r="C46" s="38" t="s">
        <v>19</v>
      </c>
      <c r="D46" s="42">
        <f>TRUNC(25986,-1)</f>
        <v>25980</v>
      </c>
      <c r="E46" s="63">
        <f t="shared" si="1"/>
        <v>85880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TRUNC(54793,-1)</f>
        <v>54790</v>
      </c>
      <c r="E48" s="63">
        <f t="shared" si="1"/>
        <v>181120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TRUNC(17382,-1)</f>
        <v>17380</v>
      </c>
      <c r="E49" s="63">
        <f t="shared" si="1"/>
        <v>57450</v>
      </c>
    </row>
    <row r="50" spans="1:7" x14ac:dyDescent="0.3">
      <c r="A50" s="2">
        <v>11</v>
      </c>
      <c r="C50" s="38" t="s">
        <v>155</v>
      </c>
      <c r="D50" s="42">
        <f>TRUNC(51586,-1)</f>
        <v>51580</v>
      </c>
      <c r="E50" s="63">
        <f t="shared" si="1"/>
        <v>170510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TRUNC(22795,-1)</f>
        <v>22790</v>
      </c>
      <c r="E52" s="63">
        <f t="shared" si="1"/>
        <v>75330</v>
      </c>
    </row>
    <row r="53" spans="1:7" x14ac:dyDescent="0.3">
      <c r="A53" s="2">
        <v>14</v>
      </c>
      <c r="C53" s="38" t="s">
        <v>25</v>
      </c>
      <c r="D53" s="42">
        <f>TRUNC(66202,-1)</f>
        <v>66200</v>
      </c>
      <c r="E53" s="63">
        <f t="shared" si="1"/>
        <v>218840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TRUNC(12170+8684-708+3471+10176,-1)</f>
        <v>33790</v>
      </c>
      <c r="E58" s="63">
        <f t="shared" si="1"/>
        <v>111700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TRUNC(380941,-1)</f>
        <v>380940</v>
      </c>
      <c r="E59" s="64">
        <f t="shared" si="1"/>
        <v>1259310</v>
      </c>
    </row>
    <row r="60" spans="1:7" x14ac:dyDescent="0.3">
      <c r="A60" s="2">
        <v>21</v>
      </c>
      <c r="C60" s="27" t="s">
        <v>112</v>
      </c>
      <c r="D60" s="39">
        <f>SUM(D40:D59)</f>
        <v>1018130</v>
      </c>
      <c r="E60" s="39">
        <f>SUM(E40:E59)</f>
        <v>3365670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TRUNC(22558,-1)</f>
        <v>22550</v>
      </c>
      <c r="E63" s="62">
        <f>TRUNC(+D63*3.3058,-1)</f>
        <v>74540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22550</v>
      </c>
      <c r="E66" s="65">
        <f>SUM(E63:E65)</f>
        <v>74540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TRUNC(3746,-1)</f>
        <v>3740</v>
      </c>
      <c r="E69" s="62">
        <f t="shared" ref="E69:E94" si="2">TRUNC(+D69*3.3058,-1)</f>
        <v>12360</v>
      </c>
    </row>
    <row r="70" spans="1:7" ht="16.5" customHeight="1" x14ac:dyDescent="0.3">
      <c r="A70" s="2">
        <v>2</v>
      </c>
      <c r="C70" s="38" t="s">
        <v>31</v>
      </c>
      <c r="D70" s="42">
        <f>TRUNC(354,-1)</f>
        <v>350</v>
      </c>
      <c r="E70" s="63">
        <f t="shared" si="2"/>
        <v>1150</v>
      </c>
    </row>
    <row r="71" spans="1:7" x14ac:dyDescent="0.3">
      <c r="A71" s="2">
        <v>3</v>
      </c>
      <c r="C71" s="38" t="s">
        <v>32</v>
      </c>
      <c r="D71" s="42">
        <f>TRUNC(11622,-1)</f>
        <v>11620</v>
      </c>
      <c r="E71" s="63">
        <f t="shared" si="2"/>
        <v>38410</v>
      </c>
    </row>
    <row r="72" spans="1:7" x14ac:dyDescent="0.3">
      <c r="A72" s="2">
        <v>4</v>
      </c>
      <c r="C72" s="38" t="s">
        <v>33</v>
      </c>
      <c r="D72" s="42">
        <v>930</v>
      </c>
      <c r="E72" s="63">
        <f t="shared" si="2"/>
        <v>3070</v>
      </c>
    </row>
    <row r="73" spans="1:7" x14ac:dyDescent="0.3">
      <c r="A73" s="2">
        <v>5</v>
      </c>
      <c r="C73" s="38" t="s">
        <v>34</v>
      </c>
      <c r="D73" s="42">
        <f>TRUNC(10338,-1)</f>
        <v>10330</v>
      </c>
      <c r="E73" s="63">
        <f t="shared" si="2"/>
        <v>34140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TRUNC(16971,-1)</f>
        <v>16970</v>
      </c>
      <c r="E89" s="63">
        <f t="shared" si="2"/>
        <v>56090</v>
      </c>
    </row>
    <row r="90" spans="1:7" x14ac:dyDescent="0.3">
      <c r="A90" s="2">
        <v>22</v>
      </c>
      <c r="C90" s="38" t="s">
        <v>36</v>
      </c>
      <c r="D90" s="42">
        <f>TRUNC(4044,-1)</f>
        <v>4040</v>
      </c>
      <c r="E90" s="63">
        <f t="shared" si="2"/>
        <v>13350</v>
      </c>
    </row>
    <row r="91" spans="1:7" x14ac:dyDescent="0.3">
      <c r="A91" s="2">
        <v>23</v>
      </c>
      <c r="C91" s="38" t="s">
        <v>37</v>
      </c>
      <c r="D91" s="42">
        <f>TRUNC(8584,-1)</f>
        <v>8580</v>
      </c>
      <c r="E91" s="63">
        <f t="shared" si="2"/>
        <v>28360</v>
      </c>
    </row>
    <row r="92" spans="1:7" x14ac:dyDescent="0.3">
      <c r="A92" s="2">
        <v>24</v>
      </c>
      <c r="C92" s="38" t="s">
        <v>38</v>
      </c>
      <c r="D92" s="42">
        <f>TRUNC(5214,-1)</f>
        <v>5210</v>
      </c>
      <c r="E92" s="63">
        <f t="shared" si="2"/>
        <v>17220</v>
      </c>
    </row>
    <row r="93" spans="1:7" x14ac:dyDescent="0.3">
      <c r="A93" s="2">
        <v>25</v>
      </c>
      <c r="C93" s="38" t="s">
        <v>148</v>
      </c>
      <c r="D93" s="42">
        <f>TRUNC(215182,-1)</f>
        <v>215180</v>
      </c>
      <c r="E93" s="63">
        <f t="shared" si="2"/>
        <v>711340</v>
      </c>
    </row>
    <row r="94" spans="1:7" ht="17.25" thickBot="1" x14ac:dyDescent="0.35">
      <c r="A94" s="2">
        <v>26</v>
      </c>
      <c r="C94" s="38" t="s">
        <v>47</v>
      </c>
      <c r="D94" s="43">
        <f>TRUNC(284+162,-1)</f>
        <v>440</v>
      </c>
      <c r="E94" s="64">
        <f t="shared" si="2"/>
        <v>1450</v>
      </c>
      <c r="F94" s="2" t="s">
        <v>265</v>
      </c>
    </row>
    <row r="95" spans="1:7" x14ac:dyDescent="0.3">
      <c r="A95" s="2">
        <v>27</v>
      </c>
      <c r="C95" s="27" t="s">
        <v>112</v>
      </c>
      <c r="D95" s="39">
        <f>SUM(D69:D94)</f>
        <v>277390</v>
      </c>
      <c r="E95" s="39">
        <f>SUM(E69:E94)</f>
        <v>916940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TRUNC(16618,-1)</f>
        <v>16610</v>
      </c>
      <c r="E98" s="62">
        <f t="shared" ref="E98:E118" si="3">TRUNC(+D98*3.3058,-1)</f>
        <v>54900</v>
      </c>
    </row>
    <row r="99" spans="1:7" x14ac:dyDescent="0.3">
      <c r="A99" s="2">
        <v>2</v>
      </c>
      <c r="C99" s="38" t="s">
        <v>40</v>
      </c>
      <c r="D99" s="42">
        <f>TRUNC(10972,-1)</f>
        <v>10970</v>
      </c>
      <c r="E99" s="63">
        <f t="shared" si="3"/>
        <v>36260</v>
      </c>
    </row>
    <row r="100" spans="1:7" x14ac:dyDescent="0.3">
      <c r="A100" s="2">
        <v>3</v>
      </c>
      <c r="C100" s="38" t="s">
        <v>41</v>
      </c>
      <c r="D100" s="42">
        <f>TRUNC(38173,-1)</f>
        <v>38170</v>
      </c>
      <c r="E100" s="63">
        <f t="shared" si="3"/>
        <v>126180</v>
      </c>
    </row>
    <row r="101" spans="1:7" x14ac:dyDescent="0.3">
      <c r="A101" s="2">
        <v>4</v>
      </c>
      <c r="C101" s="38" t="s">
        <v>42</v>
      </c>
      <c r="D101" s="42">
        <f>TRUNC(10535,-1)</f>
        <v>10530</v>
      </c>
      <c r="E101" s="63">
        <f t="shared" si="3"/>
        <v>34810</v>
      </c>
    </row>
    <row r="102" spans="1:7" x14ac:dyDescent="0.3">
      <c r="A102" s="2">
        <v>5</v>
      </c>
      <c r="C102" s="38" t="s">
        <v>43</v>
      </c>
      <c r="D102" s="42">
        <f>TRUNC(18683,-1)</f>
        <v>18680</v>
      </c>
      <c r="E102" s="63">
        <f t="shared" si="3"/>
        <v>61750</v>
      </c>
    </row>
    <row r="103" spans="1:7" x14ac:dyDescent="0.3">
      <c r="A103" s="2">
        <v>6</v>
      </c>
      <c r="C103" s="38" t="s">
        <v>44</v>
      </c>
      <c r="D103" s="42">
        <f>TRUNC(7056,-1)</f>
        <v>7050</v>
      </c>
      <c r="E103" s="63">
        <f t="shared" si="3"/>
        <v>23300</v>
      </c>
    </row>
    <row r="104" spans="1:7" x14ac:dyDescent="0.3">
      <c r="A104" s="2">
        <v>7</v>
      </c>
      <c r="C104" s="38" t="s">
        <v>45</v>
      </c>
      <c r="D104" s="42">
        <f>TRUNC(5005,-1)</f>
        <v>5000</v>
      </c>
      <c r="E104" s="63">
        <f t="shared" si="3"/>
        <v>16520</v>
      </c>
    </row>
    <row r="105" spans="1:7" x14ac:dyDescent="0.3">
      <c r="A105" s="2">
        <v>8</v>
      </c>
      <c r="C105" s="38" t="s">
        <v>46</v>
      </c>
      <c r="D105" s="42">
        <f>TRUNC(7496,-1)</f>
        <v>7490</v>
      </c>
      <c r="E105" s="63">
        <f t="shared" si="3"/>
        <v>24760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TRUNC(1641,-1)</f>
        <v>1640</v>
      </c>
      <c r="E114" s="63">
        <f t="shared" si="3"/>
        <v>5420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TRUNC(6511,-1)</f>
        <v>6510</v>
      </c>
      <c r="E116" s="63">
        <f t="shared" si="3"/>
        <v>21520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TRUNC(75631,-1)</f>
        <v>75630</v>
      </c>
      <c r="E117" s="63">
        <f t="shared" si="3"/>
        <v>250010</v>
      </c>
    </row>
    <row r="118" spans="1:7" ht="17.25" thickBot="1" x14ac:dyDescent="0.35">
      <c r="A118" s="2">
        <v>21</v>
      </c>
      <c r="C118" s="38" t="s">
        <v>47</v>
      </c>
      <c r="D118" s="43">
        <f>TRUNC(2164+1262,-1)</f>
        <v>3420</v>
      </c>
      <c r="E118" s="64">
        <f t="shared" si="3"/>
        <v>11300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201700</v>
      </c>
      <c r="E119" s="39">
        <f>SUM(E98:E118)</f>
        <v>666730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TRUNC(4185,-1)</f>
        <v>4180</v>
      </c>
      <c r="E122" s="62">
        <f t="shared" ref="E122:E132" si="4">TRUNC(+D122*3.3058,-1)</f>
        <v>13810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TRUNC(11141,-1)</f>
        <v>11140</v>
      </c>
      <c r="E125" s="63">
        <f t="shared" si="4"/>
        <v>36820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TRUNC(4204,-1)</f>
        <v>4200</v>
      </c>
      <c r="E127" s="63">
        <f t="shared" si="4"/>
        <v>13880</v>
      </c>
    </row>
    <row r="128" spans="1:7" x14ac:dyDescent="0.3">
      <c r="A128" s="2">
        <v>7</v>
      </c>
      <c r="C128" s="38" t="s">
        <v>46</v>
      </c>
      <c r="D128" s="42">
        <f>TRUNC(9172,-1)</f>
        <v>9170</v>
      </c>
      <c r="E128" s="63">
        <f t="shared" si="4"/>
        <v>30310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TRUNC(25493,-1)</f>
        <v>25490</v>
      </c>
      <c r="E130" s="63">
        <f t="shared" si="4"/>
        <v>84260</v>
      </c>
    </row>
    <row r="131" spans="1:7" x14ac:dyDescent="0.3">
      <c r="A131" s="2">
        <v>10</v>
      </c>
      <c r="C131" s="38" t="s">
        <v>148</v>
      </c>
      <c r="D131" s="42">
        <f>TRUNC(1409,-1)</f>
        <v>1400</v>
      </c>
      <c r="E131" s="63">
        <f t="shared" si="4"/>
        <v>4620</v>
      </c>
    </row>
    <row r="132" spans="1:7" ht="18" thickBot="1" x14ac:dyDescent="0.35">
      <c r="A132" s="2">
        <v>11</v>
      </c>
      <c r="C132" s="38" t="s">
        <v>47</v>
      </c>
      <c r="D132" s="43">
        <f>TRUNC(1987+568+1202,-1)</f>
        <v>3750</v>
      </c>
      <c r="E132" s="64">
        <f t="shared" si="4"/>
        <v>12390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59330</v>
      </c>
      <c r="E133" s="39">
        <f>SUM(E122:E132)</f>
        <v>196090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TRUNC(184+4839+5808,-1)</f>
        <v>10830</v>
      </c>
      <c r="E137" s="63">
        <f t="shared" si="5"/>
        <v>35800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2800</v>
      </c>
      <c r="E139" s="63">
        <f t="shared" si="5"/>
        <v>9250</v>
      </c>
    </row>
    <row r="140" spans="1:7" x14ac:dyDescent="0.3">
      <c r="A140" s="2">
        <v>5</v>
      </c>
      <c r="C140" s="38" t="s">
        <v>57</v>
      </c>
      <c r="D140" s="42">
        <f>TRUNC(4058,-1)</f>
        <v>4050</v>
      </c>
      <c r="E140" s="63">
        <f t="shared" si="5"/>
        <v>13380</v>
      </c>
    </row>
    <row r="141" spans="1:7" x14ac:dyDescent="0.3">
      <c r="A141" s="2">
        <v>6</v>
      </c>
      <c r="C141" s="38" t="s">
        <v>59</v>
      </c>
      <c r="D141" s="42">
        <v>29260</v>
      </c>
      <c r="E141" s="63">
        <f t="shared" si="5"/>
        <v>96720</v>
      </c>
    </row>
    <row r="142" spans="1:7" x14ac:dyDescent="0.3">
      <c r="A142" s="2">
        <v>7</v>
      </c>
      <c r="C142" s="38" t="s">
        <v>58</v>
      </c>
      <c r="D142" s="42">
        <f>TRUNC(4864,-1)</f>
        <v>4860</v>
      </c>
      <c r="E142" s="63">
        <f t="shared" si="5"/>
        <v>16060</v>
      </c>
    </row>
    <row r="143" spans="1:7" x14ac:dyDescent="0.3">
      <c r="A143" s="2">
        <v>8</v>
      </c>
      <c r="C143" s="38" t="s">
        <v>62</v>
      </c>
      <c r="D143" s="42">
        <f>TRUNC(5551,-1)</f>
        <v>5550</v>
      </c>
      <c r="E143" s="63">
        <f t="shared" si="5"/>
        <v>18340</v>
      </c>
    </row>
    <row r="144" spans="1:7" x14ac:dyDescent="0.3">
      <c r="A144" s="2">
        <v>9</v>
      </c>
      <c r="C144" s="38" t="s">
        <v>63</v>
      </c>
      <c r="D144" s="42">
        <f>TRUNC(21776,-1)</f>
        <v>21770</v>
      </c>
      <c r="E144" s="63">
        <f t="shared" si="5"/>
        <v>71960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79120</v>
      </c>
      <c r="E146" s="39">
        <f>SUM(E136:E145)</f>
        <v>261510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TRUNC(1347+624,-1)</f>
        <v>1970</v>
      </c>
      <c r="E149" s="62">
        <f>TRUNC(+D149*3.3058,-1)</f>
        <v>6510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TRUNC(3362,-1)</f>
        <v>3360</v>
      </c>
      <c r="E150" s="63">
        <f>TRUNC(+D150*3.3058,-1)</f>
        <v>11100</v>
      </c>
    </row>
    <row r="151" spans="1:7" x14ac:dyDescent="0.3">
      <c r="A151" s="2">
        <v>3</v>
      </c>
      <c r="C151" s="38" t="s">
        <v>50</v>
      </c>
      <c r="D151" s="42">
        <f>TRUNC(1333,-1)</f>
        <v>1330</v>
      </c>
      <c r="E151" s="63">
        <f>TRUNC(+D151*3.3058,-1)</f>
        <v>4390</v>
      </c>
    </row>
    <row r="152" spans="1:7" x14ac:dyDescent="0.3">
      <c r="A152" s="2">
        <v>4</v>
      </c>
      <c r="C152" s="38" t="s">
        <v>47</v>
      </c>
      <c r="D152" s="42">
        <f>TRUNC(3707+554,-1)</f>
        <v>4260</v>
      </c>
      <c r="E152" s="63">
        <f>TRUNC(+D152*3.3058,-1)</f>
        <v>14080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TRUNC(7761,-1)</f>
        <v>7760</v>
      </c>
      <c r="E153" s="64">
        <f>TRUNC(+D153*3.3058,-1)</f>
        <v>25650</v>
      </c>
    </row>
    <row r="154" spans="1:7" x14ac:dyDescent="0.3">
      <c r="A154" s="2">
        <v>6</v>
      </c>
      <c r="C154" s="27" t="s">
        <v>112</v>
      </c>
      <c r="D154" s="39">
        <f>SUM(D149:D153)</f>
        <v>18680</v>
      </c>
      <c r="E154" s="39">
        <f>SUM(E149:E153)</f>
        <v>61730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TRUNC(15398,-1)</f>
        <v>15390</v>
      </c>
      <c r="E157" s="62">
        <f>TRUNC(+D157*3.3058,-1)</f>
        <v>50870</v>
      </c>
    </row>
    <row r="158" spans="1:7" x14ac:dyDescent="0.3">
      <c r="A158" s="2">
        <v>2</v>
      </c>
      <c r="C158" s="38" t="s">
        <v>52</v>
      </c>
      <c r="D158" s="42">
        <f>TRUNC(6837,-1)</f>
        <v>6830</v>
      </c>
      <c r="E158" s="63">
        <f>TRUNC(+D158*3.3058,-1)</f>
        <v>22570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TRUNC(1965,-1)</f>
        <v>1960</v>
      </c>
      <c r="E159" s="63">
        <f>TRUNC(+D159*3.3058,-1)</f>
        <v>6470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f>TRUNC(2011,-1)</f>
        <v>2010</v>
      </c>
      <c r="E160" s="64">
        <f>TRUNC(+D160*3.3058,-1)</f>
        <v>6640</v>
      </c>
    </row>
    <row r="161" spans="1:5" x14ac:dyDescent="0.3">
      <c r="A161" s="2">
        <v>5</v>
      </c>
      <c r="C161" s="27" t="s">
        <v>112</v>
      </c>
      <c r="D161" s="39">
        <f>SUM(D157:D160)</f>
        <v>26190</v>
      </c>
      <c r="E161" s="39">
        <f>SUM(E157:E160)</f>
        <v>86550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2020-12-08T04:21:57Z</dcterms:modified>
</cp:coreProperties>
</file>