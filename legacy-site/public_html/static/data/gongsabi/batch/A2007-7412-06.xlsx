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9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63" i="4"/>
  <c r="D152" i="4"/>
  <c r="D158" i="4"/>
  <c r="D159" i="4"/>
  <c r="D157" i="4"/>
  <c r="D137" i="4"/>
  <c r="D142" i="4"/>
  <c r="D140" i="4"/>
  <c r="D75" i="4"/>
  <c r="D81" i="4"/>
  <c r="D79" i="4"/>
  <c r="D89" i="4"/>
  <c r="D73" i="4"/>
  <c r="D92" i="4"/>
  <c r="D71" i="4"/>
  <c r="D70" i="4"/>
  <c r="D69" i="4"/>
  <c r="D104" i="4"/>
  <c r="D114" i="4"/>
  <c r="D105" i="4"/>
  <c r="D102" i="4"/>
  <c r="D100" i="4"/>
  <c r="D99" i="4"/>
  <c r="D98" i="4"/>
  <c r="D115" i="4"/>
  <c r="D117" i="4"/>
  <c r="D144" i="4"/>
  <c r="D131" i="4"/>
  <c r="D128" i="4"/>
  <c r="D125" i="4"/>
  <c r="D132" i="4"/>
  <c r="D122" i="4"/>
  <c r="D123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154" i="4"/>
  <c r="E146" i="4"/>
  <c r="E95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<sst xmlns="http://schemas.openxmlformats.org/spreadsheetml/2006/main" count="394" uniqueCount="269">
  <si>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</si>
  <si>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</si>
  <si>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</si>
  <si>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</si>
  <si>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</si>
  <si>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</si>
  <si>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</si>
  <si>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</si>
  <si>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</si>
  <si>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</si>
  <si>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</si>
  <si>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</si>
  <si>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</si>
  <si>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</si>
  <si>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</si>
  <si>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</si>
  <si>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</si>
  <si>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</si>
  <si>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</si>
  <si>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</si>
  <si>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</si>
  <si>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</si>
  <si>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</si>
  <si>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</si>
  <si>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</si>
  <si>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</si>
  <si>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</si>
  <si>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</si>
  <si>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</si>
  <si>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</si>
  <si>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</si>
  <si>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</si>
  <si>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</si>
  <si>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</si>
  <si>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</si>
  <si>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</si>
  <si>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</si>
  <si>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</si>
  <si>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</si>
  <si>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</si>
  <si>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</si>
  <si>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</si>
  <si>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</si>
  <si>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</si>
  <si>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</si>
  <si>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</si>
  <si>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</si>
  <si>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</si>
  <si>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</si>
  <si>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</si>
  <si>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</si>
  <si>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</si>
  <si>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</si>
  <si>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</si>
  <si>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</si>
  <si>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</si>
  <si>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</si>
  <si>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</si>
  <si>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</si>
  <si>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</si>
  <si>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</si>
  <si>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</si>
  <si>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</si>
  <si>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</si>
  <si>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</si>
  <si>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</si>
  <si>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</si>
  <si>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</si>
  <si>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</si>
  <si>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</si>
  <si>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</si>
  <si>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</si>
  <si>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</si>
  <si>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</si>
  <si>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</si>
  <si>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</si>
  <si>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</si>
  <si>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</si>
  <si>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</si>
  <si>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</si>
  <si>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</si>
  <si>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</si>
  <si>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</si>
  <si>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</si>
  <si>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</si>
  <si>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</si>
  <si>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</si>
  <si>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</si>
  <si>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</si>
  <si>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</si>
  <si>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</si>
  <si>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</si>
  <si>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</si>
  <si>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</si>
  <si>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</si>
  <si>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</si>
  <si>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</si>
  <si>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</si>
  <si>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</si>
  <si>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</si>
  <si>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</si>
  <si>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</si>
  <si>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</si>
  <si>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</si>
  <si>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</si>
  <si>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</si>
  <si>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</si>
  <si>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</si>
  <si>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</si>
  <si>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</si>
  <si>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</si>
  <si>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</si>
  <si>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</si>
  <si>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</si>
  <si>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</si>
  <si>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</si>
  <si>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</si>
  <si>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</si>
  <si>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</si>
  <si>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</si>
  <si>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</si>
  <si>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</si>
  <si>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</si>
  <si>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</si>
  <si>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</si>
  <si>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</si>
  <si>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</si>
  <si>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</si>
  <si>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</si>
  <si>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</si>
  <si>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</si>
  <si>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</si>
  <si>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</si>
  <si>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</si>
  <si>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</si>
  <si>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</si>
  <si>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</si>
  <si>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</si>
  <si>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</si>
  <si>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</si>
  <si>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</si>
  <si>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</si>
  <si>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</si>
  <si>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</si>
  <si>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</si>
  <si>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</si>
  <si>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</si>
  <si>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</si>
  <si>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</si>
  <si>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</si>
  <si>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</si>
  <si>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</si>
  <si>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</si>
  <si>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</si>
  <si>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</si>
  <si>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</si>
  <si>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</si>
  <si>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</si>
  <si>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</si>
  <si>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</si>
  <si>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</si>
  <si>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</si>
  <si>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</si>
  <si>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</si>
  <si>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</si>
  <si>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</si>
  <si>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</si>
  <si>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</si>
  <si>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</si>
  <si>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</si>
  <si>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</si>
  <si>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</si>
  <si>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</si>
  <si>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</si>
  <si>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</si>
  <si>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</si>
  <si>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</si>
  <si>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</si>
  <si>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</si>
  <si>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</si>
  <si>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</si>
  <si>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</si>
  <si>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</si>
  <si>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</si>
  <si>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</si>
  <si>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</si>
  <si>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</si>
  <si>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</si>
  <si>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</si>
  <si>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</si>
  <si>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</si>
  <si>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</si>
  <si>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</si>
  <si>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</si>
  <si>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</si>
  <si>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</si>
  <si>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</si>
  <si>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</si>
  <si>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</si>
  <si>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</si>
  <si>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</si>
  <si>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</si>
  <si>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</si>
  <si>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</si>
  <si>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</si>
  <si>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</si>
  <si>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</si>
  <si>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</si>
  <si>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</si>
  <si>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</si>
  <si>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</si>
  <si>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</si>
  <si>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</si>
  <si>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</si>
  <si>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</si>
  <si>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</si>
  <si>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</si>
  <si>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</si>
  <si>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</si>
  <si>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</si>
  <si>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</si>
  <si>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</si>
  <si>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</si>
  <si>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</si>
  <si>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</si>
  <si>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</si>
  <si>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</si>
  <si>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</si>
  <si>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</si>
  <si>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</si>
  <si>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</si>
  <si>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</si>
  <si>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</si>
  <si>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</si>
  <si>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</si>
  <si>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</si>
  <si>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</si>
  <si>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</si>
  <si>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</si>
  <si>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</si>
  <si>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</si>
  <si>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</si>
  <si>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</si>
  <si>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</si>
  <si>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</si>
  <si>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</si>
  <si>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</si>
  <si>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</si>
  <si>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00군 종합운동장 건립공사</t>
  </si>
  <si>
    <t>문화및집회</t>
  </si>
  <si>
    <t>경상도</t>
  </si>
  <si>
    <t>전화설비공사</t>
    <phoneticPr fontId="2" type="noConversion"/>
  </si>
  <si>
    <t>CATV설비공사</t>
  </si>
  <si>
    <t>CCTV설비공사</t>
  </si>
  <si>
    <t>전기 자동화재탐지</t>
    <phoneticPr fontId="2" type="noConversion"/>
  </si>
  <si>
    <t>옥외전력간선공사,옥외외등설비공사</t>
    <phoneticPr fontId="2" type="noConversion"/>
  </si>
  <si>
    <t>환기덕트설치공사</t>
    <phoneticPr fontId="2" type="noConversion"/>
  </si>
  <si>
    <t>방진설치공사</t>
    <phoneticPr fontId="2" type="noConversion"/>
  </si>
  <si>
    <t>기계 소화장비</t>
    <phoneticPr fontId="2" type="noConversion"/>
  </si>
  <si>
    <t>기계 옥내배관공사</t>
    <phoneticPr fontId="2" type="noConversion"/>
  </si>
  <si>
    <t>기계 펌프실배관공사,기계 옥외배관공사</t>
    <phoneticPr fontId="2" type="noConversion"/>
  </si>
  <si>
    <t>이식공사,포장공사,운반비,사급자재대</t>
    <phoneticPr fontId="2" type="noConversion"/>
  </si>
  <si>
    <t>육상트랙공사,부대공,사급자재대,배수공,포장면조성공,관수공</t>
    <phoneticPr fontId="2" type="noConversion"/>
  </si>
  <si>
    <t>토공사,잡공사,정화조설비공사,골재비및운반비,부대공사,고자재대공제,시험비,사급자재대,트랙공사,운동장잔디공사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</si>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</sst>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10161</v>
      </c>
      <c r="D7" s="36">
        <f>+C7/3.3058</f>
        <v>3073.6886684009924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973330</v>
      </c>
      <c r="E25" s="59">
        <f t="shared" si="0"/>
        <v>3217630</v>
      </c>
    </row>
    <row r="26" spans="1:5" x14ac:dyDescent="0.3">
      <c r="B26" s="2">
        <v>3</v>
      </c>
      <c r="C26" s="35" t="s">
        <v>95</v>
      </c>
      <c r="D26" s="45">
        <f>+D66</f>
        <v>1600</v>
      </c>
      <c r="E26" s="59">
        <f t="shared" si="0"/>
        <v>5280</v>
      </c>
    </row>
    <row r="27" spans="1:5" x14ac:dyDescent="0.3">
      <c r="B27" s="2">
        <v>4</v>
      </c>
      <c r="C27" s="35" t="s">
        <v>96</v>
      </c>
      <c r="D27" s="45">
        <f>+D95</f>
        <v>58540</v>
      </c>
      <c r="E27" s="59">
        <f t="shared" si="0"/>
        <v>193520</v>
      </c>
    </row>
    <row r="28" spans="1:5" x14ac:dyDescent="0.3">
      <c r="B28" s="2">
        <v>5</v>
      </c>
      <c r="C28" s="35" t="s">
        <v>97</v>
      </c>
      <c r="D28" s="45">
        <f>+D119</f>
        <v>101540</v>
      </c>
      <c r="E28" s="59">
        <f t="shared" si="0"/>
        <v>335670</v>
      </c>
    </row>
    <row r="29" spans="1:5" x14ac:dyDescent="0.3">
      <c r="B29" s="2">
        <v>6</v>
      </c>
      <c r="C29" s="35" t="s">
        <v>98</v>
      </c>
      <c r="D29" s="45">
        <f>+D133</f>
        <v>12880</v>
      </c>
      <c r="E29" s="59">
        <f t="shared" si="0"/>
        <v>42570</v>
      </c>
    </row>
    <row r="30" spans="1:5" x14ac:dyDescent="0.3">
      <c r="B30" s="2">
        <v>7</v>
      </c>
      <c r="C30" s="35" t="s">
        <v>99</v>
      </c>
      <c r="D30" s="45">
        <f>+D146</f>
        <v>15140</v>
      </c>
      <c r="E30" s="59">
        <f t="shared" si="0"/>
        <v>50040</v>
      </c>
    </row>
    <row r="31" spans="1:5" x14ac:dyDescent="0.3">
      <c r="B31" s="2">
        <v>8</v>
      </c>
      <c r="C31" s="35" t="s">
        <v>100</v>
      </c>
      <c r="D31" s="45">
        <f>+D154</f>
        <v>101920</v>
      </c>
      <c r="E31" s="59">
        <f t="shared" si="0"/>
        <v>336920</v>
      </c>
    </row>
    <row r="32" spans="1:5" x14ac:dyDescent="0.3">
      <c r="B32" s="2">
        <v>9</v>
      </c>
      <c r="C32" s="35" t="s">
        <v>101</v>
      </c>
      <c r="D32" s="45">
        <f>+D161</f>
        <v>190690</v>
      </c>
      <c r="E32" s="59">
        <f t="shared" si="0"/>
        <v>630380</v>
      </c>
    </row>
    <row r="33" spans="1:7" x14ac:dyDescent="0.3">
      <c r="B33" s="2">
        <v>10</v>
      </c>
      <c r="C33" s="35" t="s">
        <v>154</v>
      </c>
      <c r="D33" s="53">
        <f>TRUNC(SUM(D24:D32)*0.275,-1)</f>
        <v>400300</v>
      </c>
      <c r="E33" s="60">
        <f t="shared" si="0"/>
        <v>1323310</v>
      </c>
    </row>
    <row r="34" spans="1:7" x14ac:dyDescent="0.3">
      <c r="C34" s="35" t="s">
        <v>112</v>
      </c>
      <c r="D34" s="44">
        <f>SUM(D24:D33)</f>
        <v>1855940</v>
      </c>
      <c r="E34" s="44">
        <f>SUM(E24:E33)</f>
        <v>6135320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TRUNC(26850.5410884755,-1)</f>
        <v>26850</v>
      </c>
      <c r="E40" s="62">
        <f t="shared" ref="E40:E59" si="1">TRUNC(+D40*3.3058,-1)</f>
        <v>88760</v>
      </c>
    </row>
    <row r="41" spans="1:7" x14ac:dyDescent="0.3">
      <c r="A41" s="2">
        <v>2</v>
      </c>
      <c r="C41" s="38" t="s">
        <v>13</v>
      </c>
      <c r="D41" s="42">
        <f>TRUNC(186792.136600728,-1)</f>
        <v>186790</v>
      </c>
      <c r="E41" s="63">
        <f t="shared" si="1"/>
        <v>617490</v>
      </c>
    </row>
    <row r="42" spans="1:7" x14ac:dyDescent="0.3">
      <c r="A42" s="2">
        <v>3</v>
      </c>
      <c r="C42" s="38" t="s">
        <v>14</v>
      </c>
      <c r="D42" s="42">
        <f>TRUNC(29258.0406456057,-1)</f>
        <v>29250</v>
      </c>
      <c r="E42" s="63">
        <f t="shared" si="1"/>
        <v>96690</v>
      </c>
    </row>
    <row r="43" spans="1:7" x14ac:dyDescent="0.3">
      <c r="A43" s="2">
        <v>4</v>
      </c>
      <c r="C43" s="38" t="s">
        <v>16</v>
      </c>
      <c r="D43" s="42">
        <f>TRUNC(24249.5755339041,-1)</f>
        <v>24240</v>
      </c>
      <c r="E43" s="63">
        <f t="shared" si="1"/>
        <v>80130</v>
      </c>
    </row>
    <row r="44" spans="1:7" x14ac:dyDescent="0.3">
      <c r="A44" s="2">
        <v>5</v>
      </c>
      <c r="C44" s="38" t="s">
        <v>17</v>
      </c>
      <c r="D44" s="42">
        <f>TRUNC(18453.956992422,-1)</f>
        <v>18450</v>
      </c>
      <c r="E44" s="63">
        <f t="shared" si="1"/>
        <v>60990</v>
      </c>
    </row>
    <row r="45" spans="1:7" x14ac:dyDescent="0.3">
      <c r="A45" s="2">
        <v>6</v>
      </c>
      <c r="C45" s="38" t="s">
        <v>18</v>
      </c>
      <c r="D45" s="42">
        <f>TRUNC(12910.7351638618,-1)</f>
        <v>12910</v>
      </c>
      <c r="E45" s="63">
        <f t="shared" si="1"/>
        <v>42670</v>
      </c>
    </row>
    <row r="46" spans="1:7" x14ac:dyDescent="0.3">
      <c r="A46" s="2">
        <v>7</v>
      </c>
      <c r="C46" s="38" t="s">
        <v>19</v>
      </c>
      <c r="D46" s="42">
        <f>TRUNC(7223.62218285602,-1)</f>
        <v>7220</v>
      </c>
      <c r="E46" s="63">
        <f t="shared" si="1"/>
        <v>23860</v>
      </c>
    </row>
    <row r="47" spans="1:7" x14ac:dyDescent="0.3">
      <c r="A47" s="2">
        <v>8</v>
      </c>
      <c r="C47" s="38" t="s">
        <v>20</v>
      </c>
      <c r="D47" s="42">
        <f>TRUNC(2920.93671882689,-1)</f>
        <v>2920</v>
      </c>
      <c r="E47" s="63">
        <f t="shared" si="1"/>
        <v>9650</v>
      </c>
    </row>
    <row r="48" spans="1:7" x14ac:dyDescent="0.3">
      <c r="A48" s="2">
        <v>9</v>
      </c>
      <c r="C48" s="38" t="s">
        <v>21</v>
      </c>
      <c r="D48" s="42">
        <f>TRUNC(39214.626611554,-1)</f>
        <v>39210</v>
      </c>
      <c r="E48" s="63">
        <f t="shared" si="1"/>
        <v>129620</v>
      </c>
    </row>
    <row r="49" spans="1:7" x14ac:dyDescent="0.3">
      <c r="A49" s="2">
        <v>10</v>
      </c>
      <c r="C49" s="38" t="s">
        <v>22</v>
      </c>
      <c r="D49" s="42">
        <f>TRUNC(19604.2330479284,-1)</f>
        <v>19600</v>
      </c>
      <c r="E49" s="63">
        <f t="shared" si="1"/>
        <v>64790</v>
      </c>
    </row>
    <row r="50" spans="1:7" x14ac:dyDescent="0.3">
      <c r="A50" s="2">
        <v>11</v>
      </c>
      <c r="C50" s="38" t="s">
        <v>155</v>
      </c>
      <c r="D50" s="42">
        <f>TRUNC(11534.8623167011,-1)</f>
        <v>11530</v>
      </c>
      <c r="E50" s="63">
        <f t="shared" si="1"/>
        <v>38110</v>
      </c>
    </row>
    <row r="51" spans="1:7" x14ac:dyDescent="0.3">
      <c r="A51" s="2">
        <v>12</v>
      </c>
      <c r="C51" s="38" t="s">
        <v>23</v>
      </c>
      <c r="D51" s="42">
        <f>TRUNC(1533.07627202047,-1)</f>
        <v>1530</v>
      </c>
      <c r="E51" s="63">
        <f t="shared" si="1"/>
        <v>5050</v>
      </c>
    </row>
    <row r="52" spans="1:7" x14ac:dyDescent="0.3">
      <c r="A52" s="2">
        <v>13</v>
      </c>
      <c r="C52" s="38" t="s">
        <v>24</v>
      </c>
      <c r="D52" s="42">
        <f>TRUNC(18307.3624643244,-1)</f>
        <v>18300</v>
      </c>
      <c r="E52" s="63">
        <f t="shared" si="1"/>
        <v>60490</v>
      </c>
    </row>
    <row r="53" spans="1:7" x14ac:dyDescent="0.3">
      <c r="A53" s="2">
        <v>14</v>
      </c>
      <c r="C53" s="38" t="s">
        <v>25</v>
      </c>
      <c r="D53" s="42">
        <f>TRUNC(28517.937506151,-1)</f>
        <v>28510</v>
      </c>
      <c r="E53" s="63">
        <f t="shared" si="1"/>
        <v>94240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TRUNC(8551.00974313552,-1)</f>
        <v>8550</v>
      </c>
      <c r="E55" s="63">
        <f t="shared" si="1"/>
        <v>28260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TRUNC(11680.7961814782+7507.1435882295+20801.397500246+3151.06780828659+3554.14742643441-1077.75809467572+876.537742348194+2649.44395236689+60844.5584096054+42102.0553095168,-1)</f>
        <v>152080</v>
      </c>
      <c r="E58" s="63">
        <f t="shared" si="1"/>
        <v>502740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TRUNC(220577.206967818+164814.093101073,-1)</f>
        <v>385390</v>
      </c>
      <c r="E59" s="64">
        <f t="shared" si="1"/>
        <v>1274020</v>
      </c>
    </row>
    <row r="60" spans="1:7" x14ac:dyDescent="0.3">
      <c r="A60" s="2">
        <v>21</v>
      </c>
      <c r="C60" s="27" t="s">
        <v>112</v>
      </c>
      <c r="D60" s="39">
        <f>SUM(D40:D59)</f>
        <v>973330</v>
      </c>
      <c r="E60" s="39">
        <f>SUM(E40:E59)</f>
        <v>3217560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TRUNC(1609.41383722075,-1)</f>
        <v>1600</v>
      </c>
      <c r="E63" s="62">
        <f>TRUNC(+D63*3.3058,-1)</f>
        <v>5280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1600</v>
      </c>
      <c r="E66" s="65">
        <f>SUM(E63:E65)</f>
        <v>5280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TRUNC(8917.89528589706,-1)</f>
        <v>8910</v>
      </c>
      <c r="E69" s="62">
        <f t="shared" ref="E69:E94" si="2">TRUNC(+D69*3.3058,-1)</f>
        <v>29450</v>
      </c>
    </row>
    <row r="70" spans="1:7" ht="16.5" customHeight="1" x14ac:dyDescent="0.3">
      <c r="A70" s="2">
        <v>2</v>
      </c>
      <c r="C70" s="38" t="s">
        <v>31</v>
      </c>
      <c r="D70" s="42">
        <f>TRUNC(6923.24761342388,-1)</f>
        <v>6920</v>
      </c>
      <c r="E70" s="63">
        <f t="shared" si="2"/>
        <v>22870</v>
      </c>
    </row>
    <row r="71" spans="1:7" x14ac:dyDescent="0.3">
      <c r="A71" s="2">
        <v>3</v>
      </c>
      <c r="C71" s="38" t="s">
        <v>32</v>
      </c>
      <c r="D71" s="42">
        <f>TRUNC(2167.63979923236,-1)</f>
        <v>2160</v>
      </c>
      <c r="E71" s="63">
        <f t="shared" si="2"/>
        <v>7140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TRUNC(10720.7205983663,-1)</f>
        <v>10720</v>
      </c>
      <c r="E73" s="63">
        <f t="shared" si="2"/>
        <v>35430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TRUNC(161.204605845881,-1)</f>
        <v>160</v>
      </c>
      <c r="E75" s="63">
        <f t="shared" si="2"/>
        <v>520</v>
      </c>
      <c r="F75" s="2" t="s">
        <v>257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TRUNC(642.680936915658,-1)</f>
        <v>640</v>
      </c>
      <c r="E79" s="63">
        <f t="shared" si="2"/>
        <v>2110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TRUNC(4702.66863497687,-1)</f>
        <v>4700</v>
      </c>
      <c r="E81" s="63">
        <f t="shared" si="2"/>
        <v>15530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TRUNC(12817.2596201161,-1)</f>
        <v>12810</v>
      </c>
      <c r="E89" s="63">
        <f t="shared" si="2"/>
        <v>42340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TRUNC(11526.1632713316,-1)</f>
        <v>11520</v>
      </c>
      <c r="E92" s="63">
        <f t="shared" si="2"/>
        <v>38080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58540</v>
      </c>
      <c r="E95" s="39">
        <f>SUM(E69:E94)</f>
        <v>193470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TRUNC(13549.0634780041,-1)</f>
        <v>13540</v>
      </c>
      <c r="E98" s="62">
        <f t="shared" ref="E98:E118" si="3">TRUNC(+D98*3.3058,-1)</f>
        <v>44760</v>
      </c>
    </row>
    <row r="99" spans="1:7" x14ac:dyDescent="0.3">
      <c r="A99" s="2">
        <v>2</v>
      </c>
      <c r="C99" s="38" t="s">
        <v>40</v>
      </c>
      <c r="D99" s="42">
        <f>TRUNC(2134.86211987009,-1)</f>
        <v>2130</v>
      </c>
      <c r="E99" s="63">
        <f t="shared" si="3"/>
        <v>7040</v>
      </c>
    </row>
    <row r="100" spans="1:7" x14ac:dyDescent="0.3">
      <c r="A100" s="2">
        <v>3</v>
      </c>
      <c r="C100" s="38" t="s">
        <v>41</v>
      </c>
      <c r="D100" s="42">
        <f>TRUNC(11609.1253813601,-1)</f>
        <v>11600</v>
      </c>
      <c r="E100" s="63">
        <f t="shared" si="3"/>
        <v>38340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TRUNC(1869.31492963291,-1)</f>
        <v>1860</v>
      </c>
      <c r="E102" s="63">
        <f t="shared" si="3"/>
        <v>6140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TRUNC(3642.79785454188,-1)</f>
        <v>3640</v>
      </c>
      <c r="E104" s="63">
        <f t="shared" si="3"/>
        <v>12030</v>
      </c>
    </row>
    <row r="105" spans="1:7" x14ac:dyDescent="0.3">
      <c r="A105" s="2">
        <v>8</v>
      </c>
      <c r="C105" s="38" t="s">
        <v>46</v>
      </c>
      <c r="D105" s="42">
        <f>TRUNC(5763.61283338254,-1)</f>
        <v>5760</v>
      </c>
      <c r="E105" s="63">
        <f t="shared" si="3"/>
        <v>19040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TRUNC(12517.0630843421+12517.0630843421,-1)</f>
        <v>25030</v>
      </c>
      <c r="E114" s="63">
        <f t="shared" si="3"/>
        <v>82740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f>TRUNC(6336.96122428895,-1)</f>
        <v>6330</v>
      </c>
      <c r="E115" s="63">
        <f t="shared" si="3"/>
        <v>20920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TRUNC(31658.5965948233,-1)</f>
        <v>31650</v>
      </c>
      <c r="E117" s="63">
        <f t="shared" si="3"/>
        <v>104620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101540</v>
      </c>
      <c r="E119" s="39">
        <f>SUM(E98:E118)</f>
        <v>335630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TRUNC(869.330971361087,-1)</f>
        <v>860</v>
      </c>
      <c r="E122" s="62">
        <f t="shared" ref="E122:E132" si="4">TRUNC(+D122*3.3058,-1)</f>
        <v>2840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f>TRUNC(4365.84194469048,-1)</f>
        <v>4360</v>
      </c>
      <c r="E123" s="63">
        <f t="shared" si="4"/>
        <v>14410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TRUNC(2775.91054030115,-1)</f>
        <v>2770</v>
      </c>
      <c r="E125" s="63">
        <f t="shared" si="4"/>
        <v>9150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TRUNC(3200.46570219467,-1)</f>
        <v>3200</v>
      </c>
      <c r="E128" s="63">
        <f t="shared" si="4"/>
        <v>10570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TRUNC(1160.61411278417,-1)</f>
        <v>1160</v>
      </c>
      <c r="E131" s="63">
        <f t="shared" si="4"/>
        <v>3830</v>
      </c>
    </row>
    <row r="132" spans="1:7" ht="18" thickBot="1" x14ac:dyDescent="0.35">
      <c r="A132" s="2">
        <v>11</v>
      </c>
      <c r="C132" s="38" t="s">
        <v>47</v>
      </c>
      <c r="D132" s="43">
        <f>TRUNC(537.076862513532,-1)</f>
        <v>530</v>
      </c>
      <c r="E132" s="64">
        <f t="shared" si="4"/>
        <v>1750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12880</v>
      </c>
      <c r="E133" s="39">
        <f>SUM(E122:E132)</f>
        <v>42550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TRUNC(1755.19053242791+6830.69845487649,-1)</f>
        <v>8580</v>
      </c>
      <c r="E137" s="63">
        <f t="shared" si="5"/>
        <v>28360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TRUNC(615.552012597185,-1)</f>
        <v>610</v>
      </c>
      <c r="E140" s="63">
        <f t="shared" si="5"/>
        <v>2010</v>
      </c>
      <c r="F140" s="2" t="s">
        <v>258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TRUNC(1528.19368172424,-1)</f>
        <v>1520</v>
      </c>
      <c r="E142" s="63">
        <f t="shared" si="5"/>
        <v>5020</v>
      </c>
      <c r="F142" s="2" t="s">
        <v>259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TRUNC(4432.63743726011,-1)</f>
        <v>4430</v>
      </c>
      <c r="E144" s="63">
        <f t="shared" si="5"/>
        <v>14640</v>
      </c>
      <c r="F144" s="2" t="s">
        <v>254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15140</v>
      </c>
      <c r="E146" s="39">
        <f>SUM(E136:E145)</f>
        <v>50030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TRUNC(48851.4361775416+5002.02086408818+26428.3003641373+2975.01978151757+13350.5183544927+5319.2765475839,-1)</f>
        <v>101920</v>
      </c>
      <c r="E152" s="63">
        <f>TRUNC(+D152*3.3058,-1)</f>
        <v>336920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101920</v>
      </c>
      <c r="E154" s="39">
        <f>SUM(E149:E153)</f>
        <v>336920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TRUNC(21407.4363743726,-1)</f>
        <v>21400</v>
      </c>
      <c r="E157" s="62">
        <f>TRUNC(+D157*3.3058,-1)</f>
        <v>70740</v>
      </c>
    </row>
    <row r="158" spans="1:7" x14ac:dyDescent="0.3">
      <c r="A158" s="2">
        <v>2</v>
      </c>
      <c r="C158" s="38" t="s">
        <v>52</v>
      </c>
      <c r="D158" s="42">
        <f>TRUNC(35612.3796870387,-1)</f>
        <v>35610</v>
      </c>
      <c r="E158" s="63">
        <f>TRUNC(+D158*3.3058,-1)</f>
        <v>117710</v>
      </c>
    </row>
    <row r="159" spans="1:7" x14ac:dyDescent="0.3">
      <c r="A159" s="2">
        <v>3</v>
      </c>
      <c r="C159" s="38" t="s">
        <v>47</v>
      </c>
      <c r="D159" s="42">
        <f>TRUNC(3979.30695797658+68993.4652101171+3885.58252140537+56828.5806515107,-1)</f>
        <v>133680</v>
      </c>
      <c r="E159" s="63">
        <f>TRUNC(+D159*3.3058,-1)</f>
        <v>441910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190690</v>
      </c>
      <c r="E161" s="39">
        <f>SUM(E157:E160)</f>
        <v>630360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2020-12-07T09:21:19Z</dcterms:modified>
</cp:coreProperties>
</file>