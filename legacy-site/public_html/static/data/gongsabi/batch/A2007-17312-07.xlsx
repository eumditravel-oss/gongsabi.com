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44" i="4"/>
  <c r="E143" i="4"/>
  <c r="E142" i="4"/>
  <c r="E141" i="4"/>
  <c r="E140" i="4"/>
  <c r="E139" i="4"/>
  <c r="E138" i="4"/>
  <c r="E136" i="4"/>
  <c r="E129" i="4"/>
  <c r="E128" i="4"/>
  <c r="E124" i="4"/>
  <c r="E123" i="4"/>
  <c r="E116" i="4"/>
  <c r="E114" i="4"/>
  <c r="E113" i="4"/>
  <c r="E112" i="4"/>
  <c r="E111" i="4"/>
  <c r="E110" i="4"/>
  <c r="E109" i="4"/>
  <c r="E108" i="4"/>
  <c r="E107" i="4"/>
  <c r="E106" i="4"/>
  <c r="E105" i="4"/>
  <c r="E103" i="4"/>
  <c r="E101" i="4"/>
  <c r="E91" i="4"/>
  <c r="E89" i="4"/>
  <c r="E88" i="4"/>
  <c r="E87" i="4"/>
  <c r="E86" i="4"/>
  <c r="E84" i="4"/>
  <c r="E83" i="4"/>
  <c r="E82" i="4"/>
  <c r="E81" i="4"/>
  <c r="E80" i="4"/>
  <c r="E79" i="4"/>
  <c r="E76" i="4"/>
  <c r="E75" i="4"/>
  <c r="E74" i="4"/>
  <c r="E73" i="4"/>
  <c r="E65" i="4"/>
  <c r="E64" i="4"/>
  <c r="E57" i="4"/>
  <c r="E56" i="4"/>
  <c r="E54" i="4"/>
  <c r="D117" i="4" l="1"/>
  <c r="E117" i="4" s="1"/>
  <c r="D94" i="4" l="1"/>
  <c r="E94" i="4" s="1"/>
  <c r="D58" i="4" l="1"/>
  <c r="E58" i="4" s="1"/>
  <c r="D77" i="4"/>
  <c r="E77" i="4" s="1"/>
  <c r="D92" i="4" l="1"/>
  <c r="E92" i="4" s="1"/>
  <c r="D63" i="4" l="1"/>
  <c r="E63" i="4" s="1"/>
  <c r="E66" i="4" s="1"/>
  <c r="D59" i="4"/>
  <c r="E59" i="4" s="1"/>
  <c r="D45" i="4"/>
  <c r="E45" i="4" s="1"/>
  <c r="D41" i="4"/>
  <c r="E41" i="4" s="1"/>
  <c r="D42" i="4"/>
  <c r="E42" i="4" s="1"/>
  <c r="D50" i="4"/>
  <c r="E50" i="4" s="1"/>
  <c r="D55" i="4"/>
  <c r="E55" i="4" s="1"/>
  <c r="D43" i="4"/>
  <c r="E43" i="4" s="1"/>
  <c r="D51" i="4"/>
  <c r="E51" i="4" s="1"/>
  <c r="D53" i="4"/>
  <c r="E53" i="4" s="1"/>
  <c r="D46" i="4"/>
  <c r="E46" i="4" s="1"/>
  <c r="D44" i="4"/>
  <c r="E44" i="4" s="1"/>
  <c r="D49" i="4"/>
  <c r="E49" i="4" s="1"/>
  <c r="D47" i="4"/>
  <c r="E47" i="4" s="1"/>
  <c r="D52" i="4"/>
  <c r="E52" i="4" s="1"/>
  <c r="D48" i="4"/>
  <c r="E48" i="4" s="1"/>
  <c r="D40" i="4"/>
  <c r="D37" i="4"/>
  <c r="E37" i="4" s="1"/>
  <c r="D159" i="4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D151" i="4"/>
  <c r="E151" i="4" s="1"/>
  <c r="D145" i="4"/>
  <c r="E145" i="4" s="1"/>
  <c r="D137" i="4"/>
  <c r="E137" i="4" s="1"/>
  <c r="D118" i="4"/>
  <c r="E118" i="4" s="1"/>
  <c r="D100" i="4"/>
  <c r="E100" i="4" s="1"/>
  <c r="D102" i="4"/>
  <c r="E102" i="4" s="1"/>
  <c r="D104" i="4"/>
  <c r="E104" i="4" s="1"/>
  <c r="D99" i="4"/>
  <c r="E99" i="4" s="1"/>
  <c r="D98" i="4"/>
  <c r="E98" i="4" s="1"/>
  <c r="E119" i="4" s="1"/>
  <c r="D115" i="4"/>
  <c r="E115" i="4" s="1"/>
  <c r="D132" i="4"/>
  <c r="E132" i="4" s="1"/>
  <c r="D131" i="4"/>
  <c r="E131" i="4" s="1"/>
  <c r="D127" i="4"/>
  <c r="E127" i="4" s="1"/>
  <c r="D125" i="4"/>
  <c r="E125" i="4" s="1"/>
  <c r="D122" i="4"/>
  <c r="E122" i="4" s="1"/>
  <c r="D130" i="4"/>
  <c r="E130" i="4" s="1"/>
  <c r="D126" i="4"/>
  <c r="E126" i="4" s="1"/>
  <c r="D93" i="4"/>
  <c r="E93" i="4" s="1"/>
  <c r="D90" i="4"/>
  <c r="E90" i="4" s="1"/>
  <c r="D85" i="4"/>
  <c r="E85" i="4" s="1"/>
  <c r="D72" i="4"/>
  <c r="E72" i="4" s="1"/>
  <c r="D78" i="4"/>
  <c r="E78" i="4" s="1"/>
  <c r="D71" i="4"/>
  <c r="E71" i="4" s="1"/>
  <c r="D70" i="4"/>
  <c r="E70" i="4" s="1"/>
  <c r="D69" i="4"/>
  <c r="E69" i="4" s="1"/>
  <c r="E95" i="4" s="1"/>
  <c r="E154" i="4" l="1"/>
  <c r="E133" i="4"/>
  <c r="E146" i="4"/>
  <c r="E40" i="4"/>
  <c r="E60" i="4" s="1"/>
  <c r="D60" i="4"/>
  <c r="D25" i="4" s="1"/>
  <c r="E25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<sst xmlns="http://schemas.openxmlformats.org/spreadsheetml/2006/main" count="390" uniqueCount="324">
  <si>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</si>
  <si>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</si>
  <si>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</si>
  <si>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</si>
  <si>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</si>
  <si>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</si>
  <si>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</si>
  <si>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</si>
  <si>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</si>
  <si>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</si>
  <si>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</si>
  <si>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</si>
  <si>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</si>
  <si>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</si>
  <si>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</si>
  <si>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</si>
  <si>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</si>
  <si>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</si>
  <si>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</si>
  <si>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</si>
  <si>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</si>
  <si>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</si>
  <si>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</si>
  <si>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</si>
  <si>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</si>
  <si>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</si>
  <si>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</si>
  <si>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</si>
  <si>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</si>
  <si>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</si>
  <si>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</si>
  <si>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</si>
  <si>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</si>
  <si>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</si>
  <si>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</si>
  <si>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</si>
  <si>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</si>
  <si>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</si>
  <si>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</si>
  <si>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</si>
  <si>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</si>
  <si>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</si>
  <si>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</si>
  <si>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</si>
  <si>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</si>
  <si>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</si>
  <si>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</si>
  <si>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</si>
  <si>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</si>
  <si>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</si>
  <si>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</si>
  <si>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</si>
  <si>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</si>
  <si>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</si>
  <si>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</si>
  <si>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</si>
  <si>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</si>
  <si>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</si>
  <si>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</si>
  <si>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</si>
  <si>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</si>
  <si>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</si>
  <si>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</si>
  <si>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</si>
  <si>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</si>
  <si>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</si>
  <si>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</si>
  <si>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</si>
  <si>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</si>
  <si>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</si>
  <si>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</si>
  <si>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</si>
  <si>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</si>
  <si>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</si>
  <si>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</si>
  <si>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</si>
  <si>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</si>
  <si>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</si>
  <si>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</si>
  <si>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</si>
  <si>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</si>
  <si>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</si>
  <si>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</si>
  <si>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</si>
  <si>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</si>
  <si>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</si>
  <si>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</si>
  <si>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</si>
  <si>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</si>
  <si>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</si>
  <si>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</si>
  <si>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</si>
  <si>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</si>
  <si>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</si>
  <si>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</si>
  <si>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</si>
  <si>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</si>
  <si>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</si>
  <si>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</si>
  <si>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</si>
  <si>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</si>
  <si>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</si>
  <si>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</si>
  <si>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</si>
  <si>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</si>
  <si>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</si>
  <si>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</si>
  <si>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</si>
  <si>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</si>
  <si>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</si>
  <si>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</si>
  <si>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</si>
  <si>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</si>
  <si>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</si>
  <si>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</si>
  <si>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</si>
  <si>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</si>
  <si>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</si>
  <si>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</si>
  <si>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</si>
  <si>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</si>
  <si>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</si>
  <si>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</si>
  <si>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</si>
  <si>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</si>
  <si>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</si>
  <si>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</si>
  <si>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</si>
  <si>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</si>
  <si>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</si>
  <si>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</si>
  <si>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</si>
  <si>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</si>
  <si>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</si>
  <si>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</si>
  <si>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</si>
  <si>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</si>
  <si>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</si>
  <si>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</si>
  <si>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</si>
  <si>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</si>
  <si>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</si>
  <si>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</si>
  <si>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</si>
  <si>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</si>
  <si>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</si>
  <si>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</si>
  <si>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</si>
  <si>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</si>
  <si>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</si>
  <si>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</si>
  <si>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</si>
  <si>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</si>
  <si>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</si>
  <si>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</si>
  <si>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</si>
  <si>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</si>
  <si>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</si>
  <si>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</si>
  <si>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</si>
  <si>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</si>
  <si>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</si>
  <si>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</si>
  <si>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</si>
  <si>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</si>
  <si>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</si>
  <si>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</si>
  <si>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</si>
  <si>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</si>
  <si>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</si>
  <si>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</si>
  <si>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</si>
  <si>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</si>
  <si>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</si>
  <si>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</si>
  <si>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</si>
  <si>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</si>
  <si>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</si>
  <si>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</si>
  <si>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</si>
  <si>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</si>
  <si>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</si>
  <si>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</si>
  <si>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</si>
  <si>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</si>
  <si>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</si>
  <si>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</si>
  <si>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</si>
  <si>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</si>
  <si>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</si>
  <si>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</si>
  <si>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</si>
  <si>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</si>
  <si>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</si>
  <si>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</si>
  <si>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</si>
  <si>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</si>
  <si>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</si>
  <si>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</si>
  <si>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</si>
  <si>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</si>
  <si>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</si>
  <si>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</si>
  <si>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</si>
  <si>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</si>
  <si>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</si>
  <si>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</si>
  <si>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</si>
  <si>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</si>
  <si>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</si>
  <si>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</si>
  <si>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</si>
  <si>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</si>
  <si>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</si>
  <si>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</si>
  <si>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</si>
  <si>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</si>
  <si>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</si>
  <si>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</si>
  <si>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</si>
  <si>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</si>
  <si>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</si>
  <si>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</si>
  <si>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</si>
  <si>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</si>
  <si>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</si>
  <si>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</si>
  <si>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</si>
  <si>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</si>
  <si>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</si>
  <si>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</si>
  <si>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</si>
  <si>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</si>
  <si>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</si>
  <si>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</si>
  <si>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</si>
  <si>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</si>
  <si>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</si>
  <si>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</si>
  <si>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</si>
  <si>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</si>
  <si>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</si>
  <si>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</si>
  <si>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</si>
  <si>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</si>
  <si>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</si>
  <si>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</si>
  <si>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</si>
  <si>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</si>
  <si>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</si>
  <si>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</si>
  <si>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</si>
  <si>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</si>
  <si>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</si>
  <si>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</si>
  <si>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</si>
  <si>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</si>
  <si>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</si>
  <si>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</si>
  <si>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</si>
  <si>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</si>
  <si>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</si>
  <si>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</si>
  <si>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</si>
  <si>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</si>
  <si>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</si>
  <si>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</si>
  <si>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</si>
  <si>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</si>
  <si>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</si>
  <si>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</si>
  <si>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</si>
  <si>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</si>
  <si>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</si>
  <si>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</si>
  <si>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</si>
  <si>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</si>
  <si>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</si>
  <si>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</si>
  <si>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</si>
  <si>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</si>
  <si>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</si>
  <si>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</si>
  <si>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</si>
  <si>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</si>
  <si>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</si>
  <si>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</si>
  <si>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</si>
  <si>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</si>
  <si>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</si>
  <si>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</si>
  <si>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</si>
  <si>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</si>
  <si>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</si>
  <si>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</si>
  <si>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</si>
  <si>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</si>
  <si>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</si>
  <si>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</si>
  <si>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</si>
  <si>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</si>
  <si>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</si>
  <si>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</si>
  <si>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</si>
  <si>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</si>
  <si>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</si>
  <si>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</si>
  <si>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</si>
  <si>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00국가유공자 노인요양시설 건립공사</t>
  </si>
  <si>
    <t>경상도</t>
  </si>
  <si>
    <t>비상호출설비공사,CCTV설비공사</t>
    <phoneticPr fontId="2" type="noConversion"/>
  </si>
  <si>
    <t>옥외설비공사,온도조절기제어설비공사,EHP전원제어설비공사,태양광설비공사</t>
    <phoneticPr fontId="2" type="noConversion"/>
  </si>
  <si>
    <t>요양동,복지동</t>
    <phoneticPr fontId="2" type="noConversion"/>
  </si>
  <si>
    <t>상수도공사,철거공사,부대공사</t>
    <phoneticPr fontId="2" type="noConversion"/>
  </si>
  <si>
    <t>이식공사</t>
    <phoneticPr fontId="2" type="noConversion"/>
  </si>
  <si>
    <t>토공사</t>
    <phoneticPr fontId="2" type="noConversion"/>
  </si>
  <si>
    <t>위생설비공사</t>
    <phoneticPr fontId="2" type="noConversion"/>
  </si>
  <si>
    <t>운반빛골재,부산물공제</t>
    <phoneticPr fontId="2" type="noConversion"/>
  </si>
  <si>
    <t>옥외공동구배관공사,주방기구설치공사,난방배관공사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</si>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</sst>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321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103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7620</v>
      </c>
      <c r="D7" s="36">
        <f>+C7/3.3058</f>
        <v>2305.039627321677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322</v>
      </c>
    </row>
    <row r="19" spans="1:5" x14ac:dyDescent="0.3">
      <c r="A19" s="2">
        <v>9</v>
      </c>
      <c r="B19" s="2" t="s">
        <v>323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7680</v>
      </c>
      <c r="E24" s="59">
        <f t="shared" ref="E24:E33" si="0">TRUNC(+D24*3.3058,-1)</f>
        <v>25380</v>
      </c>
    </row>
    <row r="25" spans="1:5" x14ac:dyDescent="0.3">
      <c r="B25" s="2">
        <v>2</v>
      </c>
      <c r="C25" s="35" t="s">
        <v>45</v>
      </c>
      <c r="D25" s="47">
        <f>+D60</f>
        <v>662440</v>
      </c>
      <c r="E25" s="60">
        <f t="shared" si="0"/>
        <v>2189890</v>
      </c>
    </row>
    <row r="26" spans="1:5" x14ac:dyDescent="0.3">
      <c r="B26" s="2">
        <v>3</v>
      </c>
      <c r="C26" s="35" t="s">
        <v>29</v>
      </c>
      <c r="D26" s="47">
        <f>+D66</f>
        <v>41150</v>
      </c>
      <c r="E26" s="60">
        <f t="shared" si="0"/>
        <v>136030</v>
      </c>
    </row>
    <row r="27" spans="1:5" x14ac:dyDescent="0.3">
      <c r="B27" s="2">
        <v>4</v>
      </c>
      <c r="C27" s="35" t="s">
        <v>30</v>
      </c>
      <c r="D27" s="47">
        <f>+D95</f>
        <v>263340</v>
      </c>
      <c r="E27" s="60">
        <f t="shared" si="0"/>
        <v>870540</v>
      </c>
    </row>
    <row r="28" spans="1:5" x14ac:dyDescent="0.3">
      <c r="B28" s="2">
        <v>5</v>
      </c>
      <c r="C28" s="35" t="s">
        <v>31</v>
      </c>
      <c r="D28" s="47">
        <f>+D119</f>
        <v>141440</v>
      </c>
      <c r="E28" s="60">
        <f t="shared" si="0"/>
        <v>467570</v>
      </c>
    </row>
    <row r="29" spans="1:5" x14ac:dyDescent="0.3">
      <c r="B29" s="2">
        <v>6</v>
      </c>
      <c r="C29" s="35" t="s">
        <v>32</v>
      </c>
      <c r="D29" s="47">
        <f>+D133</f>
        <v>80860</v>
      </c>
      <c r="E29" s="60">
        <f t="shared" si="0"/>
        <v>267300</v>
      </c>
    </row>
    <row r="30" spans="1:5" x14ac:dyDescent="0.3">
      <c r="B30" s="2">
        <v>7</v>
      </c>
      <c r="C30" s="35" t="s">
        <v>33</v>
      </c>
      <c r="D30" s="47">
        <f>+D146</f>
        <v>77690</v>
      </c>
      <c r="E30" s="60">
        <f t="shared" si="0"/>
        <v>256820</v>
      </c>
    </row>
    <row r="31" spans="1:5" x14ac:dyDescent="0.3">
      <c r="B31" s="2">
        <v>8</v>
      </c>
      <c r="C31" s="35" t="s">
        <v>34</v>
      </c>
      <c r="D31" s="47">
        <f>+D154</f>
        <v>26850</v>
      </c>
      <c r="E31" s="60">
        <f t="shared" si="0"/>
        <v>88760</v>
      </c>
    </row>
    <row r="32" spans="1:5" x14ac:dyDescent="0.3">
      <c r="B32" s="2">
        <v>9</v>
      </c>
      <c r="C32" s="35" t="s">
        <v>35</v>
      </c>
      <c r="D32" s="47">
        <f>+D161</f>
        <v>28710</v>
      </c>
      <c r="E32" s="60">
        <f t="shared" si="0"/>
        <v>94900</v>
      </c>
    </row>
    <row r="33" spans="1:5" x14ac:dyDescent="0.3">
      <c r="B33" s="2">
        <v>10</v>
      </c>
      <c r="C33" s="35" t="s">
        <v>60</v>
      </c>
      <c r="D33" s="55">
        <f>TRUNC(SUM(D24:D32)*0.275,-1)</f>
        <v>365790</v>
      </c>
      <c r="E33" s="61">
        <f t="shared" si="0"/>
        <v>1209220</v>
      </c>
    </row>
    <row r="34" spans="1:5" x14ac:dyDescent="0.3">
      <c r="C34" s="35" t="s">
        <v>46</v>
      </c>
      <c r="D34" s="46">
        <f>SUM(D24:D33)</f>
        <v>1695950</v>
      </c>
      <c r="E34" s="46">
        <f>SUM(E24:E33)</f>
        <v>5606410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TRUNC(7687.93635170604,-1)</f>
        <v>7680</v>
      </c>
      <c r="E37" s="62">
        <f>TRUNC(+D37*3.3058,-1)</f>
        <v>25380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319</v>
      </c>
      <c r="E39" s="68" t="s">
        <v>320</v>
      </c>
    </row>
    <row r="40" spans="1:5" x14ac:dyDescent="0.3">
      <c r="A40" s="2">
        <v>1</v>
      </c>
      <c r="C40" s="39" t="s">
        <v>75</v>
      </c>
      <c r="D40" s="42">
        <f>TRUNC(37407.7479002625,-1)</f>
        <v>37400</v>
      </c>
      <c r="E40" s="63">
        <f t="shared" ref="E40:E59" si="1">TRUNC(+D40*3.3058,-1)</f>
        <v>123630</v>
      </c>
    </row>
    <row r="41" spans="1:5" x14ac:dyDescent="0.3">
      <c r="A41" s="2">
        <v>2</v>
      </c>
      <c r="C41" s="39" t="s">
        <v>6</v>
      </c>
      <c r="D41" s="44">
        <f>TRUNC(112103.217716535,-1)</f>
        <v>112100</v>
      </c>
      <c r="E41" s="64">
        <f t="shared" si="1"/>
        <v>370580</v>
      </c>
    </row>
    <row r="42" spans="1:5" x14ac:dyDescent="0.3">
      <c r="A42" s="2">
        <v>3</v>
      </c>
      <c r="C42" s="39" t="s">
        <v>7</v>
      </c>
      <c r="D42" s="44">
        <f>TRUNC(1110.37362204724,-1)</f>
        <v>1110</v>
      </c>
      <c r="E42" s="64">
        <f t="shared" si="1"/>
        <v>3660</v>
      </c>
    </row>
    <row r="43" spans="1:5" x14ac:dyDescent="0.3">
      <c r="A43" s="2">
        <v>4</v>
      </c>
      <c r="C43" s="39" t="s">
        <v>8</v>
      </c>
      <c r="D43" s="44">
        <f>TRUNC(68143.6860892389,-1)</f>
        <v>68140</v>
      </c>
      <c r="E43" s="64">
        <f t="shared" si="1"/>
        <v>225250</v>
      </c>
    </row>
    <row r="44" spans="1:5" x14ac:dyDescent="0.3">
      <c r="A44" s="2">
        <v>5</v>
      </c>
      <c r="C44" s="39" t="s">
        <v>9</v>
      </c>
      <c r="D44" s="44">
        <f>TRUNC(21164.2026246719,-1)</f>
        <v>21160</v>
      </c>
      <c r="E44" s="64">
        <f t="shared" si="1"/>
        <v>69950</v>
      </c>
    </row>
    <row r="45" spans="1:5" x14ac:dyDescent="0.3">
      <c r="A45" s="2">
        <v>6</v>
      </c>
      <c r="C45" s="39" t="s">
        <v>10</v>
      </c>
      <c r="D45" s="44">
        <f>TRUNC(12531.4724409449,-1)</f>
        <v>12530</v>
      </c>
      <c r="E45" s="64">
        <f t="shared" si="1"/>
        <v>41420</v>
      </c>
    </row>
    <row r="46" spans="1:5" x14ac:dyDescent="0.3">
      <c r="A46" s="2">
        <v>7</v>
      </c>
      <c r="C46" s="39" t="s">
        <v>11</v>
      </c>
      <c r="D46" s="44">
        <f>TRUNC(10017.5774278215,-1)</f>
        <v>10010</v>
      </c>
      <c r="E46" s="64">
        <f t="shared" si="1"/>
        <v>33090</v>
      </c>
    </row>
    <row r="47" spans="1:5" x14ac:dyDescent="0.3">
      <c r="A47" s="2">
        <v>8</v>
      </c>
      <c r="C47" s="39" t="s">
        <v>12</v>
      </c>
      <c r="D47" s="44">
        <f>TRUNC(25559.192519685,-1)</f>
        <v>25550</v>
      </c>
      <c r="E47" s="64">
        <f t="shared" si="1"/>
        <v>84460</v>
      </c>
    </row>
    <row r="48" spans="1:5" x14ac:dyDescent="0.3">
      <c r="A48" s="2">
        <v>9</v>
      </c>
      <c r="C48" s="39" t="s">
        <v>13</v>
      </c>
      <c r="D48" s="44">
        <f>TRUNC(46430.0948818898,-1)</f>
        <v>46430</v>
      </c>
      <c r="E48" s="64">
        <f t="shared" si="1"/>
        <v>153480</v>
      </c>
    </row>
    <row r="49" spans="1:6" x14ac:dyDescent="0.3">
      <c r="A49" s="2">
        <v>10</v>
      </c>
      <c r="C49" s="39" t="s">
        <v>14</v>
      </c>
      <c r="D49" s="44">
        <f>TRUNC(22256.2140419948,-1)</f>
        <v>22250</v>
      </c>
      <c r="E49" s="64">
        <f t="shared" si="1"/>
        <v>73550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TRUNC(85970.5884514436,-1)</f>
        <v>85970</v>
      </c>
      <c r="E50" s="64">
        <f t="shared" si="1"/>
        <v>284190</v>
      </c>
      <c r="F50" s="2"/>
    </row>
    <row r="51" spans="1:6" x14ac:dyDescent="0.3">
      <c r="A51" s="2">
        <v>12</v>
      </c>
      <c r="C51" s="39" t="s">
        <v>16</v>
      </c>
      <c r="D51" s="44">
        <f>TRUNC(11566.4367454068,-1)</f>
        <v>11560</v>
      </c>
      <c r="E51" s="64">
        <f t="shared" si="1"/>
        <v>38210</v>
      </c>
    </row>
    <row r="52" spans="1:6" x14ac:dyDescent="0.3">
      <c r="A52" s="2">
        <v>13</v>
      </c>
      <c r="C52" s="39" t="s">
        <v>17</v>
      </c>
      <c r="D52" s="44">
        <f>TRUNC(8469.28792650919,-1)</f>
        <v>8460</v>
      </c>
      <c r="E52" s="64">
        <f t="shared" si="1"/>
        <v>27960</v>
      </c>
    </row>
    <row r="53" spans="1:6" x14ac:dyDescent="0.3">
      <c r="A53" s="2">
        <v>14</v>
      </c>
      <c r="C53" s="39" t="s">
        <v>18</v>
      </c>
      <c r="D53" s="44">
        <f>TRUNC(78341.2577427822,-1)</f>
        <v>78340</v>
      </c>
      <c r="E53" s="64">
        <f t="shared" si="1"/>
        <v>258970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TRUNC(2103.96391076115,-1)</f>
        <v>2100</v>
      </c>
      <c r="E55" s="64">
        <f t="shared" si="1"/>
        <v>6940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TRUNC(4991.58700787402-588.76968503937,-1)</f>
        <v>4400</v>
      </c>
      <c r="E58" s="64">
        <f t="shared" si="1"/>
        <v>14540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TRUNC(114938.45144357,-1)</f>
        <v>114930</v>
      </c>
      <c r="E59" s="65">
        <f t="shared" si="1"/>
        <v>379930</v>
      </c>
    </row>
    <row r="60" spans="1:6" x14ac:dyDescent="0.3">
      <c r="A60" s="2">
        <v>21</v>
      </c>
      <c r="C60" s="27" t="s">
        <v>46</v>
      </c>
      <c r="D60" s="40">
        <f>SUM(D40:D59)</f>
        <v>662440</v>
      </c>
      <c r="E60" s="40">
        <f>SUM(E40:E59)</f>
        <v>2189810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TRUNC(7944.33202099738+33208.1234908136,-1)</f>
        <v>41150</v>
      </c>
      <c r="E63" s="63">
        <f>TRUNC(+D63*3.3058,-1)</f>
        <v>136030</v>
      </c>
      <c r="F63" s="2" t="s">
        <v>315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41150</v>
      </c>
      <c r="E66" s="66">
        <f>SUM(E63:E65)</f>
        <v>136030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TRUNC(12133.3320209974,-1)</f>
        <v>12130</v>
      </c>
      <c r="E69" s="63">
        <f t="shared" ref="E69:E94" si="2">TRUNC(+D69*3.3058,-1)</f>
        <v>40090</v>
      </c>
    </row>
    <row r="70" spans="1:5" ht="16.5" customHeight="1" x14ac:dyDescent="0.3">
      <c r="A70" s="2">
        <v>2</v>
      </c>
      <c r="C70" s="39" t="s">
        <v>79</v>
      </c>
      <c r="D70" s="44">
        <f>TRUNC(407.395538057743,-1)</f>
        <v>400</v>
      </c>
      <c r="E70" s="64">
        <f t="shared" si="2"/>
        <v>1320</v>
      </c>
    </row>
    <row r="71" spans="1:5" x14ac:dyDescent="0.3">
      <c r="A71" s="2">
        <v>3</v>
      </c>
      <c r="C71" s="39" t="s">
        <v>80</v>
      </c>
      <c r="D71" s="44">
        <f>TRUNC(8332.69133858268,-1)</f>
        <v>8330</v>
      </c>
      <c r="E71" s="64">
        <f t="shared" si="2"/>
        <v>27530</v>
      </c>
    </row>
    <row r="72" spans="1:5" x14ac:dyDescent="0.3">
      <c r="A72" s="2">
        <v>4</v>
      </c>
      <c r="C72" s="39" t="s">
        <v>81</v>
      </c>
      <c r="D72" s="44">
        <f>TRUNC(4613.72782152231,-1)</f>
        <v>4610</v>
      </c>
      <c r="E72" s="64">
        <f t="shared" si="2"/>
        <v>15230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f>TRUNC(19895.0131233596,-1)</f>
        <v>19890</v>
      </c>
      <c r="E77" s="64">
        <f t="shared" si="2"/>
        <v>65750</v>
      </c>
    </row>
    <row r="78" spans="1:5" x14ac:dyDescent="0.3">
      <c r="A78" s="2">
        <v>10</v>
      </c>
      <c r="C78" s="39" t="s">
        <v>87</v>
      </c>
      <c r="D78" s="44">
        <f>TRUNC(36988.262992126,-1)</f>
        <v>36980</v>
      </c>
      <c r="E78" s="64">
        <f t="shared" si="2"/>
        <v>122240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f>TRUNC(2210.49895013123,-1)</f>
        <v>2210</v>
      </c>
      <c r="E85" s="64">
        <f t="shared" si="2"/>
        <v>7300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TRUNC(1003.43622047244,-1)</f>
        <v>1000</v>
      </c>
      <c r="E90" s="64">
        <f t="shared" si="2"/>
        <v>3300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TRUNC(52160.9244094488,-1)</f>
        <v>52160</v>
      </c>
      <c r="E92" s="64">
        <f t="shared" si="2"/>
        <v>172430</v>
      </c>
      <c r="F92" s="2" t="s">
        <v>316</v>
      </c>
    </row>
    <row r="93" spans="1:6" x14ac:dyDescent="0.3">
      <c r="A93" s="2">
        <v>25</v>
      </c>
      <c r="C93" s="39" t="s">
        <v>102</v>
      </c>
      <c r="D93" s="44">
        <f>TRUNC(90045.6692913386,-1)</f>
        <v>90040</v>
      </c>
      <c r="E93" s="64">
        <f t="shared" si="2"/>
        <v>297650</v>
      </c>
    </row>
    <row r="94" spans="1:6" ht="17.25" thickBot="1" x14ac:dyDescent="0.35">
      <c r="A94" s="2">
        <v>26</v>
      </c>
      <c r="C94" s="39" t="s">
        <v>103</v>
      </c>
      <c r="D94" s="45">
        <f>TRUNC(897.77467191601+10466.1417322835+24226.8003937008,-1)</f>
        <v>35590</v>
      </c>
      <c r="E94" s="65">
        <f t="shared" si="2"/>
        <v>117650</v>
      </c>
      <c r="F94" s="2" t="s">
        <v>318</v>
      </c>
    </row>
    <row r="95" spans="1:6" x14ac:dyDescent="0.3">
      <c r="A95" s="2">
        <v>27</v>
      </c>
      <c r="C95" s="27" t="s">
        <v>104</v>
      </c>
      <c r="D95" s="40">
        <f>SUM(D69:D94)</f>
        <v>263340</v>
      </c>
      <c r="E95" s="40">
        <f>SUM(E69:E94)</f>
        <v>870490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TRUNC(23734.0531496063,-1)</f>
        <v>23730</v>
      </c>
      <c r="E98" s="63">
        <f t="shared" ref="E98:E118" si="3">TRUNC(+D98*3.3058,-1)</f>
        <v>78440</v>
      </c>
    </row>
    <row r="99" spans="1:5" x14ac:dyDescent="0.3">
      <c r="A99" s="2">
        <v>2</v>
      </c>
      <c r="C99" s="29" t="s">
        <v>107</v>
      </c>
      <c r="D99" s="44">
        <f>TRUNC(3268.05288713911,-1)</f>
        <v>3260</v>
      </c>
      <c r="E99" s="64">
        <f t="shared" si="3"/>
        <v>10770</v>
      </c>
    </row>
    <row r="100" spans="1:5" x14ac:dyDescent="0.3">
      <c r="A100" s="2">
        <v>3</v>
      </c>
      <c r="C100" s="29" t="s">
        <v>108</v>
      </c>
      <c r="D100" s="44">
        <f>TRUNC(27862.356824147,-1)</f>
        <v>27860</v>
      </c>
      <c r="E100" s="64">
        <f t="shared" si="3"/>
        <v>92090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TRUNC(6947.36049868766,-1)</f>
        <v>6940</v>
      </c>
      <c r="E102" s="64">
        <f t="shared" si="3"/>
        <v>22940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f>TRUNC(3538.98937007874,-1)</f>
        <v>3530</v>
      </c>
      <c r="E104" s="64">
        <f t="shared" si="3"/>
        <v>11660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f>TRUNC(4668.14461942257,-1)</f>
        <v>4660</v>
      </c>
      <c r="E115" s="64">
        <f t="shared" si="3"/>
        <v>15400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TRUNC(17452.2309711286+41018.8976377953,-1)</f>
        <v>58470</v>
      </c>
      <c r="E117" s="64">
        <f t="shared" si="3"/>
        <v>193290</v>
      </c>
    </row>
    <row r="118" spans="1:6" ht="17.25" thickBot="1" x14ac:dyDescent="0.35">
      <c r="A118" s="2">
        <v>21</v>
      </c>
      <c r="C118" s="29" t="s">
        <v>103</v>
      </c>
      <c r="D118" s="45">
        <f>TRUNC(3551.50892388451+2623.16049868766+3587.33923884514+3235.24212598425,-1)</f>
        <v>12990</v>
      </c>
      <c r="E118" s="65">
        <f t="shared" si="3"/>
        <v>42940</v>
      </c>
      <c r="F118" s="2" t="s">
        <v>311</v>
      </c>
    </row>
    <row r="119" spans="1:6" x14ac:dyDescent="0.3">
      <c r="A119" s="2">
        <v>22</v>
      </c>
      <c r="C119" s="27" t="s">
        <v>104</v>
      </c>
      <c r="D119" s="40">
        <f>SUM(D98:D118)</f>
        <v>141440</v>
      </c>
      <c r="E119" s="40">
        <f>SUM(E98:E118)</f>
        <v>467530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TRUNC(7282.49160104987,-1)</f>
        <v>7280</v>
      </c>
      <c r="E122" s="63">
        <f t="shared" ref="E122:E132" si="4">TRUNC(+D122*3.3058,-1)</f>
        <v>24060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f>TRUNC(5899.19619422572,-1)</f>
        <v>5890</v>
      </c>
      <c r="E125" s="64">
        <f t="shared" si="4"/>
        <v>19470</v>
      </c>
    </row>
    <row r="126" spans="1:6" x14ac:dyDescent="0.3">
      <c r="A126" s="2">
        <v>5</v>
      </c>
      <c r="C126" s="29" t="s">
        <v>130</v>
      </c>
      <c r="D126" s="44">
        <f>TRUNC(5176.9656167979,-1)</f>
        <v>5170</v>
      </c>
      <c r="E126" s="64">
        <f t="shared" si="4"/>
        <v>17090</v>
      </c>
    </row>
    <row r="127" spans="1:6" x14ac:dyDescent="0.3">
      <c r="A127" s="2">
        <v>6</v>
      </c>
      <c r="C127" s="29" t="s">
        <v>131</v>
      </c>
      <c r="D127" s="44">
        <f>TRUNC(1493.56167979003,-1)</f>
        <v>1490</v>
      </c>
      <c r="E127" s="64">
        <f t="shared" si="4"/>
        <v>4920</v>
      </c>
    </row>
    <row r="128" spans="1:6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TRUNC(24825.2598425197,-1)</f>
        <v>24820</v>
      </c>
      <c r="E130" s="64">
        <f t="shared" si="4"/>
        <v>82040</v>
      </c>
    </row>
    <row r="131" spans="1:6" x14ac:dyDescent="0.3">
      <c r="A131" s="2">
        <v>10</v>
      </c>
      <c r="C131" s="29" t="s">
        <v>102</v>
      </c>
      <c r="D131" s="44">
        <f>TRUNC(24438.5826771654,-1)</f>
        <v>24430</v>
      </c>
      <c r="E131" s="64">
        <f t="shared" si="4"/>
        <v>80760</v>
      </c>
    </row>
    <row r="132" spans="1:6" ht="17.25" thickBot="1" x14ac:dyDescent="0.35">
      <c r="A132" s="2">
        <v>11</v>
      </c>
      <c r="C132" s="29" t="s">
        <v>103</v>
      </c>
      <c r="D132" s="45">
        <f>TRUNC(8752.83215223097+3034.02992125984,-1)</f>
        <v>11780</v>
      </c>
      <c r="E132" s="65">
        <f t="shared" si="4"/>
        <v>38940</v>
      </c>
      <c r="F132" s="2" t="s">
        <v>310</v>
      </c>
    </row>
    <row r="133" spans="1:6" x14ac:dyDescent="0.3">
      <c r="A133" s="2">
        <v>12</v>
      </c>
      <c r="C133" s="41" t="s">
        <v>104</v>
      </c>
      <c r="D133" s="40">
        <f>SUM(D122:D132)</f>
        <v>80860</v>
      </c>
      <c r="E133" s="40">
        <f>SUM(E122:E132)</f>
        <v>267280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TRUNC(9611.07690288714+9611.07690288714,-1)</f>
        <v>19220</v>
      </c>
      <c r="E137" s="64">
        <f t="shared" si="5"/>
        <v>63530</v>
      </c>
      <c r="F137" s="2" t="s">
        <v>312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f>TRUNC(17452.2309711286+41018.8976377953,-1)</f>
        <v>58470</v>
      </c>
      <c r="E145" s="65">
        <f t="shared" si="5"/>
        <v>193290</v>
      </c>
    </row>
    <row r="146" spans="1:6" x14ac:dyDescent="0.3">
      <c r="A146" s="2">
        <v>11</v>
      </c>
      <c r="C146" s="27" t="s">
        <v>104</v>
      </c>
      <c r="D146" s="40">
        <f>SUM(D136:D145)</f>
        <v>77690</v>
      </c>
      <c r="E146" s="40">
        <f>SUM(E136:E145)</f>
        <v>256820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f>TRUNC(10430.7834645669+1082.44593175853,-1)</f>
        <v>11510</v>
      </c>
      <c r="E149" s="63">
        <f>TRUNC(+D149*3.3058,-1)</f>
        <v>38040</v>
      </c>
    </row>
    <row r="150" spans="1:6" x14ac:dyDescent="0.3">
      <c r="A150" s="2">
        <v>2</v>
      </c>
      <c r="C150" s="39" t="s">
        <v>145</v>
      </c>
      <c r="D150" s="44">
        <f>TRUNC(6600.95052493438,-1)</f>
        <v>6600</v>
      </c>
      <c r="E150" s="64">
        <f>TRUNC(+D150*3.3058,-1)</f>
        <v>21810</v>
      </c>
    </row>
    <row r="151" spans="1:6" x14ac:dyDescent="0.3">
      <c r="A151" s="2">
        <v>3</v>
      </c>
      <c r="C151" s="39" t="s">
        <v>146</v>
      </c>
      <c r="D151" s="44">
        <f>TRUNC(5904.21404199475,-1)</f>
        <v>5900</v>
      </c>
      <c r="E151" s="64">
        <f>TRUNC(+D151*3.3058,-1)</f>
        <v>19500</v>
      </c>
    </row>
    <row r="152" spans="1:6" x14ac:dyDescent="0.3">
      <c r="A152" s="2">
        <v>4</v>
      </c>
      <c r="C152" s="39" t="s">
        <v>103</v>
      </c>
      <c r="D152" s="44">
        <f>TRUNC(74.1918635170604+1191.64146981627+1580.65433070866,-1)</f>
        <v>2840</v>
      </c>
      <c r="E152" s="64">
        <f>TRUNC(+D152*3.3058,-1)</f>
        <v>9380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26850</v>
      </c>
      <c r="E154" s="40">
        <f>SUM(E149:E153)</f>
        <v>88730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f>TRUNC(11719.7062992126,-1)</f>
        <v>11710</v>
      </c>
      <c r="E157" s="63">
        <f>TRUNC(+D157*3.3058,-1)</f>
        <v>38710</v>
      </c>
    </row>
    <row r="158" spans="1:6" x14ac:dyDescent="0.3">
      <c r="A158" s="2">
        <v>2</v>
      </c>
      <c r="C158" s="39" t="s">
        <v>149</v>
      </c>
      <c r="D158" s="44">
        <f>TRUNC(16248.7559055118,-1)</f>
        <v>16240</v>
      </c>
      <c r="E158" s="64">
        <f>TRUNC(+D158*3.3058,-1)</f>
        <v>53680</v>
      </c>
    </row>
    <row r="159" spans="1:6" x14ac:dyDescent="0.3">
      <c r="A159" s="2">
        <v>3</v>
      </c>
      <c r="C159" s="39" t="s">
        <v>103</v>
      </c>
      <c r="D159" s="44">
        <f>TRUNC(763.549081364829,-1)</f>
        <v>760</v>
      </c>
      <c r="E159" s="64">
        <f>TRUNC(+D159*3.3058,-1)</f>
        <v>2510</v>
      </c>
      <c r="F159" s="2" t="s">
        <v>314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28710</v>
      </c>
      <c r="E161" s="40">
        <f>SUM(E157:E160)</f>
        <v>94900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2020-12-07T09:24:02Z</dcterms:modified>
</cp:coreProperties>
</file>