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2" i="4"/>
  <c r="D141" i="4"/>
  <c r="D140" i="4"/>
  <c r="D137" i="4"/>
  <c r="D132" i="4"/>
  <c r="D128" i="4"/>
  <c r="D127" i="4"/>
  <c r="D126" i="4"/>
  <c r="D125" i="4"/>
  <c r="D124" i="4"/>
  <c r="D122" i="4"/>
  <c r="D118" i="4"/>
  <c r="D116" i="4"/>
  <c r="D114" i="4"/>
  <c r="D105" i="4"/>
  <c r="D104" i="4"/>
  <c r="D101" i="4"/>
  <c r="D100" i="4"/>
  <c r="D99" i="4"/>
  <c r="D98" i="4"/>
  <c r="D94" i="4"/>
  <c r="D92" i="4"/>
  <c r="D91" i="4"/>
  <c r="D89" i="4"/>
  <c r="D75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<sst xmlns="http://schemas.openxmlformats.org/spreadsheetml/2006/main" count="393" uniqueCount="267">
  <si>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</si>
  <si>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</si>
  <si>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</si>
  <si>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</si>
  <si>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</si>
  <si>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</si>
  <si>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</si>
  <si>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</si>
  <si>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</si>
  <si>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</si>
  <si>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</si>
  <si>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</si>
  <si>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</si>
  <si>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</si>
  <si>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</si>
  <si>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</si>
  <si>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</si>
  <si>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</si>
  <si>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</si>
  <si>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</si>
  <si>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</si>
  <si>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</si>
  <si>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</si>
  <si>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</si>
  <si>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</si>
  <si>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</si>
  <si>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</si>
  <si>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</si>
  <si>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</si>
  <si>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</si>
  <si>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</si>
  <si>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</si>
  <si>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</si>
  <si>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</si>
  <si>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</si>
  <si>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</si>
  <si>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</si>
  <si>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</si>
  <si>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</si>
  <si>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</si>
  <si>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</si>
  <si>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</si>
  <si>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</si>
  <si>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</si>
  <si>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</si>
  <si>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</si>
  <si>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</si>
  <si>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</si>
  <si>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</si>
  <si>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</si>
  <si>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</si>
  <si>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</si>
  <si>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</si>
  <si>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</si>
  <si>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</si>
  <si>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</si>
  <si>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</si>
  <si>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</si>
  <si>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</si>
  <si>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</si>
  <si>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</si>
  <si>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</si>
  <si>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</si>
  <si>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</si>
  <si>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</si>
  <si>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</si>
  <si>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</si>
  <si>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</si>
  <si>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</si>
  <si>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</si>
  <si>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</si>
  <si>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</si>
  <si>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</si>
  <si>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</si>
  <si>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</si>
  <si>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</si>
  <si>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</si>
  <si>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</si>
  <si>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</si>
  <si>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</si>
  <si>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</si>
  <si>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</si>
  <si>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</si>
  <si>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</si>
  <si>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</si>
  <si>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</si>
  <si>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</si>
  <si>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</si>
  <si>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</si>
  <si>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</si>
  <si>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</si>
  <si>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</si>
  <si>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</si>
  <si>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</si>
  <si>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</si>
  <si>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</si>
  <si>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</si>
  <si>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</si>
  <si>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</si>
  <si>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</si>
  <si>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</si>
  <si>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</si>
  <si>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</si>
  <si>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</si>
  <si>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</si>
  <si>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</si>
  <si>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</si>
  <si>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</si>
  <si>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</si>
  <si>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</si>
  <si>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</si>
  <si>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</si>
  <si>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</si>
  <si>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</si>
  <si>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</si>
  <si>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</si>
  <si>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</si>
  <si>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</si>
  <si>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</si>
  <si>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</si>
  <si>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</si>
  <si>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</si>
  <si>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</si>
  <si>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</si>
  <si>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</si>
  <si>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</si>
  <si>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</si>
  <si>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</si>
  <si>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</si>
  <si>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</si>
  <si>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</si>
  <si>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</si>
  <si>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</si>
  <si>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</si>
  <si>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</si>
  <si>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</si>
  <si>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</si>
  <si>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</si>
  <si>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</si>
  <si>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</si>
  <si>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</si>
  <si>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</si>
  <si>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</si>
  <si>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</si>
  <si>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</si>
  <si>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</si>
  <si>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</si>
  <si>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</si>
  <si>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</si>
  <si>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</si>
  <si>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</si>
  <si>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</si>
  <si>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</si>
  <si>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</si>
  <si>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</si>
  <si>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</si>
  <si>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</si>
  <si>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</si>
  <si>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</si>
  <si>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</si>
  <si>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</si>
  <si>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</si>
  <si>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</si>
  <si>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</si>
  <si>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</si>
  <si>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</si>
  <si>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</si>
  <si>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</si>
  <si>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</si>
  <si>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</si>
  <si>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</si>
  <si>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</si>
  <si>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</si>
  <si>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</si>
  <si>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</si>
  <si>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</si>
  <si>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</si>
  <si>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</si>
  <si>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</si>
  <si>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</si>
  <si>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</si>
  <si>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</si>
  <si>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</si>
  <si>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</si>
  <si>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</si>
  <si>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</si>
  <si>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</si>
  <si>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</si>
  <si>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</si>
  <si>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</si>
  <si>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</si>
  <si>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</si>
  <si>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</si>
  <si>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</si>
  <si>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</si>
  <si>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</si>
  <si>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</si>
  <si>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</si>
  <si>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</si>
  <si>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</si>
  <si>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</si>
  <si>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</si>
  <si>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</si>
  <si>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</si>
  <si>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</si>
  <si>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</si>
  <si>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</si>
  <si>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</si>
  <si>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</si>
  <si>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</si>
  <si>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</si>
  <si>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</si>
  <si>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</si>
  <si>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</si>
  <si>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</si>
  <si>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</si>
  <si>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</si>
  <si>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</si>
  <si>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</si>
  <si>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</si>
  <si>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</si>
  <si>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</si>
  <si>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</si>
  <si>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</si>
  <si>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</si>
  <si>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</si>
  <si>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</si>
  <si>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</si>
  <si>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</si>
  <si>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</si>
  <si>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</si>
  <si>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</si>
  <si>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</si>
  <si>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</si>
  <si>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</si>
  <si>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</si>
  <si>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</si>
  <si>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</si>
  <si>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</si>
  <si>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</si>
  <si>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</si>
  <si>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</si>
  <si>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</si>
  <si>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</si>
  <si>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</si>
  <si>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</si>
  <si>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</si>
  <si>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</si>
  <si>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</si>
  <si>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</si>
  <si>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</si>
  <si>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</si>
  <si>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</si>
  <si>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</si>
  <si>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</si>
  <si>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</si>
  <si>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</si>
  <si>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>교육연구</t>
  </si>
  <si>
    <t>철도완성차 안전시험연구시설 건설공사</t>
    <phoneticPr fontId="2" type="noConversion"/>
  </si>
  <si>
    <t>충청도</t>
  </si>
  <si>
    <t>기초공사, 해체및철거공사, 골재비및운반비, 작업부산물, 기타공사</t>
    <phoneticPr fontId="2" type="noConversion"/>
  </si>
  <si>
    <t>공조배관공사, 우수처리시설공사, 기타공사</t>
    <phoneticPr fontId="2" type="noConversion"/>
  </si>
  <si>
    <t>옥외소화배관공사, 펌프실배관공사, 기타공사</t>
    <phoneticPr fontId="2" type="noConversion"/>
  </si>
  <si>
    <t>상수도공사,운반비,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</si>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</sst>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12500.01</v>
      </c>
      <c r="D7" s="36">
        <f>+C7/3.3058</f>
        <v>3781.2360094379574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1110210</v>
      </c>
      <c r="E25" s="59">
        <f t="shared" si="0"/>
        <v>3670130</v>
      </c>
    </row>
    <row r="26" spans="1:5" x14ac:dyDescent="0.3">
      <c r="B26" s="2">
        <v>3</v>
      </c>
      <c r="C26" s="35" t="s">
        <v>95</v>
      </c>
      <c r="D26" s="45">
        <f>+D66</f>
        <v>47210</v>
      </c>
      <c r="E26" s="59">
        <f t="shared" si="0"/>
        <v>156060</v>
      </c>
    </row>
    <row r="27" spans="1:5" x14ac:dyDescent="0.3">
      <c r="B27" s="2">
        <v>4</v>
      </c>
      <c r="C27" s="35" t="s">
        <v>96</v>
      </c>
      <c r="D27" s="45">
        <f>+D95</f>
        <v>92150</v>
      </c>
      <c r="E27" s="59">
        <f t="shared" si="0"/>
        <v>304620</v>
      </c>
    </row>
    <row r="28" spans="1:5" x14ac:dyDescent="0.3">
      <c r="B28" s="2">
        <v>5</v>
      </c>
      <c r="C28" s="35" t="s">
        <v>97</v>
      </c>
      <c r="D28" s="45">
        <f>+D119</f>
        <v>120400</v>
      </c>
      <c r="E28" s="59">
        <f t="shared" si="0"/>
        <v>398010</v>
      </c>
    </row>
    <row r="29" spans="1:5" x14ac:dyDescent="0.3">
      <c r="B29" s="2">
        <v>6</v>
      </c>
      <c r="C29" s="35" t="s">
        <v>98</v>
      </c>
      <c r="D29" s="45">
        <f>+D133</f>
        <v>77820</v>
      </c>
      <c r="E29" s="59">
        <f t="shared" si="0"/>
        <v>257250</v>
      </c>
    </row>
    <row r="30" spans="1:5" x14ac:dyDescent="0.3">
      <c r="B30" s="2">
        <v>7</v>
      </c>
      <c r="C30" s="35" t="s">
        <v>99</v>
      </c>
      <c r="D30" s="45">
        <f>+D146</f>
        <v>28760</v>
      </c>
      <c r="E30" s="59">
        <f t="shared" si="0"/>
        <v>95070</v>
      </c>
    </row>
    <row r="31" spans="1:5" x14ac:dyDescent="0.3">
      <c r="B31" s="2">
        <v>8</v>
      </c>
      <c r="C31" s="35" t="s">
        <v>100</v>
      </c>
      <c r="D31" s="45">
        <f>+D154</f>
        <v>24950</v>
      </c>
      <c r="E31" s="59">
        <f t="shared" si="0"/>
        <v>82470</v>
      </c>
    </row>
    <row r="32" spans="1:5" x14ac:dyDescent="0.3">
      <c r="B32" s="2">
        <v>9</v>
      </c>
      <c r="C32" s="35" t="s">
        <v>101</v>
      </c>
      <c r="D32" s="45">
        <f>+D161</f>
        <v>18300</v>
      </c>
      <c r="E32" s="59">
        <f t="shared" si="0"/>
        <v>60490</v>
      </c>
    </row>
    <row r="33" spans="1:7" x14ac:dyDescent="0.3">
      <c r="B33" s="2">
        <v>10</v>
      </c>
      <c r="C33" s="35" t="s">
        <v>155</v>
      </c>
      <c r="D33" s="53">
        <f>TRUNC(SUM(D24:D32)*0.275,-1)</f>
        <v>417940</v>
      </c>
      <c r="E33" s="60">
        <f t="shared" si="0"/>
        <v>1381620</v>
      </c>
    </row>
    <row r="34" spans="1:7" x14ac:dyDescent="0.3">
      <c r="C34" s="35" t="s">
        <v>112</v>
      </c>
      <c r="D34" s="44">
        <f>SUM(D24:D33)</f>
        <v>1937740</v>
      </c>
      <c r="E34" s="44">
        <f>SUM(E24:E33)</f>
        <v>6405720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TRUNC(35148,-1)</f>
        <v>35140</v>
      </c>
      <c r="E40" s="62">
        <f t="shared" ref="E40:E59" si="1">TRUNC(+D40*3.3058,-1)</f>
        <v>116160</v>
      </c>
    </row>
    <row r="41" spans="1:7" x14ac:dyDescent="0.3">
      <c r="A41" s="2">
        <v>2</v>
      </c>
      <c r="C41" s="38" t="s">
        <v>13</v>
      </c>
      <c r="D41" s="42">
        <f>TRUNC(137291,-1)</f>
        <v>137290</v>
      </c>
      <c r="E41" s="63">
        <f t="shared" si="1"/>
        <v>453850</v>
      </c>
    </row>
    <row r="42" spans="1:7" x14ac:dyDescent="0.3">
      <c r="A42" s="2">
        <v>3</v>
      </c>
      <c r="C42" s="38" t="s">
        <v>14</v>
      </c>
      <c r="D42" s="42">
        <f>TRUNC(140961,-1)</f>
        <v>140960</v>
      </c>
      <c r="E42" s="63">
        <f t="shared" si="1"/>
        <v>465980</v>
      </c>
    </row>
    <row r="43" spans="1:7" x14ac:dyDescent="0.3">
      <c r="A43" s="2">
        <v>4</v>
      </c>
      <c r="C43" s="38" t="s">
        <v>16</v>
      </c>
      <c r="D43" s="42">
        <f>TRUNC(4615,-1)</f>
        <v>4610</v>
      </c>
      <c r="E43" s="63">
        <f t="shared" si="1"/>
        <v>15230</v>
      </c>
    </row>
    <row r="44" spans="1:7" x14ac:dyDescent="0.3">
      <c r="A44" s="2">
        <v>5</v>
      </c>
      <c r="C44" s="38" t="s">
        <v>17</v>
      </c>
      <c r="D44" s="42">
        <f>TRUNC(12072,-1)</f>
        <v>12070</v>
      </c>
      <c r="E44" s="63">
        <f t="shared" si="1"/>
        <v>39900</v>
      </c>
    </row>
    <row r="45" spans="1:7" x14ac:dyDescent="0.3">
      <c r="A45" s="2">
        <v>6</v>
      </c>
      <c r="C45" s="38" t="s">
        <v>18</v>
      </c>
      <c r="D45" s="42">
        <f>TRUNC(964,-1)</f>
        <v>960</v>
      </c>
      <c r="E45" s="63">
        <f t="shared" si="1"/>
        <v>3170</v>
      </c>
    </row>
    <row r="46" spans="1:7" x14ac:dyDescent="0.3">
      <c r="A46" s="2">
        <v>7</v>
      </c>
      <c r="C46" s="38" t="s">
        <v>19</v>
      </c>
      <c r="D46" s="42">
        <f>TRUNC(3184,-1)</f>
        <v>3180</v>
      </c>
      <c r="E46" s="63">
        <f t="shared" si="1"/>
        <v>10510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TRUNC(57019,-1)</f>
        <v>57010</v>
      </c>
      <c r="E48" s="63">
        <f t="shared" si="1"/>
        <v>188460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TRUNC(7709,-1)</f>
        <v>7700</v>
      </c>
      <c r="E49" s="63">
        <f t="shared" si="1"/>
        <v>25450</v>
      </c>
    </row>
    <row r="50" spans="1:7" x14ac:dyDescent="0.3">
      <c r="A50" s="2">
        <v>11</v>
      </c>
      <c r="C50" s="38" t="s">
        <v>156</v>
      </c>
      <c r="D50" s="42">
        <f>TRUNC(29362,-1)</f>
        <v>29360</v>
      </c>
      <c r="E50" s="63">
        <f t="shared" si="1"/>
        <v>97050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TRUNC(4788,-1)</f>
        <v>4780</v>
      </c>
      <c r="E52" s="63">
        <f t="shared" si="1"/>
        <v>15800</v>
      </c>
    </row>
    <row r="53" spans="1:7" x14ac:dyDescent="0.3">
      <c r="A53" s="2">
        <v>14</v>
      </c>
      <c r="C53" s="38" t="s">
        <v>25</v>
      </c>
      <c r="D53" s="42">
        <f>TRUNC(64578,-1)</f>
        <v>64570</v>
      </c>
      <c r="E53" s="63">
        <f t="shared" si="1"/>
        <v>213450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TRUNC(41513+1217+2826-840+70023,-1)</f>
        <v>114730</v>
      </c>
      <c r="E58" s="63">
        <f t="shared" si="1"/>
        <v>379270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TRUNC(497857,-1)</f>
        <v>497850</v>
      </c>
      <c r="E59" s="64">
        <f t="shared" si="1"/>
        <v>1645790</v>
      </c>
    </row>
    <row r="60" spans="1:7" x14ac:dyDescent="0.3">
      <c r="A60" s="2">
        <v>21</v>
      </c>
      <c r="C60" s="27" t="s">
        <v>112</v>
      </c>
      <c r="D60" s="39">
        <f>SUM(D40:D59)</f>
        <v>1110210</v>
      </c>
      <c r="E60" s="39">
        <f>SUM(E40:E59)</f>
        <v>3670070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TRUNC(24933,-1)</f>
        <v>24930</v>
      </c>
      <c r="E63" s="62">
        <f>TRUNC(+D63*3.3058,-1)</f>
        <v>82410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TRUNC(22284,-1)</f>
        <v>22280</v>
      </c>
      <c r="E65" s="64">
        <f>TRUNC(+D65*3.3058,-1)</f>
        <v>73650</v>
      </c>
    </row>
    <row r="66" spans="1:7" x14ac:dyDescent="0.3">
      <c r="A66" s="2">
        <v>4</v>
      </c>
      <c r="C66" s="27" t="s">
        <v>112</v>
      </c>
      <c r="D66" s="39">
        <f>SUM(D63:D65)</f>
        <v>47210</v>
      </c>
      <c r="E66" s="65">
        <f>SUM(E63:E65)</f>
        <v>156060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TRUNC(10478,-1)</f>
        <v>10470</v>
      </c>
      <c r="E69" s="62">
        <f t="shared" ref="E69:E94" si="2">TRUNC(+D69*3.3058,-1)</f>
        <v>34610</v>
      </c>
    </row>
    <row r="70" spans="1:7" ht="16.5" customHeight="1" x14ac:dyDescent="0.3">
      <c r="A70" s="2">
        <v>2</v>
      </c>
      <c r="C70" s="38" t="s">
        <v>31</v>
      </c>
      <c r="D70" s="42">
        <f>TRUNC(442,-1)</f>
        <v>440</v>
      </c>
      <c r="E70" s="63">
        <f t="shared" si="2"/>
        <v>1450</v>
      </c>
    </row>
    <row r="71" spans="1:7" x14ac:dyDescent="0.3">
      <c r="A71" s="2">
        <v>3</v>
      </c>
      <c r="C71" s="38" t="s">
        <v>32</v>
      </c>
      <c r="D71" s="42">
        <f>TRUNC(11661,-1)</f>
        <v>11660</v>
      </c>
      <c r="E71" s="63">
        <f t="shared" si="2"/>
        <v>38540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TRUNC(2803,-1)</f>
        <v>2800</v>
      </c>
      <c r="E73" s="63">
        <f t="shared" si="2"/>
        <v>9250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TRUNC(1907,-1)</f>
        <v>1900</v>
      </c>
      <c r="E75" s="63">
        <f t="shared" si="2"/>
        <v>6280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TRUNC(6088,-1)</f>
        <v>6080</v>
      </c>
      <c r="E89" s="63">
        <f t="shared" si="2"/>
        <v>20090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TRUNC(39152,-1)</f>
        <v>39150</v>
      </c>
      <c r="E91" s="63">
        <f t="shared" si="2"/>
        <v>129420</v>
      </c>
    </row>
    <row r="92" spans="1:7" x14ac:dyDescent="0.3">
      <c r="A92" s="2">
        <v>24</v>
      </c>
      <c r="C92" s="38" t="s">
        <v>38</v>
      </c>
      <c r="D92" s="42">
        <f>TRUNC(2256,-1)</f>
        <v>2250</v>
      </c>
      <c r="E92" s="63">
        <f t="shared" si="2"/>
        <v>7430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TRUNC(12053+2283+3071,-1)</f>
        <v>17400</v>
      </c>
      <c r="E94" s="64">
        <f t="shared" si="2"/>
        <v>57520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92150</v>
      </c>
      <c r="E95" s="39">
        <f>SUM(E69:E94)</f>
        <v>304590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TRUNC(31302,-1)</f>
        <v>31300</v>
      </c>
      <c r="E98" s="62">
        <f t="shared" ref="E98:E118" si="3">TRUNC(+D98*3.3058,-1)</f>
        <v>103470</v>
      </c>
    </row>
    <row r="99" spans="1:7" x14ac:dyDescent="0.3">
      <c r="A99" s="2">
        <v>2</v>
      </c>
      <c r="C99" s="38" t="s">
        <v>40</v>
      </c>
      <c r="D99" s="42">
        <f>TRUNC(19662,-1)</f>
        <v>19660</v>
      </c>
      <c r="E99" s="63">
        <f t="shared" si="3"/>
        <v>64990</v>
      </c>
    </row>
    <row r="100" spans="1:7" x14ac:dyDescent="0.3">
      <c r="A100" s="2">
        <v>3</v>
      </c>
      <c r="C100" s="38" t="s">
        <v>41</v>
      </c>
      <c r="D100" s="42">
        <f>TRUNC(31492,-1)</f>
        <v>31490</v>
      </c>
      <c r="E100" s="63">
        <f t="shared" si="3"/>
        <v>104090</v>
      </c>
    </row>
    <row r="101" spans="1:7" x14ac:dyDescent="0.3">
      <c r="A101" s="2">
        <v>4</v>
      </c>
      <c r="C101" s="38" t="s">
        <v>42</v>
      </c>
      <c r="D101" s="42">
        <f>TRUNC(739,-1)</f>
        <v>730</v>
      </c>
      <c r="E101" s="63">
        <f t="shared" si="3"/>
        <v>2410</v>
      </c>
    </row>
    <row r="102" spans="1:7" x14ac:dyDescent="0.3">
      <c r="A102" s="2">
        <v>5</v>
      </c>
      <c r="C102" s="38" t="s">
        <v>43</v>
      </c>
      <c r="D102" s="42">
        <v>13510</v>
      </c>
      <c r="E102" s="63">
        <f t="shared" si="3"/>
        <v>44660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TRUNC(2722,-1)</f>
        <v>2720</v>
      </c>
      <c r="E104" s="63">
        <f t="shared" si="3"/>
        <v>8990</v>
      </c>
    </row>
    <row r="105" spans="1:7" x14ac:dyDescent="0.3">
      <c r="A105" s="2">
        <v>8</v>
      </c>
      <c r="C105" s="38" t="s">
        <v>46</v>
      </c>
      <c r="D105" s="42">
        <f>TRUNC(6914,-1)</f>
        <v>6910</v>
      </c>
      <c r="E105" s="63">
        <f t="shared" si="3"/>
        <v>22840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TRUNC(3513,-1)</f>
        <v>3510</v>
      </c>
      <c r="E114" s="63">
        <f t="shared" si="3"/>
        <v>11600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TRUNC(10545,-1)</f>
        <v>10540</v>
      </c>
      <c r="E116" s="63">
        <f t="shared" si="3"/>
        <v>34840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TRUNC(39,-1)</f>
        <v>30</v>
      </c>
      <c r="E118" s="64">
        <f t="shared" si="3"/>
        <v>90</v>
      </c>
    </row>
    <row r="119" spans="1:7" x14ac:dyDescent="0.3">
      <c r="A119" s="2">
        <v>22</v>
      </c>
      <c r="C119" s="27" t="s">
        <v>112</v>
      </c>
      <c r="D119" s="39">
        <f>SUM(D98:D118)</f>
        <v>120400</v>
      </c>
      <c r="E119" s="39">
        <f>SUM(E98:E118)</f>
        <v>397980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TRUNC(5407,-1)</f>
        <v>5400</v>
      </c>
      <c r="E122" s="62">
        <f t="shared" ref="E122:E132" si="4">TRUNC(+D122*3.3058,-1)</f>
        <v>17850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TRUNC(921,-1)</f>
        <v>920</v>
      </c>
      <c r="E124" s="63">
        <f t="shared" si="4"/>
        <v>3040</v>
      </c>
    </row>
    <row r="125" spans="1:7" x14ac:dyDescent="0.3">
      <c r="A125" s="2">
        <v>4</v>
      </c>
      <c r="C125" s="38" t="s">
        <v>138</v>
      </c>
      <c r="D125" s="42">
        <f>TRUNC(10221,-1)</f>
        <v>10220</v>
      </c>
      <c r="E125" s="63">
        <f t="shared" si="4"/>
        <v>33780</v>
      </c>
    </row>
    <row r="126" spans="1:7" x14ac:dyDescent="0.3">
      <c r="A126" s="2">
        <v>5</v>
      </c>
      <c r="C126" s="38" t="s">
        <v>53</v>
      </c>
      <c r="D126" s="42">
        <f>TRUNC(14145,-1)</f>
        <v>14140</v>
      </c>
      <c r="E126" s="63">
        <f t="shared" si="4"/>
        <v>46740</v>
      </c>
    </row>
    <row r="127" spans="1:7" x14ac:dyDescent="0.3">
      <c r="A127" s="2">
        <v>6</v>
      </c>
      <c r="C127" s="38" t="s">
        <v>56</v>
      </c>
      <c r="D127" s="42">
        <f>TRUNC(4647,-1)</f>
        <v>4640</v>
      </c>
      <c r="E127" s="63">
        <f t="shared" si="4"/>
        <v>15330</v>
      </c>
    </row>
    <row r="128" spans="1:7" x14ac:dyDescent="0.3">
      <c r="A128" s="2">
        <v>7</v>
      </c>
      <c r="C128" s="38" t="s">
        <v>46</v>
      </c>
      <c r="D128" s="42">
        <f>TRUNC(5556,-1)</f>
        <v>5550</v>
      </c>
      <c r="E128" s="63">
        <f t="shared" si="4"/>
        <v>18340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32160</v>
      </c>
      <c r="E130" s="63">
        <f t="shared" si="4"/>
        <v>106310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TRUNC(4523+269,-1)</f>
        <v>4790</v>
      </c>
      <c r="E132" s="64">
        <f t="shared" si="4"/>
        <v>15830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77820</v>
      </c>
      <c r="E133" s="39">
        <f>SUM(E122:E132)</f>
        <v>257220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TRUNC(777+834+1360,-1)</f>
        <v>2970</v>
      </c>
      <c r="E137" s="63">
        <f t="shared" si="5"/>
        <v>9810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TRUNC(556,-1)</f>
        <v>550</v>
      </c>
      <c r="E140" s="63">
        <f t="shared" si="5"/>
        <v>1810</v>
      </c>
    </row>
    <row r="141" spans="1:7" x14ac:dyDescent="0.3">
      <c r="A141" s="2">
        <v>6</v>
      </c>
      <c r="C141" s="38" t="s">
        <v>59</v>
      </c>
      <c r="D141" s="42">
        <f>TRUNC(785,-1)</f>
        <v>780</v>
      </c>
      <c r="E141" s="63">
        <f t="shared" si="5"/>
        <v>2570</v>
      </c>
    </row>
    <row r="142" spans="1:7" x14ac:dyDescent="0.3">
      <c r="A142" s="2">
        <v>7</v>
      </c>
      <c r="C142" s="38" t="s">
        <v>58</v>
      </c>
      <c r="D142" s="42">
        <f>TRUNC(5136,-1)</f>
        <v>5130</v>
      </c>
      <c r="E142" s="63">
        <f t="shared" si="5"/>
        <v>16950</v>
      </c>
    </row>
    <row r="143" spans="1:7" x14ac:dyDescent="0.3">
      <c r="A143" s="2">
        <v>8</v>
      </c>
      <c r="C143" s="38" t="s">
        <v>62</v>
      </c>
      <c r="D143" s="42">
        <f>TRUNC(3616,-1)</f>
        <v>3610</v>
      </c>
      <c r="E143" s="63">
        <f t="shared" si="5"/>
        <v>11930</v>
      </c>
    </row>
    <row r="144" spans="1:7" x14ac:dyDescent="0.3">
      <c r="A144" s="2">
        <v>9</v>
      </c>
      <c r="C144" s="38" t="s">
        <v>63</v>
      </c>
      <c r="D144" s="42">
        <f>TRUNC(15721,-1)</f>
        <v>15720</v>
      </c>
      <c r="E144" s="63">
        <f t="shared" si="5"/>
        <v>51960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28760</v>
      </c>
      <c r="E146" s="39">
        <f>SUM(E136:E145)</f>
        <v>95030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TRUNC(6691+2535,-1)</f>
        <v>9220</v>
      </c>
      <c r="E149" s="62">
        <f>TRUNC(+D149*3.3058,-1)</f>
        <v>30470</v>
      </c>
    </row>
    <row r="150" spans="1:7" x14ac:dyDescent="0.3">
      <c r="A150" s="2">
        <v>2</v>
      </c>
      <c r="C150" s="38" t="s">
        <v>49</v>
      </c>
      <c r="D150" s="42">
        <f>TRUNC(8036,-1)</f>
        <v>8030</v>
      </c>
      <c r="E150" s="63">
        <f>TRUNC(+D150*3.3058,-1)</f>
        <v>26540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TRUNC(1670+510+5529,-1)</f>
        <v>7700</v>
      </c>
      <c r="E152" s="63">
        <f>TRUNC(+D152*3.3058,-1)</f>
        <v>25450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24950</v>
      </c>
      <c r="E154" s="39">
        <f>SUM(E149:E153)</f>
        <v>82460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TRUNC(8953,-1)</f>
        <v>8950</v>
      </c>
      <c r="E157" s="62">
        <f>TRUNC(+D157*3.3058,-1)</f>
        <v>29580</v>
      </c>
    </row>
    <row r="158" spans="1:7" x14ac:dyDescent="0.3">
      <c r="A158" s="2">
        <v>2</v>
      </c>
      <c r="C158" s="38" t="s">
        <v>52</v>
      </c>
      <c r="D158" s="42">
        <f>TRUNC(368,-1)</f>
        <v>360</v>
      </c>
      <c r="E158" s="63">
        <f>TRUNC(+D158*3.3058,-1)</f>
        <v>1190</v>
      </c>
    </row>
    <row r="159" spans="1:7" x14ac:dyDescent="0.3">
      <c r="A159" s="2">
        <v>3</v>
      </c>
      <c r="C159" s="38" t="s">
        <v>47</v>
      </c>
      <c r="D159" s="42">
        <f>TRUNC(4857+4134,-1)</f>
        <v>8990</v>
      </c>
      <c r="E159" s="63">
        <f>TRUNC(+D159*3.3058,-1)</f>
        <v>29710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18300</v>
      </c>
      <c r="E161" s="39">
        <f>SUM(E157:E160)</f>
        <v>60480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2020-12-08T01:22:54Z</dcterms:modified>
</cp:coreProperties>
</file>