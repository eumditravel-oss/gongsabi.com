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8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94" i="4" l="1"/>
  <c r="D159" i="4" l="1"/>
  <c r="D158" i="4"/>
  <c r="D157" i="4"/>
  <c r="D152" i="4"/>
  <c r="D150" i="4"/>
  <c r="D149" i="4"/>
  <c r="D137" i="4"/>
  <c r="D144" i="4"/>
  <c r="D143" i="4"/>
  <c r="D139" i="4"/>
  <c r="D141" i="4"/>
  <c r="D142" i="4"/>
  <c r="D140" i="4"/>
  <c r="D132" i="4"/>
  <c r="D128" i="4"/>
  <c r="D124" i="4"/>
  <c r="D125" i="4"/>
  <c r="D122" i="4"/>
  <c r="D130" i="4"/>
  <c r="D118" i="4"/>
  <c r="D105" i="4"/>
  <c r="D104" i="4"/>
  <c r="D103" i="4"/>
  <c r="D102" i="4"/>
  <c r="D100" i="4"/>
  <c r="D99" i="4"/>
  <c r="D114" i="4"/>
  <c r="D98" i="4"/>
  <c r="D116" i="4"/>
  <c r="D92" i="4"/>
  <c r="D91" i="4"/>
  <c r="D89" i="4"/>
  <c r="D73" i="4"/>
  <c r="D71" i="4"/>
  <c r="D70" i="4"/>
  <c r="D69" i="4"/>
  <c r="D63" i="4"/>
  <c r="D58" i="4"/>
  <c r="D53" i="4"/>
  <c r="D52" i="4"/>
  <c r="D50" i="4"/>
  <c r="D49" i="4"/>
  <c r="D48" i="4"/>
  <c r="D46" i="4"/>
  <c r="D45" i="4"/>
  <c r="D44" i="4"/>
  <c r="D43" i="4"/>
  <c r="D42" i="4"/>
  <c r="D41" i="4"/>
  <c r="D40" i="4"/>
  <c r="D59" i="4"/>
  <c r="D160" i="4"/>
  <c r="D153" i="4"/>
  <c r="D131" i="4"/>
  <c r="D117" i="4"/>
  <c r="D93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61" i="4"/>
  <c r="E154" i="4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29" i="4"/>
  <c r="E29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E34" i="4" l="1"/>
  <c r="D34" i="4"/>
</calcChain>
</file>

<file path=xl/sharedStrings.xml><?xml version="1.0" encoding="utf-8"?>
<sst xmlns="http://schemas.openxmlformats.org/spreadsheetml/2006/main" count="395" uniqueCount="270">
  <si>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</si>
  <si>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</si>
  <si>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</si>
  <si>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</si>
  <si>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</si>
  <si>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</si>
  <si>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</si>
  <si>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</si>
  <si>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</si>
  <si>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</si>
  <si>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</si>
  <si>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</si>
  <si>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</si>
  <si>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</si>
  <si>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</si>
  <si>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</si>
  <si>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</si>
  <si>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</si>
  <si>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</si>
  <si>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</si>
  <si>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</si>
  <si>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</si>
  <si>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</si>
  <si>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</si>
  <si>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</si>
  <si>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</si>
  <si>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</si>
  <si>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</si>
  <si>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</si>
  <si>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</si>
  <si>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</si>
  <si>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</si>
  <si>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</si>
  <si>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</si>
  <si>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</si>
  <si>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</si>
  <si>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</si>
  <si>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</si>
  <si>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</si>
  <si>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</si>
  <si>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</si>
  <si>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</si>
  <si>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</si>
  <si>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</si>
  <si>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</si>
  <si>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</si>
  <si>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</si>
  <si>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</si>
  <si>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</si>
  <si>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</si>
  <si>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</si>
  <si>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</si>
  <si>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</si>
  <si>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</si>
  <si>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</si>
  <si>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</si>
  <si>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</si>
  <si>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</si>
  <si>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</si>
  <si>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</si>
  <si>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</si>
  <si>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</si>
  <si>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</si>
  <si>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</si>
  <si>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</si>
  <si>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</si>
  <si>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</si>
  <si>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</si>
  <si>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</si>
  <si>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</si>
  <si>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</si>
  <si>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</si>
  <si>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</si>
  <si>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</si>
  <si>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</si>
  <si>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</si>
  <si>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</si>
  <si>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</si>
  <si>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</si>
  <si>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</si>
  <si>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</si>
  <si>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</si>
  <si>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</si>
  <si>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</si>
  <si>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</si>
  <si>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</si>
  <si>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</si>
  <si>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</si>
  <si>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</si>
  <si>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</si>
  <si>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</si>
  <si>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</si>
  <si>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</si>
  <si>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</si>
  <si>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</si>
  <si>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</si>
  <si>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</si>
  <si>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</si>
  <si>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</si>
  <si>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</si>
  <si>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</si>
  <si>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</si>
  <si>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</si>
  <si>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</si>
  <si>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</si>
  <si>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</si>
  <si>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</si>
  <si>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</si>
  <si>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</si>
  <si>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</si>
  <si>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</si>
  <si>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</si>
  <si>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</si>
  <si>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</si>
  <si>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</si>
  <si>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</si>
  <si>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</si>
  <si>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</si>
  <si>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</si>
  <si>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</si>
  <si>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</si>
  <si>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</si>
  <si>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</si>
  <si>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</si>
  <si>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</si>
  <si>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</si>
  <si>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</si>
  <si>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</si>
  <si>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</si>
  <si>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</si>
  <si>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</si>
  <si>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</si>
  <si>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</si>
  <si>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</si>
  <si>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</si>
  <si>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</si>
  <si>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</si>
  <si>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</si>
  <si>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</si>
  <si>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</si>
  <si>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</si>
  <si>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</si>
  <si>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</si>
  <si>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</si>
  <si>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</si>
  <si>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</si>
  <si>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</si>
  <si>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</si>
  <si>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</si>
  <si>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</si>
  <si>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</si>
  <si>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</si>
  <si>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</si>
  <si>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</si>
  <si>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</si>
  <si>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</si>
  <si>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</si>
  <si>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</si>
  <si>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</si>
  <si>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</si>
  <si>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</si>
  <si>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</si>
  <si>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</si>
  <si>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</si>
  <si>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</si>
  <si>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</si>
  <si>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</si>
  <si>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</si>
  <si>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</si>
  <si>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</si>
  <si>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</si>
  <si>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</si>
  <si>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</si>
  <si>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</si>
  <si>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</si>
  <si>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</si>
  <si>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</si>
  <si>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</si>
  <si>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</si>
  <si>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</si>
  <si>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</si>
  <si>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</si>
  <si>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</si>
  <si>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</si>
  <si>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</si>
  <si>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</si>
  <si>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</si>
  <si>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</si>
  <si>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</si>
  <si>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</si>
  <si>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</si>
  <si>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</si>
  <si>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</si>
  <si>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</si>
  <si>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</si>
  <si>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</si>
  <si>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</si>
  <si>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</si>
  <si>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</si>
  <si>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</si>
  <si>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</si>
  <si>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</si>
  <si>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</si>
  <si>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</si>
  <si>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</si>
  <si>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</si>
  <si>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</si>
  <si>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</si>
  <si>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</si>
  <si>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</si>
  <si>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</si>
  <si>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</si>
  <si>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</si>
  <si>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</si>
  <si>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</si>
  <si>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</si>
  <si>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</si>
  <si>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</si>
  <si>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</si>
  <si>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</si>
  <si>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</si>
  <si>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</si>
  <si>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</si>
  <si>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</si>
  <si>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</si>
  <si>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</si>
  <si>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</si>
  <si>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</si>
  <si>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</si>
  <si>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</si>
  <si>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</si>
  <si>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</si>
  <si>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</si>
  <si>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</si>
  <si>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</si>
  <si>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</si>
  <si>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</si>
  <si>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</si>
  <si>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</si>
  <si>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</si>
  <si>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</si>
  <si>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</si>
  <si>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</si>
  <si>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</si>
  <si>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</si>
  <si>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</si>
  <si>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</si>
  <si>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</si>
  <si>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나노금형상용화지원센터 신축공사</t>
    <phoneticPr fontId="2" type="noConversion"/>
  </si>
  <si>
    <t>교육연구</t>
  </si>
  <si>
    <t>경상도</t>
  </si>
  <si>
    <t>포장공사,기타공사</t>
    <phoneticPr fontId="2" type="noConversion"/>
  </si>
  <si>
    <t>조경시설물</t>
    <phoneticPr fontId="2" type="noConversion"/>
  </si>
  <si>
    <t>우수공사,오수공사</t>
    <phoneticPr fontId="2" type="noConversion"/>
  </si>
  <si>
    <t>사급자재비</t>
    <phoneticPr fontId="2" type="noConversion"/>
  </si>
  <si>
    <t>옥외소화배관공사,펌프실배관공사,기타공사</t>
    <phoneticPr fontId="2" type="noConversion"/>
  </si>
  <si>
    <t>CATV 및 TV 설비공사</t>
    <phoneticPr fontId="2" type="noConversion"/>
  </si>
  <si>
    <t>CCTV설비공사</t>
    <phoneticPr fontId="2" type="noConversion"/>
  </si>
  <si>
    <t xml:space="preserve">기타공사 </t>
    <phoneticPr fontId="2" type="noConversion"/>
  </si>
  <si>
    <t>전기인입 및 수변전 설비공사</t>
    <phoneticPr fontId="2" type="noConversion"/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</si>
  <si>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</si>
  <si>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</si>
  <si>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</si>
  <si>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기초공사,폐기물처리비,골재비및운반비,작업부산물,기타공사</t>
    <phoneticPr fontId="2" type="noConversion"/>
  </si>
  <si>
    <t>공조배관공사,난방배관공사,기타공사, 바닥난방공사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</si>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</sst>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267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7606.22</v>
      </c>
      <c r="D7" s="36">
        <f>+C7/3.3058</f>
        <v>2300.8711960796177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208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268</v>
      </c>
    </row>
    <row r="19" spans="1:5" x14ac:dyDescent="0.3">
      <c r="A19" s="2">
        <v>9</v>
      </c>
      <c r="B19" s="2" t="s">
        <v>269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812870</v>
      </c>
      <c r="E25" s="59">
        <f t="shared" si="0"/>
        <v>2687180</v>
      </c>
    </row>
    <row r="26" spans="1:5" x14ac:dyDescent="0.3">
      <c r="B26" s="2">
        <v>3</v>
      </c>
      <c r="C26" s="35" t="s">
        <v>95</v>
      </c>
      <c r="D26" s="45">
        <f>+D66</f>
        <v>1870</v>
      </c>
      <c r="E26" s="59">
        <f t="shared" si="0"/>
        <v>6180</v>
      </c>
    </row>
    <row r="27" spans="1:5" x14ac:dyDescent="0.3">
      <c r="B27" s="2">
        <v>4</v>
      </c>
      <c r="C27" s="35" t="s">
        <v>96</v>
      </c>
      <c r="D27" s="45">
        <f>+D95</f>
        <v>381340</v>
      </c>
      <c r="E27" s="59">
        <f t="shared" si="0"/>
        <v>1260630</v>
      </c>
    </row>
    <row r="28" spans="1:5" x14ac:dyDescent="0.3">
      <c r="B28" s="2">
        <v>5</v>
      </c>
      <c r="C28" s="35" t="s">
        <v>97</v>
      </c>
      <c r="D28" s="45">
        <f>+D119</f>
        <v>148110</v>
      </c>
      <c r="E28" s="59">
        <f t="shared" si="0"/>
        <v>489620</v>
      </c>
    </row>
    <row r="29" spans="1:5" x14ac:dyDescent="0.3">
      <c r="B29" s="2">
        <v>6</v>
      </c>
      <c r="C29" s="35" t="s">
        <v>98</v>
      </c>
      <c r="D29" s="45">
        <f>+D133</f>
        <v>54730</v>
      </c>
      <c r="E29" s="59">
        <f t="shared" si="0"/>
        <v>180920</v>
      </c>
    </row>
    <row r="30" spans="1:5" x14ac:dyDescent="0.3">
      <c r="B30" s="2">
        <v>7</v>
      </c>
      <c r="C30" s="35" t="s">
        <v>99</v>
      </c>
      <c r="D30" s="45">
        <f>+D146</f>
        <v>42980</v>
      </c>
      <c r="E30" s="59">
        <f t="shared" si="0"/>
        <v>142080</v>
      </c>
    </row>
    <row r="31" spans="1:5" x14ac:dyDescent="0.3">
      <c r="B31" s="2">
        <v>8</v>
      </c>
      <c r="C31" s="35" t="s">
        <v>100</v>
      </c>
      <c r="D31" s="45">
        <f>+D154</f>
        <v>37220</v>
      </c>
      <c r="E31" s="59">
        <f t="shared" si="0"/>
        <v>123040</v>
      </c>
    </row>
    <row r="32" spans="1:5" x14ac:dyDescent="0.3">
      <c r="B32" s="2">
        <v>9</v>
      </c>
      <c r="C32" s="35" t="s">
        <v>101</v>
      </c>
      <c r="D32" s="45">
        <f>+D161</f>
        <v>42260</v>
      </c>
      <c r="E32" s="59">
        <f t="shared" si="0"/>
        <v>139700</v>
      </c>
    </row>
    <row r="33" spans="1:7" x14ac:dyDescent="0.3">
      <c r="B33" s="2">
        <v>10</v>
      </c>
      <c r="C33" s="35" t="s">
        <v>154</v>
      </c>
      <c r="D33" s="53">
        <f>TRUNC(SUM(D24:D32)*0.275,-1)</f>
        <v>418370</v>
      </c>
      <c r="E33" s="60">
        <f t="shared" si="0"/>
        <v>1383040</v>
      </c>
    </row>
    <row r="34" spans="1:7" x14ac:dyDescent="0.3">
      <c r="C34" s="35" t="s">
        <v>112</v>
      </c>
      <c r="D34" s="44">
        <f>SUM(D24:D33)</f>
        <v>1939750</v>
      </c>
      <c r="E34" s="44">
        <f>SUM(E24:E33)</f>
        <v>6412390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265</v>
      </c>
      <c r="E39" s="67" t="s">
        <v>266</v>
      </c>
      <c r="G39" s="68"/>
    </row>
    <row r="40" spans="1:7" x14ac:dyDescent="0.3">
      <c r="A40" s="2">
        <v>1</v>
      </c>
      <c r="C40" s="38" t="s">
        <v>15</v>
      </c>
      <c r="D40" s="40">
        <f>TRUNC(70362,-1)</f>
        <v>70360</v>
      </c>
      <c r="E40" s="62">
        <f t="shared" ref="E40:E59" si="1">TRUNC(+D40*3.3058,-1)</f>
        <v>232590</v>
      </c>
    </row>
    <row r="41" spans="1:7" x14ac:dyDescent="0.3">
      <c r="A41" s="2">
        <v>2</v>
      </c>
      <c r="C41" s="38" t="s">
        <v>13</v>
      </c>
      <c r="D41" s="42">
        <f>TRUNC(101237,-1)</f>
        <v>101230</v>
      </c>
      <c r="E41" s="63">
        <f t="shared" si="1"/>
        <v>334640</v>
      </c>
    </row>
    <row r="42" spans="1:7" x14ac:dyDescent="0.3">
      <c r="A42" s="2">
        <v>3</v>
      </c>
      <c r="C42" s="38" t="s">
        <v>14</v>
      </c>
      <c r="D42" s="42">
        <f>TRUNC(134583,-1)</f>
        <v>134580</v>
      </c>
      <c r="E42" s="63">
        <f t="shared" si="1"/>
        <v>444890</v>
      </c>
    </row>
    <row r="43" spans="1:7" x14ac:dyDescent="0.3">
      <c r="A43" s="2">
        <v>4</v>
      </c>
      <c r="C43" s="38" t="s">
        <v>16</v>
      </c>
      <c r="D43" s="42">
        <f>TRUNC(10831,-1)</f>
        <v>10830</v>
      </c>
      <c r="E43" s="63">
        <f t="shared" si="1"/>
        <v>35800</v>
      </c>
    </row>
    <row r="44" spans="1:7" x14ac:dyDescent="0.3">
      <c r="A44" s="2">
        <v>5</v>
      </c>
      <c r="C44" s="38" t="s">
        <v>17</v>
      </c>
      <c r="D44" s="42">
        <f>TRUNC(25020,-1)</f>
        <v>25020</v>
      </c>
      <c r="E44" s="63">
        <f t="shared" si="1"/>
        <v>82710</v>
      </c>
    </row>
    <row r="45" spans="1:7" x14ac:dyDescent="0.3">
      <c r="A45" s="2">
        <v>6</v>
      </c>
      <c r="C45" s="38" t="s">
        <v>18</v>
      </c>
      <c r="D45" s="42">
        <f>TRUNC(7561,-1)</f>
        <v>7560</v>
      </c>
      <c r="E45" s="63">
        <f t="shared" si="1"/>
        <v>24990</v>
      </c>
    </row>
    <row r="46" spans="1:7" x14ac:dyDescent="0.3">
      <c r="A46" s="2">
        <v>7</v>
      </c>
      <c r="C46" s="38" t="s">
        <v>19</v>
      </c>
      <c r="D46" s="42">
        <f>TRUNC(12453,-1)</f>
        <v>12450</v>
      </c>
      <c r="E46" s="63">
        <f t="shared" si="1"/>
        <v>41150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TRUNC(122862,-1)</f>
        <v>122860</v>
      </c>
      <c r="E48" s="63">
        <f t="shared" si="1"/>
        <v>406150</v>
      </c>
      <c r="F48" s="2" t="s">
        <v>260</v>
      </c>
    </row>
    <row r="49" spans="1:7" x14ac:dyDescent="0.3">
      <c r="A49" s="2">
        <v>10</v>
      </c>
      <c r="C49" s="38" t="s">
        <v>22</v>
      </c>
      <c r="D49" s="42">
        <f>TRUNC(10959,-1)</f>
        <v>10950</v>
      </c>
      <c r="E49" s="63">
        <f t="shared" si="1"/>
        <v>36190</v>
      </c>
    </row>
    <row r="50" spans="1:7" x14ac:dyDescent="0.3">
      <c r="A50" s="2">
        <v>11</v>
      </c>
      <c r="C50" s="38" t="s">
        <v>155</v>
      </c>
      <c r="D50" s="42">
        <f>TRUNC(48222,-1)</f>
        <v>48220</v>
      </c>
      <c r="E50" s="63">
        <f t="shared" si="1"/>
        <v>159400</v>
      </c>
      <c r="F50" s="2" t="s">
        <v>261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TRUNC(8735,-1)</f>
        <v>8730</v>
      </c>
      <c r="E52" s="63">
        <f t="shared" si="1"/>
        <v>28850</v>
      </c>
    </row>
    <row r="53" spans="1:7" x14ac:dyDescent="0.3">
      <c r="A53" s="2">
        <v>14</v>
      </c>
      <c r="C53" s="38" t="s">
        <v>25</v>
      </c>
      <c r="D53" s="42">
        <f>TRUNC(57699,-1)</f>
        <v>57690</v>
      </c>
      <c r="E53" s="63">
        <f t="shared" si="1"/>
        <v>190710</v>
      </c>
      <c r="F53" s="2" t="s">
        <v>262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TRUNC(8608+59+6171-1569+17795,-1)</f>
        <v>31060</v>
      </c>
      <c r="E58" s="63">
        <f t="shared" si="1"/>
        <v>102670</v>
      </c>
      <c r="F58" s="2" t="s">
        <v>263</v>
      </c>
    </row>
    <row r="59" spans="1:7" ht="17.25" thickBot="1" x14ac:dyDescent="0.35">
      <c r="A59" s="2">
        <v>20</v>
      </c>
      <c r="C59" s="38" t="s">
        <v>148</v>
      </c>
      <c r="D59" s="43">
        <f>TRUNC(171334,-1)</f>
        <v>171330</v>
      </c>
      <c r="E59" s="64">
        <f t="shared" si="1"/>
        <v>566380</v>
      </c>
    </row>
    <row r="60" spans="1:7" x14ac:dyDescent="0.3">
      <c r="A60" s="2">
        <v>21</v>
      </c>
      <c r="C60" s="27" t="s">
        <v>112</v>
      </c>
      <c r="D60" s="39">
        <f>SUM(D40:D59)</f>
        <v>812870</v>
      </c>
      <c r="E60" s="39">
        <f>SUM(E40:E59)</f>
        <v>2687120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TRUNC(1870,-1)</f>
        <v>1870</v>
      </c>
      <c r="E63" s="62">
        <f>TRUNC(+D63*3.3058,-1)</f>
        <v>6180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1870</v>
      </c>
      <c r="E66" s="65">
        <f>SUM(E63:E65)</f>
        <v>6180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TRUNC(14818,-1)</f>
        <v>14810</v>
      </c>
      <c r="E69" s="62">
        <f t="shared" ref="E69:E94" si="2">TRUNC(+D69*3.3058,-1)</f>
        <v>48950</v>
      </c>
    </row>
    <row r="70" spans="1:7" ht="16.5" customHeight="1" x14ac:dyDescent="0.3">
      <c r="A70" s="2">
        <v>2</v>
      </c>
      <c r="C70" s="38" t="s">
        <v>31</v>
      </c>
      <c r="D70" s="42">
        <f>TRUNC(724,-1)</f>
        <v>720</v>
      </c>
      <c r="E70" s="63">
        <f t="shared" si="2"/>
        <v>2380</v>
      </c>
    </row>
    <row r="71" spans="1:7" x14ac:dyDescent="0.3">
      <c r="A71" s="2">
        <v>3</v>
      </c>
      <c r="C71" s="38" t="s">
        <v>32</v>
      </c>
      <c r="D71" s="42">
        <f>TRUNC(5389,-1)</f>
        <v>5380</v>
      </c>
      <c r="E71" s="63">
        <f t="shared" si="2"/>
        <v>17780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f>TRUNC(6294,-1)</f>
        <v>6290</v>
      </c>
      <c r="E73" s="63">
        <f t="shared" si="2"/>
        <v>20790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TRUNC(4287,-1)</f>
        <v>4280</v>
      </c>
      <c r="E89" s="63">
        <f t="shared" si="2"/>
        <v>14140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TRUNC(143043,-1)</f>
        <v>143040</v>
      </c>
      <c r="E91" s="63">
        <f t="shared" si="2"/>
        <v>472860</v>
      </c>
    </row>
    <row r="92" spans="1:7" x14ac:dyDescent="0.3">
      <c r="A92" s="2">
        <v>24</v>
      </c>
      <c r="C92" s="38" t="s">
        <v>38</v>
      </c>
      <c r="D92" s="42">
        <f>TRUNC(5403,-1)</f>
        <v>5400</v>
      </c>
      <c r="E92" s="63">
        <f t="shared" si="2"/>
        <v>17850</v>
      </c>
    </row>
    <row r="93" spans="1:7" x14ac:dyDescent="0.3">
      <c r="A93" s="2">
        <v>25</v>
      </c>
      <c r="C93" s="38" t="s">
        <v>148</v>
      </c>
      <c r="D93" s="42">
        <f>TRUNC(40774,-1)</f>
        <v>40770</v>
      </c>
      <c r="E93" s="63">
        <f t="shared" si="2"/>
        <v>134770</v>
      </c>
    </row>
    <row r="94" spans="1:7" ht="17.25" thickBot="1" x14ac:dyDescent="0.35">
      <c r="A94" s="2">
        <v>26</v>
      </c>
      <c r="C94" s="38" t="s">
        <v>47</v>
      </c>
      <c r="D94" s="43">
        <f>TRUNC(127219+2483+13464+17490,-1)</f>
        <v>160650</v>
      </c>
      <c r="E94" s="64">
        <f t="shared" si="2"/>
        <v>531070</v>
      </c>
      <c r="F94" s="2" t="s">
        <v>264</v>
      </c>
    </row>
    <row r="95" spans="1:7" x14ac:dyDescent="0.3">
      <c r="A95" s="2">
        <v>27</v>
      </c>
      <c r="C95" s="27" t="s">
        <v>112</v>
      </c>
      <c r="D95" s="39">
        <f>SUM(D69:D94)</f>
        <v>381340</v>
      </c>
      <c r="E95" s="39">
        <f>SUM(E69:E94)</f>
        <v>1260590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TRUNC(33420,-1)</f>
        <v>33420</v>
      </c>
      <c r="E98" s="62">
        <f t="shared" ref="E98:E118" si="3">TRUNC(+D98*3.3058,-1)</f>
        <v>110470</v>
      </c>
    </row>
    <row r="99" spans="1:7" x14ac:dyDescent="0.3">
      <c r="A99" s="2">
        <v>2</v>
      </c>
      <c r="C99" s="38" t="s">
        <v>40</v>
      </c>
      <c r="D99" s="42">
        <f>TRUNC(5613,-1)</f>
        <v>5610</v>
      </c>
      <c r="E99" s="63">
        <f t="shared" si="3"/>
        <v>18540</v>
      </c>
    </row>
    <row r="100" spans="1:7" x14ac:dyDescent="0.3">
      <c r="A100" s="2">
        <v>3</v>
      </c>
      <c r="C100" s="38" t="s">
        <v>41</v>
      </c>
      <c r="D100" s="42">
        <f>TRUNC(36111,-1)</f>
        <v>36110</v>
      </c>
      <c r="E100" s="63">
        <f t="shared" si="3"/>
        <v>119370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TRUNC(14702,-1)</f>
        <v>14700</v>
      </c>
      <c r="E102" s="63">
        <f t="shared" si="3"/>
        <v>48590</v>
      </c>
    </row>
    <row r="103" spans="1:7" x14ac:dyDescent="0.3">
      <c r="A103" s="2">
        <v>6</v>
      </c>
      <c r="C103" s="38" t="s">
        <v>44</v>
      </c>
      <c r="D103" s="42">
        <f>TRUNC(2933,-1)</f>
        <v>2930</v>
      </c>
      <c r="E103" s="63">
        <f t="shared" si="3"/>
        <v>9680</v>
      </c>
    </row>
    <row r="104" spans="1:7" x14ac:dyDescent="0.3">
      <c r="A104" s="2">
        <v>7</v>
      </c>
      <c r="C104" s="38" t="s">
        <v>45</v>
      </c>
      <c r="D104" s="42">
        <f>TRUNC(14232,-1)</f>
        <v>14230</v>
      </c>
      <c r="E104" s="63">
        <f t="shared" si="3"/>
        <v>47040</v>
      </c>
    </row>
    <row r="105" spans="1:7" x14ac:dyDescent="0.3">
      <c r="A105" s="2">
        <v>8</v>
      </c>
      <c r="C105" s="38" t="s">
        <v>46</v>
      </c>
      <c r="D105" s="42">
        <f>TRUNC(11273,-1)</f>
        <v>11270</v>
      </c>
      <c r="E105" s="63">
        <f t="shared" si="3"/>
        <v>37250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TRUNC(3188,-1)</f>
        <v>3180</v>
      </c>
      <c r="E114" s="63">
        <f t="shared" si="3"/>
        <v>10510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TRUNC(7024,-1)</f>
        <v>7020</v>
      </c>
      <c r="E116" s="63">
        <f t="shared" si="3"/>
        <v>23200</v>
      </c>
      <c r="F116" s="2" t="s">
        <v>259</v>
      </c>
    </row>
    <row r="117" spans="1:7" x14ac:dyDescent="0.3">
      <c r="A117" s="2">
        <v>20</v>
      </c>
      <c r="C117" s="38" t="s">
        <v>148</v>
      </c>
      <c r="D117" s="42">
        <f>TRUNC(18762,-1)</f>
        <v>18760</v>
      </c>
      <c r="E117" s="63">
        <f t="shared" si="3"/>
        <v>62010</v>
      </c>
    </row>
    <row r="118" spans="1:7" ht="17.25" thickBot="1" x14ac:dyDescent="0.35">
      <c r="A118" s="2">
        <v>21</v>
      </c>
      <c r="C118" s="38" t="s">
        <v>47</v>
      </c>
      <c r="D118" s="43">
        <f>TRUNC(885,-1)</f>
        <v>880</v>
      </c>
      <c r="E118" s="64">
        <f t="shared" si="3"/>
        <v>2900</v>
      </c>
      <c r="F118" s="2" t="s">
        <v>258</v>
      </c>
    </row>
    <row r="119" spans="1:7" x14ac:dyDescent="0.3">
      <c r="A119" s="2">
        <v>22</v>
      </c>
      <c r="C119" s="27" t="s">
        <v>112</v>
      </c>
      <c r="D119" s="39">
        <f>SUM(D98:D118)</f>
        <v>148110</v>
      </c>
      <c r="E119" s="39">
        <f>SUM(E98:E118)</f>
        <v>489560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TRUNC(4875,-1)</f>
        <v>4870</v>
      </c>
      <c r="E122" s="62">
        <f t="shared" ref="E122:E132" si="4">TRUNC(+D122*3.3058,-1)</f>
        <v>16090</v>
      </c>
      <c r="F122" s="2" t="s">
        <v>256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TRUNC(958,-1)</f>
        <v>950</v>
      </c>
      <c r="E124" s="63">
        <f t="shared" si="4"/>
        <v>3140</v>
      </c>
    </row>
    <row r="125" spans="1:7" x14ac:dyDescent="0.3">
      <c r="A125" s="2">
        <v>4</v>
      </c>
      <c r="C125" s="38" t="s">
        <v>138</v>
      </c>
      <c r="D125" s="42">
        <f>TRUNC(6207,-1)</f>
        <v>6200</v>
      </c>
      <c r="E125" s="63">
        <f t="shared" si="4"/>
        <v>20490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TRUNC(4570,-1)</f>
        <v>4570</v>
      </c>
      <c r="E128" s="63">
        <f t="shared" si="4"/>
        <v>15100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TRUNC(19656,-1)</f>
        <v>19650</v>
      </c>
      <c r="E130" s="63">
        <f t="shared" si="4"/>
        <v>64950</v>
      </c>
    </row>
    <row r="131" spans="1:7" x14ac:dyDescent="0.3">
      <c r="A131" s="2">
        <v>10</v>
      </c>
      <c r="C131" s="38" t="s">
        <v>148</v>
      </c>
      <c r="D131" s="42">
        <f>TRUNC(14994,-1)</f>
        <v>14990</v>
      </c>
      <c r="E131" s="63">
        <f t="shared" si="4"/>
        <v>49550</v>
      </c>
    </row>
    <row r="132" spans="1:7" ht="18" thickBot="1" x14ac:dyDescent="0.35">
      <c r="A132" s="2">
        <v>11</v>
      </c>
      <c r="C132" s="38" t="s">
        <v>47</v>
      </c>
      <c r="D132" s="43">
        <f>TRUNC(3503,-1)</f>
        <v>3500</v>
      </c>
      <c r="E132" s="64">
        <f t="shared" si="4"/>
        <v>11570</v>
      </c>
      <c r="F132" s="54" t="s">
        <v>257</v>
      </c>
    </row>
    <row r="133" spans="1:7" x14ac:dyDescent="0.3">
      <c r="A133" s="2">
        <v>12</v>
      </c>
      <c r="C133" s="27" t="s">
        <v>112</v>
      </c>
      <c r="D133" s="39">
        <f>SUM(D122:D132)</f>
        <v>54730</v>
      </c>
      <c r="E133" s="39">
        <f>SUM(E122:E132)</f>
        <v>180890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TRUNC(229+3104+719,-1)</f>
        <v>4050</v>
      </c>
      <c r="E137" s="63">
        <f t="shared" si="5"/>
        <v>13380</v>
      </c>
      <c r="F137" s="2" t="s">
        <v>255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TRUNC(1186,-1)</f>
        <v>1180</v>
      </c>
      <c r="E139" s="63">
        <f t="shared" si="5"/>
        <v>3900</v>
      </c>
    </row>
    <row r="140" spans="1:7" x14ac:dyDescent="0.3">
      <c r="A140" s="2">
        <v>5</v>
      </c>
      <c r="C140" s="38" t="s">
        <v>57</v>
      </c>
      <c r="D140" s="42">
        <f>TRUNC(2433,-1)</f>
        <v>2430</v>
      </c>
      <c r="E140" s="63">
        <f t="shared" si="5"/>
        <v>8030</v>
      </c>
    </row>
    <row r="141" spans="1:7" x14ac:dyDescent="0.3">
      <c r="A141" s="2">
        <v>6</v>
      </c>
      <c r="C141" s="38" t="s">
        <v>59</v>
      </c>
      <c r="D141" s="42">
        <f>TRUNC(5510,-1)</f>
        <v>5510</v>
      </c>
      <c r="E141" s="63">
        <f t="shared" si="5"/>
        <v>18210</v>
      </c>
    </row>
    <row r="142" spans="1:7" x14ac:dyDescent="0.3">
      <c r="A142" s="2">
        <v>7</v>
      </c>
      <c r="C142" s="38" t="s">
        <v>58</v>
      </c>
      <c r="D142" s="42">
        <f>TRUNC(7564,-1)</f>
        <v>7560</v>
      </c>
      <c r="E142" s="63">
        <f t="shared" si="5"/>
        <v>24990</v>
      </c>
    </row>
    <row r="143" spans="1:7" x14ac:dyDescent="0.3">
      <c r="A143" s="2">
        <v>8</v>
      </c>
      <c r="C143" s="38" t="s">
        <v>62</v>
      </c>
      <c r="D143" s="42">
        <f>TRUNC(5129,-1)</f>
        <v>5120</v>
      </c>
      <c r="E143" s="63">
        <f t="shared" si="5"/>
        <v>16920</v>
      </c>
    </row>
    <row r="144" spans="1:7" x14ac:dyDescent="0.3">
      <c r="A144" s="2">
        <v>9</v>
      </c>
      <c r="C144" s="38" t="s">
        <v>63</v>
      </c>
      <c r="D144" s="42">
        <f>TRUNC(17134,-1)</f>
        <v>17130</v>
      </c>
      <c r="E144" s="63">
        <f t="shared" si="5"/>
        <v>56620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42980</v>
      </c>
      <c r="E146" s="39">
        <f>SUM(E136:E145)</f>
        <v>142050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TRUNC(7462+1142,-1)</f>
        <v>8600</v>
      </c>
      <c r="E149" s="62">
        <f>TRUNC(+D149*3.3058,-1)</f>
        <v>28420</v>
      </c>
      <c r="F149" s="2" t="s">
        <v>253</v>
      </c>
    </row>
    <row r="150" spans="1:7" x14ac:dyDescent="0.3">
      <c r="A150" s="2">
        <v>2</v>
      </c>
      <c r="C150" s="38" t="s">
        <v>49</v>
      </c>
      <c r="D150" s="42">
        <f>TRUNC(10201,-1)</f>
        <v>10200</v>
      </c>
      <c r="E150" s="63">
        <f>TRUNC(+D150*3.3058,-1)</f>
        <v>33710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TRUNC(4880,-1)</f>
        <v>4880</v>
      </c>
      <c r="E152" s="63">
        <f>TRUNC(+D152*3.3058,-1)</f>
        <v>16130</v>
      </c>
      <c r="F152" s="2" t="s">
        <v>254</v>
      </c>
    </row>
    <row r="153" spans="1:7" ht="17.25" thickBot="1" x14ac:dyDescent="0.35">
      <c r="A153" s="2">
        <v>5</v>
      </c>
      <c r="C153" s="38" t="s">
        <v>148</v>
      </c>
      <c r="D153" s="43">
        <f>TRUNC(13548,-1)</f>
        <v>13540</v>
      </c>
      <c r="E153" s="64">
        <f>TRUNC(+D153*3.3058,-1)</f>
        <v>44760</v>
      </c>
    </row>
    <row r="154" spans="1:7" x14ac:dyDescent="0.3">
      <c r="A154" s="2">
        <v>6</v>
      </c>
      <c r="C154" s="27" t="s">
        <v>112</v>
      </c>
      <c r="D154" s="39">
        <f>SUM(D149:D153)</f>
        <v>37220</v>
      </c>
      <c r="E154" s="39">
        <f>SUM(E149:E153)</f>
        <v>123020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TRUNC(22967,-1)</f>
        <v>22960</v>
      </c>
      <c r="E157" s="62">
        <f>TRUNC(+D157*3.3058,-1)</f>
        <v>75900</v>
      </c>
    </row>
    <row r="158" spans="1:7" x14ac:dyDescent="0.3">
      <c r="A158" s="2">
        <v>2</v>
      </c>
      <c r="C158" s="38" t="s">
        <v>52</v>
      </c>
      <c r="D158" s="42">
        <f>TRUNC(3339,-1)</f>
        <v>3330</v>
      </c>
      <c r="E158" s="63">
        <f>TRUNC(+D158*3.3058,-1)</f>
        <v>11000</v>
      </c>
      <c r="F158" s="2" t="s">
        <v>252</v>
      </c>
    </row>
    <row r="159" spans="1:7" x14ac:dyDescent="0.3">
      <c r="A159" s="2">
        <v>3</v>
      </c>
      <c r="C159" s="38" t="s">
        <v>47</v>
      </c>
      <c r="D159" s="42">
        <f>TRUNC(5862+4601,-1)</f>
        <v>10460</v>
      </c>
      <c r="E159" s="63">
        <f>TRUNC(+D159*3.3058,-1)</f>
        <v>34570</v>
      </c>
      <c r="F159" s="2" t="s">
        <v>251</v>
      </c>
    </row>
    <row r="160" spans="1:7" ht="17.25" thickBot="1" x14ac:dyDescent="0.35">
      <c r="A160" s="2">
        <v>4</v>
      </c>
      <c r="C160" s="38" t="s">
        <v>148</v>
      </c>
      <c r="D160" s="43">
        <f>TRUNC(5518,-1)</f>
        <v>5510</v>
      </c>
      <c r="E160" s="64">
        <f>TRUNC(+D160*3.3058,-1)</f>
        <v>18210</v>
      </c>
    </row>
    <row r="161" spans="1:5" x14ac:dyDescent="0.3">
      <c r="A161" s="2">
        <v>5</v>
      </c>
      <c r="C161" s="27" t="s">
        <v>112</v>
      </c>
      <c r="D161" s="39">
        <f>SUM(D157:D160)</f>
        <v>42260</v>
      </c>
      <c r="E161" s="39">
        <f>SUM(E157:E160)</f>
        <v>139680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2020-12-08T02:52:07Z</dcterms:modified>
</cp:coreProperties>
</file>