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1" i="4"/>
  <c r="D140" i="4"/>
  <c r="D137" i="4"/>
  <c r="D132" i="4"/>
  <c r="D131" i="4"/>
  <c r="D130" i="4"/>
  <c r="D128" i="4"/>
  <c r="D125" i="4"/>
  <c r="D124" i="4"/>
  <c r="D122" i="4"/>
  <c r="D118" i="4"/>
  <c r="D116" i="4"/>
  <c r="D105" i="4"/>
  <c r="D104" i="4"/>
  <c r="D103" i="4"/>
  <c r="D102" i="4"/>
  <c r="D100" i="4"/>
  <c r="D99" i="4"/>
  <c r="D98" i="4"/>
  <c r="D94" i="4"/>
  <c r="D93" i="4"/>
  <c r="D92" i="4"/>
  <c r="D91" i="4"/>
  <c r="D89" i="4"/>
  <c r="D76" i="4"/>
  <c r="D73" i="4"/>
  <c r="D72" i="4"/>
  <c r="D69" i="4"/>
  <c r="D63" i="4"/>
  <c r="D59" i="4"/>
  <c r="D58" i="4"/>
  <c r="D53" i="4"/>
  <c r="D52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<sst xmlns="http://schemas.openxmlformats.org/spreadsheetml/2006/main" count="393" uniqueCount="269">
  <si>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</si>
  <si>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</si>
  <si>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</si>
  <si>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</si>
  <si>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</si>
  <si>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</si>
  <si>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</si>
  <si>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</si>
  <si>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</si>
  <si>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</si>
  <si>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</si>
  <si>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</si>
  <si>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</si>
  <si>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</si>
  <si>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</si>
  <si>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</si>
  <si>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</si>
  <si>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</si>
  <si>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</si>
  <si>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</si>
  <si>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</si>
  <si>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</si>
  <si>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</si>
  <si>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</si>
  <si>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</si>
  <si>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</si>
  <si>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</si>
  <si>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</si>
  <si>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</si>
  <si>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</si>
  <si>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</si>
  <si>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</si>
  <si>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</si>
  <si>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</si>
  <si>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</si>
  <si>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</si>
  <si>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</si>
  <si>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</si>
  <si>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</si>
  <si>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</si>
  <si>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</si>
  <si>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</si>
  <si>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</si>
  <si>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</si>
  <si>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</si>
  <si>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</si>
  <si>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</si>
  <si>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</si>
  <si>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</si>
  <si>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</si>
  <si>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</si>
  <si>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</si>
  <si>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</si>
  <si>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</si>
  <si>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</si>
  <si>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</si>
  <si>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</si>
  <si>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</si>
  <si>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</si>
  <si>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</si>
  <si>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</si>
  <si>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</si>
  <si>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</si>
  <si>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</si>
  <si>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</si>
  <si>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</si>
  <si>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</si>
  <si>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</si>
  <si>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</si>
  <si>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</si>
  <si>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</si>
  <si>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</si>
  <si>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</si>
  <si>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</si>
  <si>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</si>
  <si>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</si>
  <si>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</si>
  <si>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</si>
  <si>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</si>
  <si>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</si>
  <si>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</si>
  <si>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</si>
  <si>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</si>
  <si>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</si>
  <si>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</si>
  <si>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</si>
  <si>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</si>
  <si>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</si>
  <si>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</si>
  <si>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</si>
  <si>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</si>
  <si>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</si>
  <si>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</si>
  <si>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</si>
  <si>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</si>
  <si>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</si>
  <si>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</si>
  <si>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</si>
  <si>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</si>
  <si>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</si>
  <si>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</si>
  <si>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</si>
  <si>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</si>
  <si>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</si>
  <si>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</si>
  <si>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</si>
  <si>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</si>
  <si>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</si>
  <si>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</si>
  <si>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</si>
  <si>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</si>
  <si>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</si>
  <si>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</si>
  <si>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</si>
  <si>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</si>
  <si>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</si>
  <si>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</si>
  <si>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</si>
  <si>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</si>
  <si>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</si>
  <si>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</si>
  <si>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</si>
  <si>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</si>
  <si>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</si>
  <si>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</si>
  <si>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</si>
  <si>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</si>
  <si>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</si>
  <si>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</si>
  <si>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</si>
  <si>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</si>
  <si>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</si>
  <si>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</si>
  <si>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</si>
  <si>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</si>
  <si>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</si>
  <si>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</si>
  <si>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</si>
  <si>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</si>
  <si>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</si>
  <si>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</si>
  <si>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</si>
  <si>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</si>
  <si>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</si>
  <si>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</si>
  <si>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</si>
  <si>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</si>
  <si>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</si>
  <si>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</si>
  <si>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</si>
  <si>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</si>
  <si>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</si>
  <si>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</si>
  <si>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</si>
  <si>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</si>
  <si>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</si>
  <si>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</si>
  <si>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</si>
  <si>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</si>
  <si>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</si>
  <si>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</si>
  <si>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</si>
  <si>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</si>
  <si>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</si>
  <si>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</si>
  <si>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</si>
  <si>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</si>
  <si>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</si>
  <si>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</si>
  <si>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</si>
  <si>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</si>
  <si>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</si>
  <si>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</si>
  <si>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</si>
  <si>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</si>
  <si>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</si>
  <si>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</si>
  <si>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</si>
  <si>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</si>
  <si>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</si>
  <si>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</si>
  <si>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</si>
  <si>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</si>
  <si>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</si>
  <si>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</si>
  <si>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</si>
  <si>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</si>
  <si>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</si>
  <si>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</si>
  <si>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</si>
  <si>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</si>
  <si>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</si>
  <si>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</si>
  <si>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</si>
  <si>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</si>
  <si>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</si>
  <si>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</si>
  <si>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</si>
  <si>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</si>
  <si>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</si>
  <si>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</si>
  <si>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</si>
  <si>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</si>
  <si>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</si>
  <si>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</si>
  <si>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</si>
  <si>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</si>
  <si>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</si>
  <si>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</si>
  <si>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</si>
  <si>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</si>
  <si>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</si>
  <si>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</si>
  <si>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</si>
  <si>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</si>
  <si>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</si>
  <si>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</si>
  <si>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</si>
  <si>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</si>
  <si>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</si>
  <si>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</si>
  <si>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</si>
  <si>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</si>
  <si>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</si>
  <si>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</si>
  <si>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</si>
  <si>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</si>
  <si>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</si>
  <si>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</si>
  <si>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</si>
  <si>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</si>
  <si>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</si>
  <si>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</si>
  <si>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</si>
  <si>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</si>
  <si>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</si>
  <si>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</si>
  <si>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</si>
  <si>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</si>
  <si>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</si>
  <si>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</si>
  <si>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</si>
  <si>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</si>
  <si>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</si>
  <si>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</si>
  <si>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</si>
  <si>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</si>
  <si>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</si>
  <si>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</si>
  <si>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</si>
  <si>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</si>
  <si>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</si>
  <si>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</si>
  <si>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</si>
  <si>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</si>
  <si>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</si>
  <si>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</si>
  <si>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</si>
  <si>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</si>
  <si>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</si>
  <si>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가칭 홍성신리초등학교 신축공사</t>
    <phoneticPr fontId="2" type="noConversion"/>
  </si>
  <si>
    <t>충청도</t>
  </si>
  <si>
    <t>기초공사, 골재비및운반비, 작업부산물, 기타공사</t>
    <phoneticPr fontId="2" type="noConversion"/>
  </si>
  <si>
    <t>공조배관공사,난방배관공사,기타공사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</si>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</sst>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11211.5</v>
      </c>
      <c r="D7" s="36">
        <f>+C7/3.3058</f>
        <v>3391.463488414302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855090</v>
      </c>
      <c r="E25" s="59">
        <f t="shared" si="0"/>
        <v>2826750</v>
      </c>
    </row>
    <row r="26" spans="1:5" x14ac:dyDescent="0.3">
      <c r="B26" s="2">
        <v>3</v>
      </c>
      <c r="C26" s="35" t="s">
        <v>95</v>
      </c>
      <c r="D26" s="45">
        <f>+D66</f>
        <v>12210</v>
      </c>
      <c r="E26" s="59">
        <f t="shared" si="0"/>
        <v>40360</v>
      </c>
    </row>
    <row r="27" spans="1:5" x14ac:dyDescent="0.3">
      <c r="B27" s="2">
        <v>4</v>
      </c>
      <c r="C27" s="35" t="s">
        <v>96</v>
      </c>
      <c r="D27" s="45">
        <f>+D95</f>
        <v>163960</v>
      </c>
      <c r="E27" s="59">
        <f t="shared" si="0"/>
        <v>542010</v>
      </c>
    </row>
    <row r="28" spans="1:5" x14ac:dyDescent="0.3">
      <c r="B28" s="2">
        <v>5</v>
      </c>
      <c r="C28" s="35" t="s">
        <v>97</v>
      </c>
      <c r="D28" s="45">
        <f>+D119</f>
        <v>83010</v>
      </c>
      <c r="E28" s="59">
        <f t="shared" si="0"/>
        <v>274410</v>
      </c>
    </row>
    <row r="29" spans="1:5" x14ac:dyDescent="0.3">
      <c r="B29" s="2">
        <v>6</v>
      </c>
      <c r="C29" s="35" t="s">
        <v>98</v>
      </c>
      <c r="D29" s="45">
        <f>+D133</f>
        <v>63940</v>
      </c>
      <c r="E29" s="59">
        <f t="shared" si="0"/>
        <v>211370</v>
      </c>
    </row>
    <row r="30" spans="1:5" x14ac:dyDescent="0.3">
      <c r="B30" s="2">
        <v>7</v>
      </c>
      <c r="C30" s="35" t="s">
        <v>99</v>
      </c>
      <c r="D30" s="45">
        <f>+D146</f>
        <v>39760</v>
      </c>
      <c r="E30" s="59">
        <f t="shared" si="0"/>
        <v>131430</v>
      </c>
    </row>
    <row r="31" spans="1:5" x14ac:dyDescent="0.3">
      <c r="B31" s="2">
        <v>8</v>
      </c>
      <c r="C31" s="35" t="s">
        <v>100</v>
      </c>
      <c r="D31" s="45">
        <f>+D154</f>
        <v>45410</v>
      </c>
      <c r="E31" s="59">
        <f t="shared" si="0"/>
        <v>150110</v>
      </c>
    </row>
    <row r="32" spans="1:5" x14ac:dyDescent="0.3">
      <c r="B32" s="2">
        <v>9</v>
      </c>
      <c r="C32" s="35" t="s">
        <v>101</v>
      </c>
      <c r="D32" s="45">
        <f>+D161</f>
        <v>31050</v>
      </c>
      <c r="E32" s="59">
        <f t="shared" si="0"/>
        <v>102640</v>
      </c>
    </row>
    <row r="33" spans="1:7" x14ac:dyDescent="0.3">
      <c r="B33" s="2">
        <v>10</v>
      </c>
      <c r="C33" s="35" t="s">
        <v>154</v>
      </c>
      <c r="D33" s="53">
        <f>TRUNC(SUM(D24:D32)*0.275,-1)</f>
        <v>355960</v>
      </c>
      <c r="E33" s="60">
        <f t="shared" si="0"/>
        <v>1176730</v>
      </c>
    </row>
    <row r="34" spans="1:7" x14ac:dyDescent="0.3">
      <c r="C34" s="35" t="s">
        <v>112</v>
      </c>
      <c r="D34" s="44">
        <f>SUM(D24:D33)</f>
        <v>1650390</v>
      </c>
      <c r="E34" s="44">
        <f>SUM(E24:E33)</f>
        <v>5455810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TRUNC(47067,-1)</f>
        <v>47060</v>
      </c>
      <c r="E40" s="62">
        <f t="shared" ref="E40:E59" si="1">TRUNC(+D40*3.3058,-1)</f>
        <v>155570</v>
      </c>
    </row>
    <row r="41" spans="1:7" x14ac:dyDescent="0.3">
      <c r="A41" s="2">
        <v>2</v>
      </c>
      <c r="C41" s="38" t="s">
        <v>13</v>
      </c>
      <c r="D41" s="42">
        <f>TRUNC(159928,-1)</f>
        <v>159920</v>
      </c>
      <c r="E41" s="63">
        <f t="shared" si="1"/>
        <v>528660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TRUNC(46006,-1)</f>
        <v>46000</v>
      </c>
      <c r="E43" s="63">
        <f t="shared" si="1"/>
        <v>152060</v>
      </c>
    </row>
    <row r="44" spans="1:7" x14ac:dyDescent="0.3">
      <c r="A44" s="2">
        <v>5</v>
      </c>
      <c r="C44" s="38" t="s">
        <v>17</v>
      </c>
      <c r="D44" s="42">
        <f>TRUNC(14882,-1)</f>
        <v>14880</v>
      </c>
      <c r="E44" s="63">
        <f t="shared" si="1"/>
        <v>49190</v>
      </c>
    </row>
    <row r="45" spans="1:7" x14ac:dyDescent="0.3">
      <c r="A45" s="2">
        <v>6</v>
      </c>
      <c r="C45" s="38" t="s">
        <v>18</v>
      </c>
      <c r="D45" s="42">
        <f>TRUNC(6976,-1)</f>
        <v>6970</v>
      </c>
      <c r="E45" s="63">
        <f t="shared" si="1"/>
        <v>23040</v>
      </c>
    </row>
    <row r="46" spans="1:7" x14ac:dyDescent="0.3">
      <c r="A46" s="2">
        <v>7</v>
      </c>
      <c r="C46" s="38" t="s">
        <v>19</v>
      </c>
      <c r="D46" s="42">
        <f>TRUNC(17265,-1)</f>
        <v>17260</v>
      </c>
      <c r="E46" s="63">
        <f t="shared" si="1"/>
        <v>57050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TRUNC(41438,-1)</f>
        <v>41430</v>
      </c>
      <c r="E48" s="63">
        <f t="shared" si="1"/>
        <v>136950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TRUNC(19397,-1)</f>
        <v>19390</v>
      </c>
      <c r="E49" s="63">
        <f t="shared" si="1"/>
        <v>64090</v>
      </c>
    </row>
    <row r="50" spans="1:7" x14ac:dyDescent="0.3">
      <c r="A50" s="2">
        <v>11</v>
      </c>
      <c r="C50" s="38" t="s">
        <v>155</v>
      </c>
      <c r="D50" s="42">
        <v>46900</v>
      </c>
      <c r="E50" s="63">
        <f t="shared" si="1"/>
        <v>155040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TRUNC(8284,-1)</f>
        <v>8280</v>
      </c>
      <c r="E52" s="63">
        <f t="shared" si="1"/>
        <v>27370</v>
      </c>
    </row>
    <row r="53" spans="1:7" x14ac:dyDescent="0.3">
      <c r="A53" s="2">
        <v>14</v>
      </c>
      <c r="C53" s="38" t="s">
        <v>25</v>
      </c>
      <c r="D53" s="42">
        <f>TRUNC(57638,-1)</f>
        <v>57630</v>
      </c>
      <c r="E53" s="63">
        <f t="shared" si="1"/>
        <v>190510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TRUNC(13846+4829-639+2590,-1)</f>
        <v>20620</v>
      </c>
      <c r="E58" s="63">
        <f t="shared" si="1"/>
        <v>68160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TRUNC(368759,-1)</f>
        <v>368750</v>
      </c>
      <c r="E59" s="64">
        <f t="shared" si="1"/>
        <v>1219010</v>
      </c>
    </row>
    <row r="60" spans="1:7" x14ac:dyDescent="0.3">
      <c r="A60" s="2">
        <v>21</v>
      </c>
      <c r="C60" s="27" t="s">
        <v>112</v>
      </c>
      <c r="D60" s="39">
        <f>SUM(D40:D59)</f>
        <v>855090</v>
      </c>
      <c r="E60" s="39">
        <f>SUM(E40:E59)</f>
        <v>2826700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TRUNC(9789,-1)</f>
        <v>9780</v>
      </c>
      <c r="E63" s="62">
        <f>TRUNC(+D63*3.3058,-1)</f>
        <v>32330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2430</v>
      </c>
      <c r="E65" s="64">
        <f>TRUNC(+D65*3.3058,-1)</f>
        <v>8030</v>
      </c>
    </row>
    <row r="66" spans="1:7" x14ac:dyDescent="0.3">
      <c r="A66" s="2">
        <v>4</v>
      </c>
      <c r="C66" s="27" t="s">
        <v>112</v>
      </c>
      <c r="D66" s="39">
        <f>SUM(D63:D65)</f>
        <v>12210</v>
      </c>
      <c r="E66" s="65">
        <f>SUM(E63:E65)</f>
        <v>40360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TRUNC(5253,-1)</f>
        <v>5250</v>
      </c>
      <c r="E69" s="62">
        <f t="shared" ref="E69:E94" si="2">TRUNC(+D69*3.3058,-1)</f>
        <v>17350</v>
      </c>
    </row>
    <row r="70" spans="1:7" ht="16.5" customHeight="1" x14ac:dyDescent="0.3">
      <c r="A70" s="2">
        <v>2</v>
      </c>
      <c r="C70" s="38" t="s">
        <v>31</v>
      </c>
      <c r="D70" s="42">
        <v>1760</v>
      </c>
      <c r="E70" s="63">
        <f t="shared" si="2"/>
        <v>5810</v>
      </c>
    </row>
    <row r="71" spans="1:7" x14ac:dyDescent="0.3">
      <c r="A71" s="2">
        <v>3</v>
      </c>
      <c r="C71" s="38" t="s">
        <v>32</v>
      </c>
      <c r="D71" s="42">
        <v>4390</v>
      </c>
      <c r="E71" s="63">
        <f t="shared" si="2"/>
        <v>14510</v>
      </c>
    </row>
    <row r="72" spans="1:7" x14ac:dyDescent="0.3">
      <c r="A72" s="2">
        <v>4</v>
      </c>
      <c r="C72" s="38" t="s">
        <v>33</v>
      </c>
      <c r="D72" s="42">
        <f>TRUNC(4249,-1)</f>
        <v>4240</v>
      </c>
      <c r="E72" s="63">
        <f t="shared" si="2"/>
        <v>14010</v>
      </c>
    </row>
    <row r="73" spans="1:7" x14ac:dyDescent="0.3">
      <c r="A73" s="2">
        <v>5</v>
      </c>
      <c r="C73" s="38" t="s">
        <v>34</v>
      </c>
      <c r="D73" s="42">
        <f>TRUNC(8834,-1)</f>
        <v>8830</v>
      </c>
      <c r="E73" s="63">
        <f t="shared" si="2"/>
        <v>29190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TRUNC(34887,-1)</f>
        <v>34880</v>
      </c>
      <c r="E76" s="63">
        <f t="shared" si="2"/>
        <v>115300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TRUNC(6212,-1)</f>
        <v>6210</v>
      </c>
      <c r="E89" s="63">
        <f t="shared" si="2"/>
        <v>20520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TRUNC(6779,-1)</f>
        <v>6770</v>
      </c>
      <c r="E91" s="63">
        <f t="shared" si="2"/>
        <v>22380</v>
      </c>
    </row>
    <row r="92" spans="1:7" x14ac:dyDescent="0.3">
      <c r="A92" s="2">
        <v>24</v>
      </c>
      <c r="C92" s="38" t="s">
        <v>38</v>
      </c>
      <c r="D92" s="42">
        <f>TRUNC(9877,-1)</f>
        <v>9870</v>
      </c>
      <c r="E92" s="63">
        <f t="shared" si="2"/>
        <v>32620</v>
      </c>
    </row>
    <row r="93" spans="1:7" x14ac:dyDescent="0.3">
      <c r="A93" s="2">
        <v>25</v>
      </c>
      <c r="C93" s="38" t="s">
        <v>148</v>
      </c>
      <c r="D93" s="42">
        <f>TRUNC(68181,-1)</f>
        <v>68180</v>
      </c>
      <c r="E93" s="63">
        <f t="shared" si="2"/>
        <v>225380</v>
      </c>
    </row>
    <row r="94" spans="1:7" ht="17.25" thickBot="1" x14ac:dyDescent="0.35">
      <c r="A94" s="2">
        <v>26</v>
      </c>
      <c r="C94" s="38" t="s">
        <v>47</v>
      </c>
      <c r="D94" s="43">
        <f>TRUNC(74+2690+10816,-1)</f>
        <v>13580</v>
      </c>
      <c r="E94" s="64">
        <f t="shared" si="2"/>
        <v>44890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163960</v>
      </c>
      <c r="E95" s="39">
        <f>SUM(E69:E94)</f>
        <v>541960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TRUNC(14956,-1)</f>
        <v>14950</v>
      </c>
      <c r="E98" s="62">
        <f t="shared" ref="E98:E118" si="3">TRUNC(+D98*3.3058,-1)</f>
        <v>49420</v>
      </c>
    </row>
    <row r="99" spans="1:7" x14ac:dyDescent="0.3">
      <c r="A99" s="2">
        <v>2</v>
      </c>
      <c r="C99" s="38" t="s">
        <v>40</v>
      </c>
      <c r="D99" s="42">
        <f>TRUNC(3727,-1)</f>
        <v>3720</v>
      </c>
      <c r="E99" s="63">
        <f t="shared" si="3"/>
        <v>12290</v>
      </c>
    </row>
    <row r="100" spans="1:7" x14ac:dyDescent="0.3">
      <c r="A100" s="2">
        <v>3</v>
      </c>
      <c r="C100" s="38" t="s">
        <v>41</v>
      </c>
      <c r="D100" s="42">
        <f>TRUNC(26953,-1)</f>
        <v>26950</v>
      </c>
      <c r="E100" s="63">
        <f t="shared" si="3"/>
        <v>89090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TRUNC(18047,-1)</f>
        <v>18040</v>
      </c>
      <c r="E102" s="63">
        <f t="shared" si="3"/>
        <v>59630</v>
      </c>
    </row>
    <row r="103" spans="1:7" x14ac:dyDescent="0.3">
      <c r="A103" s="2">
        <v>6</v>
      </c>
      <c r="C103" s="38" t="s">
        <v>44</v>
      </c>
      <c r="D103" s="42">
        <f>TRUNC(4028,-1)</f>
        <v>4020</v>
      </c>
      <c r="E103" s="63">
        <f t="shared" si="3"/>
        <v>13280</v>
      </c>
    </row>
    <row r="104" spans="1:7" x14ac:dyDescent="0.3">
      <c r="A104" s="2">
        <v>7</v>
      </c>
      <c r="C104" s="38" t="s">
        <v>45</v>
      </c>
      <c r="D104" s="42">
        <f>TRUNC(3691,-1)</f>
        <v>3690</v>
      </c>
      <c r="E104" s="63">
        <f t="shared" si="3"/>
        <v>12190</v>
      </c>
    </row>
    <row r="105" spans="1:7" x14ac:dyDescent="0.3">
      <c r="A105" s="2">
        <v>8</v>
      </c>
      <c r="C105" s="38" t="s">
        <v>46</v>
      </c>
      <c r="D105" s="42">
        <f>TRUNC(7209,-1)</f>
        <v>7200</v>
      </c>
      <c r="E105" s="63">
        <f t="shared" si="3"/>
        <v>23800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TRUNC(4157,-1)</f>
        <v>4150</v>
      </c>
      <c r="E116" s="63">
        <f t="shared" si="3"/>
        <v>13710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TRUNC(291,-1)</f>
        <v>290</v>
      </c>
      <c r="E118" s="64">
        <f t="shared" si="3"/>
        <v>950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83010</v>
      </c>
      <c r="E119" s="39">
        <f>SUM(E98:E118)</f>
        <v>274360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TRUNC(5257,-1)</f>
        <v>5250</v>
      </c>
      <c r="E122" s="62">
        <f t="shared" ref="E122:E132" si="4">TRUNC(+D122*3.3058,-1)</f>
        <v>17350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TRUNC(232,-1)</f>
        <v>230</v>
      </c>
      <c r="E124" s="63">
        <f t="shared" si="4"/>
        <v>760</v>
      </c>
    </row>
    <row r="125" spans="1:7" x14ac:dyDescent="0.3">
      <c r="A125" s="2">
        <v>4</v>
      </c>
      <c r="C125" s="38" t="s">
        <v>138</v>
      </c>
      <c r="D125" s="42">
        <f>TRUNC(9101,-1)</f>
        <v>9100</v>
      </c>
      <c r="E125" s="63">
        <f t="shared" si="4"/>
        <v>30080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TRUNC(6059,-1)</f>
        <v>6050</v>
      </c>
      <c r="E128" s="63">
        <f t="shared" si="4"/>
        <v>20000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TRUNC(24383,-1)</f>
        <v>24380</v>
      </c>
      <c r="E130" s="63">
        <f t="shared" si="4"/>
        <v>80590</v>
      </c>
    </row>
    <row r="131" spans="1:7" x14ac:dyDescent="0.3">
      <c r="A131" s="2">
        <v>10</v>
      </c>
      <c r="C131" s="38" t="s">
        <v>148</v>
      </c>
      <c r="D131" s="42">
        <f>TRUNC(16478,-1)</f>
        <v>16470</v>
      </c>
      <c r="E131" s="63">
        <f t="shared" si="4"/>
        <v>54440</v>
      </c>
    </row>
    <row r="132" spans="1:7" ht="18" thickBot="1" x14ac:dyDescent="0.35">
      <c r="A132" s="2">
        <v>11</v>
      </c>
      <c r="C132" s="38" t="s">
        <v>47</v>
      </c>
      <c r="D132" s="43">
        <f>TRUNC(2465,-1)</f>
        <v>2460</v>
      </c>
      <c r="E132" s="64">
        <f t="shared" si="4"/>
        <v>8130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63940</v>
      </c>
      <c r="E133" s="39">
        <f>SUM(E122:E132)</f>
        <v>211350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TRUNC(143+2380+1532,-1)</f>
        <v>4050</v>
      </c>
      <c r="E137" s="63">
        <f t="shared" si="5"/>
        <v>13380</v>
      </c>
      <c r="F137" s="2" t="s">
        <v>264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TRUNC(802,-1)</f>
        <v>800</v>
      </c>
      <c r="E140" s="63">
        <f t="shared" si="5"/>
        <v>2640</v>
      </c>
    </row>
    <row r="141" spans="1:7" x14ac:dyDescent="0.3">
      <c r="A141" s="2">
        <v>6</v>
      </c>
      <c r="C141" s="38" t="s">
        <v>59</v>
      </c>
      <c r="D141" s="42">
        <f>TRUNC(10175,-1)</f>
        <v>10170</v>
      </c>
      <c r="E141" s="63">
        <f t="shared" si="5"/>
        <v>33610</v>
      </c>
    </row>
    <row r="142" spans="1:7" x14ac:dyDescent="0.3">
      <c r="A142" s="2">
        <v>7</v>
      </c>
      <c r="C142" s="38" t="s">
        <v>58</v>
      </c>
      <c r="D142" s="42">
        <f>TRUNC(8002,-1)</f>
        <v>8000</v>
      </c>
      <c r="E142" s="63">
        <f t="shared" si="5"/>
        <v>26440</v>
      </c>
    </row>
    <row r="143" spans="1:7" x14ac:dyDescent="0.3">
      <c r="A143" s="2">
        <v>8</v>
      </c>
      <c r="C143" s="38" t="s">
        <v>62</v>
      </c>
      <c r="D143" s="42">
        <f>TRUNC(3954,-1)</f>
        <v>3950</v>
      </c>
      <c r="E143" s="63">
        <f t="shared" si="5"/>
        <v>13050</v>
      </c>
    </row>
    <row r="144" spans="1:7" x14ac:dyDescent="0.3">
      <c r="A144" s="2">
        <v>9</v>
      </c>
      <c r="C144" s="38" t="s">
        <v>63</v>
      </c>
      <c r="D144" s="42">
        <f>TRUNC(12795,-1)</f>
        <v>12790</v>
      </c>
      <c r="E144" s="63">
        <f t="shared" si="5"/>
        <v>42280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39760</v>
      </c>
      <c r="E146" s="39">
        <f>SUM(E136:E145)</f>
        <v>131400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TRUNC(12156+4320,-1)</f>
        <v>16470</v>
      </c>
      <c r="E149" s="62">
        <f>TRUNC(+D149*3.3058,-1)</f>
        <v>54440</v>
      </c>
    </row>
    <row r="150" spans="1:7" x14ac:dyDescent="0.3">
      <c r="A150" s="2">
        <v>2</v>
      </c>
      <c r="C150" s="38" t="s">
        <v>49</v>
      </c>
      <c r="D150" s="42">
        <f>TRUNC(18243,-1)</f>
        <v>18240</v>
      </c>
      <c r="E150" s="63">
        <f>TRUNC(+D150*3.3058,-1)</f>
        <v>60290</v>
      </c>
    </row>
    <row r="151" spans="1:7" x14ac:dyDescent="0.3">
      <c r="A151" s="2">
        <v>3</v>
      </c>
      <c r="C151" s="38" t="s">
        <v>50</v>
      </c>
      <c r="D151" s="42">
        <f>TRUNC(9883,-1)</f>
        <v>9880</v>
      </c>
      <c r="E151" s="63">
        <f>TRUNC(+D151*3.3058,-1)</f>
        <v>32660</v>
      </c>
    </row>
    <row r="152" spans="1:7" x14ac:dyDescent="0.3">
      <c r="A152" s="2">
        <v>4</v>
      </c>
      <c r="C152" s="38" t="s">
        <v>47</v>
      </c>
      <c r="D152" s="42">
        <f>TRUNC(326+498,-1)</f>
        <v>820</v>
      </c>
      <c r="E152" s="63">
        <f>TRUNC(+D152*3.3058,-1)</f>
        <v>2710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45410</v>
      </c>
      <c r="E154" s="39">
        <f>SUM(E149:E153)</f>
        <v>150100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TRUNC(19458,-1)</f>
        <v>19450</v>
      </c>
      <c r="E157" s="62">
        <f>TRUNC(+D157*3.3058,-1)</f>
        <v>64290</v>
      </c>
    </row>
    <row r="158" spans="1:7" x14ac:dyDescent="0.3">
      <c r="A158" s="2">
        <v>2</v>
      </c>
      <c r="C158" s="38" t="s">
        <v>52</v>
      </c>
      <c r="D158" s="42">
        <f>TRUNC(6008,-1)</f>
        <v>6000</v>
      </c>
      <c r="E158" s="63">
        <f>TRUNC(+D158*3.3058,-1)</f>
        <v>19830</v>
      </c>
    </row>
    <row r="159" spans="1:7" x14ac:dyDescent="0.3">
      <c r="A159" s="2">
        <v>3</v>
      </c>
      <c r="C159" s="38" t="s">
        <v>47</v>
      </c>
      <c r="D159" s="42">
        <f>TRUNC(3916+1685,-1)</f>
        <v>5600</v>
      </c>
      <c r="E159" s="63">
        <f>TRUNC(+D159*3.3058,-1)</f>
        <v>18510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31050</v>
      </c>
      <c r="E161" s="39">
        <f>SUM(E157:E160)</f>
        <v>102630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2020-12-07T10:13:43Z</dcterms:modified>
</cp:coreProperties>
</file>