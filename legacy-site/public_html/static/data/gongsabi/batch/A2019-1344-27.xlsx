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60" i="4"/>
  <c r="D158" i="4"/>
  <c r="D157" i="4"/>
  <c r="D153" i="4"/>
  <c r="D150" i="4"/>
  <c r="D149" i="4"/>
  <c r="D145" i="4"/>
  <c r="D144" i="4"/>
  <c r="D143" i="4"/>
  <c r="D142" i="4"/>
  <c r="D140" i="4"/>
  <c r="D139" i="4"/>
  <c r="D137" i="4"/>
  <c r="D132" i="4"/>
  <c r="D130" i="4"/>
  <c r="D128" i="4"/>
  <c r="D127" i="4"/>
  <c r="D126" i="4"/>
  <c r="D125" i="4"/>
  <c r="D124" i="4"/>
  <c r="D122" i="4"/>
  <c r="D118" i="4"/>
  <c r="D117" i="4"/>
  <c r="D116" i="4"/>
  <c r="D105" i="4"/>
  <c r="D104" i="4"/>
  <c r="D102" i="4"/>
  <c r="D101" i="4"/>
  <c r="D100" i="4"/>
  <c r="D99" i="4"/>
  <c r="D98" i="4"/>
  <c r="D93" i="4"/>
  <c r="D92" i="4"/>
  <c r="D91" i="4"/>
  <c r="D90" i="4"/>
  <c r="D89" i="4"/>
  <c r="D75" i="4"/>
  <c r="D73" i="4"/>
  <c r="D72" i="4"/>
  <c r="D71" i="4"/>
  <c r="D70" i="4"/>
  <c r="D69" i="4"/>
  <c r="D65" i="4"/>
  <c r="D63" i="4"/>
  <c r="D59" i="4"/>
  <c r="D58" i="4"/>
  <c r="D53" i="4"/>
  <c r="D50" i="4"/>
  <c r="D49" i="4"/>
  <c r="D48" i="4"/>
  <c r="D44" i="4"/>
  <c r="D43" i="4"/>
  <c r="D41" i="4"/>
  <c r="D40" i="4"/>
  <c r="D152" i="4" l="1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<sst xmlns="http://schemas.openxmlformats.org/spreadsheetml/2006/main" count="395" uniqueCount="272">
  <si>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</si>
  <si>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</si>
  <si>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</si>
  <si>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</si>
  <si>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</si>
  <si>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</si>
  <si>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</si>
  <si>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</si>
  <si>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</si>
  <si>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</si>
  <si>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</si>
  <si>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</si>
  <si>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</si>
  <si>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</si>
  <si>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</si>
  <si>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</si>
  <si>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</si>
  <si>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</si>
  <si>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</si>
  <si>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</si>
  <si>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</si>
  <si>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</si>
  <si>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</si>
  <si>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</si>
  <si>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</si>
  <si>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</si>
  <si>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</si>
  <si>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</si>
  <si>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</si>
  <si>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</si>
  <si>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</si>
  <si>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</si>
  <si>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</si>
  <si>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</si>
  <si>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</si>
  <si>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</si>
  <si>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</si>
  <si>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</si>
  <si>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</si>
  <si>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</si>
  <si>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</si>
  <si>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</si>
  <si>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</si>
  <si>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</si>
  <si>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</si>
  <si>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</si>
  <si>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</si>
  <si>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</si>
  <si>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</si>
  <si>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</si>
  <si>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</si>
  <si>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</si>
  <si>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</si>
  <si>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</si>
  <si>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</si>
  <si>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</si>
  <si>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</si>
  <si>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</si>
  <si>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</si>
  <si>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</si>
  <si>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</si>
  <si>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</si>
  <si>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</si>
  <si>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</si>
  <si>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</si>
  <si>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</si>
  <si>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</si>
  <si>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</si>
  <si>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</si>
  <si>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</si>
  <si>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</si>
  <si>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</si>
  <si>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</si>
  <si>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</si>
  <si>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</si>
  <si>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</si>
  <si>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</si>
  <si>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</si>
  <si>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</si>
  <si>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</si>
  <si>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</si>
  <si>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</si>
  <si>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</si>
  <si>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</si>
  <si>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</si>
  <si>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</si>
  <si>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</si>
  <si>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</si>
  <si>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</si>
  <si>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</si>
  <si>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</si>
  <si>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</si>
  <si>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</si>
  <si>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</si>
  <si>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</si>
  <si>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</si>
  <si>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</si>
  <si>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</si>
  <si>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</si>
  <si>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</si>
  <si>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</si>
  <si>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</si>
  <si>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</si>
  <si>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</si>
  <si>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</si>
  <si>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</si>
  <si>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</si>
  <si>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</si>
  <si>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</si>
  <si>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</si>
  <si>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</si>
  <si>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</si>
  <si>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</si>
  <si>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</si>
  <si>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</si>
  <si>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</si>
  <si>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</si>
  <si>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</si>
  <si>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</si>
  <si>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</si>
  <si>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</si>
  <si>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</si>
  <si>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</si>
  <si>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</si>
  <si>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</si>
  <si>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</si>
  <si>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</si>
  <si>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</si>
  <si>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</si>
  <si>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</si>
  <si>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</si>
  <si>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</si>
  <si>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</si>
  <si>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</si>
  <si>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</si>
  <si>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</si>
  <si>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</si>
  <si>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</si>
  <si>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</si>
  <si>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</si>
  <si>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</si>
  <si>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</si>
  <si>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</si>
  <si>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</si>
  <si>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</si>
  <si>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</si>
  <si>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</si>
  <si>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</si>
  <si>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</si>
  <si>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</si>
  <si>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</si>
  <si>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</si>
  <si>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</si>
  <si>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</si>
  <si>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</si>
  <si>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</si>
  <si>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</si>
  <si>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</si>
  <si>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</si>
  <si>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</si>
  <si>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</si>
  <si>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</si>
  <si>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</si>
  <si>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</si>
  <si>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</si>
  <si>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</si>
  <si>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</si>
  <si>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</si>
  <si>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</si>
  <si>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</si>
  <si>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</si>
  <si>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</si>
  <si>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</si>
  <si>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</si>
  <si>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</si>
  <si>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</si>
  <si>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</si>
  <si>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</si>
  <si>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</si>
  <si>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</si>
  <si>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</si>
  <si>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</si>
  <si>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</si>
  <si>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</si>
  <si>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</si>
  <si>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</si>
  <si>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</si>
  <si>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</si>
  <si>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</si>
  <si>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</si>
  <si>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</si>
  <si>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</si>
  <si>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</si>
  <si>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</si>
  <si>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</si>
  <si>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</si>
  <si>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</si>
  <si>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</si>
  <si>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</si>
  <si>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</si>
  <si>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</si>
  <si>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</si>
  <si>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</si>
  <si>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</si>
  <si>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</si>
  <si>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</si>
  <si>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</si>
  <si>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</si>
  <si>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</si>
  <si>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</si>
  <si>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</si>
  <si>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</si>
  <si>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</si>
  <si>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</si>
  <si>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</si>
  <si>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</si>
  <si>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</si>
  <si>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</si>
  <si>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</si>
  <si>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</si>
  <si>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</si>
  <si>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</si>
  <si>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</si>
  <si>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</si>
  <si>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</si>
  <si>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</si>
  <si>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</si>
  <si>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</si>
  <si>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</si>
  <si>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</si>
  <si>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</si>
  <si>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</si>
  <si>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</si>
  <si>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</si>
  <si>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</si>
  <si>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</si>
  <si>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</si>
  <si>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</si>
  <si>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</si>
  <si>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</si>
  <si>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</si>
  <si>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</si>
  <si>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</si>
  <si>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</si>
  <si>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</si>
  <si>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</si>
  <si>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</si>
  <si>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</si>
  <si>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</si>
  <si>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국민건강보험공단 부산사하지사 사옥 신축 건축공사</t>
    <phoneticPr fontId="2" type="noConversion"/>
  </si>
  <si>
    <t>부산시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</si>
  <si>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</si>
  <si>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</si>
  <si>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</si>
  <si>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</si>
  <si>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</si>
  <si>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</si>
  <si>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</si>
  <si>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</si>
  <si>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옥외소화배관공사,펌프실배관공사,무선통신보조설비공사,기타공사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</si>
  <si>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</si>
  <si>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</si>
  <si>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</si>
  <si>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</si>
  <si>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</si>
  <si>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</si>
  <si>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</si>
  <si>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</si>
  <si>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바닥난방공사, 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</si>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</sst>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10258.75</v>
      </c>
      <c r="D7" s="36">
        <f>+C7/3.3058</f>
        <v>3103.2579103394032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1010690</v>
      </c>
      <c r="E25" s="59">
        <f t="shared" si="0"/>
        <v>3341130</v>
      </c>
    </row>
    <row r="26" spans="1:5" x14ac:dyDescent="0.3">
      <c r="B26" s="2">
        <v>3</v>
      </c>
      <c r="C26" s="35" t="s">
        <v>95</v>
      </c>
      <c r="D26" s="45">
        <f>+D66</f>
        <v>126770</v>
      </c>
      <c r="E26" s="59">
        <f t="shared" si="0"/>
        <v>419070</v>
      </c>
    </row>
    <row r="27" spans="1:5" x14ac:dyDescent="0.3">
      <c r="B27" s="2">
        <v>4</v>
      </c>
      <c r="C27" s="35" t="s">
        <v>96</v>
      </c>
      <c r="D27" s="45">
        <f>+D95</f>
        <v>309410</v>
      </c>
      <c r="E27" s="59">
        <f t="shared" si="0"/>
        <v>1022840</v>
      </c>
    </row>
    <row r="28" spans="1:5" x14ac:dyDescent="0.3">
      <c r="B28" s="2">
        <v>5</v>
      </c>
      <c r="C28" s="35" t="s">
        <v>97</v>
      </c>
      <c r="D28" s="45">
        <f>+D119</f>
        <v>255470</v>
      </c>
      <c r="E28" s="59">
        <f t="shared" si="0"/>
        <v>844530</v>
      </c>
    </row>
    <row r="29" spans="1:5" x14ac:dyDescent="0.3">
      <c r="B29" s="2">
        <v>6</v>
      </c>
      <c r="C29" s="35" t="s">
        <v>98</v>
      </c>
      <c r="D29" s="45">
        <f>+D133</f>
        <v>158950</v>
      </c>
      <c r="E29" s="59">
        <f t="shared" si="0"/>
        <v>525450</v>
      </c>
    </row>
    <row r="30" spans="1:5" x14ac:dyDescent="0.3">
      <c r="B30" s="2">
        <v>7</v>
      </c>
      <c r="C30" s="35" t="s">
        <v>99</v>
      </c>
      <c r="D30" s="45">
        <f>+D146</f>
        <v>80140</v>
      </c>
      <c r="E30" s="59">
        <f t="shared" si="0"/>
        <v>264920</v>
      </c>
    </row>
    <row r="31" spans="1:5" x14ac:dyDescent="0.3">
      <c r="B31" s="2">
        <v>8</v>
      </c>
      <c r="C31" s="35" t="s">
        <v>100</v>
      </c>
      <c r="D31" s="45">
        <f>+D154</f>
        <v>24500</v>
      </c>
      <c r="E31" s="59">
        <f t="shared" si="0"/>
        <v>80990</v>
      </c>
    </row>
    <row r="32" spans="1:5" x14ac:dyDescent="0.3">
      <c r="B32" s="2">
        <v>9</v>
      </c>
      <c r="C32" s="35" t="s">
        <v>101</v>
      </c>
      <c r="D32" s="45">
        <f>+D161</f>
        <v>34940</v>
      </c>
      <c r="E32" s="59">
        <f t="shared" si="0"/>
        <v>115500</v>
      </c>
    </row>
    <row r="33" spans="1:7" x14ac:dyDescent="0.3">
      <c r="B33" s="2">
        <v>10</v>
      </c>
      <c r="C33" s="35" t="s">
        <v>154</v>
      </c>
      <c r="D33" s="53">
        <f>TRUNC(SUM(D24:D32)*0.275,-1)</f>
        <v>550230</v>
      </c>
      <c r="E33" s="60">
        <f t="shared" si="0"/>
        <v>1818950</v>
      </c>
    </row>
    <row r="34" spans="1:7" x14ac:dyDescent="0.3">
      <c r="C34" s="35" t="s">
        <v>112</v>
      </c>
      <c r="D34" s="44">
        <f>SUM(D24:D33)</f>
        <v>2551100</v>
      </c>
      <c r="E34" s="44">
        <f>SUM(E24:E33)</f>
        <v>8433380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TRUNC(103499,-1)</f>
        <v>103490</v>
      </c>
      <c r="E40" s="62">
        <f t="shared" ref="E40:E59" si="1">TRUNC(+D40*3.3058,-1)</f>
        <v>342110</v>
      </c>
    </row>
    <row r="41" spans="1:7" x14ac:dyDescent="0.3">
      <c r="A41" s="2">
        <v>2</v>
      </c>
      <c r="C41" s="38" t="s">
        <v>13</v>
      </c>
      <c r="D41" s="42">
        <f>TRUNC(164712,-1)</f>
        <v>164710</v>
      </c>
      <c r="E41" s="63">
        <f t="shared" si="1"/>
        <v>544490</v>
      </c>
    </row>
    <row r="42" spans="1:7" x14ac:dyDescent="0.3">
      <c r="A42" s="2">
        <v>3</v>
      </c>
      <c r="C42" s="38" t="s">
        <v>14</v>
      </c>
      <c r="D42" s="42">
        <v>12850</v>
      </c>
      <c r="E42" s="63">
        <f t="shared" si="1"/>
        <v>42470</v>
      </c>
    </row>
    <row r="43" spans="1:7" x14ac:dyDescent="0.3">
      <c r="A43" s="2">
        <v>4</v>
      </c>
      <c r="C43" s="38" t="s">
        <v>16</v>
      </c>
      <c r="D43" s="42">
        <f>TRUNC(7255,-1)</f>
        <v>7250</v>
      </c>
      <c r="E43" s="63">
        <f t="shared" si="1"/>
        <v>23960</v>
      </c>
    </row>
    <row r="44" spans="1:7" x14ac:dyDescent="0.3">
      <c r="A44" s="2">
        <v>5</v>
      </c>
      <c r="C44" s="38" t="s">
        <v>17</v>
      </c>
      <c r="D44" s="42">
        <f>TRUNC(29094,-1)</f>
        <v>29090</v>
      </c>
      <c r="E44" s="63">
        <f t="shared" si="1"/>
        <v>96160</v>
      </c>
    </row>
    <row r="45" spans="1:7" x14ac:dyDescent="0.3">
      <c r="A45" s="2">
        <v>6</v>
      </c>
      <c r="C45" s="38" t="s">
        <v>18</v>
      </c>
      <c r="D45" s="42">
        <v>6900</v>
      </c>
      <c r="E45" s="63">
        <f t="shared" si="1"/>
        <v>22810</v>
      </c>
    </row>
    <row r="46" spans="1:7" x14ac:dyDescent="0.3">
      <c r="A46" s="2">
        <v>7</v>
      </c>
      <c r="C46" s="38" t="s">
        <v>19</v>
      </c>
      <c r="D46" s="42">
        <v>27200</v>
      </c>
      <c r="E46" s="63">
        <f t="shared" si="1"/>
        <v>89910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TRUNC(32641,-1)</f>
        <v>32640</v>
      </c>
      <c r="E48" s="63">
        <f t="shared" si="1"/>
        <v>107900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TRUNC(7658,-1)</f>
        <v>7650</v>
      </c>
      <c r="E49" s="63">
        <f t="shared" si="1"/>
        <v>25280</v>
      </c>
    </row>
    <row r="50" spans="1:7" x14ac:dyDescent="0.3">
      <c r="A50" s="2">
        <v>11</v>
      </c>
      <c r="C50" s="38" t="s">
        <v>155</v>
      </c>
      <c r="D50" s="42">
        <f>TRUNC(62522,-1)</f>
        <v>62520</v>
      </c>
      <c r="E50" s="63">
        <f t="shared" si="1"/>
        <v>206670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15230</v>
      </c>
      <c r="E52" s="63">
        <f t="shared" si="1"/>
        <v>50340</v>
      </c>
    </row>
    <row r="53" spans="1:7" x14ac:dyDescent="0.3">
      <c r="A53" s="2">
        <v>14</v>
      </c>
      <c r="C53" s="38" t="s">
        <v>25</v>
      </c>
      <c r="D53" s="42">
        <f>TRUNC(171753,-1)</f>
        <v>171750</v>
      </c>
      <c r="E53" s="63">
        <f t="shared" si="1"/>
        <v>567770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TRUNC(3752+5607+76518,-1)</f>
        <v>85870</v>
      </c>
      <c r="E58" s="63">
        <f t="shared" si="1"/>
        <v>283860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TRUNC(283545,-1)</f>
        <v>283540</v>
      </c>
      <c r="E59" s="64">
        <f t="shared" si="1"/>
        <v>937320</v>
      </c>
    </row>
    <row r="60" spans="1:7" x14ac:dyDescent="0.3">
      <c r="A60" s="2">
        <v>21</v>
      </c>
      <c r="C60" s="27" t="s">
        <v>112</v>
      </c>
      <c r="D60" s="39">
        <f>SUM(D40:D59)</f>
        <v>1010690</v>
      </c>
      <c r="E60" s="39">
        <f>SUM(E40:E59)</f>
        <v>3341050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TRUNC(17179,-1)</f>
        <v>17170</v>
      </c>
      <c r="E63" s="62">
        <f>TRUNC(+D63*3.3058,-1)</f>
        <v>56760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TRUNC(109605,-1)</f>
        <v>109600</v>
      </c>
      <c r="E65" s="64">
        <f>TRUNC(+D65*3.3058,-1)</f>
        <v>362310</v>
      </c>
    </row>
    <row r="66" spans="1:7" x14ac:dyDescent="0.3">
      <c r="A66" s="2">
        <v>4</v>
      </c>
      <c r="C66" s="27" t="s">
        <v>112</v>
      </c>
      <c r="D66" s="39">
        <f>SUM(D63:D65)</f>
        <v>126770</v>
      </c>
      <c r="E66" s="65">
        <f>SUM(E63:E65)</f>
        <v>419070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TRUNC(6879,-1)</f>
        <v>6870</v>
      </c>
      <c r="E69" s="62">
        <f t="shared" ref="E69:E94" si="2">TRUNC(+D69*3.3058,-1)</f>
        <v>22710</v>
      </c>
    </row>
    <row r="70" spans="1:7" ht="16.5" customHeight="1" x14ac:dyDescent="0.3">
      <c r="A70" s="2">
        <v>2</v>
      </c>
      <c r="C70" s="38" t="s">
        <v>31</v>
      </c>
      <c r="D70" s="42">
        <f>TRUNC(132,-1)</f>
        <v>130</v>
      </c>
      <c r="E70" s="63">
        <f t="shared" si="2"/>
        <v>420</v>
      </c>
    </row>
    <row r="71" spans="1:7" x14ac:dyDescent="0.3">
      <c r="A71" s="2">
        <v>3</v>
      </c>
      <c r="C71" s="38" t="s">
        <v>32</v>
      </c>
      <c r="D71" s="42">
        <f>TRUNC(8109,-1)</f>
        <v>8100</v>
      </c>
      <c r="E71" s="63">
        <f t="shared" si="2"/>
        <v>26770</v>
      </c>
    </row>
    <row r="72" spans="1:7" x14ac:dyDescent="0.3">
      <c r="A72" s="2">
        <v>4</v>
      </c>
      <c r="C72" s="38" t="s">
        <v>33</v>
      </c>
      <c r="D72" s="42">
        <f>TRUNC(4599,-1)</f>
        <v>4590</v>
      </c>
      <c r="E72" s="63">
        <f t="shared" si="2"/>
        <v>15170</v>
      </c>
    </row>
    <row r="73" spans="1:7" x14ac:dyDescent="0.3">
      <c r="A73" s="2">
        <v>5</v>
      </c>
      <c r="C73" s="38" t="s">
        <v>34</v>
      </c>
      <c r="D73" s="42">
        <f>TRUNC(11077,-1)</f>
        <v>11070</v>
      </c>
      <c r="E73" s="63">
        <f t="shared" si="2"/>
        <v>36590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TRUNC(703,-1)</f>
        <v>700</v>
      </c>
      <c r="E75" s="63">
        <f t="shared" si="2"/>
        <v>2310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TRUNC(20515,-1)</f>
        <v>20510</v>
      </c>
      <c r="E89" s="63">
        <f t="shared" si="2"/>
        <v>67800</v>
      </c>
    </row>
    <row r="90" spans="1:7" x14ac:dyDescent="0.3">
      <c r="A90" s="2">
        <v>22</v>
      </c>
      <c r="C90" s="38" t="s">
        <v>36</v>
      </c>
      <c r="D90" s="42">
        <f>TRUNC(3398,-1)</f>
        <v>3390</v>
      </c>
      <c r="E90" s="63">
        <f t="shared" si="2"/>
        <v>11200</v>
      </c>
    </row>
    <row r="91" spans="1:7" x14ac:dyDescent="0.3">
      <c r="A91" s="2">
        <v>23</v>
      </c>
      <c r="C91" s="38" t="s">
        <v>37</v>
      </c>
      <c r="D91" s="42">
        <f>TRUNC(26285,-1)</f>
        <v>26280</v>
      </c>
      <c r="E91" s="63">
        <f t="shared" si="2"/>
        <v>86870</v>
      </c>
    </row>
    <row r="92" spans="1:7" x14ac:dyDescent="0.3">
      <c r="A92" s="2">
        <v>24</v>
      </c>
      <c r="C92" s="38" t="s">
        <v>38</v>
      </c>
      <c r="D92" s="42">
        <f>TRUNC(7505,-1)</f>
        <v>7500</v>
      </c>
      <c r="E92" s="63">
        <f t="shared" si="2"/>
        <v>24790</v>
      </c>
    </row>
    <row r="93" spans="1:7" x14ac:dyDescent="0.3">
      <c r="A93" s="2">
        <v>25</v>
      </c>
      <c r="C93" s="38" t="s">
        <v>148</v>
      </c>
      <c r="D93" s="42">
        <f>TRUNC(166875,-1)</f>
        <v>166870</v>
      </c>
      <c r="E93" s="63">
        <f t="shared" si="2"/>
        <v>551630</v>
      </c>
    </row>
    <row r="94" spans="1:7" ht="17.25" thickBot="1" x14ac:dyDescent="0.35">
      <c r="A94" s="2">
        <v>26</v>
      </c>
      <c r="C94" s="38" t="s">
        <v>47</v>
      </c>
      <c r="D94" s="43">
        <f>TRUNC(629+2368+50411,-1)</f>
        <v>53400</v>
      </c>
      <c r="E94" s="64">
        <f t="shared" si="2"/>
        <v>176520</v>
      </c>
      <c r="F94" s="2" t="s">
        <v>268</v>
      </c>
    </row>
    <row r="95" spans="1:7" x14ac:dyDescent="0.3">
      <c r="A95" s="2">
        <v>27</v>
      </c>
      <c r="C95" s="27" t="s">
        <v>112</v>
      </c>
      <c r="D95" s="39">
        <f>SUM(D69:D94)</f>
        <v>309410</v>
      </c>
      <c r="E95" s="39">
        <f>SUM(E69:E94)</f>
        <v>1022780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TRUNC(11919,-1)</f>
        <v>11910</v>
      </c>
      <c r="E98" s="62">
        <f t="shared" ref="E98:E118" si="3">TRUNC(+D98*3.3058,-1)</f>
        <v>39370</v>
      </c>
    </row>
    <row r="99" spans="1:7" x14ac:dyDescent="0.3">
      <c r="A99" s="2">
        <v>2</v>
      </c>
      <c r="C99" s="38" t="s">
        <v>40</v>
      </c>
      <c r="D99" s="42">
        <f>TRUNC(13914,-1)</f>
        <v>13910</v>
      </c>
      <c r="E99" s="63">
        <f t="shared" si="3"/>
        <v>45980</v>
      </c>
    </row>
    <row r="100" spans="1:7" x14ac:dyDescent="0.3">
      <c r="A100" s="2">
        <v>3</v>
      </c>
      <c r="C100" s="38" t="s">
        <v>41</v>
      </c>
      <c r="D100" s="42">
        <f>TRUNC(38791,-1)</f>
        <v>38790</v>
      </c>
      <c r="E100" s="63">
        <f t="shared" si="3"/>
        <v>128230</v>
      </c>
    </row>
    <row r="101" spans="1:7" x14ac:dyDescent="0.3">
      <c r="A101" s="2">
        <v>4</v>
      </c>
      <c r="C101" s="38" t="s">
        <v>42</v>
      </c>
      <c r="D101" s="42">
        <f>TRUNC(4783,-1)</f>
        <v>4780</v>
      </c>
      <c r="E101" s="63">
        <f t="shared" si="3"/>
        <v>15800</v>
      </c>
    </row>
    <row r="102" spans="1:7" x14ac:dyDescent="0.3">
      <c r="A102" s="2">
        <v>5</v>
      </c>
      <c r="C102" s="38" t="s">
        <v>43</v>
      </c>
      <c r="D102" s="42">
        <f>TRUNC(17965,-1)</f>
        <v>17960</v>
      </c>
      <c r="E102" s="63">
        <f t="shared" si="3"/>
        <v>59370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TRUNC(3336,-1)</f>
        <v>3330</v>
      </c>
      <c r="E104" s="63">
        <f t="shared" si="3"/>
        <v>11000</v>
      </c>
    </row>
    <row r="105" spans="1:7" x14ac:dyDescent="0.3">
      <c r="A105" s="2">
        <v>8</v>
      </c>
      <c r="C105" s="38" t="s">
        <v>46</v>
      </c>
      <c r="D105" s="42">
        <f>TRUNC(5456,-1)</f>
        <v>5450</v>
      </c>
      <c r="E105" s="63">
        <f t="shared" si="3"/>
        <v>18010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2170</v>
      </c>
      <c r="E114" s="63">
        <f t="shared" si="3"/>
        <v>7170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TRUNC(5335,-1)</f>
        <v>5330</v>
      </c>
      <c r="E116" s="63">
        <f t="shared" si="3"/>
        <v>17610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TRUNC(146306,-1)</f>
        <v>146300</v>
      </c>
      <c r="E117" s="63">
        <f t="shared" si="3"/>
        <v>483630</v>
      </c>
    </row>
    <row r="118" spans="1:7" ht="17.25" thickBot="1" x14ac:dyDescent="0.35">
      <c r="A118" s="2">
        <v>21</v>
      </c>
      <c r="C118" s="38" t="s">
        <v>47</v>
      </c>
      <c r="D118" s="43">
        <f>TRUNC(2377+3169,-1)</f>
        <v>5540</v>
      </c>
      <c r="E118" s="64">
        <f t="shared" si="3"/>
        <v>18310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255470</v>
      </c>
      <c r="E119" s="39">
        <f>SUM(E98:E118)</f>
        <v>844480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TRUNC(11715,-1)</f>
        <v>11710</v>
      </c>
      <c r="E122" s="62">
        <f t="shared" ref="E122:E132" si="4">TRUNC(+D122*3.3058,-1)</f>
        <v>38710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TRUNC(1289,-1)</f>
        <v>1280</v>
      </c>
      <c r="E124" s="63">
        <f t="shared" si="4"/>
        <v>4230</v>
      </c>
    </row>
    <row r="125" spans="1:7" x14ac:dyDescent="0.3">
      <c r="A125" s="2">
        <v>4</v>
      </c>
      <c r="C125" s="38" t="s">
        <v>138</v>
      </c>
      <c r="D125" s="42">
        <f>TRUNC(5992,-1)</f>
        <v>5990</v>
      </c>
      <c r="E125" s="63">
        <f t="shared" si="4"/>
        <v>19800</v>
      </c>
    </row>
    <row r="126" spans="1:7" x14ac:dyDescent="0.3">
      <c r="A126" s="2">
        <v>5</v>
      </c>
      <c r="C126" s="38" t="s">
        <v>53</v>
      </c>
      <c r="D126" s="42">
        <f>TRUNC(1076,-1)</f>
        <v>1070</v>
      </c>
      <c r="E126" s="63">
        <f t="shared" si="4"/>
        <v>3530</v>
      </c>
    </row>
    <row r="127" spans="1:7" x14ac:dyDescent="0.3">
      <c r="A127" s="2">
        <v>6</v>
      </c>
      <c r="C127" s="38" t="s">
        <v>56</v>
      </c>
      <c r="D127" s="42">
        <f>TRUNC(5312,-1)</f>
        <v>5310</v>
      </c>
      <c r="E127" s="63">
        <f t="shared" si="4"/>
        <v>17550</v>
      </c>
    </row>
    <row r="128" spans="1:7" x14ac:dyDescent="0.3">
      <c r="A128" s="2">
        <v>7</v>
      </c>
      <c r="C128" s="38" t="s">
        <v>46</v>
      </c>
      <c r="D128" s="42">
        <f>TRUNC(13579,-1)</f>
        <v>13570</v>
      </c>
      <c r="E128" s="63">
        <f t="shared" si="4"/>
        <v>44850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TRUNC(53756,-1)</f>
        <v>53750</v>
      </c>
      <c r="E130" s="63">
        <f t="shared" si="4"/>
        <v>177680</v>
      </c>
    </row>
    <row r="131" spans="1:7" x14ac:dyDescent="0.3">
      <c r="A131" s="2">
        <v>10</v>
      </c>
      <c r="C131" s="38" t="s">
        <v>148</v>
      </c>
      <c r="D131" s="42">
        <v>55240</v>
      </c>
      <c r="E131" s="63">
        <f t="shared" si="4"/>
        <v>182610</v>
      </c>
    </row>
    <row r="132" spans="1:7" ht="18" thickBot="1" x14ac:dyDescent="0.35">
      <c r="A132" s="2">
        <v>11</v>
      </c>
      <c r="C132" s="38" t="s">
        <v>47</v>
      </c>
      <c r="D132" s="43">
        <f>TRUNC(1962+1962+7115,-1)</f>
        <v>11030</v>
      </c>
      <c r="E132" s="64">
        <f t="shared" si="4"/>
        <v>36460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158950</v>
      </c>
      <c r="E133" s="39">
        <f>SUM(E122:E132)</f>
        <v>525420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TRUNC(153+4328+2278+604,-1)</f>
        <v>7360</v>
      </c>
      <c r="E137" s="63">
        <f t="shared" si="5"/>
        <v>24330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710</v>
      </c>
      <c r="E138" s="63">
        <f t="shared" si="5"/>
        <v>2340</v>
      </c>
    </row>
    <row r="139" spans="1:7" x14ac:dyDescent="0.3">
      <c r="A139" s="2">
        <v>4</v>
      </c>
      <c r="C139" s="38" t="s">
        <v>61</v>
      </c>
      <c r="D139" s="42">
        <f>TRUNC(3314,-1)</f>
        <v>3310</v>
      </c>
      <c r="E139" s="63">
        <f t="shared" si="5"/>
        <v>10940</v>
      </c>
    </row>
    <row r="140" spans="1:7" x14ac:dyDescent="0.3">
      <c r="A140" s="2">
        <v>5</v>
      </c>
      <c r="C140" s="38" t="s">
        <v>57</v>
      </c>
      <c r="D140" s="42">
        <f>TRUNC(4951,-1)</f>
        <v>4950</v>
      </c>
      <c r="E140" s="63">
        <f t="shared" si="5"/>
        <v>16360</v>
      </c>
    </row>
    <row r="141" spans="1:7" x14ac:dyDescent="0.3">
      <c r="A141" s="2">
        <v>6</v>
      </c>
      <c r="C141" s="38" t="s">
        <v>59</v>
      </c>
      <c r="D141" s="42">
        <v>29940</v>
      </c>
      <c r="E141" s="63">
        <f t="shared" si="5"/>
        <v>98970</v>
      </c>
    </row>
    <row r="142" spans="1:7" x14ac:dyDescent="0.3">
      <c r="A142" s="2">
        <v>7</v>
      </c>
      <c r="C142" s="38" t="s">
        <v>58</v>
      </c>
      <c r="D142" s="42">
        <f>TRUNC(5481,-1)</f>
        <v>5480</v>
      </c>
      <c r="E142" s="63">
        <f t="shared" si="5"/>
        <v>18110</v>
      </c>
    </row>
    <row r="143" spans="1:7" x14ac:dyDescent="0.3">
      <c r="A143" s="2">
        <v>8</v>
      </c>
      <c r="C143" s="38" t="s">
        <v>62</v>
      </c>
      <c r="D143" s="42">
        <f>TRUNC(5614,-1)</f>
        <v>5610</v>
      </c>
      <c r="E143" s="63">
        <f t="shared" si="5"/>
        <v>18540</v>
      </c>
    </row>
    <row r="144" spans="1:7" x14ac:dyDescent="0.3">
      <c r="A144" s="2">
        <v>9</v>
      </c>
      <c r="C144" s="38" t="s">
        <v>63</v>
      </c>
      <c r="D144" s="42">
        <f>TRUNC(20071,-1)</f>
        <v>20070</v>
      </c>
      <c r="E144" s="63">
        <f t="shared" si="5"/>
        <v>66340</v>
      </c>
    </row>
    <row r="145" spans="1:7" ht="17.25" thickBot="1" x14ac:dyDescent="0.35">
      <c r="A145" s="2">
        <v>10</v>
      </c>
      <c r="C145" s="38" t="s">
        <v>148</v>
      </c>
      <c r="D145" s="43">
        <f>TRUNC(2712,-1)</f>
        <v>2710</v>
      </c>
      <c r="E145" s="64">
        <f t="shared" si="5"/>
        <v>8950</v>
      </c>
    </row>
    <row r="146" spans="1:7" x14ac:dyDescent="0.3">
      <c r="A146" s="2">
        <v>11</v>
      </c>
      <c r="C146" s="27" t="s">
        <v>112</v>
      </c>
      <c r="D146" s="39">
        <f>SUM(D136:D145)</f>
        <v>80140</v>
      </c>
      <c r="E146" s="39">
        <f>SUM(E136:E145)</f>
        <v>264880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TRUNC(1526+499,-1)</f>
        <v>2020</v>
      </c>
      <c r="E149" s="62">
        <f>TRUNC(+D149*3.3058,-1)</f>
        <v>6670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TRUNC(937,-1)</f>
        <v>930</v>
      </c>
      <c r="E150" s="63">
        <f>TRUNC(+D150*3.3058,-1)</f>
        <v>3070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105+4034+871</f>
        <v>5010</v>
      </c>
      <c r="E152" s="63">
        <f>TRUNC(+D152*3.3058,-1)</f>
        <v>16560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TRUNC(16541,-1)</f>
        <v>16540</v>
      </c>
      <c r="E153" s="64">
        <f>TRUNC(+D153*3.3058,-1)</f>
        <v>54670</v>
      </c>
    </row>
    <row r="154" spans="1:7" x14ac:dyDescent="0.3">
      <c r="A154" s="2">
        <v>6</v>
      </c>
      <c r="C154" s="27" t="s">
        <v>112</v>
      </c>
      <c r="D154" s="39">
        <f>SUM(D149:D153)</f>
        <v>24500</v>
      </c>
      <c r="E154" s="39">
        <f>SUM(E149:E153)</f>
        <v>80970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TRUNC(7061,-1)</f>
        <v>7060</v>
      </c>
      <c r="E157" s="62">
        <f>TRUNC(+D157*3.3058,-1)</f>
        <v>23330</v>
      </c>
    </row>
    <row r="158" spans="1:7" x14ac:dyDescent="0.3">
      <c r="A158" s="2">
        <v>2</v>
      </c>
      <c r="C158" s="38" t="s">
        <v>52</v>
      </c>
      <c r="D158" s="42">
        <f>TRUNC(13219,-1)</f>
        <v>13210</v>
      </c>
      <c r="E158" s="63">
        <f>TRUNC(+D158*3.3058,-1)</f>
        <v>43660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TRUNC(9208+408,-1)</f>
        <v>9610</v>
      </c>
      <c r="E159" s="63">
        <f>TRUNC(+D159*3.3058,-1)</f>
        <v>31760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TRUNC(5068,-1)</f>
        <v>5060</v>
      </c>
      <c r="E160" s="64">
        <f>TRUNC(+D160*3.3058,-1)</f>
        <v>16720</v>
      </c>
    </row>
    <row r="161" spans="1:5" x14ac:dyDescent="0.3">
      <c r="A161" s="2">
        <v>5</v>
      </c>
      <c r="C161" s="27" t="s">
        <v>112</v>
      </c>
      <c r="D161" s="39">
        <f>SUM(D157:D160)</f>
        <v>34940</v>
      </c>
      <c r="E161" s="39">
        <f>SUM(E157:E160)</f>
        <v>115470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2020-12-08T04:30:24Z</dcterms:modified>
</cp:coreProperties>
</file>