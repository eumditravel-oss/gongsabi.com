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5" i="4"/>
  <c r="E139" i="4"/>
  <c r="E138" i="4"/>
  <c r="E136" i="4"/>
  <c r="E131" i="4"/>
  <c r="E129" i="4"/>
  <c r="E127" i="4"/>
  <c r="E126" i="4"/>
  <c r="E124" i="4"/>
  <c r="E123" i="4"/>
  <c r="E118" i="4"/>
  <c r="E115" i="4"/>
  <c r="E113" i="4"/>
  <c r="E112" i="4"/>
  <c r="E111" i="4"/>
  <c r="E110" i="4"/>
  <c r="E109" i="4"/>
  <c r="E108" i="4"/>
  <c r="E107" i="4"/>
  <c r="E106" i="4"/>
  <c r="E101" i="4"/>
  <c r="E92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2" i="4"/>
  <c r="E64" i="4"/>
  <c r="E57" i="4"/>
  <c r="E56" i="4"/>
  <c r="E55" i="4"/>
  <c r="E54" i="4"/>
  <c r="E53" i="4"/>
  <c r="E51" i="4"/>
  <c r="E49" i="4"/>
  <c r="E41" i="4"/>
  <c r="E37" i="4"/>
  <c r="D117" i="4" l="1"/>
  <c r="E117" i="4" s="1"/>
  <c r="D116" i="4"/>
  <c r="E116" i="4" s="1"/>
  <c r="D93" i="4"/>
  <c r="E93" i="4" s="1"/>
  <c r="D91" i="4"/>
  <c r="E91" i="4" s="1"/>
  <c r="D59" i="4"/>
  <c r="E59" i="4" s="1"/>
  <c r="D58" i="4"/>
  <c r="E58" i="4" s="1"/>
  <c r="D159" i="4" l="1"/>
  <c r="E159" i="4" s="1"/>
  <c r="D158" i="4"/>
  <c r="E158" i="4" s="1"/>
  <c r="D157" i="4"/>
  <c r="E157" i="4" s="1"/>
  <c r="E161" i="4" s="1"/>
  <c r="D152" i="4"/>
  <c r="E152" i="4" s="1"/>
  <c r="D151" i="4"/>
  <c r="E151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E137" i="4" s="1"/>
  <c r="D132" i="4"/>
  <c r="E132" i="4" s="1"/>
  <c r="D130" i="4"/>
  <c r="E130" i="4" s="1"/>
  <c r="D128" i="4"/>
  <c r="E128" i="4" s="1"/>
  <c r="D125" i="4"/>
  <c r="E125" i="4" s="1"/>
  <c r="D122" i="4"/>
  <c r="E122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E98" i="4" s="1"/>
  <c r="D94" i="4"/>
  <c r="E94" i="4" s="1"/>
  <c r="D89" i="4"/>
  <c r="E89" i="4" s="1"/>
  <c r="D76" i="4"/>
  <c r="E76" i="4" s="1"/>
  <c r="D73" i="4"/>
  <c r="E73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2" i="4"/>
  <c r="E52" i="4" s="1"/>
  <c r="D50" i="4"/>
  <c r="E50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0" i="4"/>
  <c r="E40" i="4" s="1"/>
  <c r="E60" i="4" l="1"/>
  <c r="E119" i="4"/>
  <c r="E133" i="4"/>
  <c r="E146" i="4"/>
  <c r="E95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3" i="4"/>
  <c r="E33" i="4" s="1"/>
  <c r="D34" i="4" l="1"/>
</calcChain>
</file>

<file path=xl/sharedStrings.xml><?xml version="1.0" encoding="utf-8"?>
<sst xmlns="http://schemas.openxmlformats.org/spreadsheetml/2006/main" count="397" uniqueCount="269">
  <si>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</si>
  <si>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</si>
  <si>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</si>
  <si>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</si>
  <si>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</si>
  <si>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</si>
  <si>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</si>
  <si>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</si>
  <si>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</si>
  <si>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</si>
  <si>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</si>
  <si>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</si>
  <si>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</si>
  <si>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</si>
  <si>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</si>
  <si>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</si>
  <si>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</si>
  <si>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</si>
  <si>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</si>
  <si>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</si>
  <si>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</si>
  <si>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</si>
  <si>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</si>
  <si>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</si>
  <si>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</si>
  <si>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</si>
  <si>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</si>
  <si>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</si>
  <si>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</si>
  <si>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</si>
  <si>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</si>
  <si>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</si>
  <si>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</si>
  <si>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</si>
  <si>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</si>
  <si>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</si>
  <si>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</si>
  <si>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</si>
  <si>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</si>
  <si>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</si>
  <si>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</si>
  <si>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</si>
  <si>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</si>
  <si>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</si>
  <si>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</si>
  <si>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</si>
  <si>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</si>
  <si>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</si>
  <si>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</si>
  <si>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</si>
  <si>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</si>
  <si>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</si>
  <si>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</si>
  <si>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</si>
  <si>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</si>
  <si>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</si>
  <si>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</si>
  <si>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</si>
  <si>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</si>
  <si>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</si>
  <si>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</si>
  <si>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</si>
  <si>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</si>
  <si>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</si>
  <si>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</si>
  <si>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</si>
  <si>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</si>
  <si>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</si>
  <si>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</si>
  <si>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</si>
  <si>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</si>
  <si>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</si>
  <si>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</si>
  <si>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</si>
  <si>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</si>
  <si>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</si>
  <si>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</si>
  <si>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</si>
  <si>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</si>
  <si>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</si>
  <si>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</si>
  <si>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</si>
  <si>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</si>
  <si>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</si>
  <si>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</si>
  <si>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</si>
  <si>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</si>
  <si>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</si>
  <si>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</si>
  <si>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</si>
  <si>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</si>
  <si>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</si>
  <si>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</si>
  <si>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</si>
  <si>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</si>
  <si>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</si>
  <si>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</si>
  <si>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</si>
  <si>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</si>
  <si>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</si>
  <si>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</si>
  <si>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</si>
  <si>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</si>
  <si>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</si>
  <si>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</si>
  <si>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</si>
  <si>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</si>
  <si>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</si>
  <si>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</si>
  <si>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</si>
  <si>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</si>
  <si>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</si>
  <si>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</si>
  <si>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</si>
  <si>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</si>
  <si>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</si>
  <si>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</si>
  <si>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</si>
  <si>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</si>
  <si>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</si>
  <si>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</si>
  <si>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</si>
  <si>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</si>
  <si>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</si>
  <si>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</si>
  <si>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</si>
  <si>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</si>
  <si>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</si>
  <si>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</si>
  <si>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</si>
  <si>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</si>
  <si>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</si>
  <si>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</si>
  <si>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</si>
  <si>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</si>
  <si>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</si>
  <si>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</si>
  <si>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</si>
  <si>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</si>
  <si>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</si>
  <si>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</si>
  <si>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</si>
  <si>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</si>
  <si>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</si>
  <si>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</si>
  <si>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</si>
  <si>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</si>
  <si>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</si>
  <si>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</si>
  <si>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</si>
  <si>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</si>
  <si>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</si>
  <si>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</si>
  <si>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</si>
  <si>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</si>
  <si>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</si>
  <si>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</si>
  <si>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</si>
  <si>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</si>
  <si>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</si>
  <si>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</si>
  <si>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</si>
  <si>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</si>
  <si>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</si>
  <si>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</si>
  <si>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</si>
  <si>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</si>
  <si>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</si>
  <si>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</si>
  <si>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</si>
  <si>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</si>
  <si>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</si>
  <si>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</si>
  <si>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</si>
  <si>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</si>
  <si>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</si>
  <si>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</si>
  <si>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</si>
  <si>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</si>
  <si>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</si>
  <si>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</si>
  <si>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</si>
  <si>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</si>
  <si>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</si>
  <si>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</si>
  <si>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</si>
  <si>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</si>
  <si>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</si>
  <si>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</si>
  <si>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</si>
  <si>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</si>
  <si>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</si>
  <si>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</si>
  <si>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</si>
  <si>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</si>
  <si>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</si>
  <si>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</si>
  <si>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</si>
  <si>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</si>
  <si>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</si>
  <si>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</si>
  <si>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</si>
  <si>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</si>
  <si>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</si>
  <si>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</si>
  <si>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</si>
  <si>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</si>
  <si>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</si>
  <si>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</si>
  <si>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</si>
  <si>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</si>
  <si>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</si>
  <si>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</si>
  <si>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</si>
  <si>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</si>
  <si>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</si>
  <si>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</si>
  <si>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</si>
  <si>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</si>
  <si>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</si>
  <si>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</si>
  <si>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</si>
  <si>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</si>
  <si>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</si>
  <si>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</si>
  <si>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</si>
  <si>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</si>
  <si>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</si>
  <si>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</si>
  <si>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</si>
  <si>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</si>
  <si>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</si>
  <si>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</si>
  <si>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</si>
  <si>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</si>
  <si>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</si>
  <si>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</si>
  <si>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</si>
  <si>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</si>
  <si>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</si>
  <si>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</si>
  <si>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</si>
  <si>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</si>
  <si>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</si>
  <si>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</si>
  <si>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</si>
  <si>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</si>
  <si>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</si>
  <si>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</si>
  <si>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</si>
  <si>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</si>
  <si>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</si>
  <si>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교육연구</t>
  </si>
  <si>
    <t>공주대학교 세종한민족교육센터 신축 공사</t>
    <phoneticPr fontId="2" type="noConversion"/>
  </si>
  <si>
    <t>충청도</t>
  </si>
  <si>
    <t>기초공사, 해체및철거공사, 골재비및운반비, 작업부산물, 기타공사</t>
    <phoneticPr fontId="2" type="noConversion"/>
  </si>
  <si>
    <t>바닥난방공사, 기타공사</t>
    <phoneticPr fontId="2" type="noConversion"/>
  </si>
  <si>
    <t xml:space="preserve">전기인입 및 수변전 설비공사 </t>
    <phoneticPr fontId="2" type="noConversion"/>
  </si>
  <si>
    <t>CCTV설비공사</t>
    <phoneticPr fontId="2" type="noConversion"/>
  </si>
  <si>
    <t>옥외소화배관공사, 펌프실배관공사</t>
    <phoneticPr fontId="2" type="noConversion"/>
  </si>
  <si>
    <t>토목 사급자재비, 운반비, 기타공사</t>
    <phoneticPr fontId="2" type="noConversion"/>
  </si>
  <si>
    <t>포장공사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</si>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</sst>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8864.25</v>
      </c>
      <c r="D7" s="36">
        <f>+C7/3.3058</f>
        <v>2681.4235585939864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262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790880</v>
      </c>
      <c r="E25" s="58">
        <f t="shared" si="0"/>
        <v>2614490</v>
      </c>
    </row>
    <row r="26" spans="1:5" x14ac:dyDescent="0.3">
      <c r="B26" s="2">
        <v>3</v>
      </c>
      <c r="C26" s="35" t="s">
        <v>95</v>
      </c>
      <c r="D26" s="45">
        <f>+D66</f>
        <v>19820</v>
      </c>
      <c r="E26" s="58">
        <f t="shared" si="0"/>
        <v>65520</v>
      </c>
    </row>
    <row r="27" spans="1:5" x14ac:dyDescent="0.3">
      <c r="B27" s="2">
        <v>4</v>
      </c>
      <c r="C27" s="35" t="s">
        <v>96</v>
      </c>
      <c r="D27" s="45">
        <f>+D95</f>
        <v>148930</v>
      </c>
      <c r="E27" s="58">
        <f t="shared" si="0"/>
        <v>492330</v>
      </c>
    </row>
    <row r="28" spans="1:5" x14ac:dyDescent="0.3">
      <c r="B28" s="2">
        <v>5</v>
      </c>
      <c r="C28" s="35" t="s">
        <v>97</v>
      </c>
      <c r="D28" s="45">
        <f>+D119</f>
        <v>135600</v>
      </c>
      <c r="E28" s="58">
        <f t="shared" si="0"/>
        <v>448260</v>
      </c>
    </row>
    <row r="29" spans="1:5" x14ac:dyDescent="0.3">
      <c r="B29" s="2">
        <v>6</v>
      </c>
      <c r="C29" s="35" t="s">
        <v>98</v>
      </c>
      <c r="D29" s="45">
        <f>+D133</f>
        <v>59290</v>
      </c>
      <c r="E29" s="58">
        <f t="shared" si="0"/>
        <v>196000</v>
      </c>
    </row>
    <row r="30" spans="1:5" x14ac:dyDescent="0.3">
      <c r="B30" s="2">
        <v>7</v>
      </c>
      <c r="C30" s="35" t="s">
        <v>99</v>
      </c>
      <c r="D30" s="45">
        <f>+D146</f>
        <v>41650</v>
      </c>
      <c r="E30" s="58">
        <f t="shared" si="0"/>
        <v>137680</v>
      </c>
    </row>
    <row r="31" spans="1:5" x14ac:dyDescent="0.3">
      <c r="B31" s="2">
        <v>8</v>
      </c>
      <c r="C31" s="35" t="s">
        <v>100</v>
      </c>
      <c r="D31" s="45">
        <f>+D154</f>
        <v>26690</v>
      </c>
      <c r="E31" s="58">
        <f t="shared" si="0"/>
        <v>88230</v>
      </c>
    </row>
    <row r="32" spans="1:5" x14ac:dyDescent="0.3">
      <c r="B32" s="2">
        <v>9</v>
      </c>
      <c r="C32" s="35" t="s">
        <v>101</v>
      </c>
      <c r="D32" s="45">
        <f>+D161</f>
        <v>24300</v>
      </c>
      <c r="E32" s="58">
        <f t="shared" si="0"/>
        <v>80330</v>
      </c>
    </row>
    <row r="33" spans="1:7" x14ac:dyDescent="0.3">
      <c r="B33" s="2">
        <v>10</v>
      </c>
      <c r="C33" s="35" t="s">
        <v>153</v>
      </c>
      <c r="D33" s="53">
        <f>TRUNC(SUM(D24:D32)*0.275,-1)</f>
        <v>342960</v>
      </c>
      <c r="E33" s="59">
        <f t="shared" si="0"/>
        <v>1133750</v>
      </c>
    </row>
    <row r="34" spans="1:7" x14ac:dyDescent="0.3">
      <c r="C34" s="35" t="s">
        <v>112</v>
      </c>
      <c r="D34" s="44">
        <f>SUM(D24:D33)</f>
        <v>1590120</v>
      </c>
      <c r="E34" s="44">
        <f>SUM(E24:E33)</f>
        <v>5256590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262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264</v>
      </c>
      <c r="E39" s="66" t="s">
        <v>265</v>
      </c>
      <c r="G39" s="67"/>
    </row>
    <row r="40" spans="1:7" x14ac:dyDescent="0.3">
      <c r="A40" s="2">
        <v>1</v>
      </c>
      <c r="C40" s="38" t="s">
        <v>15</v>
      </c>
      <c r="D40" s="40">
        <f>TRUNC(52190,-1)</f>
        <v>52190</v>
      </c>
      <c r="E40" s="61">
        <f t="shared" ref="E40:E59" si="1">TRUNC(+D40*3.3058,-1)</f>
        <v>172520</v>
      </c>
    </row>
    <row r="41" spans="1:7" x14ac:dyDescent="0.3">
      <c r="A41" s="2">
        <v>2</v>
      </c>
      <c r="C41" s="38" t="s">
        <v>13</v>
      </c>
      <c r="D41" s="42">
        <v>148050</v>
      </c>
      <c r="E41" s="62">
        <f t="shared" si="1"/>
        <v>489420</v>
      </c>
    </row>
    <row r="42" spans="1:7" x14ac:dyDescent="0.3">
      <c r="A42" s="2">
        <v>3</v>
      </c>
      <c r="C42" s="38" t="s">
        <v>14</v>
      </c>
      <c r="D42" s="42">
        <f>TRUNC(1292,-1)</f>
        <v>1290</v>
      </c>
      <c r="E42" s="62">
        <f t="shared" si="1"/>
        <v>4260</v>
      </c>
    </row>
    <row r="43" spans="1:7" x14ac:dyDescent="0.3">
      <c r="A43" s="2">
        <v>4</v>
      </c>
      <c r="C43" s="38" t="s">
        <v>16</v>
      </c>
      <c r="D43" s="42">
        <f>TRUNC(21979,-1)</f>
        <v>21970</v>
      </c>
      <c r="E43" s="62">
        <f t="shared" si="1"/>
        <v>72620</v>
      </c>
    </row>
    <row r="44" spans="1:7" x14ac:dyDescent="0.3">
      <c r="A44" s="2">
        <v>5</v>
      </c>
      <c r="C44" s="38" t="s">
        <v>17</v>
      </c>
      <c r="D44" s="42">
        <f>TRUNC(15413,-1)</f>
        <v>15410</v>
      </c>
      <c r="E44" s="62">
        <f t="shared" si="1"/>
        <v>50940</v>
      </c>
    </row>
    <row r="45" spans="1:7" x14ac:dyDescent="0.3">
      <c r="A45" s="2">
        <v>6</v>
      </c>
      <c r="C45" s="38" t="s">
        <v>18</v>
      </c>
      <c r="D45" s="42">
        <f>TRUNC(9921,-1)</f>
        <v>9920</v>
      </c>
      <c r="E45" s="62">
        <f t="shared" si="1"/>
        <v>32790</v>
      </c>
    </row>
    <row r="46" spans="1:7" x14ac:dyDescent="0.3">
      <c r="A46" s="2">
        <v>7</v>
      </c>
      <c r="C46" s="38" t="s">
        <v>19</v>
      </c>
      <c r="D46" s="42">
        <f>TRUNC(11356,-1)</f>
        <v>11350</v>
      </c>
      <c r="E46" s="62">
        <f t="shared" si="1"/>
        <v>37520</v>
      </c>
    </row>
    <row r="47" spans="1:7" x14ac:dyDescent="0.3">
      <c r="A47" s="2">
        <v>8</v>
      </c>
      <c r="C47" s="38" t="s">
        <v>20</v>
      </c>
      <c r="D47" s="42">
        <f>TRUNC(65909,-1)</f>
        <v>65900</v>
      </c>
      <c r="E47" s="62">
        <f t="shared" si="1"/>
        <v>217850</v>
      </c>
    </row>
    <row r="48" spans="1:7" x14ac:dyDescent="0.3">
      <c r="A48" s="2">
        <v>9</v>
      </c>
      <c r="C48" s="38" t="s">
        <v>21</v>
      </c>
      <c r="D48" s="42">
        <f>TRUNC(46229,-1)</f>
        <v>46220</v>
      </c>
      <c r="E48" s="62">
        <f t="shared" si="1"/>
        <v>152790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v>18710</v>
      </c>
      <c r="E49" s="62">
        <f t="shared" si="1"/>
        <v>61850</v>
      </c>
    </row>
    <row r="50" spans="1:7" x14ac:dyDescent="0.3">
      <c r="A50" s="2">
        <v>11</v>
      </c>
      <c r="C50" s="38" t="s">
        <v>154</v>
      </c>
      <c r="D50" s="42">
        <f>TRUNC(52675,-1)</f>
        <v>52670</v>
      </c>
      <c r="E50" s="62">
        <f t="shared" si="1"/>
        <v>174110</v>
      </c>
      <c r="F50" s="2" t="s">
        <v>248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TRUNC(11455,-1)</f>
        <v>11450</v>
      </c>
      <c r="E52" s="62">
        <f t="shared" si="1"/>
        <v>37850</v>
      </c>
    </row>
    <row r="53" spans="1:7" x14ac:dyDescent="0.3">
      <c r="A53" s="2">
        <v>14</v>
      </c>
      <c r="C53" s="38" t="s">
        <v>25</v>
      </c>
      <c r="D53" s="42">
        <v>0</v>
      </c>
      <c r="E53" s="62">
        <f t="shared" si="1"/>
        <v>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TRUNC(5547+3777+5477-1775+86265,-1)</f>
        <v>99290</v>
      </c>
      <c r="E58" s="62">
        <f t="shared" si="1"/>
        <v>328230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TRUNC(236462,-1)</f>
        <v>236460</v>
      </c>
      <c r="E59" s="63">
        <f t="shared" si="1"/>
        <v>781680</v>
      </c>
    </row>
    <row r="60" spans="1:7" x14ac:dyDescent="0.3">
      <c r="A60" s="2">
        <v>21</v>
      </c>
      <c r="C60" s="27" t="s">
        <v>112</v>
      </c>
      <c r="D60" s="39">
        <f>SUM(D40:D59)</f>
        <v>790880</v>
      </c>
      <c r="E60" s="39">
        <f>SUM(E40:E59)</f>
        <v>2614430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263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TRUNC(8543,-1)</f>
        <v>8540</v>
      </c>
      <c r="E63" s="61">
        <f>TRUNC(+D63*3.3058,-1)</f>
        <v>28230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TRUNC(11284,-1)</f>
        <v>11280</v>
      </c>
      <c r="E65" s="63">
        <f>TRUNC(+D65*3.3058,-1)</f>
        <v>37280</v>
      </c>
    </row>
    <row r="66" spans="1:7" x14ac:dyDescent="0.3">
      <c r="A66" s="2">
        <v>4</v>
      </c>
      <c r="C66" s="27" t="s">
        <v>112</v>
      </c>
      <c r="D66" s="39">
        <f>SUM(D63:D65)</f>
        <v>19820</v>
      </c>
      <c r="E66" s="64">
        <f>SUM(E63:E65)</f>
        <v>65510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234</v>
      </c>
      <c r="E68" s="56" t="s">
        <v>263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TRUNC(3405,-1)</f>
        <v>3400</v>
      </c>
      <c r="E69" s="61">
        <f t="shared" ref="E69:E94" si="2">TRUNC(+D69*3.3058,-1)</f>
        <v>11230</v>
      </c>
    </row>
    <row r="70" spans="1:7" ht="16.5" customHeight="1" x14ac:dyDescent="0.3">
      <c r="A70" s="2">
        <v>2</v>
      </c>
      <c r="C70" s="38" t="s">
        <v>31</v>
      </c>
      <c r="D70" s="42">
        <f>TRUNC(1858,-1)</f>
        <v>1850</v>
      </c>
      <c r="E70" s="62">
        <f t="shared" si="2"/>
        <v>6110</v>
      </c>
    </row>
    <row r="71" spans="1:7" x14ac:dyDescent="0.3">
      <c r="A71" s="2">
        <v>3</v>
      </c>
      <c r="C71" s="38" t="s">
        <v>32</v>
      </c>
      <c r="D71" s="42">
        <f>TRUNC(4593,-1)</f>
        <v>4590</v>
      </c>
      <c r="E71" s="62">
        <f t="shared" si="2"/>
        <v>15170</v>
      </c>
    </row>
    <row r="72" spans="1:7" x14ac:dyDescent="0.3">
      <c r="A72" s="2">
        <v>4</v>
      </c>
      <c r="C72" s="38" t="s">
        <v>33</v>
      </c>
      <c r="D72" s="42">
        <v>0</v>
      </c>
      <c r="E72" s="62">
        <f t="shared" si="2"/>
        <v>0</v>
      </c>
    </row>
    <row r="73" spans="1:7" x14ac:dyDescent="0.3">
      <c r="A73" s="2">
        <v>5</v>
      </c>
      <c r="C73" s="38" t="s">
        <v>34</v>
      </c>
      <c r="D73" s="42">
        <f>TRUNC(9036,-1)</f>
        <v>9030</v>
      </c>
      <c r="E73" s="62">
        <f t="shared" si="2"/>
        <v>29850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f>TRUNC(54408,-1)</f>
        <v>54400</v>
      </c>
      <c r="E76" s="62">
        <f t="shared" si="2"/>
        <v>179830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TRUNC(6816,-1)</f>
        <v>6810</v>
      </c>
      <c r="E89" s="62">
        <f t="shared" si="2"/>
        <v>22510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TRUNC(3523,-1)</f>
        <v>3520</v>
      </c>
      <c r="E91" s="62">
        <f t="shared" si="2"/>
        <v>11630</v>
      </c>
    </row>
    <row r="92" spans="1:7" x14ac:dyDescent="0.3">
      <c r="A92" s="2">
        <v>24</v>
      </c>
      <c r="C92" s="38" t="s">
        <v>38</v>
      </c>
      <c r="D92" s="42">
        <v>7830</v>
      </c>
      <c r="E92" s="62">
        <f t="shared" si="2"/>
        <v>25880</v>
      </c>
    </row>
    <row r="93" spans="1:7" x14ac:dyDescent="0.3">
      <c r="A93" s="2">
        <v>25</v>
      </c>
      <c r="C93" s="38" t="s">
        <v>148</v>
      </c>
      <c r="D93" s="42">
        <f>TRUNC(54439,-1)</f>
        <v>54430</v>
      </c>
      <c r="E93" s="62">
        <f t="shared" si="2"/>
        <v>179930</v>
      </c>
    </row>
    <row r="94" spans="1:7" ht="17.25" thickBot="1" x14ac:dyDescent="0.35">
      <c r="A94" s="2">
        <v>26</v>
      </c>
      <c r="C94" s="38" t="s">
        <v>47</v>
      </c>
      <c r="D94" s="43">
        <f>TRUNC(199+2873,-1)</f>
        <v>3070</v>
      </c>
      <c r="E94" s="63">
        <f t="shared" si="2"/>
        <v>10140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148930</v>
      </c>
      <c r="E95" s="39">
        <f>SUM(E69:E94)</f>
        <v>492280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234</v>
      </c>
      <c r="E97" s="56" t="s">
        <v>263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TRUNC(9679,-1)</f>
        <v>9670</v>
      </c>
      <c r="E98" s="61">
        <f t="shared" ref="E98:E118" si="3">TRUNC(+D98*3.3058,-1)</f>
        <v>31960</v>
      </c>
    </row>
    <row r="99" spans="1:7" x14ac:dyDescent="0.3">
      <c r="A99" s="2">
        <v>2</v>
      </c>
      <c r="C99" s="38" t="s">
        <v>40</v>
      </c>
      <c r="D99" s="42">
        <f>TRUNC(3561,-1)</f>
        <v>3560</v>
      </c>
      <c r="E99" s="62">
        <f t="shared" si="3"/>
        <v>11760</v>
      </c>
    </row>
    <row r="100" spans="1:7" x14ac:dyDescent="0.3">
      <c r="A100" s="2">
        <v>3</v>
      </c>
      <c r="C100" s="38" t="s">
        <v>41</v>
      </c>
      <c r="D100" s="42">
        <f>TRUNC(27724,-1)</f>
        <v>27720</v>
      </c>
      <c r="E100" s="62">
        <f t="shared" si="3"/>
        <v>91630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TRUNC(9813,-1)</f>
        <v>9810</v>
      </c>
      <c r="E102" s="62">
        <f t="shared" si="3"/>
        <v>32420</v>
      </c>
    </row>
    <row r="103" spans="1:7" x14ac:dyDescent="0.3">
      <c r="A103" s="2">
        <v>6</v>
      </c>
      <c r="C103" s="38" t="s">
        <v>44</v>
      </c>
      <c r="D103" s="42">
        <f>TRUNC(3912,-1)</f>
        <v>3910</v>
      </c>
      <c r="E103" s="62">
        <f t="shared" si="3"/>
        <v>12920</v>
      </c>
    </row>
    <row r="104" spans="1:7" x14ac:dyDescent="0.3">
      <c r="A104" s="2">
        <v>7</v>
      </c>
      <c r="C104" s="38" t="s">
        <v>45</v>
      </c>
      <c r="D104" s="42">
        <f>TRUNC(1587,-1)</f>
        <v>1580</v>
      </c>
      <c r="E104" s="62">
        <f t="shared" si="3"/>
        <v>5220</v>
      </c>
    </row>
    <row r="105" spans="1:7" x14ac:dyDescent="0.3">
      <c r="A105" s="2">
        <v>8</v>
      </c>
      <c r="C105" s="38" t="s">
        <v>46</v>
      </c>
      <c r="D105" s="42">
        <f>TRUNC(5904,-1)</f>
        <v>5900</v>
      </c>
      <c r="E105" s="62">
        <f t="shared" si="3"/>
        <v>19500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TRUNC(2511,-1)</f>
        <v>2510</v>
      </c>
      <c r="E114" s="62">
        <f t="shared" si="3"/>
        <v>8290</v>
      </c>
      <c r="F114" s="2" t="s">
        <v>250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TRUNC(6026,-1)</f>
        <v>6020</v>
      </c>
      <c r="E116" s="62">
        <f t="shared" si="3"/>
        <v>19900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TRUNC(64923,-1)</f>
        <v>64920</v>
      </c>
      <c r="E117" s="62">
        <f t="shared" si="3"/>
        <v>214610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135600</v>
      </c>
      <c r="E119" s="39">
        <f>SUM(E98:E118)</f>
        <v>448210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234</v>
      </c>
      <c r="E121" s="56" t="s">
        <v>263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TRUNC(2953,-1)</f>
        <v>2950</v>
      </c>
      <c r="E122" s="61">
        <f t="shared" ref="E122:E132" si="4">TRUNC(+D122*3.3058,-1)</f>
        <v>9750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1940</v>
      </c>
      <c r="E124" s="62">
        <f t="shared" si="4"/>
        <v>6410</v>
      </c>
    </row>
    <row r="125" spans="1:7" x14ac:dyDescent="0.3">
      <c r="A125" s="2">
        <v>4</v>
      </c>
      <c r="C125" s="38" t="s">
        <v>138</v>
      </c>
      <c r="D125" s="42">
        <f>TRUNC(5809,-1)</f>
        <v>5800</v>
      </c>
      <c r="E125" s="62">
        <f t="shared" si="4"/>
        <v>19170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TRUNC(5758,-1)</f>
        <v>5750</v>
      </c>
      <c r="E128" s="62">
        <f t="shared" si="4"/>
        <v>19000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TRUNC(13058,-1)</f>
        <v>13050</v>
      </c>
      <c r="E130" s="62">
        <f t="shared" si="4"/>
        <v>43140</v>
      </c>
    </row>
    <row r="131" spans="1:7" x14ac:dyDescent="0.3">
      <c r="A131" s="2">
        <v>10</v>
      </c>
      <c r="C131" s="38" t="s">
        <v>148</v>
      </c>
      <c r="D131" s="42">
        <v>28150</v>
      </c>
      <c r="E131" s="62">
        <f t="shared" si="4"/>
        <v>93050</v>
      </c>
    </row>
    <row r="132" spans="1:7" ht="17.25" thickBot="1" x14ac:dyDescent="0.35">
      <c r="A132" s="2">
        <v>11</v>
      </c>
      <c r="C132" s="38" t="s">
        <v>47</v>
      </c>
      <c r="D132" s="43">
        <f>TRUNC(1654,-1)</f>
        <v>1650</v>
      </c>
      <c r="E132" s="63">
        <f t="shared" si="4"/>
        <v>5450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59290</v>
      </c>
      <c r="E133" s="39">
        <f>SUM(E122:E132)</f>
        <v>195970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234</v>
      </c>
      <c r="E135" s="56" t="s">
        <v>263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TRUNC(243+3536,-1)</f>
        <v>3770</v>
      </c>
      <c r="E137" s="62">
        <f t="shared" si="5"/>
        <v>12460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TRUNC(2937,-1)</f>
        <v>2930</v>
      </c>
      <c r="E140" s="62">
        <f t="shared" si="5"/>
        <v>9680</v>
      </c>
    </row>
    <row r="141" spans="1:7" x14ac:dyDescent="0.3">
      <c r="A141" s="2">
        <v>6</v>
      </c>
      <c r="C141" s="38" t="s">
        <v>59</v>
      </c>
      <c r="D141" s="42">
        <f>TRUNC(13105,-1)</f>
        <v>13100</v>
      </c>
      <c r="E141" s="62">
        <f t="shared" si="5"/>
        <v>43300</v>
      </c>
    </row>
    <row r="142" spans="1:7" x14ac:dyDescent="0.3">
      <c r="A142" s="2">
        <v>7</v>
      </c>
      <c r="C142" s="38" t="s">
        <v>58</v>
      </c>
      <c r="D142" s="42">
        <f>TRUNC(4105,-1)</f>
        <v>4100</v>
      </c>
      <c r="E142" s="62">
        <f t="shared" si="5"/>
        <v>13550</v>
      </c>
    </row>
    <row r="143" spans="1:7" x14ac:dyDescent="0.3">
      <c r="A143" s="2">
        <v>8</v>
      </c>
      <c r="C143" s="38" t="s">
        <v>62</v>
      </c>
      <c r="D143" s="42">
        <f>TRUNC(4158,-1)</f>
        <v>4150</v>
      </c>
      <c r="E143" s="62">
        <f t="shared" si="5"/>
        <v>13710</v>
      </c>
    </row>
    <row r="144" spans="1:7" x14ac:dyDescent="0.3">
      <c r="A144" s="2">
        <v>9</v>
      </c>
      <c r="C144" s="38" t="s">
        <v>63</v>
      </c>
      <c r="D144" s="42">
        <f>TRUNC(13602,-1)</f>
        <v>13600</v>
      </c>
      <c r="E144" s="62">
        <f t="shared" si="5"/>
        <v>44950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41650</v>
      </c>
      <c r="E146" s="39">
        <f>SUM(E136:E145)</f>
        <v>137650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234</v>
      </c>
      <c r="E148" s="56" t="s">
        <v>263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TRUNC(6276+802,-1)</f>
        <v>7070</v>
      </c>
      <c r="E149" s="61">
        <f>TRUNC(+D149*3.3058,-1)</f>
        <v>23370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TRUNC(3462,-1)</f>
        <v>3460</v>
      </c>
      <c r="E150" s="62">
        <f>TRUNC(+D150*3.3058,-1)</f>
        <v>11430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TRUNC(8415,-1)</f>
        <v>8410</v>
      </c>
      <c r="E151" s="62">
        <f>TRUNC(+D151*3.3058,-1)</f>
        <v>27800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TRUNC(4897+469+2386,-1)</f>
        <v>7750</v>
      </c>
      <c r="E152" s="62">
        <f>TRUNC(+D152*3.3058,-1)</f>
        <v>25610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26690</v>
      </c>
      <c r="E154" s="39">
        <f>SUM(E149:E153)</f>
        <v>88210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234</v>
      </c>
      <c r="E156" s="56" t="s">
        <v>263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TRUNC(10931,-1)</f>
        <v>10930</v>
      </c>
      <c r="E157" s="61">
        <f>TRUNC(+D157*3.3058,-1)</f>
        <v>36130</v>
      </c>
    </row>
    <row r="158" spans="1:7" x14ac:dyDescent="0.3">
      <c r="A158" s="2">
        <v>2</v>
      </c>
      <c r="C158" s="38" t="s">
        <v>52</v>
      </c>
      <c r="D158" s="42">
        <f>TRUNC(5637,-1)</f>
        <v>5630</v>
      </c>
      <c r="E158" s="62">
        <f>TRUNC(+D158*3.3058,-1)</f>
        <v>18610</v>
      </c>
    </row>
    <row r="159" spans="1:7" x14ac:dyDescent="0.3">
      <c r="A159" s="2">
        <v>3</v>
      </c>
      <c r="C159" s="38" t="s">
        <v>47</v>
      </c>
      <c r="D159" s="42">
        <f>TRUNC(7744,-1)</f>
        <v>7740</v>
      </c>
      <c r="E159" s="62">
        <f>TRUNC(+D159*3.3058,-1)</f>
        <v>25580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24300</v>
      </c>
      <c r="E161" s="39">
        <f>SUM(E157:E160)</f>
        <v>80320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2020-12-07T10:08:21Z</dcterms:modified>
</cp:coreProperties>
</file>