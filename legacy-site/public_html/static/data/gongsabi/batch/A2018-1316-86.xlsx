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2" i="4"/>
  <c r="D153" i="4"/>
  <c r="D151" i="4"/>
  <c r="D150" i="4"/>
  <c r="D149" i="4"/>
  <c r="D144" i="4"/>
  <c r="D143" i="4"/>
  <c r="D137" i="4"/>
  <c r="D132" i="4"/>
  <c r="D130" i="4"/>
  <c r="D128" i="4"/>
  <c r="D126" i="4"/>
  <c r="D117" i="4"/>
  <c r="D116" i="4"/>
  <c r="D114" i="4"/>
  <c r="D105" i="4"/>
  <c r="D104" i="4"/>
  <c r="D103" i="4"/>
  <c r="D102" i="4"/>
  <c r="D101" i="4"/>
  <c r="D100" i="4"/>
  <c r="D98" i="4"/>
  <c r="D94" i="4"/>
  <c r="D93" i="4"/>
  <c r="D92" i="4"/>
  <c r="D89" i="4"/>
  <c r="D73" i="4"/>
  <c r="D70" i="4"/>
  <c r="D69" i="4"/>
  <c r="D63" i="4"/>
  <c r="D59" i="4"/>
  <c r="D52" i="4"/>
  <c r="D50" i="4"/>
  <c r="D45" i="4"/>
  <c r="D44" i="4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<sst xmlns="http://schemas.openxmlformats.org/spreadsheetml/2006/main" count="387" uniqueCount="262">
  <si>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</si>
  <si>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</si>
  <si>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</si>
  <si>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</si>
  <si>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</si>
  <si>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</si>
  <si>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</si>
  <si>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</si>
  <si>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</si>
  <si>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</si>
  <si>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</si>
  <si>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</si>
  <si>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</si>
  <si>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</si>
  <si>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</si>
  <si>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</si>
  <si>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</si>
  <si>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</si>
  <si>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</si>
  <si>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</si>
  <si>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</si>
  <si>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</si>
  <si>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</si>
  <si>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</si>
  <si>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</si>
  <si>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</si>
  <si>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</si>
  <si>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</si>
  <si>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</si>
  <si>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</si>
  <si>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</si>
  <si>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</si>
  <si>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</si>
  <si>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</si>
  <si>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</si>
  <si>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</si>
  <si>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</si>
  <si>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</si>
  <si>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</si>
  <si>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</si>
  <si>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</si>
  <si>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</si>
  <si>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</si>
  <si>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</si>
  <si>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</si>
  <si>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</si>
  <si>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</si>
  <si>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</si>
  <si>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</si>
  <si>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</si>
  <si>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</si>
  <si>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</si>
  <si>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</si>
  <si>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</si>
  <si>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</si>
  <si>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</si>
  <si>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</si>
  <si>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</si>
  <si>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</si>
  <si>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</si>
  <si>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</si>
  <si>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</si>
  <si>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</si>
  <si>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</si>
  <si>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</si>
  <si>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</si>
  <si>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</si>
  <si>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</si>
  <si>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</si>
  <si>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</si>
  <si>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</si>
  <si>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</si>
  <si>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</si>
  <si>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</si>
  <si>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</si>
  <si>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</si>
  <si>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</si>
  <si>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</si>
  <si>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</si>
  <si>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</si>
  <si>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</si>
  <si>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</si>
  <si>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</si>
  <si>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</si>
  <si>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</si>
  <si>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</si>
  <si>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</si>
  <si>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</si>
  <si>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</si>
  <si>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</si>
  <si>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</si>
  <si>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</si>
  <si>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</si>
  <si>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</si>
  <si>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</si>
  <si>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</si>
  <si>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</si>
  <si>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</si>
  <si>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</si>
  <si>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</si>
  <si>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</si>
  <si>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</si>
  <si>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</si>
  <si>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</si>
  <si>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</si>
  <si>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</si>
  <si>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</si>
  <si>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</si>
  <si>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</si>
  <si>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</si>
  <si>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</si>
  <si>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</si>
  <si>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</si>
  <si>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</si>
  <si>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</si>
  <si>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</si>
  <si>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</si>
  <si>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</si>
  <si>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</si>
  <si>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</si>
  <si>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</si>
  <si>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</si>
  <si>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</si>
  <si>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</si>
  <si>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</si>
  <si>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</si>
  <si>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</si>
  <si>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</si>
  <si>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</si>
  <si>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</si>
  <si>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</si>
  <si>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</si>
  <si>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</si>
  <si>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</si>
  <si>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</si>
  <si>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</si>
  <si>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</si>
  <si>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</si>
  <si>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</si>
  <si>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</si>
  <si>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</si>
  <si>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</si>
  <si>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</si>
  <si>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</si>
  <si>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</si>
  <si>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</si>
  <si>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</si>
  <si>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</si>
  <si>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</si>
  <si>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</si>
  <si>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</si>
  <si>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</si>
  <si>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</si>
  <si>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</si>
  <si>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</si>
  <si>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</si>
  <si>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</si>
  <si>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</si>
  <si>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</si>
  <si>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</si>
  <si>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</si>
  <si>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</si>
  <si>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</si>
  <si>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</si>
  <si>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</si>
  <si>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</si>
  <si>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</si>
  <si>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</si>
  <si>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</si>
  <si>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</si>
  <si>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</si>
  <si>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</si>
  <si>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</si>
  <si>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</si>
  <si>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</si>
  <si>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</si>
  <si>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</si>
  <si>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</si>
  <si>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</si>
  <si>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</si>
  <si>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</si>
  <si>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</si>
  <si>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</si>
  <si>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</si>
  <si>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</si>
  <si>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</si>
  <si>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</si>
  <si>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</si>
  <si>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</si>
  <si>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</si>
  <si>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</si>
  <si>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</si>
  <si>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</si>
  <si>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</si>
  <si>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</si>
  <si>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</si>
  <si>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</si>
  <si>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</si>
  <si>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</si>
  <si>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</si>
  <si>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</si>
  <si>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</si>
  <si>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</si>
  <si>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</si>
  <si>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</si>
  <si>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</si>
  <si>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</si>
  <si>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</si>
  <si>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</si>
  <si>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</si>
  <si>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</si>
  <si>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</si>
  <si>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</si>
  <si>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</si>
  <si>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</si>
  <si>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</si>
  <si>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</si>
  <si>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</si>
  <si>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</si>
  <si>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</si>
  <si>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</si>
  <si>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</si>
  <si>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</si>
  <si>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</si>
  <si>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</si>
  <si>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</si>
  <si>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</si>
  <si>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</si>
  <si>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</si>
  <si>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</si>
  <si>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</si>
  <si>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</si>
  <si>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</si>
  <si>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</si>
  <si>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</si>
  <si>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</si>
  <si>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</si>
  <si>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</si>
  <si>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</si>
  <si>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</si>
  <si>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</si>
  <si>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</si>
  <si>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</si>
  <si>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</si>
  <si>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</si>
  <si>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</si>
  <si>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</si>
  <si>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</si>
  <si>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</si>
  <si>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재난안전통신망 제2운영센터 건축 신축공사</t>
    <phoneticPr fontId="2" type="noConversion"/>
  </si>
  <si>
    <t>대구시</t>
  </si>
  <si>
    <t>창호및유리공사</t>
    <phoneticPr fontId="2" type="noConversion"/>
  </si>
  <si>
    <t>기초공사, 폐기물처리비, 골재비및운반비, 기타공사</t>
    <phoneticPr fontId="2" type="noConversion"/>
  </si>
  <si>
    <t>공조배관공사, 오배수배관공사</t>
    <phoneticPr fontId="2" type="noConversion"/>
  </si>
  <si>
    <t>CATV 및 TV 설비공사</t>
    <phoneticPr fontId="2" type="noConversion"/>
  </si>
  <si>
    <t>사급자재비, 운반비, 기타공사</t>
    <phoneticPr fontId="2" type="noConversion"/>
  </si>
  <si>
    <t>포장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</si>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</sst>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993.33</v>
      </c>
      <c r="D7" s="36">
        <f>+C7/3.3058</f>
        <v>300.48097283562225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1129790</v>
      </c>
      <c r="E25" s="59">
        <f t="shared" si="0"/>
        <v>3734850</v>
      </c>
    </row>
    <row r="26" spans="1:5" x14ac:dyDescent="0.3">
      <c r="B26" s="2">
        <v>3</v>
      </c>
      <c r="C26" s="35" t="s">
        <v>95</v>
      </c>
      <c r="D26" s="45">
        <f>+D66</f>
        <v>37600</v>
      </c>
      <c r="E26" s="59">
        <f t="shared" si="0"/>
        <v>124290</v>
      </c>
    </row>
    <row r="27" spans="1:5" x14ac:dyDescent="0.3">
      <c r="B27" s="2">
        <v>4</v>
      </c>
      <c r="C27" s="35" t="s">
        <v>96</v>
      </c>
      <c r="D27" s="45">
        <f>+D95</f>
        <v>39520</v>
      </c>
      <c r="E27" s="59">
        <f t="shared" si="0"/>
        <v>130640</v>
      </c>
    </row>
    <row r="28" spans="1:5" x14ac:dyDescent="0.3">
      <c r="B28" s="2">
        <v>5</v>
      </c>
      <c r="C28" s="35" t="s">
        <v>97</v>
      </c>
      <c r="D28" s="45">
        <f>+D119</f>
        <v>361890</v>
      </c>
      <c r="E28" s="59">
        <f t="shared" si="0"/>
        <v>1196330</v>
      </c>
    </row>
    <row r="29" spans="1:5" x14ac:dyDescent="0.3">
      <c r="B29" s="2">
        <v>6</v>
      </c>
      <c r="C29" s="35" t="s">
        <v>98</v>
      </c>
      <c r="D29" s="45">
        <f>+D133</f>
        <v>59980</v>
      </c>
      <c r="E29" s="59">
        <f t="shared" si="0"/>
        <v>198280</v>
      </c>
    </row>
    <row r="30" spans="1:5" x14ac:dyDescent="0.3">
      <c r="B30" s="2">
        <v>7</v>
      </c>
      <c r="C30" s="35" t="s">
        <v>99</v>
      </c>
      <c r="D30" s="45">
        <f>+D146</f>
        <v>25250</v>
      </c>
      <c r="E30" s="59">
        <f t="shared" si="0"/>
        <v>83470</v>
      </c>
    </row>
    <row r="31" spans="1:5" x14ac:dyDescent="0.3">
      <c r="B31" s="2">
        <v>8</v>
      </c>
      <c r="C31" s="35" t="s">
        <v>100</v>
      </c>
      <c r="D31" s="45">
        <f>+D154</f>
        <v>70810</v>
      </c>
      <c r="E31" s="59">
        <f t="shared" si="0"/>
        <v>234080</v>
      </c>
    </row>
    <row r="32" spans="1:5" x14ac:dyDescent="0.3">
      <c r="B32" s="2">
        <v>9</v>
      </c>
      <c r="C32" s="35" t="s">
        <v>101</v>
      </c>
      <c r="D32" s="45">
        <f>+D161</f>
        <v>30210</v>
      </c>
      <c r="E32" s="59">
        <f t="shared" si="0"/>
        <v>99860</v>
      </c>
    </row>
    <row r="33" spans="1:7" x14ac:dyDescent="0.3">
      <c r="B33" s="2">
        <v>10</v>
      </c>
      <c r="C33" s="35" t="s">
        <v>154</v>
      </c>
      <c r="D33" s="53">
        <f>TRUNC(SUM(D24:D32)*0.275,-1)</f>
        <v>482630</v>
      </c>
      <c r="E33" s="60">
        <f t="shared" si="0"/>
        <v>1595470</v>
      </c>
    </row>
    <row r="34" spans="1:7" x14ac:dyDescent="0.3">
      <c r="C34" s="35" t="s">
        <v>112</v>
      </c>
      <c r="D34" s="44">
        <f>SUM(D24:D33)</f>
        <v>2237680</v>
      </c>
      <c r="E34" s="44">
        <f>SUM(E24:E33)</f>
        <v>7397270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257</v>
      </c>
      <c r="E39" s="67" t="s">
        <v>258</v>
      </c>
      <c r="G39" s="68"/>
    </row>
    <row r="40" spans="1:7" x14ac:dyDescent="0.3">
      <c r="A40" s="2">
        <v>1</v>
      </c>
      <c r="C40" s="38" t="s">
        <v>15</v>
      </c>
      <c r="D40" s="40">
        <f>TRUNC(90375,-1)</f>
        <v>90370</v>
      </c>
      <c r="E40" s="62">
        <f t="shared" ref="E40:E59" si="1">TRUNC(+D40*3.3058,-1)</f>
        <v>298740</v>
      </c>
    </row>
    <row r="41" spans="1:7" x14ac:dyDescent="0.3">
      <c r="A41" s="2">
        <v>2</v>
      </c>
      <c r="C41" s="38" t="s">
        <v>13</v>
      </c>
      <c r="D41" s="42">
        <f>TRUNC(383791,-1)</f>
        <v>383790</v>
      </c>
      <c r="E41" s="63">
        <f t="shared" si="1"/>
        <v>1268730</v>
      </c>
    </row>
    <row r="42" spans="1:7" x14ac:dyDescent="0.3">
      <c r="A42" s="2">
        <v>3</v>
      </c>
      <c r="C42" s="38" t="s">
        <v>14</v>
      </c>
      <c r="D42" s="42">
        <f>TRUNC(429,-1)</f>
        <v>420</v>
      </c>
      <c r="E42" s="63">
        <f t="shared" si="1"/>
        <v>1380</v>
      </c>
    </row>
    <row r="43" spans="1:7" x14ac:dyDescent="0.3">
      <c r="A43" s="2">
        <v>4</v>
      </c>
      <c r="C43" s="38" t="s">
        <v>16</v>
      </c>
      <c r="D43" s="42">
        <f>TRUNC(60774,-1)</f>
        <v>60770</v>
      </c>
      <c r="E43" s="63">
        <f t="shared" si="1"/>
        <v>200890</v>
      </c>
    </row>
    <row r="44" spans="1:7" x14ac:dyDescent="0.3">
      <c r="A44" s="2">
        <v>5</v>
      </c>
      <c r="C44" s="38" t="s">
        <v>17</v>
      </c>
      <c r="D44" s="42">
        <f>TRUNC(39523,-1)</f>
        <v>39520</v>
      </c>
      <c r="E44" s="63">
        <f t="shared" si="1"/>
        <v>130640</v>
      </c>
    </row>
    <row r="45" spans="1:7" x14ac:dyDescent="0.3">
      <c r="A45" s="2">
        <v>6</v>
      </c>
      <c r="C45" s="38" t="s">
        <v>18</v>
      </c>
      <c r="D45" s="42">
        <f>TRUNC(14386,-1)</f>
        <v>14380</v>
      </c>
      <c r="E45" s="63">
        <f t="shared" si="1"/>
        <v>47530</v>
      </c>
    </row>
    <row r="46" spans="1:7" x14ac:dyDescent="0.3">
      <c r="A46" s="2">
        <v>7</v>
      </c>
      <c r="C46" s="38" t="s">
        <v>19</v>
      </c>
      <c r="D46" s="42">
        <v>79080</v>
      </c>
      <c r="E46" s="63">
        <f t="shared" si="1"/>
        <v>261420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144230</v>
      </c>
      <c r="E48" s="63">
        <f t="shared" si="1"/>
        <v>476790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f>TRUNC(33236,-1)</f>
        <v>33230</v>
      </c>
      <c r="E50" s="63">
        <f t="shared" si="1"/>
        <v>109850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TRUNC(13226,-1)</f>
        <v>13220</v>
      </c>
      <c r="E52" s="63">
        <f t="shared" si="1"/>
        <v>43700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29455+1071+18232+10182</f>
        <v>58940</v>
      </c>
      <c r="E58" s="63">
        <f t="shared" si="1"/>
        <v>194840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TRUNC(211841,-1)</f>
        <v>211840</v>
      </c>
      <c r="E59" s="64">
        <f t="shared" si="1"/>
        <v>700300</v>
      </c>
    </row>
    <row r="60" spans="1:7" x14ac:dyDescent="0.3">
      <c r="A60" s="2">
        <v>21</v>
      </c>
      <c r="C60" s="27" t="s">
        <v>112</v>
      </c>
      <c r="D60" s="39">
        <f>SUM(D40:D59)</f>
        <v>1129790</v>
      </c>
      <c r="E60" s="39">
        <f>SUM(E40:E59)</f>
        <v>3734810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TRUNC(37604,-1)</f>
        <v>37600</v>
      </c>
      <c r="E63" s="62">
        <f>TRUNC(+D63*3.3058,-1)</f>
        <v>124290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37600</v>
      </c>
      <c r="E66" s="65">
        <f>SUM(E63:E65)</f>
        <v>124290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TRUNC(3995,-1)</f>
        <v>3990</v>
      </c>
      <c r="E69" s="62">
        <f t="shared" ref="E69:E94" si="2">TRUNC(+D69*3.3058,-1)</f>
        <v>13190</v>
      </c>
    </row>
    <row r="70" spans="1:7" ht="16.5" customHeight="1" x14ac:dyDescent="0.3">
      <c r="A70" s="2">
        <v>2</v>
      </c>
      <c r="C70" s="38" t="s">
        <v>31</v>
      </c>
      <c r="D70" s="42">
        <f>TRUNC(1986,-1)</f>
        <v>1980</v>
      </c>
      <c r="E70" s="63">
        <f t="shared" si="2"/>
        <v>6540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TRUNC(9259,-1)</f>
        <v>9250</v>
      </c>
      <c r="E73" s="63">
        <f t="shared" si="2"/>
        <v>30570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TRUNC(8835,-1)</f>
        <v>8830</v>
      </c>
      <c r="E89" s="63">
        <f t="shared" si="2"/>
        <v>29190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TRUNC(12135,-1)</f>
        <v>12130</v>
      </c>
      <c r="E92" s="63">
        <f t="shared" si="2"/>
        <v>40090</v>
      </c>
    </row>
    <row r="93" spans="1:7" x14ac:dyDescent="0.3">
      <c r="A93" s="2">
        <v>25</v>
      </c>
      <c r="C93" s="38" t="s">
        <v>148</v>
      </c>
      <c r="D93" s="42">
        <f>TRUNC(1158,-1)</f>
        <v>1150</v>
      </c>
      <c r="E93" s="63">
        <f t="shared" si="2"/>
        <v>3800</v>
      </c>
    </row>
    <row r="94" spans="1:7" ht="17.25" thickBot="1" x14ac:dyDescent="0.35">
      <c r="A94" s="2">
        <v>26</v>
      </c>
      <c r="C94" s="38" t="s">
        <v>47</v>
      </c>
      <c r="D94" s="43">
        <f>TRUNC(2191,-1)</f>
        <v>2190</v>
      </c>
      <c r="E94" s="64">
        <f t="shared" si="2"/>
        <v>7230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39520</v>
      </c>
      <c r="E95" s="39">
        <f>SUM(E69:E94)</f>
        <v>130610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TRUNC(39771,-1)</f>
        <v>39770</v>
      </c>
      <c r="E98" s="62">
        <f t="shared" ref="E98:E118" si="3">TRUNC(+D98*3.3058,-1)</f>
        <v>131470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TRUNC(36317,-1)</f>
        <v>36310</v>
      </c>
      <c r="E100" s="63">
        <f t="shared" si="3"/>
        <v>120030</v>
      </c>
    </row>
    <row r="101" spans="1:7" x14ac:dyDescent="0.3">
      <c r="A101" s="2">
        <v>4</v>
      </c>
      <c r="C101" s="38" t="s">
        <v>42</v>
      </c>
      <c r="D101" s="42">
        <f>TRUNC(4911,-1)</f>
        <v>4910</v>
      </c>
      <c r="E101" s="63">
        <f t="shared" si="3"/>
        <v>16230</v>
      </c>
    </row>
    <row r="102" spans="1:7" x14ac:dyDescent="0.3">
      <c r="A102" s="2">
        <v>5</v>
      </c>
      <c r="C102" s="38" t="s">
        <v>43</v>
      </c>
      <c r="D102" s="42">
        <f>TRUNC(18605,-1)</f>
        <v>18600</v>
      </c>
      <c r="E102" s="63">
        <f t="shared" si="3"/>
        <v>61480</v>
      </c>
    </row>
    <row r="103" spans="1:7" x14ac:dyDescent="0.3">
      <c r="A103" s="2">
        <v>6</v>
      </c>
      <c r="C103" s="38" t="s">
        <v>44</v>
      </c>
      <c r="D103" s="42">
        <f>TRUNC(7783,-1)</f>
        <v>7780</v>
      </c>
      <c r="E103" s="63">
        <f t="shared" si="3"/>
        <v>25710</v>
      </c>
    </row>
    <row r="104" spans="1:7" x14ac:dyDescent="0.3">
      <c r="A104" s="2">
        <v>7</v>
      </c>
      <c r="C104" s="38" t="s">
        <v>45</v>
      </c>
      <c r="D104" s="42">
        <f>TRUNC(23231,-1)</f>
        <v>23230</v>
      </c>
      <c r="E104" s="63">
        <f t="shared" si="3"/>
        <v>76790</v>
      </c>
    </row>
    <row r="105" spans="1:7" x14ac:dyDescent="0.3">
      <c r="A105" s="2">
        <v>8</v>
      </c>
      <c r="C105" s="38" t="s">
        <v>46</v>
      </c>
      <c r="D105" s="42">
        <f>TRUNC(4496,-1)</f>
        <v>4490</v>
      </c>
      <c r="E105" s="63">
        <f t="shared" si="3"/>
        <v>14840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TRUNC(30273,-1)</f>
        <v>30270</v>
      </c>
      <c r="E114" s="63">
        <f t="shared" si="3"/>
        <v>100060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TRUNC(12948,-1)</f>
        <v>12940</v>
      </c>
      <c r="E116" s="63">
        <f t="shared" si="3"/>
        <v>42770</v>
      </c>
    </row>
    <row r="117" spans="1:7" x14ac:dyDescent="0.3">
      <c r="A117" s="2">
        <v>20</v>
      </c>
      <c r="C117" s="38" t="s">
        <v>148</v>
      </c>
      <c r="D117" s="42">
        <f>TRUNC(180998,-1)</f>
        <v>180990</v>
      </c>
      <c r="E117" s="63">
        <f t="shared" si="3"/>
        <v>598310</v>
      </c>
    </row>
    <row r="118" spans="1:7" ht="17.25" thickBot="1" x14ac:dyDescent="0.35">
      <c r="A118" s="2">
        <v>21</v>
      </c>
      <c r="C118" s="38" t="s">
        <v>47</v>
      </c>
      <c r="D118" s="43">
        <v>2600</v>
      </c>
      <c r="E118" s="64">
        <f t="shared" si="3"/>
        <v>8590</v>
      </c>
    </row>
    <row r="119" spans="1:7" x14ac:dyDescent="0.3">
      <c r="A119" s="2">
        <v>22</v>
      </c>
      <c r="C119" s="27" t="s">
        <v>112</v>
      </c>
      <c r="D119" s="39">
        <f>SUM(D98:D118)</f>
        <v>361890</v>
      </c>
      <c r="E119" s="39">
        <f>SUM(E98:E118)</f>
        <v>1196280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7180</v>
      </c>
      <c r="E122" s="62">
        <f t="shared" ref="E122:E132" si="4">TRUNC(+D122*3.3058,-1)</f>
        <v>23730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TRUNC(30128,-1)</f>
        <v>30120</v>
      </c>
      <c r="E126" s="63">
        <f t="shared" si="4"/>
        <v>99570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TRUNC(3494,-1)</f>
        <v>3490</v>
      </c>
      <c r="E128" s="63">
        <f t="shared" si="4"/>
        <v>11530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TRUNC(18201,-1)</f>
        <v>18200</v>
      </c>
      <c r="E130" s="63">
        <f t="shared" si="4"/>
        <v>60160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TRUNC(997,-1)</f>
        <v>990</v>
      </c>
      <c r="E132" s="64">
        <f t="shared" si="4"/>
        <v>3270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59980</v>
      </c>
      <c r="E133" s="39">
        <f>SUM(E122:E132)</f>
        <v>198260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TRUNC(673,-1)</f>
        <v>670</v>
      </c>
      <c r="E137" s="63">
        <f t="shared" si="5"/>
        <v>2210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TRUNC(6513,-1)</f>
        <v>6510</v>
      </c>
      <c r="E143" s="63">
        <f t="shared" si="5"/>
        <v>21520</v>
      </c>
    </row>
    <row r="144" spans="1:7" x14ac:dyDescent="0.3">
      <c r="A144" s="2">
        <v>9</v>
      </c>
      <c r="C144" s="38" t="s">
        <v>63</v>
      </c>
      <c r="D144" s="42">
        <f>TRUNC(18079,-1)</f>
        <v>18070</v>
      </c>
      <c r="E144" s="63">
        <f t="shared" si="5"/>
        <v>59730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25250</v>
      </c>
      <c r="E146" s="39">
        <f>SUM(E136:E145)</f>
        <v>83460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TRUNC(7948+1798,-1)</f>
        <v>9740</v>
      </c>
      <c r="E149" s="62">
        <f>TRUNC(+D149*3.3058,-1)</f>
        <v>32190</v>
      </c>
    </row>
    <row r="150" spans="1:7" x14ac:dyDescent="0.3">
      <c r="A150" s="2">
        <v>2</v>
      </c>
      <c r="C150" s="38" t="s">
        <v>49</v>
      </c>
      <c r="D150" s="42">
        <f>TRUNC(3088,-1)</f>
        <v>3080</v>
      </c>
      <c r="E150" s="63">
        <f>TRUNC(+D150*3.3058,-1)</f>
        <v>10180</v>
      </c>
    </row>
    <row r="151" spans="1:7" x14ac:dyDescent="0.3">
      <c r="A151" s="2">
        <v>3</v>
      </c>
      <c r="C151" s="38" t="s">
        <v>50</v>
      </c>
      <c r="D151" s="42">
        <f>TRUNC(17447,-1)</f>
        <v>17440</v>
      </c>
      <c r="E151" s="63">
        <f>TRUNC(+D151*3.3058,-1)</f>
        <v>57650</v>
      </c>
    </row>
    <row r="152" spans="1:7" x14ac:dyDescent="0.3">
      <c r="A152" s="2">
        <v>4</v>
      </c>
      <c r="C152" s="38" t="s">
        <v>47</v>
      </c>
      <c r="D152" s="42">
        <f>TRUNC(16224+1220+1438,-1)</f>
        <v>18880</v>
      </c>
      <c r="E152" s="63">
        <f>TRUNC(+D152*3.3058,-1)</f>
        <v>62410</v>
      </c>
      <c r="F152" s="2" t="s">
        <v>255</v>
      </c>
    </row>
    <row r="153" spans="1:7" ht="17.25" thickBot="1" x14ac:dyDescent="0.35">
      <c r="A153" s="2">
        <v>5</v>
      </c>
      <c r="C153" s="38" t="s">
        <v>148</v>
      </c>
      <c r="D153" s="43">
        <f>TRUNC(21675,-1)</f>
        <v>21670</v>
      </c>
      <c r="E153" s="64">
        <f>TRUNC(+D153*3.3058,-1)</f>
        <v>71630</v>
      </c>
    </row>
    <row r="154" spans="1:7" x14ac:dyDescent="0.3">
      <c r="A154" s="2">
        <v>6</v>
      </c>
      <c r="C154" s="27" t="s">
        <v>112</v>
      </c>
      <c r="D154" s="39">
        <f>SUM(D149:D153)</f>
        <v>70810</v>
      </c>
      <c r="E154" s="39">
        <f>SUM(E149:E153)</f>
        <v>234060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TRUNC(16029,-1)</f>
        <v>16020</v>
      </c>
      <c r="E157" s="62">
        <f>TRUNC(+D157*3.3058,-1)</f>
        <v>52950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TRUNC(14192,-1)</f>
        <v>14190</v>
      </c>
      <c r="E159" s="63">
        <f>TRUNC(+D159*3.3058,-1)</f>
        <v>46900</v>
      </c>
      <c r="F159" s="2" t="s">
        <v>256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30210</v>
      </c>
      <c r="E161" s="39">
        <f>SUM(E157:E160)</f>
        <v>99850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2020-12-08T02:24:58Z</dcterms:modified>
</cp:coreProperties>
</file>