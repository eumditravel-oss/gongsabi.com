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45" i="4"/>
  <c r="E144" i="4"/>
  <c r="E143" i="4"/>
  <c r="E142" i="4"/>
  <c r="E141" i="4"/>
  <c r="E140" i="4"/>
  <c r="E139" i="4"/>
  <c r="E138" i="4"/>
  <c r="E130" i="4"/>
  <c r="E129" i="4"/>
  <c r="E128" i="4"/>
  <c r="E127" i="4"/>
  <c r="E126" i="4"/>
  <c r="E124" i="4"/>
  <c r="E122" i="4"/>
  <c r="E114" i="4"/>
  <c r="E113" i="4"/>
  <c r="E112" i="4"/>
  <c r="E111" i="4"/>
  <c r="E109" i="4"/>
  <c r="E108" i="4"/>
  <c r="E107" i="4"/>
  <c r="E106" i="4"/>
  <c r="E105" i="4"/>
  <c r="E103" i="4"/>
  <c r="E101" i="4"/>
  <c r="E99" i="4"/>
  <c r="E98" i="4"/>
  <c r="E93" i="4"/>
  <c r="E91" i="4"/>
  <c r="E90" i="4"/>
  <c r="E89" i="4"/>
  <c r="E88" i="4"/>
  <c r="E87" i="4"/>
  <c r="E85" i="4"/>
  <c r="E84" i="4"/>
  <c r="E83" i="4"/>
  <c r="E82" i="4"/>
  <c r="E80" i="4"/>
  <c r="E78" i="4"/>
  <c r="E77" i="4"/>
  <c r="E76" i="4"/>
  <c r="E75" i="4"/>
  <c r="E74" i="4"/>
  <c r="E72" i="4"/>
  <c r="E71" i="4"/>
  <c r="E70" i="4"/>
  <c r="E65" i="4"/>
  <c r="E64" i="4"/>
  <c r="E57" i="4"/>
  <c r="E56" i="4"/>
  <c r="E54" i="4"/>
  <c r="E161" i="4" l="1"/>
  <c r="D153" i="4"/>
  <c r="E153" i="4" s="1"/>
  <c r="D152" i="4"/>
  <c r="E152" i="4" s="1"/>
  <c r="D151" i="4"/>
  <c r="E151" i="4" s="1"/>
  <c r="D150" i="4"/>
  <c r="E150" i="4" s="1"/>
  <c r="D149" i="4"/>
  <c r="E149" i="4" s="1"/>
  <c r="D137" i="4"/>
  <c r="E137" i="4" s="1"/>
  <c r="D136" i="4"/>
  <c r="E136" i="4" s="1"/>
  <c r="D132" i="4"/>
  <c r="E132" i="4" s="1"/>
  <c r="D131" i="4"/>
  <c r="E131" i="4" s="1"/>
  <c r="D125" i="4"/>
  <c r="E125" i="4" s="1"/>
  <c r="E133" i="4" s="1"/>
  <c r="D123" i="4"/>
  <c r="E123" i="4" s="1"/>
  <c r="D118" i="4"/>
  <c r="E118" i="4" s="1"/>
  <c r="D117" i="4"/>
  <c r="E117" i="4" s="1"/>
  <c r="D116" i="4"/>
  <c r="E116" i="4" s="1"/>
  <c r="D115" i="4"/>
  <c r="E115" i="4" s="1"/>
  <c r="D110" i="4"/>
  <c r="E110" i="4" s="1"/>
  <c r="D104" i="4"/>
  <c r="E104" i="4" s="1"/>
  <c r="D102" i="4"/>
  <c r="E102" i="4" s="1"/>
  <c r="D100" i="4"/>
  <c r="E100" i="4" s="1"/>
  <c r="E119" i="4" s="1"/>
  <c r="D94" i="4"/>
  <c r="E94" i="4" s="1"/>
  <c r="D92" i="4"/>
  <c r="E92" i="4" s="1"/>
  <c r="D86" i="4"/>
  <c r="E86" i="4" s="1"/>
  <c r="D81" i="4"/>
  <c r="E81" i="4" s="1"/>
  <c r="D79" i="4"/>
  <c r="E79" i="4" s="1"/>
  <c r="D73" i="4"/>
  <c r="E73" i="4" s="1"/>
  <c r="D69" i="4"/>
  <c r="E69" i="4" s="1"/>
  <c r="E95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37" i="4"/>
  <c r="E37" i="4" s="1"/>
  <c r="D41" i="4"/>
  <c r="E41" i="4" s="1"/>
  <c r="D40" i="4"/>
  <c r="E40" i="4" s="1"/>
  <c r="D161" i="4"/>
  <c r="D154" i="4"/>
  <c r="D31" i="4" s="1"/>
  <c r="E31" i="4" s="1"/>
  <c r="D119" i="4"/>
  <c r="D28" i="4" s="1"/>
  <c r="E28" i="4" s="1"/>
  <c r="D66" i="4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60" i="4" l="1"/>
  <c r="D25" i="4" s="1"/>
  <c r="E25" i="4" s="1"/>
  <c r="D133" i="4"/>
  <c r="D29" i="4" s="1"/>
  <c r="E29" i="4" s="1"/>
  <c r="E60" i="4"/>
  <c r="E154" i="4"/>
  <c r="D146" i="4"/>
  <c r="D30" i="4" s="1"/>
  <c r="E30" i="4" s="1"/>
  <c r="D95" i="4"/>
  <c r="D27" i="4" s="1"/>
  <c r="E27" i="4" s="1"/>
  <c r="E146" i="4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<sst xmlns="http://schemas.openxmlformats.org/spreadsheetml/2006/main" count="396" uniqueCount="271">
  <si>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</si>
  <si>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</si>
  <si>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</si>
  <si>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</si>
  <si>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</si>
  <si>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</si>
  <si>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</si>
  <si>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</si>
  <si>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</si>
  <si>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</si>
  <si>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</si>
  <si>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</si>
  <si>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</si>
  <si>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</si>
  <si>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</si>
  <si>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</si>
  <si>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</si>
  <si>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</si>
  <si>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</si>
  <si>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</si>
  <si>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</si>
  <si>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</si>
  <si>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</si>
  <si>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</si>
  <si>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</si>
  <si>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</si>
  <si>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</si>
  <si>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</si>
  <si>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</si>
  <si>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</si>
  <si>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</si>
  <si>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</si>
  <si>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</si>
  <si>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</si>
  <si>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</si>
  <si>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</si>
  <si>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</si>
  <si>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</si>
  <si>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</si>
  <si>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</si>
  <si>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</si>
  <si>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</si>
  <si>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</si>
  <si>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</si>
  <si>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</si>
  <si>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</si>
  <si>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</si>
  <si>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</si>
  <si>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</si>
  <si>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</si>
  <si>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</si>
  <si>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</si>
  <si>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</si>
  <si>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</si>
  <si>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</si>
  <si>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</si>
  <si>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</si>
  <si>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</si>
  <si>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</si>
  <si>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</si>
  <si>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</si>
  <si>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</si>
  <si>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</si>
  <si>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</si>
  <si>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</si>
  <si>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</si>
  <si>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</si>
  <si>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</si>
  <si>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</si>
  <si>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</si>
  <si>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</si>
  <si>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</si>
  <si>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</si>
  <si>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</si>
  <si>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</si>
  <si>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</si>
  <si>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</si>
  <si>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</si>
  <si>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</si>
  <si>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</si>
  <si>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</si>
  <si>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</si>
  <si>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</si>
  <si>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</si>
  <si>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</si>
  <si>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</si>
  <si>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</si>
  <si>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</si>
  <si>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</si>
  <si>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</si>
  <si>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</si>
  <si>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</si>
  <si>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</si>
  <si>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</si>
  <si>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</si>
  <si>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</si>
  <si>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</si>
  <si>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</si>
  <si>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</si>
  <si>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</si>
  <si>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</si>
  <si>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</si>
  <si>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</si>
  <si>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</si>
  <si>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</si>
  <si>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</si>
  <si>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</si>
  <si>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</si>
  <si>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</si>
  <si>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</si>
  <si>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</si>
  <si>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</si>
  <si>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</si>
  <si>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</si>
  <si>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</si>
  <si>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</si>
  <si>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</si>
  <si>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</si>
  <si>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</si>
  <si>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</si>
  <si>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</si>
  <si>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</si>
  <si>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</si>
  <si>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</si>
  <si>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</si>
  <si>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</si>
  <si>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</si>
  <si>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</si>
  <si>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</si>
  <si>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</si>
  <si>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</si>
  <si>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</si>
  <si>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</si>
  <si>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</si>
  <si>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</si>
  <si>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</si>
  <si>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</si>
  <si>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</si>
  <si>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</si>
  <si>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</si>
  <si>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</si>
  <si>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</si>
  <si>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</si>
  <si>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</si>
  <si>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</si>
  <si>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</si>
  <si>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</si>
  <si>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</si>
  <si>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</si>
  <si>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</si>
  <si>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</si>
  <si>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</si>
  <si>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</si>
  <si>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</si>
  <si>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</si>
  <si>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</si>
  <si>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</si>
  <si>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</si>
  <si>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</si>
  <si>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</si>
  <si>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</si>
  <si>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</si>
  <si>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</si>
  <si>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</si>
  <si>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</si>
  <si>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</si>
  <si>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</si>
  <si>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</si>
  <si>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</si>
  <si>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</si>
  <si>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</si>
  <si>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</si>
  <si>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</si>
  <si>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</si>
  <si>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</si>
  <si>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</si>
  <si>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</si>
  <si>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</si>
  <si>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</si>
  <si>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</si>
  <si>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</si>
  <si>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</si>
  <si>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</si>
  <si>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</si>
  <si>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</si>
  <si>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</si>
  <si>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</si>
  <si>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</si>
  <si>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</si>
  <si>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</si>
  <si>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</si>
  <si>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</si>
  <si>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</si>
  <si>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</si>
  <si>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</si>
  <si>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</si>
  <si>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</si>
  <si>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</si>
  <si>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</si>
  <si>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</si>
  <si>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</si>
  <si>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</si>
  <si>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</si>
  <si>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</si>
  <si>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</si>
  <si>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</si>
  <si>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</si>
  <si>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</si>
  <si>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</si>
  <si>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</si>
  <si>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</si>
  <si>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</si>
  <si>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</si>
  <si>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</si>
  <si>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</si>
  <si>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</si>
  <si>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</si>
  <si>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</si>
  <si>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</si>
  <si>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</si>
  <si>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</si>
  <si>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</si>
  <si>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</si>
  <si>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</si>
  <si>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</si>
  <si>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</si>
  <si>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</si>
  <si>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</si>
  <si>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</si>
  <si>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</si>
  <si>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</si>
  <si>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</si>
  <si>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</si>
  <si>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</si>
  <si>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</si>
  <si>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</si>
  <si>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</si>
  <si>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</si>
  <si>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</si>
  <si>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</si>
  <si>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</si>
  <si>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</si>
  <si>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</si>
  <si>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</si>
  <si>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</si>
  <si>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</si>
  <si>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</si>
  <si>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운동</t>
  </si>
  <si>
    <t>00체육관 신축공사</t>
  </si>
  <si>
    <t>충청도</t>
  </si>
  <si>
    <t>토 및 지정공사, 골재대, 운반공사, 부산물공제, 사급자재, 옥외시설</t>
    <phoneticPr fontId="2" type="noConversion"/>
  </si>
  <si>
    <t>상수도공, 조경공, 부대공, 사급자재비, 폐기물처리비</t>
    <phoneticPr fontId="2" type="noConversion"/>
  </si>
  <si>
    <t>도급자설치관급</t>
  </si>
  <si>
    <t>위생설비공사</t>
  </si>
  <si>
    <t>특고압인입 및 외선공사</t>
  </si>
  <si>
    <t>전기실 변전공사</t>
  </si>
  <si>
    <t>전기실 접지공사, 피뢰침 공사</t>
    <phoneticPr fontId="2" type="noConversion"/>
  </si>
  <si>
    <t>동력배관공사(소방용), 동력배관공사(일반동력용), 주방동력 배관공사, 체육관내 동력배관공사</t>
    <phoneticPr fontId="2" type="noConversion"/>
  </si>
  <si>
    <t>외등공사, 경관조명 배관공사, 전기간선공사, B동 전기공사, 전등제어센서 및 음향자동제어</t>
    <phoneticPr fontId="2" type="noConversion"/>
  </si>
  <si>
    <t>도급자설치관급, 관급자설치관급</t>
    <phoneticPr fontId="2" type="noConversion"/>
  </si>
  <si>
    <t>전기소방</t>
    <phoneticPr fontId="2" type="noConversion"/>
  </si>
  <si>
    <t>전화.TV 공사, LAN 배관공사</t>
    <phoneticPr fontId="2" type="noConversion"/>
  </si>
  <si>
    <t>통신인입공사, 옥외방송공사</t>
    <phoneticPr fontId="2" type="noConversion"/>
  </si>
  <si>
    <t>관급자설치관급자재</t>
  </si>
  <si>
    <t>도급자설치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</si>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</sst>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5306</v>
      </c>
      <c r="D7" s="36">
        <f>+C7/3.3058</f>
        <v>1605.0577772400025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265</v>
      </c>
    </row>
    <row r="24" spans="1:5" x14ac:dyDescent="0.3">
      <c r="B24" s="2">
        <v>1</v>
      </c>
      <c r="C24" s="35" t="s">
        <v>110</v>
      </c>
      <c r="D24" s="41">
        <f>+D37</f>
        <v>4610</v>
      </c>
      <c r="E24" s="58">
        <f t="shared" ref="E24:E33" si="0">TRUNC(+D24*3.3058,-1)</f>
        <v>15230</v>
      </c>
    </row>
    <row r="25" spans="1:5" x14ac:dyDescent="0.3">
      <c r="B25" s="2">
        <v>2</v>
      </c>
      <c r="C25" s="35" t="s">
        <v>111</v>
      </c>
      <c r="D25" s="45">
        <f>+D60</f>
        <v>1054150</v>
      </c>
      <c r="E25" s="59">
        <f t="shared" si="0"/>
        <v>3484800</v>
      </c>
    </row>
    <row r="26" spans="1:5" x14ac:dyDescent="0.3">
      <c r="B26" s="2">
        <v>3</v>
      </c>
      <c r="C26" s="35" t="s">
        <v>95</v>
      </c>
      <c r="D26" s="45">
        <f>+D66</f>
        <v>22410</v>
      </c>
      <c r="E26" s="59">
        <f t="shared" si="0"/>
        <v>74080</v>
      </c>
    </row>
    <row r="27" spans="1:5" x14ac:dyDescent="0.3">
      <c r="B27" s="2">
        <v>4</v>
      </c>
      <c r="C27" s="35" t="s">
        <v>96</v>
      </c>
      <c r="D27" s="45">
        <f>+D95</f>
        <v>180120</v>
      </c>
      <c r="E27" s="59">
        <f t="shared" si="0"/>
        <v>595440</v>
      </c>
    </row>
    <row r="28" spans="1:5" x14ac:dyDescent="0.3">
      <c r="B28" s="2">
        <v>5</v>
      </c>
      <c r="C28" s="35" t="s">
        <v>97</v>
      </c>
      <c r="D28" s="45">
        <f>+D119</f>
        <v>236020</v>
      </c>
      <c r="E28" s="59">
        <f t="shared" si="0"/>
        <v>780230</v>
      </c>
    </row>
    <row r="29" spans="1:5" x14ac:dyDescent="0.3">
      <c r="B29" s="2">
        <v>6</v>
      </c>
      <c r="C29" s="35" t="s">
        <v>98</v>
      </c>
      <c r="D29" s="45">
        <f>+D133</f>
        <v>67610</v>
      </c>
      <c r="E29" s="59">
        <f t="shared" si="0"/>
        <v>223500</v>
      </c>
    </row>
    <row r="30" spans="1:5" x14ac:dyDescent="0.3">
      <c r="B30" s="2">
        <v>7</v>
      </c>
      <c r="C30" s="35" t="s">
        <v>99</v>
      </c>
      <c r="D30" s="45">
        <f>+D146</f>
        <v>33930</v>
      </c>
      <c r="E30" s="59">
        <f t="shared" si="0"/>
        <v>112160</v>
      </c>
    </row>
    <row r="31" spans="1:5" x14ac:dyDescent="0.3">
      <c r="B31" s="2">
        <v>8</v>
      </c>
      <c r="C31" s="35" t="s">
        <v>100</v>
      </c>
      <c r="D31" s="45">
        <f>+D154</f>
        <v>209470</v>
      </c>
      <c r="E31" s="59">
        <f t="shared" si="0"/>
        <v>692460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497280</v>
      </c>
      <c r="E33" s="60">
        <f t="shared" si="0"/>
        <v>1643900</v>
      </c>
    </row>
    <row r="34" spans="1:7" x14ac:dyDescent="0.3">
      <c r="C34" s="35" t="s">
        <v>112</v>
      </c>
      <c r="D34" s="44">
        <f>SUM(D24:D33)</f>
        <v>2305600</v>
      </c>
      <c r="E34" s="44">
        <f>SUM(E24:E33)</f>
        <v>7621800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265</v>
      </c>
      <c r="G36" s="55"/>
    </row>
    <row r="37" spans="1:7" ht="17.25" thickBot="1" x14ac:dyDescent="0.35">
      <c r="C37" s="38" t="s">
        <v>143</v>
      </c>
      <c r="D37" s="52">
        <f>TRUNC(4611.97191858274,-1)</f>
        <v>4610</v>
      </c>
      <c r="E37" s="61">
        <f>TRUNC(+D37*3.3058,-1)</f>
        <v>15230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TRUNC(43741.0546551074,-1)</f>
        <v>43740</v>
      </c>
      <c r="E40" s="62">
        <f t="shared" ref="E40:E59" si="1">TRUNC(+D40*3.3058,-1)</f>
        <v>144590</v>
      </c>
    </row>
    <row r="41" spans="1:7" x14ac:dyDescent="0.3">
      <c r="A41" s="2">
        <v>2</v>
      </c>
      <c r="C41" s="38" t="s">
        <v>13</v>
      </c>
      <c r="D41" s="42">
        <f>TRUNC(153019.581794195,-1)</f>
        <v>153010</v>
      </c>
      <c r="E41" s="63">
        <f t="shared" si="1"/>
        <v>505820</v>
      </c>
    </row>
    <row r="42" spans="1:7" x14ac:dyDescent="0.3">
      <c r="A42" s="2">
        <v>3</v>
      </c>
      <c r="C42" s="38" t="s">
        <v>14</v>
      </c>
      <c r="D42" s="42">
        <f>TRUNC(65904.4626837542,-1)</f>
        <v>65900</v>
      </c>
      <c r="E42" s="63">
        <f t="shared" si="1"/>
        <v>217850</v>
      </c>
    </row>
    <row r="43" spans="1:7" x14ac:dyDescent="0.3">
      <c r="A43" s="2">
        <v>4</v>
      </c>
      <c r="C43" s="38" t="s">
        <v>16</v>
      </c>
      <c r="D43" s="42">
        <f>TRUNC(1958.59837919337,-1)</f>
        <v>1950</v>
      </c>
      <c r="E43" s="63">
        <f t="shared" si="1"/>
        <v>6440</v>
      </c>
    </row>
    <row r="44" spans="1:7" x14ac:dyDescent="0.3">
      <c r="A44" s="2">
        <v>5</v>
      </c>
      <c r="C44" s="38" t="s">
        <v>17</v>
      </c>
      <c r="D44" s="42">
        <f>TRUNC(18895.1941198643,-1)</f>
        <v>18890</v>
      </c>
      <c r="E44" s="63">
        <f t="shared" si="1"/>
        <v>62440</v>
      </c>
    </row>
    <row r="45" spans="1:7" x14ac:dyDescent="0.3">
      <c r="A45" s="2">
        <v>6</v>
      </c>
      <c r="C45" s="38" t="s">
        <v>18</v>
      </c>
      <c r="D45" s="42">
        <f>TRUNC(4957.52732755371,-1)</f>
        <v>4950</v>
      </c>
      <c r="E45" s="63">
        <f t="shared" si="1"/>
        <v>16360</v>
      </c>
    </row>
    <row r="46" spans="1:7" x14ac:dyDescent="0.3">
      <c r="A46" s="2">
        <v>7</v>
      </c>
      <c r="C46" s="38" t="s">
        <v>19</v>
      </c>
      <c r="D46" s="42">
        <f>TRUNC(135262.860912175,-1)</f>
        <v>135260</v>
      </c>
      <c r="E46" s="63">
        <f t="shared" si="1"/>
        <v>447140</v>
      </c>
    </row>
    <row r="47" spans="1:7" x14ac:dyDescent="0.3">
      <c r="A47" s="2">
        <v>8</v>
      </c>
      <c r="C47" s="38" t="s">
        <v>20</v>
      </c>
      <c r="D47" s="42">
        <f>TRUNC(24380.6775348662,-1)</f>
        <v>24380</v>
      </c>
      <c r="E47" s="63">
        <f t="shared" si="1"/>
        <v>80590</v>
      </c>
    </row>
    <row r="48" spans="1:7" x14ac:dyDescent="0.3">
      <c r="A48" s="2">
        <v>9</v>
      </c>
      <c r="C48" s="38" t="s">
        <v>21</v>
      </c>
      <c r="D48" s="42">
        <f>TRUNC(19017.4157557482,-1)</f>
        <v>19010</v>
      </c>
      <c r="E48" s="63">
        <f t="shared" si="1"/>
        <v>62840</v>
      </c>
    </row>
    <row r="49" spans="1:7" x14ac:dyDescent="0.3">
      <c r="A49" s="2">
        <v>10</v>
      </c>
      <c r="C49" s="38" t="s">
        <v>22</v>
      </c>
      <c r="D49" s="42">
        <f>TRUNC(21717.9689031285,-1)</f>
        <v>21710</v>
      </c>
      <c r="E49" s="63">
        <f t="shared" si="1"/>
        <v>71760</v>
      </c>
    </row>
    <row r="50" spans="1:7" x14ac:dyDescent="0.3">
      <c r="A50" s="2">
        <v>11</v>
      </c>
      <c r="C50" s="38" t="s">
        <v>154</v>
      </c>
      <c r="D50" s="42">
        <f>TRUNC(46320.7333207689,-1)</f>
        <v>46320</v>
      </c>
      <c r="E50" s="63">
        <f t="shared" si="1"/>
        <v>153120</v>
      </c>
    </row>
    <row r="51" spans="1:7" x14ac:dyDescent="0.3">
      <c r="A51" s="2">
        <v>12</v>
      </c>
      <c r="C51" s="38" t="s">
        <v>23</v>
      </c>
      <c r="D51" s="42">
        <f>TRUNC(32043.8364116095,-1)</f>
        <v>32040</v>
      </c>
      <c r="E51" s="63">
        <f t="shared" si="1"/>
        <v>105910</v>
      </c>
    </row>
    <row r="52" spans="1:7" x14ac:dyDescent="0.3">
      <c r="A52" s="2">
        <v>13</v>
      </c>
      <c r="C52" s="38" t="s">
        <v>24</v>
      </c>
      <c r="D52" s="42">
        <f>TRUNC(13566.493215228,-1)</f>
        <v>13560</v>
      </c>
      <c r="E52" s="63">
        <f t="shared" si="1"/>
        <v>44820</v>
      </c>
    </row>
    <row r="53" spans="1:7" x14ac:dyDescent="0.3">
      <c r="A53" s="2">
        <v>14</v>
      </c>
      <c r="C53" s="38" t="s">
        <v>25</v>
      </c>
      <c r="D53" s="42">
        <f>TRUNC(24264.4517527328,-1)</f>
        <v>24260</v>
      </c>
      <c r="E53" s="63">
        <f t="shared" si="1"/>
        <v>80190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TRUNC(15546.8482849604,-1)</f>
        <v>15540</v>
      </c>
      <c r="E55" s="63">
        <f t="shared" si="1"/>
        <v>51370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TRUNC(14527.6513381078+4074.25555974369+2531.85337353939-610.629476064832+104268.00640784+100438.081605729,-1)</f>
        <v>225220</v>
      </c>
      <c r="E58" s="63">
        <f t="shared" si="1"/>
        <v>744530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TRUNC(208410.290237467,-1)</f>
        <v>208410</v>
      </c>
      <c r="E59" s="64">
        <f t="shared" si="1"/>
        <v>688960</v>
      </c>
      <c r="F59" s="2" t="s">
        <v>264</v>
      </c>
    </row>
    <row r="60" spans="1:7" x14ac:dyDescent="0.3">
      <c r="A60" s="2">
        <v>21</v>
      </c>
      <c r="C60" s="27" t="s">
        <v>112</v>
      </c>
      <c r="D60" s="39">
        <f>SUM(D40:D59)</f>
        <v>1054150</v>
      </c>
      <c r="E60" s="39">
        <f>SUM(E40:E59)</f>
        <v>3484730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265</v>
      </c>
      <c r="G62" s="55"/>
    </row>
    <row r="63" spans="1:7" x14ac:dyDescent="0.3">
      <c r="A63" s="2">
        <v>1</v>
      </c>
      <c r="C63" s="38" t="s">
        <v>27</v>
      </c>
      <c r="D63" s="40">
        <f>TRUNC(22416.6556728232,-1)</f>
        <v>22410</v>
      </c>
      <c r="E63" s="62">
        <f>TRUNC(+D63*3.3058,-1)</f>
        <v>74080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22410</v>
      </c>
      <c r="E66" s="65">
        <f>SUM(E63:E65)</f>
        <v>74080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265</v>
      </c>
      <c r="G68" s="55"/>
    </row>
    <row r="69" spans="1:7" x14ac:dyDescent="0.3">
      <c r="A69" s="2">
        <v>1</v>
      </c>
      <c r="C69" s="38" t="s">
        <v>30</v>
      </c>
      <c r="D69" s="40">
        <f>TRUNC(80718.2574444026,-1)</f>
        <v>80710</v>
      </c>
      <c r="E69" s="62">
        <f>TRUNC(+D69*3.3058,-1)</f>
        <v>266810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TRUNC(23420.3292499058,-1)</f>
        <v>23420</v>
      </c>
      <c r="E73" s="63">
        <f t="shared" si="2"/>
        <v>77420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TRUNC(24228.9777610253,-1)</f>
        <v>24220</v>
      </c>
      <c r="E79" s="63">
        <f t="shared" si="3"/>
        <v>80060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TRUNC(14372.2071240106,-1)</f>
        <v>14370</v>
      </c>
      <c r="E81" s="63">
        <f t="shared" si="3"/>
        <v>47500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f>TRUNC(13058.7448171881,-1)</f>
        <v>13050</v>
      </c>
      <c r="E86" s="63">
        <f t="shared" si="3"/>
        <v>43140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TRUNC(18871.4962306822,-1)</f>
        <v>18870</v>
      </c>
      <c r="E92" s="63">
        <f>TRUNC(+D92*3.3058,-1)</f>
        <v>62380</v>
      </c>
      <c r="F92" s="2" t="s">
        <v>253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TRUNC(5488.36618921975,-1)</f>
        <v>5480</v>
      </c>
      <c r="E94" s="64">
        <f>TRUNC(+D94*3.3058,-1)</f>
        <v>18110</v>
      </c>
    </row>
    <row r="95" spans="1:7" x14ac:dyDescent="0.3">
      <c r="A95" s="2">
        <v>27</v>
      </c>
      <c r="C95" s="27" t="s">
        <v>112</v>
      </c>
      <c r="D95" s="39">
        <f>SUM(D69:D94)</f>
        <v>180120</v>
      </c>
      <c r="E95" s="39">
        <f>SUM(E69:E94)</f>
        <v>595420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265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f>TRUNC(6551.97832642292,-1)</f>
        <v>6550</v>
      </c>
      <c r="E100" s="63">
        <f t="shared" si="4"/>
        <v>21650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TRUNC(2725.1453071994,-1)</f>
        <v>2720</v>
      </c>
      <c r="E102" s="63">
        <f t="shared" si="4"/>
        <v>8990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TRUNC(1050.38296268375+689.350735016962,-1)</f>
        <v>1730</v>
      </c>
      <c r="E104" s="63">
        <f t="shared" si="4"/>
        <v>5710</v>
      </c>
      <c r="F104" s="2" t="s">
        <v>256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f>TRUNC(157.346588767433+415.260271390878+72.288164342254+4023.37052393517,-1)</f>
        <v>4660</v>
      </c>
      <c r="E110" s="63">
        <f t="shared" si="4"/>
        <v>15400</v>
      </c>
      <c r="F110" s="2" t="s">
        <v>257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TRUNC(982.133810780249,-1)</f>
        <v>980</v>
      </c>
      <c r="E115" s="63">
        <f t="shared" si="4"/>
        <v>3230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f>TRUNC(3448.62664907652,-1)</f>
        <v>3440</v>
      </c>
      <c r="E116" s="63">
        <f t="shared" si="4"/>
        <v>11370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TRUNC(18595.3637391632+184769.129287599,-1)</f>
        <v>203360</v>
      </c>
      <c r="E117" s="63">
        <f t="shared" si="4"/>
        <v>672260</v>
      </c>
      <c r="F117" s="2" t="s">
        <v>259</v>
      </c>
    </row>
    <row r="118" spans="1:7" ht="17.25" thickBot="1" x14ac:dyDescent="0.35">
      <c r="A118" s="2">
        <v>21</v>
      </c>
      <c r="C118" s="38" t="s">
        <v>47</v>
      </c>
      <c r="D118" s="43">
        <f>TRUNC(2538.27742178666+471.990199773841+9071.15322276668+277.608179419525+224.82171127026,-1)</f>
        <v>12580</v>
      </c>
      <c r="E118" s="64">
        <f t="shared" si="4"/>
        <v>41580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236020</v>
      </c>
      <c r="E119" s="39">
        <f>SUM(E98:E118)</f>
        <v>780190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265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TRUNC(2844.09856765925+3321.39163211459,-1)</f>
        <v>6160</v>
      </c>
      <c r="E123" s="63">
        <f t="shared" si="5"/>
        <v>20360</v>
      </c>
      <c r="F123" s="2" t="s">
        <v>261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TRUNC(1836.33396155296,-1)</f>
        <v>1830</v>
      </c>
      <c r="E125" s="63">
        <f t="shared" si="5"/>
        <v>6040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TRUNC(57705.427817565,-1)</f>
        <v>57700</v>
      </c>
      <c r="E131" s="63">
        <f t="shared" si="5"/>
        <v>190740</v>
      </c>
      <c r="F131" s="2" t="s">
        <v>263</v>
      </c>
    </row>
    <row r="132" spans="1:7" ht="18" thickBot="1" x14ac:dyDescent="0.35">
      <c r="A132" s="2">
        <v>11</v>
      </c>
      <c r="C132" s="38" t="s">
        <v>47</v>
      </c>
      <c r="D132" s="43">
        <f>TRUNC(811.961176027139+1117.63701470034,-1)</f>
        <v>1920</v>
      </c>
      <c r="E132" s="64">
        <f t="shared" si="5"/>
        <v>6340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67610</v>
      </c>
      <c r="E133" s="39">
        <f>SUM(E122:E132)</f>
        <v>223480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265</v>
      </c>
      <c r="G135" s="55"/>
    </row>
    <row r="136" spans="1:7" x14ac:dyDescent="0.3">
      <c r="A136" s="2">
        <v>1</v>
      </c>
      <c r="C136" s="38" t="s">
        <v>131</v>
      </c>
      <c r="D136" s="40">
        <f>TRUNC(27481.5344892574,-1)</f>
        <v>27480</v>
      </c>
      <c r="E136" s="62">
        <f t="shared" ref="E136:E145" si="6">TRUNC(+D136*3.3058,-1)</f>
        <v>90840</v>
      </c>
    </row>
    <row r="137" spans="1:7" x14ac:dyDescent="0.3">
      <c r="A137" s="2">
        <v>2</v>
      </c>
      <c r="C137" s="38" t="s">
        <v>47</v>
      </c>
      <c r="D137" s="42">
        <f>TRUNC(6451.54956652846,-1)</f>
        <v>6450</v>
      </c>
      <c r="E137" s="63">
        <f t="shared" si="6"/>
        <v>21320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33930</v>
      </c>
      <c r="E146" s="39">
        <f>SUM(E136:E145)</f>
        <v>112160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265</v>
      </c>
      <c r="G148" s="55"/>
    </row>
    <row r="149" spans="1:7" x14ac:dyDescent="0.3">
      <c r="A149" s="2">
        <v>1</v>
      </c>
      <c r="C149" s="38" t="s">
        <v>48</v>
      </c>
      <c r="D149" s="40">
        <f>TRUNC(9431.60535243121,-1)</f>
        <v>9430</v>
      </c>
      <c r="E149" s="62">
        <f>TRUNC(+D149*3.3058,-1)</f>
        <v>31170</v>
      </c>
    </row>
    <row r="150" spans="1:7" x14ac:dyDescent="0.3">
      <c r="A150" s="2">
        <v>2</v>
      </c>
      <c r="C150" s="38" t="s">
        <v>49</v>
      </c>
      <c r="D150" s="42">
        <f>TRUNC(34071.734828496,-1)</f>
        <v>34070</v>
      </c>
      <c r="E150" s="63">
        <f>TRUNC(+D150*3.3058,-1)</f>
        <v>112620</v>
      </c>
    </row>
    <row r="151" spans="1:7" x14ac:dyDescent="0.3">
      <c r="A151" s="2">
        <v>3</v>
      </c>
      <c r="C151" s="38" t="s">
        <v>50</v>
      </c>
      <c r="D151" s="42">
        <f>TRUNC(60934.8328307576,-1)</f>
        <v>60930</v>
      </c>
      <c r="E151" s="63">
        <f>TRUNC(+D151*3.3058,-1)</f>
        <v>201420</v>
      </c>
    </row>
    <row r="152" spans="1:7" x14ac:dyDescent="0.3">
      <c r="A152" s="2">
        <v>4</v>
      </c>
      <c r="C152" s="38" t="s">
        <v>47</v>
      </c>
      <c r="D152" s="42">
        <f>TRUNC(739.543535620053+12616.8021108179+7904.91274029401+77765.7482095741+89.1639653222767,-1)</f>
        <v>99110</v>
      </c>
      <c r="E152" s="63">
        <f>TRUNC(+D152*3.3058,-1)</f>
        <v>327630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f>TRUNC(5930.45608744817,-1)</f>
        <v>5930</v>
      </c>
      <c r="E153" s="64">
        <f>TRUNC(+D153*3.3058,-1)</f>
        <v>19600</v>
      </c>
      <c r="F153" s="2" t="s">
        <v>252</v>
      </c>
    </row>
    <row r="154" spans="1:7" x14ac:dyDescent="0.3">
      <c r="A154" s="2">
        <v>6</v>
      </c>
      <c r="C154" s="27" t="s">
        <v>112</v>
      </c>
      <c r="D154" s="39">
        <f>SUM(D149:D153)</f>
        <v>209470</v>
      </c>
      <c r="E154" s="39">
        <f>SUM(E149:E153)</f>
        <v>692440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2020-12-07T09:13:26Z</dcterms:modified>
</cp:coreProperties>
</file>