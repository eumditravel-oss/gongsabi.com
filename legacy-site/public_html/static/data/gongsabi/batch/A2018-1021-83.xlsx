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2" i="4"/>
  <c r="D117" i="4"/>
  <c r="D116" i="4"/>
  <c r="D105" i="4"/>
  <c r="D104" i="4"/>
  <c r="D102" i="4"/>
  <c r="D100" i="4"/>
  <c r="D99" i="4"/>
  <c r="D98" i="4"/>
  <c r="D94" i="4"/>
  <c r="D93" i="4"/>
  <c r="D92" i="4"/>
  <c r="D91" i="4"/>
  <c r="D89" i="4"/>
  <c r="D73" i="4"/>
  <c r="D71" i="4"/>
  <c r="D70" i="4"/>
  <c r="D69" i="4"/>
  <c r="D65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<sst xmlns="http://schemas.openxmlformats.org/spreadsheetml/2006/main" count="392" uniqueCount="267">
  <si>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</si>
  <si>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</si>
  <si>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</si>
  <si>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</si>
  <si>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</si>
  <si>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</si>
  <si>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</si>
  <si>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</si>
  <si>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</si>
  <si>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</si>
  <si>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</si>
  <si>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</si>
  <si>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</si>
  <si>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</si>
  <si>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</si>
  <si>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</si>
  <si>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</si>
  <si>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</si>
  <si>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</si>
  <si>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</si>
  <si>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</si>
  <si>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</si>
  <si>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</si>
  <si>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</si>
  <si>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</si>
  <si>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</si>
  <si>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</si>
  <si>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</si>
  <si>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</si>
  <si>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</si>
  <si>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</si>
  <si>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</si>
  <si>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</si>
  <si>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</si>
  <si>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</si>
  <si>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</si>
  <si>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</si>
  <si>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</si>
  <si>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</si>
  <si>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</si>
  <si>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</si>
  <si>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</si>
  <si>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</si>
  <si>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</si>
  <si>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</si>
  <si>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</si>
  <si>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</si>
  <si>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</si>
  <si>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</si>
  <si>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</si>
  <si>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</si>
  <si>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</si>
  <si>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</si>
  <si>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</si>
  <si>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</si>
  <si>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</si>
  <si>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</si>
  <si>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</si>
  <si>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</si>
  <si>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</si>
  <si>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</si>
  <si>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</si>
  <si>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</si>
  <si>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</si>
  <si>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</si>
  <si>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</si>
  <si>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</si>
  <si>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</si>
  <si>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</si>
  <si>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</si>
  <si>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</si>
  <si>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</si>
  <si>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</si>
  <si>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</si>
  <si>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</si>
  <si>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</si>
  <si>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</si>
  <si>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</si>
  <si>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</si>
  <si>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</si>
  <si>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</si>
  <si>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</si>
  <si>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</si>
  <si>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</si>
  <si>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</si>
  <si>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</si>
  <si>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</si>
  <si>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</si>
  <si>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</si>
  <si>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</si>
  <si>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</si>
  <si>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</si>
  <si>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</si>
  <si>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</si>
  <si>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</si>
  <si>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</si>
  <si>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</si>
  <si>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</si>
  <si>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</si>
  <si>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</si>
  <si>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</si>
  <si>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</si>
  <si>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</si>
  <si>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</si>
  <si>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</si>
  <si>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</si>
  <si>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</si>
  <si>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</si>
  <si>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</si>
  <si>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</si>
  <si>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</si>
  <si>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</si>
  <si>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</si>
  <si>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</si>
  <si>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</si>
  <si>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</si>
  <si>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</si>
  <si>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</si>
  <si>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</si>
  <si>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</si>
  <si>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</si>
  <si>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</si>
  <si>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</si>
  <si>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</si>
  <si>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</si>
  <si>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</si>
  <si>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</si>
  <si>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</si>
  <si>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</si>
  <si>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</si>
  <si>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</si>
  <si>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</si>
  <si>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</si>
  <si>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</si>
  <si>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</si>
  <si>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</si>
  <si>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</si>
  <si>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</si>
  <si>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</si>
  <si>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</si>
  <si>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</si>
  <si>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</si>
  <si>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</si>
  <si>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</si>
  <si>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</si>
  <si>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</si>
  <si>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</si>
  <si>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</si>
  <si>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</si>
  <si>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</si>
  <si>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</si>
  <si>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</si>
  <si>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</si>
  <si>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</si>
  <si>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</si>
  <si>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</si>
  <si>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</si>
  <si>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</si>
  <si>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</si>
  <si>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</si>
  <si>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</si>
  <si>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</si>
  <si>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</si>
  <si>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</si>
  <si>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</si>
  <si>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</si>
  <si>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</si>
  <si>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</si>
  <si>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</si>
  <si>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</si>
  <si>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</si>
  <si>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</si>
  <si>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</si>
  <si>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</si>
  <si>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</si>
  <si>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</si>
  <si>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</si>
  <si>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</si>
  <si>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</si>
  <si>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</si>
  <si>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</si>
  <si>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</si>
  <si>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</si>
  <si>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</si>
  <si>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</si>
  <si>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</si>
  <si>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</si>
  <si>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</si>
  <si>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</si>
  <si>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</si>
  <si>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</si>
  <si>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</si>
  <si>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</si>
  <si>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</si>
  <si>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</si>
  <si>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</si>
  <si>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</si>
  <si>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</si>
  <si>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</si>
  <si>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</si>
  <si>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</si>
  <si>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</si>
  <si>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</si>
  <si>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</si>
  <si>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</si>
  <si>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</si>
  <si>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</si>
  <si>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</si>
  <si>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</si>
  <si>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</si>
  <si>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</si>
  <si>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</si>
  <si>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</si>
  <si>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</si>
  <si>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</si>
  <si>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</si>
  <si>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</si>
  <si>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</si>
  <si>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</si>
  <si>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</si>
  <si>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</si>
  <si>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</si>
  <si>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</si>
  <si>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</si>
  <si>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</si>
  <si>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</si>
  <si>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</si>
  <si>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</si>
  <si>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</si>
  <si>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</si>
  <si>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</si>
  <si>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</si>
  <si>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</si>
  <si>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</si>
  <si>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</si>
  <si>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</si>
  <si>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</si>
  <si>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</si>
  <si>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</si>
  <si>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</si>
  <si>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</si>
  <si>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</si>
  <si>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</si>
  <si>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</si>
  <si>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</si>
  <si>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</si>
  <si>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</si>
  <si>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</si>
  <si>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장애인 건강검진센터 건립사업 건축공사</t>
    <phoneticPr fontId="2" type="noConversion"/>
  </si>
  <si>
    <t>서울</t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</si>
  <si>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</si>
  <si>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</si>
  <si>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골재비및운반비, 작업부산물, 품질시험비, 기타공사</t>
    <phoneticPr fontId="2" type="noConversion"/>
  </si>
  <si>
    <t>공조배관공사, 난방배관공사, 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</si>
  <si>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</si>
  <si>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</si>
  <si>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</si>
  <si>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</si>
  <si>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</si>
  <si>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</si>
  <si>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</si>
  <si>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의료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</si>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</sst>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3746.37</v>
      </c>
      <c r="D7" s="36">
        <f>+C7/3.3058</f>
        <v>1133.2718252767861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1043010</v>
      </c>
      <c r="E25" s="59">
        <f t="shared" si="0"/>
        <v>3447980</v>
      </c>
    </row>
    <row r="26" spans="1:5" x14ac:dyDescent="0.3">
      <c r="B26" s="2">
        <v>3</v>
      </c>
      <c r="C26" s="35" t="s">
        <v>95</v>
      </c>
      <c r="D26" s="45">
        <f>+D66</f>
        <v>133130</v>
      </c>
      <c r="E26" s="59">
        <f t="shared" si="0"/>
        <v>440100</v>
      </c>
    </row>
    <row r="27" spans="1:5" x14ac:dyDescent="0.3">
      <c r="B27" s="2">
        <v>4</v>
      </c>
      <c r="C27" s="35" t="s">
        <v>96</v>
      </c>
      <c r="D27" s="45">
        <f>+D95</f>
        <v>383280</v>
      </c>
      <c r="E27" s="59">
        <f t="shared" si="0"/>
        <v>1267040</v>
      </c>
    </row>
    <row r="28" spans="1:5" x14ac:dyDescent="0.3">
      <c r="B28" s="2">
        <v>5</v>
      </c>
      <c r="C28" s="35" t="s">
        <v>97</v>
      </c>
      <c r="D28" s="45">
        <f>+D119</f>
        <v>241220</v>
      </c>
      <c r="E28" s="59">
        <f t="shared" si="0"/>
        <v>797420</v>
      </c>
    </row>
    <row r="29" spans="1:5" x14ac:dyDescent="0.3">
      <c r="B29" s="2">
        <v>6</v>
      </c>
      <c r="C29" s="35" t="s">
        <v>98</v>
      </c>
      <c r="D29" s="45">
        <f>+D133</f>
        <v>93540</v>
      </c>
      <c r="E29" s="59">
        <f t="shared" si="0"/>
        <v>309220</v>
      </c>
    </row>
    <row r="30" spans="1:5" x14ac:dyDescent="0.3">
      <c r="B30" s="2">
        <v>7</v>
      </c>
      <c r="C30" s="35" t="s">
        <v>99</v>
      </c>
      <c r="D30" s="45">
        <f>+D146</f>
        <v>52510</v>
      </c>
      <c r="E30" s="59">
        <f t="shared" si="0"/>
        <v>173580</v>
      </c>
    </row>
    <row r="31" spans="1:5" x14ac:dyDescent="0.3">
      <c r="B31" s="2">
        <v>8</v>
      </c>
      <c r="C31" s="35" t="s">
        <v>100</v>
      </c>
      <c r="D31" s="45">
        <f>+D154</f>
        <v>68450</v>
      </c>
      <c r="E31" s="59">
        <f t="shared" si="0"/>
        <v>226280</v>
      </c>
    </row>
    <row r="32" spans="1:5" x14ac:dyDescent="0.3">
      <c r="B32" s="2">
        <v>9</v>
      </c>
      <c r="C32" s="35" t="s">
        <v>101</v>
      </c>
      <c r="D32" s="45">
        <f>+D161</f>
        <v>27530</v>
      </c>
      <c r="E32" s="59">
        <f t="shared" si="0"/>
        <v>91000</v>
      </c>
    </row>
    <row r="33" spans="1:7" x14ac:dyDescent="0.3">
      <c r="B33" s="2">
        <v>10</v>
      </c>
      <c r="C33" s="35" t="s">
        <v>154</v>
      </c>
      <c r="D33" s="53">
        <f>TRUNC(SUM(D24:D32)*0.275,-1)</f>
        <v>561730</v>
      </c>
      <c r="E33" s="60">
        <f t="shared" si="0"/>
        <v>1856960</v>
      </c>
    </row>
    <row r="34" spans="1:7" x14ac:dyDescent="0.3">
      <c r="C34" s="35" t="s">
        <v>112</v>
      </c>
      <c r="D34" s="44">
        <f>SUM(D24:D33)</f>
        <v>2604400</v>
      </c>
      <c r="E34" s="44">
        <f>SUM(E24:E33)</f>
        <v>8609580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TRUNC(97524,-1)</f>
        <v>97520</v>
      </c>
      <c r="E40" s="62">
        <f t="shared" ref="E40:E59" si="1">TRUNC(+D40*3.3058,-1)</f>
        <v>322380</v>
      </c>
    </row>
    <row r="41" spans="1:7" x14ac:dyDescent="0.3">
      <c r="A41" s="2">
        <v>2</v>
      </c>
      <c r="C41" s="38" t="s">
        <v>13</v>
      </c>
      <c r="D41" s="42">
        <f>TRUNC(157331,-1)</f>
        <v>157330</v>
      </c>
      <c r="E41" s="63">
        <f t="shared" si="1"/>
        <v>520100</v>
      </c>
    </row>
    <row r="42" spans="1:7" x14ac:dyDescent="0.3">
      <c r="A42" s="2">
        <v>3</v>
      </c>
      <c r="C42" s="38" t="s">
        <v>14</v>
      </c>
      <c r="D42" s="42">
        <f>TRUNC(101342,-1)</f>
        <v>101340</v>
      </c>
      <c r="E42" s="63">
        <f t="shared" si="1"/>
        <v>335000</v>
      </c>
    </row>
    <row r="43" spans="1:7" x14ac:dyDescent="0.3">
      <c r="A43" s="2">
        <v>4</v>
      </c>
      <c r="C43" s="38" t="s">
        <v>16</v>
      </c>
      <c r="D43" s="42">
        <f>TRUNC(11027,-1)</f>
        <v>11020</v>
      </c>
      <c r="E43" s="63">
        <f t="shared" si="1"/>
        <v>36420</v>
      </c>
    </row>
    <row r="44" spans="1:7" x14ac:dyDescent="0.3">
      <c r="A44" s="2">
        <v>5</v>
      </c>
      <c r="C44" s="38" t="s">
        <v>17</v>
      </c>
      <c r="D44" s="42">
        <f>TRUNC(30182,-1)</f>
        <v>30180</v>
      </c>
      <c r="E44" s="63">
        <f t="shared" si="1"/>
        <v>99760</v>
      </c>
    </row>
    <row r="45" spans="1:7" x14ac:dyDescent="0.3">
      <c r="A45" s="2">
        <v>6</v>
      </c>
      <c r="C45" s="38" t="s">
        <v>18</v>
      </c>
      <c r="D45" s="42">
        <f>TRUNC(9072,-1)</f>
        <v>9070</v>
      </c>
      <c r="E45" s="63">
        <f t="shared" si="1"/>
        <v>29980</v>
      </c>
    </row>
    <row r="46" spans="1:7" x14ac:dyDescent="0.3">
      <c r="A46" s="2">
        <v>7</v>
      </c>
      <c r="C46" s="38" t="s">
        <v>19</v>
      </c>
      <c r="D46" s="42">
        <f>TRUNC(1371,-1)</f>
        <v>1370</v>
      </c>
      <c r="E46" s="63">
        <f t="shared" si="1"/>
        <v>4520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TRUNC(51575,-1)</f>
        <v>51570</v>
      </c>
      <c r="E48" s="63">
        <f t="shared" si="1"/>
        <v>170480</v>
      </c>
    </row>
    <row r="49" spans="1:7" x14ac:dyDescent="0.3">
      <c r="A49" s="2">
        <v>10</v>
      </c>
      <c r="C49" s="38" t="s">
        <v>22</v>
      </c>
      <c r="D49" s="42">
        <f>TRUNC(21549,-1)</f>
        <v>21540</v>
      </c>
      <c r="E49" s="63">
        <f t="shared" si="1"/>
        <v>71200</v>
      </c>
    </row>
    <row r="50" spans="1:7" x14ac:dyDescent="0.3">
      <c r="A50" s="2">
        <v>11</v>
      </c>
      <c r="C50" s="38" t="s">
        <v>155</v>
      </c>
      <c r="D50" s="42">
        <f>TRUNC(67134,-1)</f>
        <v>67130</v>
      </c>
      <c r="E50" s="63">
        <f t="shared" si="1"/>
        <v>221910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TRUNC(27175,-1)</f>
        <v>27170</v>
      </c>
      <c r="E52" s="63">
        <f t="shared" si="1"/>
        <v>89810</v>
      </c>
    </row>
    <row r="53" spans="1:7" x14ac:dyDescent="0.3">
      <c r="A53" s="2">
        <v>14</v>
      </c>
      <c r="C53" s="38" t="s">
        <v>25</v>
      </c>
      <c r="D53" s="42">
        <f>TRUNC(97342,-1)</f>
        <v>97340</v>
      </c>
      <c r="E53" s="63">
        <f t="shared" si="1"/>
        <v>321780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TRUNC(27952+2716+13308-1578+2930+66238,-1)</f>
        <v>111560</v>
      </c>
      <c r="E58" s="63">
        <f t="shared" si="1"/>
        <v>368790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TRUNC(258879,-1)</f>
        <v>258870</v>
      </c>
      <c r="E59" s="64">
        <f t="shared" si="1"/>
        <v>855770</v>
      </c>
    </row>
    <row r="60" spans="1:7" x14ac:dyDescent="0.3">
      <c r="A60" s="2">
        <v>21</v>
      </c>
      <c r="C60" s="27" t="s">
        <v>112</v>
      </c>
      <c r="D60" s="39">
        <f>SUM(D40:D59)</f>
        <v>1043010</v>
      </c>
      <c r="E60" s="39">
        <f>SUM(E40:E59)</f>
        <v>3447900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13350</v>
      </c>
      <c r="E63" s="62">
        <f>TRUNC(+D63*3.3058,-1)</f>
        <v>44130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TRUNC(119789,-1)</f>
        <v>119780</v>
      </c>
      <c r="E65" s="64">
        <f>TRUNC(+D65*3.3058,-1)</f>
        <v>395960</v>
      </c>
    </row>
    <row r="66" spans="1:7" x14ac:dyDescent="0.3">
      <c r="A66" s="2">
        <v>4</v>
      </c>
      <c r="C66" s="27" t="s">
        <v>112</v>
      </c>
      <c r="D66" s="39">
        <f>SUM(D63:D65)</f>
        <v>133130</v>
      </c>
      <c r="E66" s="65">
        <f>SUM(E63:E65)</f>
        <v>440090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TRUNC(18952,-1)</f>
        <v>18950</v>
      </c>
      <c r="E69" s="62">
        <f t="shared" ref="E69:E94" si="2">TRUNC(+D69*3.3058,-1)</f>
        <v>62640</v>
      </c>
    </row>
    <row r="70" spans="1:7" ht="16.5" customHeight="1" x14ac:dyDescent="0.3">
      <c r="A70" s="2">
        <v>2</v>
      </c>
      <c r="C70" s="38" t="s">
        <v>31</v>
      </c>
      <c r="D70" s="42">
        <f>TRUNC(427,-1)</f>
        <v>420</v>
      </c>
      <c r="E70" s="63">
        <f t="shared" si="2"/>
        <v>1380</v>
      </c>
    </row>
    <row r="71" spans="1:7" x14ac:dyDescent="0.3">
      <c r="A71" s="2">
        <v>3</v>
      </c>
      <c r="C71" s="38" t="s">
        <v>32</v>
      </c>
      <c r="D71" s="42">
        <f>TRUNC(16519,-1)</f>
        <v>16510</v>
      </c>
      <c r="E71" s="63">
        <f t="shared" si="2"/>
        <v>54570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TRUNC(13793,-1)</f>
        <v>13790</v>
      </c>
      <c r="E73" s="63">
        <f t="shared" si="2"/>
        <v>45580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TRUNC(9154,-1)</f>
        <v>9150</v>
      </c>
      <c r="E89" s="63">
        <f t="shared" si="2"/>
        <v>30240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TRUNC(38328,-1)</f>
        <v>38320</v>
      </c>
      <c r="E91" s="63">
        <f t="shared" si="2"/>
        <v>126670</v>
      </c>
    </row>
    <row r="92" spans="1:7" x14ac:dyDescent="0.3">
      <c r="A92" s="2">
        <v>24</v>
      </c>
      <c r="C92" s="38" t="s">
        <v>38</v>
      </c>
      <c r="D92" s="42">
        <f>TRUNC(7023,-1)</f>
        <v>7020</v>
      </c>
      <c r="E92" s="63">
        <f t="shared" si="2"/>
        <v>23200</v>
      </c>
    </row>
    <row r="93" spans="1:7" x14ac:dyDescent="0.3">
      <c r="A93" s="2">
        <v>25</v>
      </c>
      <c r="C93" s="38" t="s">
        <v>148</v>
      </c>
      <c r="D93" s="42">
        <f>TRUNC(240015,-1)</f>
        <v>240010</v>
      </c>
      <c r="E93" s="63">
        <f t="shared" si="2"/>
        <v>793420</v>
      </c>
    </row>
    <row r="94" spans="1:7" ht="17.25" thickBot="1" x14ac:dyDescent="0.35">
      <c r="A94" s="2">
        <v>26</v>
      </c>
      <c r="C94" s="38" t="s">
        <v>47</v>
      </c>
      <c r="D94" s="43">
        <f>TRUNC(27492+6220+5398,-1)</f>
        <v>39110</v>
      </c>
      <c r="E94" s="64">
        <f t="shared" si="2"/>
        <v>129280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383280</v>
      </c>
      <c r="E95" s="39">
        <f>SUM(E69:E94)</f>
        <v>1266980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TRUNC(18813,-1)</f>
        <v>18810</v>
      </c>
      <c r="E98" s="62">
        <f t="shared" ref="E98:E118" si="3">TRUNC(+D98*3.3058,-1)</f>
        <v>62180</v>
      </c>
    </row>
    <row r="99" spans="1:7" x14ac:dyDescent="0.3">
      <c r="A99" s="2">
        <v>2</v>
      </c>
      <c r="C99" s="38" t="s">
        <v>40</v>
      </c>
      <c r="D99" s="42">
        <f>TRUNC(13474,-1)</f>
        <v>13470</v>
      </c>
      <c r="E99" s="63">
        <f t="shared" si="3"/>
        <v>44520</v>
      </c>
    </row>
    <row r="100" spans="1:7" x14ac:dyDescent="0.3">
      <c r="A100" s="2">
        <v>3</v>
      </c>
      <c r="C100" s="38" t="s">
        <v>41</v>
      </c>
      <c r="D100" s="42">
        <f>TRUNC(27336,-1)</f>
        <v>27330</v>
      </c>
      <c r="E100" s="63">
        <f t="shared" si="3"/>
        <v>90340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TRUNC(12353,-1)</f>
        <v>12350</v>
      </c>
      <c r="E102" s="63">
        <f t="shared" si="3"/>
        <v>40820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TRUNC(6506,-1)</f>
        <v>6500</v>
      </c>
      <c r="E104" s="63">
        <f t="shared" si="3"/>
        <v>21480</v>
      </c>
    </row>
    <row r="105" spans="1:7" x14ac:dyDescent="0.3">
      <c r="A105" s="2">
        <v>8</v>
      </c>
      <c r="C105" s="38" t="s">
        <v>46</v>
      </c>
      <c r="D105" s="42">
        <f>TRUNC(5252,-1)</f>
        <v>5250</v>
      </c>
      <c r="E105" s="63">
        <f t="shared" si="3"/>
        <v>17350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1850</v>
      </c>
      <c r="E114" s="63">
        <f t="shared" si="3"/>
        <v>6110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TRUNC(10064,-1)</f>
        <v>10060</v>
      </c>
      <c r="E116" s="63">
        <f t="shared" si="3"/>
        <v>33250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TRUNC(144686,-1)</f>
        <v>144680</v>
      </c>
      <c r="E117" s="63">
        <f t="shared" si="3"/>
        <v>478280</v>
      </c>
    </row>
    <row r="118" spans="1:7" ht="17.25" thickBot="1" x14ac:dyDescent="0.35">
      <c r="A118" s="2">
        <v>21</v>
      </c>
      <c r="C118" s="38" t="s">
        <v>47</v>
      </c>
      <c r="D118" s="43">
        <v>920</v>
      </c>
      <c r="E118" s="64">
        <f t="shared" si="3"/>
        <v>3040</v>
      </c>
    </row>
    <row r="119" spans="1:7" x14ac:dyDescent="0.3">
      <c r="A119" s="2">
        <v>22</v>
      </c>
      <c r="C119" s="27" t="s">
        <v>112</v>
      </c>
      <c r="D119" s="39">
        <f>SUM(D98:D118)</f>
        <v>241220</v>
      </c>
      <c r="E119" s="39">
        <f>SUM(E98:E118)</f>
        <v>797370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TRUNC(3523,-1)</f>
        <v>3520</v>
      </c>
      <c r="E122" s="62">
        <f t="shared" ref="E122:E132" si="4">TRUNC(+D122*3.3058,-1)</f>
        <v>11630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TRUNC(5558,-1)</f>
        <v>5550</v>
      </c>
      <c r="E125" s="63">
        <f t="shared" si="4"/>
        <v>18340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TRUNC(3026,-1)</f>
        <v>3020</v>
      </c>
      <c r="E128" s="63">
        <f t="shared" si="4"/>
        <v>9980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TRUNC(16481,-1)</f>
        <v>16480</v>
      </c>
      <c r="E130" s="63">
        <f t="shared" si="4"/>
        <v>54470</v>
      </c>
    </row>
    <row r="131" spans="1:7" x14ac:dyDescent="0.3">
      <c r="A131" s="2">
        <v>10</v>
      </c>
      <c r="C131" s="38" t="s">
        <v>148</v>
      </c>
      <c r="D131" s="42">
        <f>TRUNC(61608,-1)</f>
        <v>61600</v>
      </c>
      <c r="E131" s="63">
        <f t="shared" si="4"/>
        <v>203630</v>
      </c>
    </row>
    <row r="132" spans="1:7" ht="18" thickBot="1" x14ac:dyDescent="0.35">
      <c r="A132" s="2">
        <v>11</v>
      </c>
      <c r="C132" s="38" t="s">
        <v>47</v>
      </c>
      <c r="D132" s="43">
        <f>TRUNC(3379,-1)</f>
        <v>3370</v>
      </c>
      <c r="E132" s="64">
        <f t="shared" si="4"/>
        <v>11140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93540</v>
      </c>
      <c r="E133" s="39">
        <f>SUM(E122:E132)</f>
        <v>309190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TRUNC(2541+1260,-1)</f>
        <v>3800</v>
      </c>
      <c r="E137" s="63">
        <f t="shared" si="5"/>
        <v>12560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TRUNC(1229,-1)</f>
        <v>1220</v>
      </c>
      <c r="E139" s="63">
        <f t="shared" si="5"/>
        <v>4030</v>
      </c>
    </row>
    <row r="140" spans="1:7" x14ac:dyDescent="0.3">
      <c r="A140" s="2">
        <v>5</v>
      </c>
      <c r="C140" s="38" t="s">
        <v>57</v>
      </c>
      <c r="D140" s="42">
        <f>TRUNC(10012,-1)</f>
        <v>10010</v>
      </c>
      <c r="E140" s="63">
        <f t="shared" si="5"/>
        <v>33090</v>
      </c>
    </row>
    <row r="141" spans="1:7" x14ac:dyDescent="0.3">
      <c r="A141" s="2">
        <v>6</v>
      </c>
      <c r="C141" s="38" t="s">
        <v>59</v>
      </c>
      <c r="D141" s="42">
        <f>TRUNC(4352,-1)</f>
        <v>4350</v>
      </c>
      <c r="E141" s="63">
        <f t="shared" si="5"/>
        <v>14380</v>
      </c>
    </row>
    <row r="142" spans="1:7" x14ac:dyDescent="0.3">
      <c r="A142" s="2">
        <v>7</v>
      </c>
      <c r="C142" s="38" t="s">
        <v>58</v>
      </c>
      <c r="D142" s="42">
        <f>TRUNC(11133,-1)</f>
        <v>11130</v>
      </c>
      <c r="E142" s="63">
        <f t="shared" si="5"/>
        <v>36790</v>
      </c>
    </row>
    <row r="143" spans="1:7" x14ac:dyDescent="0.3">
      <c r="A143" s="2">
        <v>8</v>
      </c>
      <c r="C143" s="38" t="s">
        <v>62</v>
      </c>
      <c r="D143" s="42">
        <f>TRUNC(3541,-1)</f>
        <v>3540</v>
      </c>
      <c r="E143" s="63">
        <f t="shared" si="5"/>
        <v>11700</v>
      </c>
    </row>
    <row r="144" spans="1:7" x14ac:dyDescent="0.3">
      <c r="A144" s="2">
        <v>9</v>
      </c>
      <c r="C144" s="38" t="s">
        <v>63</v>
      </c>
      <c r="D144" s="42">
        <f>TRUNC(18462,-1)</f>
        <v>18460</v>
      </c>
      <c r="E144" s="63">
        <f t="shared" si="5"/>
        <v>61020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52510</v>
      </c>
      <c r="E146" s="39">
        <f>SUM(E136:E145)</f>
        <v>173570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TRUNC(7563+3498,-1)</f>
        <v>11060</v>
      </c>
      <c r="E149" s="62">
        <f>TRUNC(+D149*3.3058,-1)</f>
        <v>36560</v>
      </c>
    </row>
    <row r="150" spans="1:7" x14ac:dyDescent="0.3">
      <c r="A150" s="2">
        <v>2</v>
      </c>
      <c r="C150" s="38" t="s">
        <v>49</v>
      </c>
      <c r="D150" s="42">
        <f>TRUNC(9323,-1)</f>
        <v>9320</v>
      </c>
      <c r="E150" s="63">
        <f>TRUNC(+D150*3.3058,-1)</f>
        <v>30810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TRUNC(353+31849+533+1424,-1)</f>
        <v>34150</v>
      </c>
      <c r="E152" s="63">
        <f>TRUNC(+D152*3.3058,-1)</f>
        <v>112890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TRUNC(13928,-1)</f>
        <v>13920</v>
      </c>
      <c r="E153" s="64">
        <f>TRUNC(+D153*3.3058,-1)</f>
        <v>46010</v>
      </c>
    </row>
    <row r="154" spans="1:7" x14ac:dyDescent="0.3">
      <c r="A154" s="2">
        <v>6</v>
      </c>
      <c r="C154" s="27" t="s">
        <v>112</v>
      </c>
      <c r="D154" s="39">
        <f>SUM(D149:D153)</f>
        <v>68450</v>
      </c>
      <c r="E154" s="39">
        <f>SUM(E149:E153)</f>
        <v>226270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TRUNC(16017,-1)</f>
        <v>16010</v>
      </c>
      <c r="E157" s="62">
        <f>TRUNC(+D157*3.3058,-1)</f>
        <v>52920</v>
      </c>
    </row>
    <row r="158" spans="1:7" x14ac:dyDescent="0.3">
      <c r="A158" s="2">
        <v>2</v>
      </c>
      <c r="C158" s="38" t="s">
        <v>52</v>
      </c>
      <c r="D158" s="42">
        <f>TRUNC(4052,-1)</f>
        <v>4050</v>
      </c>
      <c r="E158" s="63">
        <f>TRUNC(+D158*3.3058,-1)</f>
        <v>13380</v>
      </c>
    </row>
    <row r="159" spans="1:7" x14ac:dyDescent="0.3">
      <c r="A159" s="2">
        <v>3</v>
      </c>
      <c r="C159" s="38" t="s">
        <v>47</v>
      </c>
      <c r="D159" s="42">
        <f>TRUNC(4984,-1)</f>
        <v>4980</v>
      </c>
      <c r="E159" s="63">
        <f>TRUNC(+D159*3.3058,-1)</f>
        <v>16460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TRUNC(2495,-1)</f>
        <v>2490</v>
      </c>
      <c r="E160" s="64">
        <f>TRUNC(+D160*3.3058,-1)</f>
        <v>8230</v>
      </c>
    </row>
    <row r="161" spans="1:5" x14ac:dyDescent="0.3">
      <c r="A161" s="2">
        <v>5</v>
      </c>
      <c r="C161" s="27" t="s">
        <v>112</v>
      </c>
      <c r="D161" s="39">
        <f>SUM(D157:D160)</f>
        <v>27530</v>
      </c>
      <c r="E161" s="39">
        <f>SUM(E157:E160)</f>
        <v>90990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2020-12-08T02:17:48Z</dcterms:modified>
</cp:coreProperties>
</file>