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9" i="4" l="1"/>
  <c r="D93" i="4"/>
  <c r="D117" i="4"/>
  <c r="D131" i="4"/>
  <c r="D145" i="4"/>
  <c r="D153" i="4"/>
  <c r="D160" i="4"/>
  <c r="D159" i="4"/>
  <c r="D158" i="4"/>
  <c r="D157" i="4"/>
  <c r="D152" i="4"/>
  <c r="D150" i="4"/>
  <c r="D149" i="4"/>
  <c r="D137" i="4"/>
  <c r="D144" i="4"/>
  <c r="D143" i="4"/>
  <c r="D139" i="4"/>
  <c r="D138" i="4"/>
  <c r="D141" i="4"/>
  <c r="D142" i="4"/>
  <c r="D140" i="4"/>
  <c r="D132" i="4"/>
  <c r="D128" i="4"/>
  <c r="D127" i="4"/>
  <c r="D124" i="4"/>
  <c r="D125" i="4"/>
  <c r="D122" i="4"/>
  <c r="D130" i="4"/>
  <c r="D126" i="4"/>
  <c r="D118" i="4"/>
  <c r="D105" i="4"/>
  <c r="D104" i="4"/>
  <c r="D102" i="4"/>
  <c r="D101" i="4"/>
  <c r="D100" i="4"/>
  <c r="D99" i="4"/>
  <c r="D114" i="4"/>
  <c r="D98" i="4"/>
  <c r="D116" i="4"/>
  <c r="D94" i="4"/>
  <c r="D75" i="4"/>
  <c r="D84" i="4"/>
  <c r="D92" i="4"/>
  <c r="D91" i="4"/>
  <c r="D89" i="4"/>
  <c r="D73" i="4"/>
  <c r="D71" i="4"/>
  <c r="D70" i="4"/>
  <c r="D6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65" i="4"/>
  <c r="D63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E66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6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<sst xmlns="http://schemas.openxmlformats.org/spreadsheetml/2006/main" count="396" uniqueCount="268">
  <si>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</si>
  <si>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</si>
  <si>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</si>
  <si>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</si>
  <si>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</si>
  <si>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</si>
  <si>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</si>
  <si>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</si>
  <si>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</si>
  <si>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</si>
  <si>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</si>
  <si>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</si>
  <si>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</si>
  <si>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</si>
  <si>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</si>
  <si>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</si>
  <si>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</si>
  <si>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</si>
  <si>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</si>
  <si>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</si>
  <si>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</si>
  <si>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</si>
  <si>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</si>
  <si>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</si>
  <si>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</si>
  <si>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</si>
  <si>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</si>
  <si>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</si>
  <si>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</si>
  <si>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</si>
  <si>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</si>
  <si>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</si>
  <si>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</si>
  <si>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</si>
  <si>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</si>
  <si>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</si>
  <si>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</si>
  <si>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</si>
  <si>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</si>
  <si>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</si>
  <si>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</si>
  <si>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</si>
  <si>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</si>
  <si>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</si>
  <si>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</si>
  <si>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</si>
  <si>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</si>
  <si>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</si>
  <si>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</si>
  <si>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</si>
  <si>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</si>
  <si>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</si>
  <si>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</si>
  <si>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</si>
  <si>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</si>
  <si>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</si>
  <si>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</si>
  <si>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</si>
  <si>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</si>
  <si>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</si>
  <si>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</si>
  <si>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</si>
  <si>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</si>
  <si>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</si>
  <si>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</si>
  <si>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</si>
  <si>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</si>
  <si>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</si>
  <si>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</si>
  <si>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</si>
  <si>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</si>
  <si>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</si>
  <si>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</si>
  <si>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</si>
  <si>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</si>
  <si>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</si>
  <si>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</si>
  <si>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</si>
  <si>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</si>
  <si>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</si>
  <si>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</si>
  <si>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</si>
  <si>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</si>
  <si>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</si>
  <si>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</si>
  <si>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</si>
  <si>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</si>
  <si>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</si>
  <si>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</si>
  <si>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</si>
  <si>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</si>
  <si>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</si>
  <si>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</si>
  <si>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</si>
  <si>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</si>
  <si>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</si>
  <si>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</si>
  <si>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</si>
  <si>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</si>
  <si>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</si>
  <si>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</si>
  <si>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</si>
  <si>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</si>
  <si>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</si>
  <si>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</si>
  <si>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</si>
  <si>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</si>
  <si>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</si>
  <si>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</si>
  <si>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</si>
  <si>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</si>
  <si>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</si>
  <si>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</si>
  <si>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</si>
  <si>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</si>
  <si>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</si>
  <si>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</si>
  <si>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</si>
  <si>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</si>
  <si>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</si>
  <si>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</si>
  <si>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</si>
  <si>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</si>
  <si>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</si>
  <si>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</si>
  <si>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</si>
  <si>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</si>
  <si>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</si>
  <si>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</si>
  <si>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</si>
  <si>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</si>
  <si>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</si>
  <si>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</si>
  <si>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</si>
  <si>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</si>
  <si>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</si>
  <si>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</si>
  <si>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</si>
  <si>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</si>
  <si>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</si>
  <si>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</si>
  <si>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</si>
  <si>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</si>
  <si>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</si>
  <si>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</si>
  <si>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</si>
  <si>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</si>
  <si>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</si>
  <si>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</si>
  <si>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</si>
  <si>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</si>
  <si>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</si>
  <si>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</si>
  <si>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</si>
  <si>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</si>
  <si>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</si>
  <si>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</si>
  <si>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</si>
  <si>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</si>
  <si>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</si>
  <si>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</si>
  <si>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</si>
  <si>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</si>
  <si>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</si>
  <si>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</si>
  <si>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</si>
  <si>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</si>
  <si>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</si>
  <si>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</si>
  <si>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</si>
  <si>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</si>
  <si>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</si>
  <si>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</si>
  <si>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</si>
  <si>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</si>
  <si>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</si>
  <si>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</si>
  <si>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</si>
  <si>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</si>
  <si>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</si>
  <si>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</si>
  <si>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</si>
  <si>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</si>
  <si>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</si>
  <si>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</si>
  <si>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</si>
  <si>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</si>
  <si>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</si>
  <si>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</si>
  <si>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</si>
  <si>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</si>
  <si>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</si>
  <si>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</si>
  <si>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</si>
  <si>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</si>
  <si>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</si>
  <si>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</si>
  <si>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</si>
  <si>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</si>
  <si>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</si>
  <si>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</si>
  <si>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</si>
  <si>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</si>
  <si>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</si>
  <si>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</si>
  <si>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</si>
  <si>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</si>
  <si>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</si>
  <si>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</si>
  <si>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</si>
  <si>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</si>
  <si>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</si>
  <si>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</si>
  <si>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</si>
  <si>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</si>
  <si>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</si>
  <si>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</si>
  <si>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</si>
  <si>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</si>
  <si>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</si>
  <si>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</si>
  <si>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</si>
  <si>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</si>
  <si>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</si>
  <si>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</si>
  <si>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</si>
  <si>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</si>
  <si>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</si>
  <si>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</si>
  <si>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</si>
  <si>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</si>
  <si>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</si>
  <si>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</si>
  <si>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</si>
  <si>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</si>
  <si>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경기도</t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</si>
  <si>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</si>
  <si>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</si>
  <si>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</si>
  <si>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</si>
  <si>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</si>
  <si>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</si>
  <si>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</si>
  <si>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</si>
  <si>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</si>
  <si>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</si>
  <si>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</si>
  <si>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</si>
  <si>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</si>
  <si>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성남글로벌 ICT융합 플래닛 건립건축 공사</t>
    <phoneticPr fontId="2" type="noConversion"/>
  </si>
  <si>
    <t>공장</t>
  </si>
  <si>
    <t>창호및유리공사</t>
    <phoneticPr fontId="2" type="noConversion"/>
  </si>
  <si>
    <t>목공사및수장공사(인테리어공사 포함)</t>
    <phoneticPr fontId="2" type="noConversion"/>
  </si>
  <si>
    <t>기초공사,폐기물처리비,골재비및운반비,작업부산물,품질시험비,기타공사</t>
    <phoneticPr fontId="2" type="noConversion"/>
  </si>
  <si>
    <t>바닥난방공사</t>
    <phoneticPr fontId="2" type="noConversion"/>
  </si>
  <si>
    <t>기타공사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</si>
  <si>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</si>
  <si>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</si>
  <si>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CCTV설비공사,주차관제설비공사,기타공사</t>
    <phoneticPr fontId="2" type="noConversion"/>
  </si>
  <si>
    <t>옥외소화배관공사,펌프실배관공사,제연덕트설치공사,무선통신보조설비공사</t>
    <phoneticPr fontId="2" type="noConversion"/>
  </si>
  <si>
    <t>우수공사,오수공사</t>
    <phoneticPr fontId="2" type="noConversion"/>
  </si>
  <si>
    <t>상수도공사</t>
    <phoneticPr fontId="2" type="noConversion"/>
  </si>
  <si>
    <t>조경시설물</t>
    <phoneticPr fontId="2" type="noConversion"/>
  </si>
  <si>
    <t>포장공사,기타공사</t>
    <phoneticPr fontId="2" type="noConversion"/>
  </si>
  <si>
    <t>지붕및홈통공사 포함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</si>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</sst>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250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237</v>
      </c>
    </row>
    <row r="7" spans="1:4" ht="17.25" thickBot="1" x14ac:dyDescent="0.35">
      <c r="C7" s="37">
        <v>36679.79</v>
      </c>
      <c r="D7" s="36">
        <f>+C7/3.3058</f>
        <v>11095.586544860547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235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704500</v>
      </c>
      <c r="E25" s="59">
        <f t="shared" si="0"/>
        <v>2328930</v>
      </c>
    </row>
    <row r="26" spans="1:5" x14ac:dyDescent="0.3">
      <c r="B26" s="2">
        <v>3</v>
      </c>
      <c r="C26" s="35" t="s">
        <v>95</v>
      </c>
      <c r="D26" s="45">
        <f>+D66</f>
        <v>110630</v>
      </c>
      <c r="E26" s="59">
        <f t="shared" si="0"/>
        <v>365720</v>
      </c>
    </row>
    <row r="27" spans="1:5" x14ac:dyDescent="0.3">
      <c r="B27" s="2">
        <v>4</v>
      </c>
      <c r="C27" s="35" t="s">
        <v>96</v>
      </c>
      <c r="D27" s="45">
        <f>+D95</f>
        <v>168750</v>
      </c>
      <c r="E27" s="59">
        <f t="shared" si="0"/>
        <v>557850</v>
      </c>
    </row>
    <row r="28" spans="1:5" x14ac:dyDescent="0.3">
      <c r="B28" s="2">
        <v>5</v>
      </c>
      <c r="C28" s="35" t="s">
        <v>97</v>
      </c>
      <c r="D28" s="45">
        <f>+D119</f>
        <v>143170</v>
      </c>
      <c r="E28" s="59">
        <f t="shared" si="0"/>
        <v>473290</v>
      </c>
    </row>
    <row r="29" spans="1:5" x14ac:dyDescent="0.3">
      <c r="B29" s="2">
        <v>6</v>
      </c>
      <c r="C29" s="35" t="s">
        <v>98</v>
      </c>
      <c r="D29" s="45">
        <f>+D133</f>
        <v>68320</v>
      </c>
      <c r="E29" s="59">
        <f t="shared" si="0"/>
        <v>225850</v>
      </c>
    </row>
    <row r="30" spans="1:5" x14ac:dyDescent="0.3">
      <c r="B30" s="2">
        <v>7</v>
      </c>
      <c r="C30" s="35" t="s">
        <v>99</v>
      </c>
      <c r="D30" s="45">
        <f>+D146</f>
        <v>76490</v>
      </c>
      <c r="E30" s="59">
        <f t="shared" si="0"/>
        <v>252860</v>
      </c>
    </row>
    <row r="31" spans="1:5" x14ac:dyDescent="0.3">
      <c r="B31" s="2">
        <v>8</v>
      </c>
      <c r="C31" s="35" t="s">
        <v>100</v>
      </c>
      <c r="D31" s="45">
        <f>+D154</f>
        <v>6360</v>
      </c>
      <c r="E31" s="59">
        <f t="shared" si="0"/>
        <v>21020</v>
      </c>
    </row>
    <row r="32" spans="1:5" x14ac:dyDescent="0.3">
      <c r="B32" s="2">
        <v>9</v>
      </c>
      <c r="C32" s="35" t="s">
        <v>101</v>
      </c>
      <c r="D32" s="45">
        <f>+D161</f>
        <v>14760</v>
      </c>
      <c r="E32" s="59">
        <f t="shared" si="0"/>
        <v>48790</v>
      </c>
    </row>
    <row r="33" spans="1:7" x14ac:dyDescent="0.3">
      <c r="B33" s="2">
        <v>10</v>
      </c>
      <c r="C33" s="35" t="s">
        <v>154</v>
      </c>
      <c r="D33" s="53">
        <f>TRUNC(SUM(D24:D32)*0.275,-1)</f>
        <v>355560</v>
      </c>
      <c r="E33" s="60">
        <f t="shared" si="0"/>
        <v>1175410</v>
      </c>
    </row>
    <row r="34" spans="1:7" x14ac:dyDescent="0.3">
      <c r="C34" s="35" t="s">
        <v>112</v>
      </c>
      <c r="D34" s="44">
        <f>SUM(D24:D33)</f>
        <v>1648540</v>
      </c>
      <c r="E34" s="44">
        <f>SUM(E24:E33)</f>
        <v>5449720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113</v>
      </c>
      <c r="D39" s="57" t="s">
        <v>236</v>
      </c>
      <c r="E39" s="57" t="s">
        <v>153</v>
      </c>
      <c r="G39" s="55"/>
    </row>
    <row r="40" spans="1:7" x14ac:dyDescent="0.3">
      <c r="A40" s="2">
        <v>1</v>
      </c>
      <c r="C40" s="38" t="s">
        <v>15</v>
      </c>
      <c r="D40" s="40">
        <f>TRUNC(43042,-1)</f>
        <v>43040</v>
      </c>
      <c r="E40" s="62">
        <f t="shared" ref="E40:E59" si="1">TRUNC(+D40*3.3058,-1)</f>
        <v>142280</v>
      </c>
    </row>
    <row r="41" spans="1:7" x14ac:dyDescent="0.3">
      <c r="A41" s="2">
        <v>2</v>
      </c>
      <c r="C41" s="38" t="s">
        <v>13</v>
      </c>
      <c r="D41" s="42">
        <f>TRUNC(116430,-1)</f>
        <v>116430</v>
      </c>
      <c r="E41" s="63">
        <f t="shared" si="1"/>
        <v>384890</v>
      </c>
    </row>
    <row r="42" spans="1:7" x14ac:dyDescent="0.3">
      <c r="A42" s="2">
        <v>3</v>
      </c>
      <c r="C42" s="38" t="s">
        <v>14</v>
      </c>
      <c r="D42" s="42">
        <f>TRUNC(19523,-1)</f>
        <v>19520</v>
      </c>
      <c r="E42" s="63">
        <f t="shared" si="1"/>
        <v>64520</v>
      </c>
    </row>
    <row r="43" spans="1:7" x14ac:dyDescent="0.3">
      <c r="A43" s="2">
        <v>4</v>
      </c>
      <c r="C43" s="38" t="s">
        <v>16</v>
      </c>
      <c r="D43" s="42">
        <f>TRUNC(5437,-1)</f>
        <v>5430</v>
      </c>
      <c r="E43" s="63">
        <f t="shared" si="1"/>
        <v>17950</v>
      </c>
    </row>
    <row r="44" spans="1:7" x14ac:dyDescent="0.3">
      <c r="A44" s="2">
        <v>5</v>
      </c>
      <c r="C44" s="38" t="s">
        <v>17</v>
      </c>
      <c r="D44" s="42">
        <f>TRUNC(16827,-1)</f>
        <v>16820</v>
      </c>
      <c r="E44" s="63">
        <f t="shared" si="1"/>
        <v>55600</v>
      </c>
    </row>
    <row r="45" spans="1:7" x14ac:dyDescent="0.3">
      <c r="A45" s="2">
        <v>6</v>
      </c>
      <c r="C45" s="38" t="s">
        <v>18</v>
      </c>
      <c r="D45" s="42">
        <f>TRUNC(3094,-1)</f>
        <v>3090</v>
      </c>
      <c r="E45" s="63">
        <f t="shared" si="1"/>
        <v>10210</v>
      </c>
    </row>
    <row r="46" spans="1:7" x14ac:dyDescent="0.3">
      <c r="A46" s="2">
        <v>7</v>
      </c>
      <c r="C46" s="38" t="s">
        <v>19</v>
      </c>
      <c r="D46" s="42">
        <f>TRUNC(5229,-1)</f>
        <v>5220</v>
      </c>
      <c r="E46" s="63">
        <f t="shared" si="1"/>
        <v>17250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TRUNC(28202,-1)</f>
        <v>28200</v>
      </c>
      <c r="E48" s="63">
        <f t="shared" si="1"/>
        <v>93220</v>
      </c>
      <c r="F48" s="2" t="s">
        <v>264</v>
      </c>
    </row>
    <row r="49" spans="1:7" x14ac:dyDescent="0.3">
      <c r="A49" s="2">
        <v>10</v>
      </c>
      <c r="C49" s="38" t="s">
        <v>22</v>
      </c>
      <c r="D49" s="42">
        <f>TRUNC(10442,-1)</f>
        <v>10440</v>
      </c>
      <c r="E49" s="63">
        <f t="shared" si="1"/>
        <v>34510</v>
      </c>
    </row>
    <row r="50" spans="1:7" x14ac:dyDescent="0.3">
      <c r="A50" s="2">
        <v>11</v>
      </c>
      <c r="C50" s="38" t="s">
        <v>155</v>
      </c>
      <c r="D50" s="42">
        <f>TRUNC(81813,-1)</f>
        <v>81810</v>
      </c>
      <c r="E50" s="63">
        <f t="shared" si="1"/>
        <v>270440</v>
      </c>
      <c r="F50" s="2" t="s">
        <v>251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TRUNC(14959,-1)</f>
        <v>14950</v>
      </c>
      <c r="E52" s="63">
        <f t="shared" si="1"/>
        <v>49420</v>
      </c>
    </row>
    <row r="53" spans="1:7" x14ac:dyDescent="0.3">
      <c r="A53" s="2">
        <v>14</v>
      </c>
      <c r="C53" s="38" t="s">
        <v>25</v>
      </c>
      <c r="D53" s="42">
        <f>TRUNC(82221,-1)</f>
        <v>82220</v>
      </c>
      <c r="E53" s="63">
        <f t="shared" si="1"/>
        <v>271800</v>
      </c>
      <c r="F53" s="2" t="s">
        <v>252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TRUNC(95+57+5977-572+2897+21607,-1)</f>
        <v>30060</v>
      </c>
      <c r="E58" s="63">
        <f t="shared" si="1"/>
        <v>99370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TRUNC(247271,-1)</f>
        <v>247270</v>
      </c>
      <c r="E59" s="64">
        <f t="shared" si="1"/>
        <v>817420</v>
      </c>
    </row>
    <row r="60" spans="1:7" x14ac:dyDescent="0.3">
      <c r="A60" s="2">
        <v>21</v>
      </c>
      <c r="C60" s="27" t="s">
        <v>112</v>
      </c>
      <c r="D60" s="39">
        <f>SUM(D40:D59)</f>
        <v>704500</v>
      </c>
      <c r="E60" s="39">
        <f>SUM(E40:E59)</f>
        <v>2328880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TRUNC(400,-1)</f>
        <v>400</v>
      </c>
      <c r="E63" s="62">
        <f>TRUNC(+D63*3.3058,-1)</f>
        <v>1320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TRUNC(110232,-1)</f>
        <v>110230</v>
      </c>
      <c r="E65" s="64">
        <f>TRUNC(+D65*3.3058,-1)</f>
        <v>364390</v>
      </c>
    </row>
    <row r="66" spans="1:7" x14ac:dyDescent="0.3">
      <c r="A66" s="2">
        <v>4</v>
      </c>
      <c r="C66" s="27" t="s">
        <v>112</v>
      </c>
      <c r="D66" s="39">
        <f>SUM(D63:D65)</f>
        <v>110630</v>
      </c>
      <c r="E66" s="65">
        <f>SUM(E63:E65)</f>
        <v>365710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TRUNC(14100,-1)</f>
        <v>14100</v>
      </c>
      <c r="E69" s="62">
        <f t="shared" ref="E69:E94" si="2">TRUNC(+D69*3.3058,-1)</f>
        <v>46610</v>
      </c>
    </row>
    <row r="70" spans="1:7" ht="16.5" customHeight="1" x14ac:dyDescent="0.3">
      <c r="A70" s="2">
        <v>2</v>
      </c>
      <c r="C70" s="38" t="s">
        <v>31</v>
      </c>
      <c r="D70" s="42">
        <f>TRUNC(31,-1)</f>
        <v>30</v>
      </c>
      <c r="E70" s="63">
        <f t="shared" si="2"/>
        <v>90</v>
      </c>
    </row>
    <row r="71" spans="1:7" x14ac:dyDescent="0.3">
      <c r="A71" s="2">
        <v>3</v>
      </c>
      <c r="C71" s="38" t="s">
        <v>32</v>
      </c>
      <c r="D71" s="42">
        <f>TRUNC(19302,-1)</f>
        <v>19300</v>
      </c>
      <c r="E71" s="63">
        <f t="shared" si="2"/>
        <v>63800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TRUNC(6210,-1)</f>
        <v>6210</v>
      </c>
      <c r="E73" s="63">
        <f t="shared" si="2"/>
        <v>20520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TRUNC(2615,-1)</f>
        <v>2610</v>
      </c>
      <c r="E75" s="63">
        <f t="shared" si="2"/>
        <v>8620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f>TRUNC(101,-1)</f>
        <v>100</v>
      </c>
      <c r="E84" s="63">
        <f t="shared" si="2"/>
        <v>330</v>
      </c>
      <c r="F84" s="2" t="s">
        <v>254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TRUNC(8818,-1)</f>
        <v>8810</v>
      </c>
      <c r="E89" s="63">
        <f t="shared" si="2"/>
        <v>29120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TRUNC(18149,-1)</f>
        <v>18140</v>
      </c>
      <c r="E91" s="63">
        <f t="shared" si="2"/>
        <v>59960</v>
      </c>
    </row>
    <row r="92" spans="1:7" x14ac:dyDescent="0.3">
      <c r="A92" s="2">
        <v>24</v>
      </c>
      <c r="C92" s="38" t="s">
        <v>38</v>
      </c>
      <c r="D92" s="42">
        <f>TRUNC(4197,-1)</f>
        <v>4190</v>
      </c>
      <c r="E92" s="63">
        <f t="shared" si="2"/>
        <v>13850</v>
      </c>
    </row>
    <row r="93" spans="1:7" x14ac:dyDescent="0.3">
      <c r="A93" s="2">
        <v>25</v>
      </c>
      <c r="C93" s="38" t="s">
        <v>148</v>
      </c>
      <c r="D93" s="42">
        <f>TRUNC(93763,-1)</f>
        <v>93760</v>
      </c>
      <c r="E93" s="63">
        <f t="shared" si="2"/>
        <v>309950</v>
      </c>
    </row>
    <row r="94" spans="1:7" ht="17.25" thickBot="1" x14ac:dyDescent="0.35">
      <c r="A94" s="2">
        <v>26</v>
      </c>
      <c r="C94" s="38" t="s">
        <v>47</v>
      </c>
      <c r="D94" s="43">
        <f>TRUNC(1505,-1)</f>
        <v>1500</v>
      </c>
      <c r="E94" s="64">
        <f t="shared" si="2"/>
        <v>4950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168750</v>
      </c>
      <c r="E95" s="39">
        <f>SUM(E69:E94)</f>
        <v>557800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TRUNC(8844,-1)</f>
        <v>8840</v>
      </c>
      <c r="E98" s="62">
        <f t="shared" ref="E98:E118" si="3">TRUNC(+D98*3.3058,-1)</f>
        <v>29220</v>
      </c>
    </row>
    <row r="99" spans="1:7" x14ac:dyDescent="0.3">
      <c r="A99" s="2">
        <v>2</v>
      </c>
      <c r="C99" s="38" t="s">
        <v>40</v>
      </c>
      <c r="D99" s="42">
        <f>TRUNC(8519,-1)</f>
        <v>8510</v>
      </c>
      <c r="E99" s="63">
        <f t="shared" si="3"/>
        <v>28130</v>
      </c>
    </row>
    <row r="100" spans="1:7" x14ac:dyDescent="0.3">
      <c r="A100" s="2">
        <v>3</v>
      </c>
      <c r="C100" s="38" t="s">
        <v>41</v>
      </c>
      <c r="D100" s="42">
        <f>TRUNC(22418,-1)</f>
        <v>22410</v>
      </c>
      <c r="E100" s="63">
        <f t="shared" si="3"/>
        <v>74080</v>
      </c>
    </row>
    <row r="101" spans="1:7" x14ac:dyDescent="0.3">
      <c r="A101" s="2">
        <v>4</v>
      </c>
      <c r="C101" s="38" t="s">
        <v>42</v>
      </c>
      <c r="D101" s="42">
        <f>TRUNC(1112,-1)</f>
        <v>1110</v>
      </c>
      <c r="E101" s="63">
        <f t="shared" si="3"/>
        <v>3660</v>
      </c>
    </row>
    <row r="102" spans="1:7" x14ac:dyDescent="0.3">
      <c r="A102" s="2">
        <v>5</v>
      </c>
      <c r="C102" s="38" t="s">
        <v>43</v>
      </c>
      <c r="D102" s="42">
        <f>TRUNC(17096,-1)</f>
        <v>17090</v>
      </c>
      <c r="E102" s="63">
        <f t="shared" si="3"/>
        <v>56490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TRUNC(4123,-1)</f>
        <v>4120</v>
      </c>
      <c r="E104" s="63">
        <f t="shared" si="3"/>
        <v>13610</v>
      </c>
    </row>
    <row r="105" spans="1:7" x14ac:dyDescent="0.3">
      <c r="A105" s="2">
        <v>8</v>
      </c>
      <c r="C105" s="38" t="s">
        <v>46</v>
      </c>
      <c r="D105" s="42">
        <f>TRUNC(2868,-1)</f>
        <v>2860</v>
      </c>
      <c r="E105" s="63">
        <f t="shared" si="3"/>
        <v>9450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TRUNC(713,-1)</f>
        <v>710</v>
      </c>
      <c r="E114" s="63">
        <f t="shared" si="3"/>
        <v>2340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TRUNC(13823,-1)</f>
        <v>13820</v>
      </c>
      <c r="E116" s="63">
        <f t="shared" si="3"/>
        <v>45680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TRUNC(61816,-1)</f>
        <v>61810</v>
      </c>
      <c r="E117" s="63">
        <f t="shared" si="3"/>
        <v>204330</v>
      </c>
    </row>
    <row r="118" spans="1:7" ht="17.25" thickBot="1" x14ac:dyDescent="0.35">
      <c r="A118" s="2">
        <v>21</v>
      </c>
      <c r="C118" s="38" t="s">
        <v>47</v>
      </c>
      <c r="D118" s="43">
        <f>TRUNC(1891,-1)</f>
        <v>1890</v>
      </c>
      <c r="E118" s="64">
        <f t="shared" si="3"/>
        <v>6240</v>
      </c>
      <c r="F118" s="2" t="s">
        <v>255</v>
      </c>
    </row>
    <row r="119" spans="1:7" x14ac:dyDescent="0.3">
      <c r="A119" s="2">
        <v>22</v>
      </c>
      <c r="C119" s="27" t="s">
        <v>112</v>
      </c>
      <c r="D119" s="39">
        <f>SUM(D98:D118)</f>
        <v>143170</v>
      </c>
      <c r="E119" s="39">
        <f>SUM(E98:E118)</f>
        <v>473230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TRUNC(3749,-1)</f>
        <v>3740</v>
      </c>
      <c r="E122" s="62">
        <f t="shared" ref="E122:E132" si="4">TRUNC(+D122*3.3058,-1)</f>
        <v>12360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TRUNC(978,-1)</f>
        <v>970</v>
      </c>
      <c r="E124" s="63">
        <f t="shared" si="4"/>
        <v>3200</v>
      </c>
    </row>
    <row r="125" spans="1:7" x14ac:dyDescent="0.3">
      <c r="A125" s="2">
        <v>4</v>
      </c>
      <c r="C125" s="38" t="s">
        <v>138</v>
      </c>
      <c r="D125" s="42">
        <f>TRUNC(5315,-1)</f>
        <v>5310</v>
      </c>
      <c r="E125" s="63">
        <f t="shared" si="4"/>
        <v>17550</v>
      </c>
    </row>
    <row r="126" spans="1:7" x14ac:dyDescent="0.3">
      <c r="A126" s="2">
        <v>5</v>
      </c>
      <c r="C126" s="38" t="s">
        <v>53</v>
      </c>
      <c r="D126" s="42">
        <f>TRUNC(822,-1)</f>
        <v>820</v>
      </c>
      <c r="E126" s="63">
        <f t="shared" si="4"/>
        <v>2710</v>
      </c>
    </row>
    <row r="127" spans="1:7" x14ac:dyDescent="0.3">
      <c r="A127" s="2">
        <v>6</v>
      </c>
      <c r="C127" s="38" t="s">
        <v>56</v>
      </c>
      <c r="D127" s="42">
        <f>TRUNC(201,-1)</f>
        <v>200</v>
      </c>
      <c r="E127" s="63">
        <f t="shared" si="4"/>
        <v>660</v>
      </c>
    </row>
    <row r="128" spans="1:7" x14ac:dyDescent="0.3">
      <c r="A128" s="2">
        <v>7</v>
      </c>
      <c r="C128" s="38" t="s">
        <v>46</v>
      </c>
      <c r="D128" s="42">
        <f>TRUNC(2075,-1)</f>
        <v>2070</v>
      </c>
      <c r="E128" s="63">
        <f t="shared" si="4"/>
        <v>6840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TRUNC(18476,-1)</f>
        <v>18470</v>
      </c>
      <c r="E130" s="63">
        <f t="shared" si="4"/>
        <v>61050</v>
      </c>
    </row>
    <row r="131" spans="1:7" x14ac:dyDescent="0.3">
      <c r="A131" s="2">
        <v>10</v>
      </c>
      <c r="C131" s="38" t="s">
        <v>148</v>
      </c>
      <c r="D131" s="42">
        <f>TRUNC(28179,-1)</f>
        <v>28170</v>
      </c>
      <c r="E131" s="63">
        <f t="shared" si="4"/>
        <v>93120</v>
      </c>
    </row>
    <row r="132" spans="1:7" ht="18" thickBot="1" x14ac:dyDescent="0.35">
      <c r="A132" s="2">
        <v>11</v>
      </c>
      <c r="C132" s="38" t="s">
        <v>47</v>
      </c>
      <c r="D132" s="43">
        <f>TRUNC(1465+383+6724,-1)</f>
        <v>8570</v>
      </c>
      <c r="E132" s="64">
        <f t="shared" si="4"/>
        <v>28330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68320</v>
      </c>
      <c r="E133" s="39">
        <f>SUM(E122:E132)</f>
        <v>225820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TRUNC(63+603+8186+1467,-1)</f>
        <v>10310</v>
      </c>
      <c r="E137" s="63">
        <f t="shared" si="5"/>
        <v>34080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f>TRUNC(3762,-1)</f>
        <v>3760</v>
      </c>
      <c r="E138" s="63">
        <f t="shared" si="5"/>
        <v>12420</v>
      </c>
    </row>
    <row r="139" spans="1:7" x14ac:dyDescent="0.3">
      <c r="A139" s="2">
        <v>4</v>
      </c>
      <c r="C139" s="38" t="s">
        <v>61</v>
      </c>
      <c r="D139" s="42">
        <f>TRUNC(2829,-1)</f>
        <v>2820</v>
      </c>
      <c r="E139" s="63">
        <f t="shared" si="5"/>
        <v>9320</v>
      </c>
    </row>
    <row r="140" spans="1:7" x14ac:dyDescent="0.3">
      <c r="A140" s="2">
        <v>5</v>
      </c>
      <c r="C140" s="38" t="s">
        <v>57</v>
      </c>
      <c r="D140" s="42">
        <f>TRUNC(1338,-1)</f>
        <v>1330</v>
      </c>
      <c r="E140" s="63">
        <f t="shared" si="5"/>
        <v>4390</v>
      </c>
    </row>
    <row r="141" spans="1:7" x14ac:dyDescent="0.3">
      <c r="A141" s="2">
        <v>6</v>
      </c>
      <c r="C141" s="38" t="s">
        <v>59</v>
      </c>
      <c r="D141" s="42">
        <f>TRUNC(34232,-1)</f>
        <v>34230</v>
      </c>
      <c r="E141" s="63">
        <f t="shared" si="5"/>
        <v>113150</v>
      </c>
    </row>
    <row r="142" spans="1:7" x14ac:dyDescent="0.3">
      <c r="A142" s="2">
        <v>7</v>
      </c>
      <c r="C142" s="38" t="s">
        <v>58</v>
      </c>
      <c r="D142" s="42">
        <f>TRUNC(4281,-1)</f>
        <v>4280</v>
      </c>
      <c r="E142" s="63">
        <f t="shared" si="5"/>
        <v>14140</v>
      </c>
    </row>
    <row r="143" spans="1:7" x14ac:dyDescent="0.3">
      <c r="A143" s="2">
        <v>8</v>
      </c>
      <c r="C143" s="38" t="s">
        <v>62</v>
      </c>
      <c r="D143" s="42">
        <f>TRUNC(3964,-1)</f>
        <v>3960</v>
      </c>
      <c r="E143" s="63">
        <f t="shared" si="5"/>
        <v>13090</v>
      </c>
    </row>
    <row r="144" spans="1:7" x14ac:dyDescent="0.3">
      <c r="A144" s="2">
        <v>9</v>
      </c>
      <c r="C144" s="38" t="s">
        <v>63</v>
      </c>
      <c r="D144" s="42">
        <f>TRUNC(14285,-1)</f>
        <v>14280</v>
      </c>
      <c r="E144" s="63">
        <f t="shared" si="5"/>
        <v>47200</v>
      </c>
    </row>
    <row r="145" spans="1:7" ht="17.25" thickBot="1" x14ac:dyDescent="0.35">
      <c r="A145" s="2">
        <v>10</v>
      </c>
      <c r="C145" s="38" t="s">
        <v>148</v>
      </c>
      <c r="D145" s="43">
        <f>TRUNC(1524,-1)</f>
        <v>1520</v>
      </c>
      <c r="E145" s="64">
        <f t="shared" si="5"/>
        <v>5020</v>
      </c>
    </row>
    <row r="146" spans="1:7" x14ac:dyDescent="0.3">
      <c r="A146" s="2">
        <v>11</v>
      </c>
      <c r="C146" s="27" t="s">
        <v>112</v>
      </c>
      <c r="D146" s="39">
        <f>SUM(D136:D145)</f>
        <v>76490</v>
      </c>
      <c r="E146" s="39">
        <f>SUM(E136:E145)</f>
        <v>252810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TRUNC(1066+95,-1)</f>
        <v>1160</v>
      </c>
      <c r="E149" s="62">
        <f>TRUNC(+D149*3.3058,-1)</f>
        <v>3830</v>
      </c>
      <c r="F149" s="2" t="s">
        <v>260</v>
      </c>
    </row>
    <row r="150" spans="1:7" x14ac:dyDescent="0.3">
      <c r="A150" s="2">
        <v>2</v>
      </c>
      <c r="C150" s="38" t="s">
        <v>49</v>
      </c>
      <c r="D150" s="42">
        <f>TRUNC(270,-1)</f>
        <v>270</v>
      </c>
      <c r="E150" s="63">
        <f>TRUNC(+D150*3.3058,-1)</f>
        <v>890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TRUNC(31,-1)</f>
        <v>30</v>
      </c>
      <c r="E152" s="63">
        <f>TRUNC(+D152*3.3058,-1)</f>
        <v>90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f>TRUNC(4905,-1)</f>
        <v>4900</v>
      </c>
      <c r="E153" s="64">
        <f>TRUNC(+D153*3.3058,-1)</f>
        <v>16190</v>
      </c>
    </row>
    <row r="154" spans="1:7" x14ac:dyDescent="0.3">
      <c r="A154" s="2">
        <v>6</v>
      </c>
      <c r="C154" s="27" t="s">
        <v>112</v>
      </c>
      <c r="D154" s="39">
        <f>SUM(D149:D153)</f>
        <v>6360</v>
      </c>
      <c r="E154" s="39">
        <f>SUM(E149:E153)</f>
        <v>21000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TRUNC(5282,-1)</f>
        <v>5280</v>
      </c>
      <c r="E157" s="62">
        <f>TRUNC(+D157*3.3058,-1)</f>
        <v>17450</v>
      </c>
    </row>
    <row r="158" spans="1:7" x14ac:dyDescent="0.3">
      <c r="A158" s="2">
        <v>2</v>
      </c>
      <c r="C158" s="38" t="s">
        <v>52</v>
      </c>
      <c r="D158" s="42">
        <f>TRUNC(5710,-1)</f>
        <v>5710</v>
      </c>
      <c r="E158" s="63">
        <f>TRUNC(+D158*3.3058,-1)</f>
        <v>18870</v>
      </c>
      <c r="F158" s="2" t="s">
        <v>262</v>
      </c>
    </row>
    <row r="159" spans="1:7" x14ac:dyDescent="0.3">
      <c r="A159" s="2">
        <v>3</v>
      </c>
      <c r="C159" s="38" t="s">
        <v>47</v>
      </c>
      <c r="D159" s="42">
        <f>TRUNC(1245+1727,-1)</f>
        <v>2970</v>
      </c>
      <c r="E159" s="63">
        <f>TRUNC(+D159*3.3058,-1)</f>
        <v>9810</v>
      </c>
      <c r="F159" s="2" t="s">
        <v>263</v>
      </c>
    </row>
    <row r="160" spans="1:7" ht="17.25" thickBot="1" x14ac:dyDescent="0.35">
      <c r="A160" s="2">
        <v>4</v>
      </c>
      <c r="C160" s="38" t="s">
        <v>148</v>
      </c>
      <c r="D160" s="43">
        <f>TRUNC(804,-1)</f>
        <v>800</v>
      </c>
      <c r="E160" s="64">
        <f>TRUNC(+D160*3.3058,-1)</f>
        <v>2640</v>
      </c>
    </row>
    <row r="161" spans="1:5" x14ac:dyDescent="0.3">
      <c r="A161" s="2">
        <v>5</v>
      </c>
      <c r="C161" s="27" t="s">
        <v>112</v>
      </c>
      <c r="D161" s="39">
        <f>SUM(D157:D160)</f>
        <v>14760</v>
      </c>
      <c r="E161" s="39">
        <f>SUM(E157:E160)</f>
        <v>48770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2020-12-08T04:29:29Z</dcterms:modified>
</cp:coreProperties>
</file>