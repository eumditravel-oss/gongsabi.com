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3" i="4" l="1"/>
  <c r="E151" i="4"/>
  <c r="E145" i="4"/>
  <c r="E144" i="4"/>
  <c r="E143" i="4"/>
  <c r="E142" i="4"/>
  <c r="E141" i="4"/>
  <c r="E140" i="4"/>
  <c r="E139" i="4"/>
  <c r="E138" i="4"/>
  <c r="E129" i="4"/>
  <c r="E127" i="4"/>
  <c r="E126" i="4"/>
  <c r="E123" i="4"/>
  <c r="E116" i="4"/>
  <c r="E113" i="4"/>
  <c r="E112" i="4"/>
  <c r="E111" i="4"/>
  <c r="E110" i="4"/>
  <c r="E109" i="4"/>
  <c r="E108" i="4"/>
  <c r="E107" i="4"/>
  <c r="E106" i="4"/>
  <c r="E104" i="4"/>
  <c r="E103" i="4"/>
  <c r="E101" i="4"/>
  <c r="E92" i="4"/>
  <c r="E91" i="4"/>
  <c r="E89" i="4"/>
  <c r="E88" i="4"/>
  <c r="E87" i="4"/>
  <c r="E86" i="4"/>
  <c r="E83" i="4"/>
  <c r="E82" i="4"/>
  <c r="E80" i="4"/>
  <c r="E79" i="4"/>
  <c r="E77" i="4"/>
  <c r="E76" i="4"/>
  <c r="E74" i="4"/>
  <c r="E73" i="4"/>
  <c r="E64" i="4"/>
  <c r="E59" i="4"/>
  <c r="E57" i="4"/>
  <c r="E56" i="4"/>
  <c r="E47" i="4"/>
  <c r="E42" i="4"/>
  <c r="D160" i="4" l="1"/>
  <c r="E160" i="4" s="1"/>
  <c r="D159" i="4"/>
  <c r="E159" i="4" s="1"/>
  <c r="D158" i="4"/>
  <c r="E158" i="4" s="1"/>
  <c r="D157" i="4"/>
  <c r="E157" i="4" s="1"/>
  <c r="E161" i="4" s="1"/>
  <c r="D152" i="4"/>
  <c r="E152" i="4" s="1"/>
  <c r="D150" i="4"/>
  <c r="E150" i="4" s="1"/>
  <c r="D149" i="4"/>
  <c r="E149" i="4" s="1"/>
  <c r="D137" i="4"/>
  <c r="E137" i="4" s="1"/>
  <c r="E146" i="4" s="1"/>
  <c r="D136" i="4"/>
  <c r="E136" i="4" s="1"/>
  <c r="D128" i="4"/>
  <c r="E128" i="4" s="1"/>
  <c r="D132" i="4"/>
  <c r="E132" i="4" s="1"/>
  <c r="D131" i="4"/>
  <c r="E131" i="4" s="1"/>
  <c r="D130" i="4"/>
  <c r="E130" i="4" s="1"/>
  <c r="E154" i="4" l="1"/>
  <c r="D125" i="4"/>
  <c r="E125" i="4" s="1"/>
  <c r="D124" i="4"/>
  <c r="E124" i="4" s="1"/>
  <c r="D122" i="4"/>
  <c r="E122" i="4" s="1"/>
  <c r="D118" i="4"/>
  <c r="E118" i="4" s="1"/>
  <c r="D117" i="4"/>
  <c r="E117" i="4" s="1"/>
  <c r="D115" i="4"/>
  <c r="E115" i="4" s="1"/>
  <c r="D114" i="4"/>
  <c r="E114" i="4" s="1"/>
  <c r="D105" i="4"/>
  <c r="E105" i="4" s="1"/>
  <c r="D102" i="4"/>
  <c r="E102" i="4" s="1"/>
  <c r="D100" i="4"/>
  <c r="E100" i="4" s="1"/>
  <c r="D99" i="4"/>
  <c r="E99" i="4" s="1"/>
  <c r="D98" i="4"/>
  <c r="E98" i="4" s="1"/>
  <c r="E119" i="4" s="1"/>
  <c r="D94" i="4"/>
  <c r="E94" i="4" s="1"/>
  <c r="D93" i="4"/>
  <c r="E93" i="4" s="1"/>
  <c r="D90" i="4"/>
  <c r="E90" i="4" s="1"/>
  <c r="D85" i="4"/>
  <c r="E85" i="4" s="1"/>
  <c r="D84" i="4"/>
  <c r="E84" i="4" s="1"/>
  <c r="D81" i="4"/>
  <c r="E81" i="4" s="1"/>
  <c r="D78" i="4"/>
  <c r="E78" i="4" s="1"/>
  <c r="D75" i="4"/>
  <c r="E75" i="4" s="1"/>
  <c r="D72" i="4"/>
  <c r="E72" i="4" s="1"/>
  <c r="D71" i="4"/>
  <c r="E71" i="4" s="1"/>
  <c r="D70" i="4"/>
  <c r="E70" i="4" s="1"/>
  <c r="D69" i="4"/>
  <c r="E69" i="4" s="1"/>
  <c r="E95" i="4" s="1"/>
  <c r="D65" i="4"/>
  <c r="E65" i="4" s="1"/>
  <c r="D63" i="4"/>
  <c r="E63" i="4" s="1"/>
  <c r="E66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D37" i="4"/>
  <c r="E37" i="4" s="1"/>
  <c r="E133" i="4" l="1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<sst xmlns="http://schemas.openxmlformats.org/spreadsheetml/2006/main" count="395" uniqueCount="269">
  <si>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</si>
  <si>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</si>
  <si>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</si>
  <si>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</si>
  <si>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</si>
  <si>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</si>
  <si>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</si>
  <si>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</si>
  <si>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</si>
  <si>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</si>
  <si>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</si>
  <si>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</si>
  <si>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</si>
  <si>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</si>
  <si>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</si>
  <si>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</si>
  <si>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</si>
  <si>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</si>
  <si>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</si>
  <si>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</si>
  <si>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</si>
  <si>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</si>
  <si>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</si>
  <si>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</si>
  <si>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</si>
  <si>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</si>
  <si>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</si>
  <si>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</si>
  <si>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</si>
  <si>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</si>
  <si>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</si>
  <si>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</si>
  <si>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</si>
  <si>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</si>
  <si>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</si>
  <si>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</si>
  <si>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</si>
  <si>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</si>
  <si>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</si>
  <si>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</si>
  <si>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</si>
  <si>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</si>
  <si>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</si>
  <si>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</si>
  <si>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</si>
  <si>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</si>
  <si>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</si>
  <si>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</si>
  <si>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</si>
  <si>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</si>
  <si>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</si>
  <si>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</si>
  <si>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</si>
  <si>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</si>
  <si>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</si>
  <si>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</si>
  <si>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</si>
  <si>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</si>
  <si>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</si>
  <si>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</si>
  <si>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</si>
  <si>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</si>
  <si>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</si>
  <si>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</si>
  <si>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</si>
  <si>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</si>
  <si>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</si>
  <si>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</si>
  <si>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</si>
  <si>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</si>
  <si>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</si>
  <si>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</si>
  <si>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</si>
  <si>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</si>
  <si>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</si>
  <si>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</si>
  <si>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</si>
  <si>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</si>
  <si>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</si>
  <si>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</si>
  <si>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</si>
  <si>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</si>
  <si>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</si>
  <si>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</si>
  <si>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</si>
  <si>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</si>
  <si>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</si>
  <si>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</si>
  <si>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</si>
  <si>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</si>
  <si>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</si>
  <si>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</si>
  <si>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</si>
  <si>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</si>
  <si>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</si>
  <si>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</si>
  <si>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</si>
  <si>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</si>
  <si>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</si>
  <si>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</si>
  <si>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</si>
  <si>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</si>
  <si>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</si>
  <si>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</si>
  <si>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</si>
  <si>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</si>
  <si>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</si>
  <si>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</si>
  <si>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</si>
  <si>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</si>
  <si>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</si>
  <si>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</si>
  <si>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</si>
  <si>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</si>
  <si>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</si>
  <si>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</si>
  <si>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</si>
  <si>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</si>
  <si>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</si>
  <si>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</si>
  <si>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</si>
  <si>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</si>
  <si>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</si>
  <si>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</si>
  <si>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</si>
  <si>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</si>
  <si>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</si>
  <si>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</si>
  <si>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</si>
  <si>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</si>
  <si>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</si>
  <si>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</si>
  <si>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</si>
  <si>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</si>
  <si>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</si>
  <si>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</si>
  <si>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</si>
  <si>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</si>
  <si>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</si>
  <si>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</si>
  <si>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</si>
  <si>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</si>
  <si>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</si>
  <si>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</si>
  <si>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</si>
  <si>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</si>
  <si>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</si>
  <si>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</si>
  <si>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</si>
  <si>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</si>
  <si>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</si>
  <si>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</si>
  <si>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</si>
  <si>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</si>
  <si>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</si>
  <si>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</si>
  <si>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</si>
  <si>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</si>
  <si>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</si>
  <si>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</si>
  <si>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</si>
  <si>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</si>
  <si>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</si>
  <si>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</si>
  <si>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</si>
  <si>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</si>
  <si>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</si>
  <si>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</si>
  <si>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</si>
  <si>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</si>
  <si>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</si>
  <si>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</si>
  <si>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</si>
  <si>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</si>
  <si>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</si>
  <si>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</si>
  <si>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</si>
  <si>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</si>
  <si>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</si>
  <si>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</si>
  <si>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</si>
  <si>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</si>
  <si>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</si>
  <si>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</si>
  <si>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</si>
  <si>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</si>
  <si>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</si>
  <si>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</si>
  <si>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</si>
  <si>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</si>
  <si>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</si>
  <si>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</si>
  <si>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</si>
  <si>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</si>
  <si>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</si>
  <si>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</si>
  <si>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</si>
  <si>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</si>
  <si>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</si>
  <si>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</si>
  <si>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</si>
  <si>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</si>
  <si>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</si>
  <si>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</si>
  <si>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</si>
  <si>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</si>
  <si>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</si>
  <si>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</si>
  <si>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</si>
  <si>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</si>
  <si>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</si>
  <si>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</si>
  <si>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</si>
  <si>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</si>
  <si>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</si>
  <si>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</si>
  <si>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</si>
  <si>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</si>
  <si>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</si>
  <si>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</si>
  <si>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</si>
  <si>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</si>
  <si>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</si>
  <si>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</si>
  <si>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</si>
  <si>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</si>
  <si>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</si>
  <si>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</si>
  <si>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</si>
  <si>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</si>
  <si>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</si>
  <si>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</si>
  <si>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</si>
  <si>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</si>
  <si>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</si>
  <si>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업무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</si>
  <si>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</si>
  <si>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</si>
  <si>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</si>
  <si>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</si>
  <si>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</si>
  <si>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</si>
  <si>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</si>
  <si>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</si>
  <si>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</si>
  <si>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</si>
  <si>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</si>
  <si>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</si>
  <si>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</si>
  <si>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00우체국청사 건립공사</t>
  </si>
  <si>
    <t>충청도</t>
  </si>
  <si>
    <t>A/V배관배선공사</t>
  </si>
  <si>
    <t>포장공,운반공사,폐기물처리비</t>
  </si>
  <si>
    <t>지정공사,캐노피공사,기타공사,주요자재비,운반비,작업부산물</t>
    <phoneticPr fontId="2" type="noConversion"/>
  </si>
  <si>
    <t>상수공사,철거공사,부대및운반비,계측관리공사,일반자재</t>
    <phoneticPr fontId="2" type="noConversion"/>
  </si>
  <si>
    <t>공조배관공사,위생배관공사</t>
    <phoneticPr fontId="2" type="noConversion"/>
  </si>
  <si>
    <t>옥외보안등설비공사</t>
  </si>
  <si>
    <t>전기소방</t>
    <phoneticPr fontId="2" type="noConversion"/>
  </si>
  <si>
    <t>인테리어배관공사,임대(3,4)층배관공사,가설창고</t>
    <phoneticPr fontId="2" type="noConversion"/>
  </si>
  <si>
    <t>도급자 설치관급, 관급자 설치관급</t>
    <phoneticPr fontId="2" type="noConversion"/>
  </si>
  <si>
    <t>CCTV설비공사,가설창고</t>
    <phoneticPr fontId="2" type="noConversion"/>
  </si>
  <si>
    <t>약전TRAY설비공사</t>
    <phoneticPr fontId="2" type="noConversion"/>
  </si>
  <si>
    <t>도급자설치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</si>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</sst>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235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6826</v>
      </c>
      <c r="D7" s="36">
        <f>+C7/3.3058</f>
        <v>2064.8557081493132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6850</v>
      </c>
      <c r="E24" s="58">
        <f t="shared" ref="E24:E33" si="0">TRUNC(+D24*3.3058,-1)</f>
        <v>22640</v>
      </c>
    </row>
    <row r="25" spans="1:5" x14ac:dyDescent="0.3">
      <c r="B25" s="2">
        <v>2</v>
      </c>
      <c r="C25" s="35" t="s">
        <v>111</v>
      </c>
      <c r="D25" s="45">
        <f>+D60</f>
        <v>381610</v>
      </c>
      <c r="E25" s="59">
        <f t="shared" si="0"/>
        <v>1261520</v>
      </c>
    </row>
    <row r="26" spans="1:5" x14ac:dyDescent="0.3">
      <c r="B26" s="2">
        <v>3</v>
      </c>
      <c r="C26" s="35" t="s">
        <v>95</v>
      </c>
      <c r="D26" s="45">
        <f>+D66</f>
        <v>48200</v>
      </c>
      <c r="E26" s="59">
        <f t="shared" si="0"/>
        <v>159330</v>
      </c>
    </row>
    <row r="27" spans="1:5" x14ac:dyDescent="0.3">
      <c r="B27" s="2">
        <v>4</v>
      </c>
      <c r="C27" s="35" t="s">
        <v>96</v>
      </c>
      <c r="D27" s="45">
        <f>+D95</f>
        <v>171280</v>
      </c>
      <c r="E27" s="59">
        <f t="shared" si="0"/>
        <v>566210</v>
      </c>
    </row>
    <row r="28" spans="1:5" x14ac:dyDescent="0.3">
      <c r="B28" s="2">
        <v>5</v>
      </c>
      <c r="C28" s="35" t="s">
        <v>97</v>
      </c>
      <c r="D28" s="45">
        <f>+D119</f>
        <v>100930</v>
      </c>
      <c r="E28" s="59">
        <f t="shared" si="0"/>
        <v>333650</v>
      </c>
    </row>
    <row r="29" spans="1:5" x14ac:dyDescent="0.3">
      <c r="B29" s="2">
        <v>6</v>
      </c>
      <c r="C29" s="35" t="s">
        <v>98</v>
      </c>
      <c r="D29" s="45">
        <f>+D133</f>
        <v>44030</v>
      </c>
      <c r="E29" s="59">
        <f t="shared" si="0"/>
        <v>145550</v>
      </c>
    </row>
    <row r="30" spans="1:5" x14ac:dyDescent="0.3">
      <c r="B30" s="2">
        <v>7</v>
      </c>
      <c r="C30" s="35" t="s">
        <v>99</v>
      </c>
      <c r="D30" s="45">
        <f>+D146</f>
        <v>35290</v>
      </c>
      <c r="E30" s="59">
        <f t="shared" si="0"/>
        <v>116660</v>
      </c>
    </row>
    <row r="31" spans="1:5" x14ac:dyDescent="0.3">
      <c r="B31" s="2">
        <v>8</v>
      </c>
      <c r="C31" s="35" t="s">
        <v>100</v>
      </c>
      <c r="D31" s="45">
        <f>+D154</f>
        <v>21240</v>
      </c>
      <c r="E31" s="59">
        <f t="shared" si="0"/>
        <v>70210</v>
      </c>
    </row>
    <row r="32" spans="1:5" x14ac:dyDescent="0.3">
      <c r="B32" s="2">
        <v>9</v>
      </c>
      <c r="C32" s="35" t="s">
        <v>101</v>
      </c>
      <c r="D32" s="45">
        <f>+D161</f>
        <v>137600</v>
      </c>
      <c r="E32" s="59">
        <f t="shared" si="0"/>
        <v>454870</v>
      </c>
    </row>
    <row r="33" spans="1:7" x14ac:dyDescent="0.3">
      <c r="B33" s="2">
        <v>10</v>
      </c>
      <c r="C33" s="35" t="s">
        <v>154</v>
      </c>
      <c r="D33" s="53">
        <f>TRUNC(SUM(D24:D32)*0.275,-1)</f>
        <v>260430</v>
      </c>
      <c r="E33" s="60">
        <f t="shared" si="0"/>
        <v>860920</v>
      </c>
    </row>
    <row r="34" spans="1:7" x14ac:dyDescent="0.3">
      <c r="C34" s="35" t="s">
        <v>112</v>
      </c>
      <c r="D34" s="44">
        <f>SUM(D24:D33)</f>
        <v>1207460</v>
      </c>
      <c r="E34" s="44">
        <f>SUM(E24:E33)</f>
        <v>3991560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TRUNC(6855.81350717844,-1)</f>
        <v>6850</v>
      </c>
      <c r="E37" s="61">
        <f>TRUNC(+D37*3.3058,-1)</f>
        <v>22640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TRUNC(34269.8975974216,-1)</f>
        <v>34260</v>
      </c>
      <c r="E40" s="62">
        <f t="shared" ref="E40:E59" si="1">TRUNC(+D40*3.3058,-1)</f>
        <v>113250</v>
      </c>
    </row>
    <row r="41" spans="1:7" x14ac:dyDescent="0.3">
      <c r="A41" s="2">
        <v>2</v>
      </c>
      <c r="C41" s="38" t="s">
        <v>13</v>
      </c>
      <c r="D41" s="42">
        <f>TRUNC(110939.937005567,-1)</f>
        <v>110930</v>
      </c>
      <c r="E41" s="63">
        <f t="shared" si="1"/>
        <v>366710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TRUNC(7580.82434808087,-1)</f>
        <v>7580</v>
      </c>
      <c r="E43" s="63">
        <f t="shared" si="1"/>
        <v>25050</v>
      </c>
    </row>
    <row r="44" spans="1:7" x14ac:dyDescent="0.3">
      <c r="A44" s="2">
        <v>5</v>
      </c>
      <c r="C44" s="38" t="s">
        <v>17</v>
      </c>
      <c r="D44" s="42">
        <f>TRUNC(12796.5010254908,-1)</f>
        <v>12790</v>
      </c>
      <c r="E44" s="63">
        <f t="shared" si="1"/>
        <v>42280</v>
      </c>
    </row>
    <row r="45" spans="1:7" x14ac:dyDescent="0.3">
      <c r="A45" s="2">
        <v>6</v>
      </c>
      <c r="C45" s="38" t="s">
        <v>18</v>
      </c>
      <c r="D45" s="42">
        <f>TRUNC(3417.73542338119,-1)</f>
        <v>3410</v>
      </c>
      <c r="E45" s="63">
        <f t="shared" si="1"/>
        <v>11270</v>
      </c>
    </row>
    <row r="46" spans="1:7" x14ac:dyDescent="0.3">
      <c r="A46" s="2">
        <v>7</v>
      </c>
      <c r="C46" s="38" t="s">
        <v>19</v>
      </c>
      <c r="D46" s="42">
        <f>TRUNC(32768.5347201875,-1)</f>
        <v>32760</v>
      </c>
      <c r="E46" s="63">
        <f t="shared" si="1"/>
        <v>108290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TRUNC(49494.4021388808,-1)</f>
        <v>49490</v>
      </c>
      <c r="E48" s="63">
        <f t="shared" si="1"/>
        <v>163600</v>
      </c>
    </row>
    <row r="49" spans="1:7" x14ac:dyDescent="0.3">
      <c r="A49" s="2">
        <v>10</v>
      </c>
      <c r="C49" s="38" t="s">
        <v>22</v>
      </c>
      <c r="D49" s="42">
        <f>TRUNC(16025.8641957222,-1)</f>
        <v>16020</v>
      </c>
      <c r="E49" s="63">
        <f t="shared" si="1"/>
        <v>52950</v>
      </c>
    </row>
    <row r="50" spans="1:7" x14ac:dyDescent="0.3">
      <c r="A50" s="2">
        <v>11</v>
      </c>
      <c r="C50" s="38" t="s">
        <v>155</v>
      </c>
      <c r="D50" s="42">
        <f>TRUNC(29604.0278347495,-1)</f>
        <v>29600</v>
      </c>
      <c r="E50" s="63">
        <f t="shared" si="1"/>
        <v>97850</v>
      </c>
    </row>
    <row r="51" spans="1:7" x14ac:dyDescent="0.3">
      <c r="A51" s="2">
        <v>12</v>
      </c>
      <c r="C51" s="38" t="s">
        <v>23</v>
      </c>
      <c r="D51" s="42">
        <f>TRUNC(7167.98388514503,-1)</f>
        <v>7160</v>
      </c>
      <c r="E51" s="63">
        <f t="shared" si="1"/>
        <v>23660</v>
      </c>
    </row>
    <row r="52" spans="1:7" x14ac:dyDescent="0.3">
      <c r="A52" s="2">
        <v>13</v>
      </c>
      <c r="C52" s="38" t="s">
        <v>24</v>
      </c>
      <c r="D52" s="42">
        <f>TRUNC(13273.3971579256,-1)</f>
        <v>13270</v>
      </c>
      <c r="E52" s="63">
        <f t="shared" si="1"/>
        <v>43860</v>
      </c>
    </row>
    <row r="53" spans="1:7" x14ac:dyDescent="0.3">
      <c r="A53" s="2">
        <v>14</v>
      </c>
      <c r="C53" s="38" t="s">
        <v>25</v>
      </c>
      <c r="D53" s="42">
        <f>TRUNC(30376.4832991503,-1)</f>
        <v>30370</v>
      </c>
      <c r="E53" s="63">
        <f t="shared" si="1"/>
        <v>100390</v>
      </c>
    </row>
    <row r="54" spans="1:7" x14ac:dyDescent="0.3">
      <c r="A54" s="2">
        <v>15</v>
      </c>
      <c r="C54" s="38" t="s">
        <v>147</v>
      </c>
      <c r="D54" s="42">
        <f>TRUNC(11531.5397011427,-1)</f>
        <v>11530</v>
      </c>
      <c r="E54" s="63">
        <f t="shared" si="1"/>
        <v>38110</v>
      </c>
    </row>
    <row r="55" spans="1:7" x14ac:dyDescent="0.3">
      <c r="A55" s="2">
        <v>16</v>
      </c>
      <c r="C55" s="38" t="s">
        <v>144</v>
      </c>
      <c r="D55" s="42">
        <f>TRUNC(953.581892762965,-1)</f>
        <v>950</v>
      </c>
      <c r="E55" s="63">
        <f t="shared" si="1"/>
        <v>3140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TRUNC(413.731467916789+8082.65675358922+10142.9422795195+1970.70026369763+1209.34559038969-329.074128332845,-1)</f>
        <v>21490</v>
      </c>
      <c r="E58" s="63">
        <f t="shared" si="1"/>
        <v>71040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381610</v>
      </c>
      <c r="E60" s="39">
        <f>SUM(E40:E59)</f>
        <v>1261450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TRUNC(22101.1273073542,-1)</f>
        <v>22100</v>
      </c>
      <c r="E63" s="62">
        <f>TRUNC(+D63*3.3058,-1)</f>
        <v>73050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TRUNC(26105.2314679168,-1)</f>
        <v>26100</v>
      </c>
      <c r="E65" s="64">
        <f>TRUNC(+D65*3.3058,-1)</f>
        <v>86280</v>
      </c>
    </row>
    <row r="66" spans="1:7" x14ac:dyDescent="0.3">
      <c r="A66" s="2">
        <v>4</v>
      </c>
      <c r="C66" s="27" t="s">
        <v>112</v>
      </c>
      <c r="D66" s="39">
        <f>SUM(D63:D65)</f>
        <v>48200</v>
      </c>
      <c r="E66" s="65">
        <f>SUM(E63:E65)</f>
        <v>159330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TRUNC(21897.8057427483,-1)</f>
        <v>21890</v>
      </c>
      <c r="E69" s="62">
        <f>TRUNC(+D69*3.3058,-1)</f>
        <v>72360</v>
      </c>
    </row>
    <row r="70" spans="1:7" ht="16.5" customHeight="1" x14ac:dyDescent="0.3">
      <c r="A70" s="2">
        <v>2</v>
      </c>
      <c r="C70" s="38" t="s">
        <v>31</v>
      </c>
      <c r="D70" s="42">
        <f>TRUNC(104.443598007618,-1)</f>
        <v>100</v>
      </c>
      <c r="E70" s="63">
        <f>TRUNC(+D70*3.3058,-1)</f>
        <v>330</v>
      </c>
    </row>
    <row r="71" spans="1:7" x14ac:dyDescent="0.3">
      <c r="A71" s="2">
        <v>3</v>
      </c>
      <c r="C71" s="38" t="s">
        <v>32</v>
      </c>
      <c r="D71" s="42">
        <f>TRUNC(22763.6790213888,-1)</f>
        <v>22760</v>
      </c>
      <c r="E71" s="63">
        <f t="shared" ref="E71:E73" si="2">TRUNC(+D71*3.3058,-1)</f>
        <v>75240</v>
      </c>
    </row>
    <row r="72" spans="1:7" x14ac:dyDescent="0.3">
      <c r="A72" s="2">
        <v>4</v>
      </c>
      <c r="C72" s="38" t="s">
        <v>33</v>
      </c>
      <c r="D72" s="42">
        <f>TRUNC(683.221066510401,-1)</f>
        <v>680</v>
      </c>
      <c r="E72" s="63">
        <f t="shared" si="2"/>
        <v>2240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TRUNC(1161.48520363317,-1)</f>
        <v>1160</v>
      </c>
      <c r="E75" s="63">
        <f>TRUNC(+D75*3.3058,-1)</f>
        <v>3830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TRUNC(24601.5577204805,-1)</f>
        <v>24600</v>
      </c>
      <c r="E78" s="63">
        <f t="shared" si="3"/>
        <v>81320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TRUNC(11175.9003808966,-1)</f>
        <v>11170</v>
      </c>
      <c r="E81" s="63">
        <f t="shared" si="3"/>
        <v>36920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TRUNC(19380.9175212423,-1)</f>
        <v>19380</v>
      </c>
      <c r="E84" s="63">
        <f>TRUNC(+D84*3.3058,-1)</f>
        <v>64060</v>
      </c>
    </row>
    <row r="85" spans="1:7" x14ac:dyDescent="0.3">
      <c r="A85" s="2">
        <v>17</v>
      </c>
      <c r="C85" s="38" t="s">
        <v>123</v>
      </c>
      <c r="D85" s="42">
        <f>TRUNC(1501.46806328743,-1)</f>
        <v>1500</v>
      </c>
      <c r="E85" s="63">
        <f t="shared" si="3"/>
        <v>4950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TRUNC(1286.94989745092,-1)</f>
        <v>1280</v>
      </c>
      <c r="E90" s="63">
        <f>TRUNC(+D90*3.3058,-1)</f>
        <v>4230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TRUNC(22861.1192499267,-1)</f>
        <v>22860</v>
      </c>
      <c r="E93" s="63">
        <f>TRUNC(+D93*3.3058,-1)</f>
        <v>75570</v>
      </c>
      <c r="F93" s="2" t="s">
        <v>263</v>
      </c>
    </row>
    <row r="94" spans="1:7" ht="17.25" thickBot="1" x14ac:dyDescent="0.35">
      <c r="A94" s="2">
        <v>26</v>
      </c>
      <c r="C94" s="38" t="s">
        <v>47</v>
      </c>
      <c r="D94" s="43">
        <f>TRUNC(19661.7424553179+24247.7650161149,-1)</f>
        <v>43900</v>
      </c>
      <c r="E94" s="64">
        <f>TRUNC(+D94*3.3058,-1)</f>
        <v>145120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171280</v>
      </c>
      <c r="E95" s="39">
        <f>SUM(E69:E94)</f>
        <v>566170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TRUNC(9299.66217404043,-1)</f>
        <v>9290</v>
      </c>
      <c r="E98" s="62">
        <f t="shared" ref="E98:E118" si="4">TRUNC(+D98*3.3058,-1)</f>
        <v>30710</v>
      </c>
    </row>
    <row r="99" spans="1:7" x14ac:dyDescent="0.3">
      <c r="A99" s="2">
        <v>2</v>
      </c>
      <c r="C99" s="38" t="s">
        <v>40</v>
      </c>
      <c r="D99" s="42">
        <f>TRUNC(5554.72927043657,-1)</f>
        <v>5550</v>
      </c>
      <c r="E99" s="63">
        <f t="shared" si="4"/>
        <v>18340</v>
      </c>
    </row>
    <row r="100" spans="1:7" x14ac:dyDescent="0.3">
      <c r="A100" s="2">
        <v>3</v>
      </c>
      <c r="C100" s="38" t="s">
        <v>41</v>
      </c>
      <c r="D100" s="42">
        <f>TRUNC(14123.1407852329,-1)</f>
        <v>14120</v>
      </c>
      <c r="E100" s="63">
        <f t="shared" si="4"/>
        <v>46670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TRUNC(5408.174333431,-1)</f>
        <v>5400</v>
      </c>
      <c r="E102" s="63">
        <f t="shared" si="4"/>
        <v>17850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TRUNC(826.182976853208,-1)</f>
        <v>820</v>
      </c>
      <c r="E105" s="63">
        <f t="shared" si="4"/>
        <v>2710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TRUNC(1069.95106944038,-1)</f>
        <v>1060</v>
      </c>
      <c r="E114" s="63">
        <f t="shared" si="4"/>
        <v>3500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f>TRUNC(4379.30017579842,-1)</f>
        <v>4370</v>
      </c>
      <c r="E115" s="63">
        <f t="shared" si="4"/>
        <v>14440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TRUNC(13050.9815411661+45288.6024025784,-1)</f>
        <v>58330</v>
      </c>
      <c r="E117" s="63">
        <f t="shared" si="4"/>
        <v>192820</v>
      </c>
      <c r="F117" s="2" t="s">
        <v>259</v>
      </c>
    </row>
    <row r="118" spans="1:7" ht="17.25" thickBot="1" x14ac:dyDescent="0.35">
      <c r="A118" s="2">
        <v>21</v>
      </c>
      <c r="C118" s="38" t="s">
        <v>47</v>
      </c>
      <c r="D118" s="43">
        <f>TRUNC(537.257837679461+1374.16920597715+87.8992089071198,-1)</f>
        <v>1990</v>
      </c>
      <c r="E118" s="64">
        <f t="shared" si="4"/>
        <v>6570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100930</v>
      </c>
      <c r="E119" s="39">
        <f>SUM(E98:E118)</f>
        <v>333610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TRUNC(1565.69381775564,-1)</f>
        <v>1560</v>
      </c>
      <c r="E122" s="62">
        <f t="shared" ref="E122:E132" si="5">TRUNC(+D122*3.3058,-1)</f>
        <v>5150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f>TRUNC(302.753442719016,-1)</f>
        <v>300</v>
      </c>
      <c r="E124" s="63">
        <f t="shared" si="5"/>
        <v>990</v>
      </c>
      <c r="F124" s="2" t="s">
        <v>251</v>
      </c>
    </row>
    <row r="125" spans="1:7" x14ac:dyDescent="0.3">
      <c r="A125" s="2">
        <v>4</v>
      </c>
      <c r="C125" s="38" t="s">
        <v>138</v>
      </c>
      <c r="D125" s="42">
        <f>TRUNC(4223.27219455025,-1)</f>
        <v>4220</v>
      </c>
      <c r="E125" s="63">
        <f t="shared" si="5"/>
        <v>13950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TRUNC(572.42250219748,-1)</f>
        <v>570</v>
      </c>
      <c r="E128" s="63">
        <f t="shared" si="5"/>
        <v>1880</v>
      </c>
      <c r="F128" s="2" t="s">
        <v>261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TRUNC(16730.9203047173,-1)</f>
        <v>16730</v>
      </c>
      <c r="E130" s="63">
        <f t="shared" si="5"/>
        <v>55300</v>
      </c>
    </row>
    <row r="131" spans="1:7" x14ac:dyDescent="0.3">
      <c r="A131" s="2">
        <v>10</v>
      </c>
      <c r="C131" s="38" t="s">
        <v>148</v>
      </c>
      <c r="D131" s="42">
        <f>TRUNC(17481.687664811,-1)</f>
        <v>17480</v>
      </c>
      <c r="E131" s="63">
        <f t="shared" si="5"/>
        <v>57780</v>
      </c>
      <c r="F131" s="2" t="s">
        <v>263</v>
      </c>
    </row>
    <row r="132" spans="1:7" ht="18" thickBot="1" x14ac:dyDescent="0.35">
      <c r="A132" s="2">
        <v>11</v>
      </c>
      <c r="C132" s="38" t="s">
        <v>47</v>
      </c>
      <c r="D132" s="43">
        <f>TRUNC(3085.21637855259+87.8992089071198,-1)</f>
        <v>3170</v>
      </c>
      <c r="E132" s="64">
        <f t="shared" si="5"/>
        <v>10470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44030</v>
      </c>
      <c r="E133" s="39">
        <f>SUM(E122:E132)</f>
        <v>145520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TRUNC(28564.7386463522,-1)</f>
        <v>28560</v>
      </c>
      <c r="E136" s="62">
        <f t="shared" ref="E136:E145" si="6">TRUNC(+D136*3.3058,-1)</f>
        <v>94410</v>
      </c>
    </row>
    <row r="137" spans="1:7" x14ac:dyDescent="0.3">
      <c r="A137" s="2">
        <v>2</v>
      </c>
      <c r="C137" s="38" t="s">
        <v>47</v>
      </c>
      <c r="D137" s="42">
        <f>TRUNC(6732.6473776736,-1)</f>
        <v>6730</v>
      </c>
      <c r="E137" s="63">
        <f t="shared" si="6"/>
        <v>22240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35290</v>
      </c>
      <c r="E146" s="39">
        <f>SUM(E136:E145)</f>
        <v>116650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TRUNC(5373.98696161735,-1)</f>
        <v>5370</v>
      </c>
      <c r="E149" s="62">
        <f>TRUNC(+D149*3.3058,-1)</f>
        <v>17750</v>
      </c>
    </row>
    <row r="150" spans="1:7" x14ac:dyDescent="0.3">
      <c r="A150" s="2">
        <v>2</v>
      </c>
      <c r="C150" s="38" t="s">
        <v>49</v>
      </c>
      <c r="D150" s="42">
        <f>TRUNC(2824.91195429241,-1)</f>
        <v>2820</v>
      </c>
      <c r="E150" s="63">
        <f>TRUNC(+D150*3.3058,-1)</f>
        <v>9320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TRUNC(35.0587459712863+46.3133606797539+61.3200996191034+1359.50776443012+11554.3729856431,-1)</f>
        <v>13050</v>
      </c>
      <c r="E152" s="63">
        <f>TRUNC(+D152*3.3058,-1)</f>
        <v>43140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21240</v>
      </c>
      <c r="E154" s="39">
        <f>SUM(E149:E153)</f>
        <v>70210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TRUNC(6467.84368590683,-1)</f>
        <v>6460</v>
      </c>
      <c r="E157" s="62">
        <f>TRUNC(+D157*3.3058,-1)</f>
        <v>21350</v>
      </c>
    </row>
    <row r="158" spans="1:7" x14ac:dyDescent="0.3">
      <c r="A158" s="2">
        <v>2</v>
      </c>
      <c r="C158" s="38" t="s">
        <v>52</v>
      </c>
      <c r="D158" s="42">
        <f>TRUNC(10050.4468209786,-1)</f>
        <v>10050</v>
      </c>
      <c r="E158" s="63">
        <f>TRUNC(+D158*3.3058,-1)</f>
        <v>33220</v>
      </c>
    </row>
    <row r="159" spans="1:7" x14ac:dyDescent="0.3">
      <c r="A159" s="2">
        <v>3</v>
      </c>
      <c r="C159" s="38" t="s">
        <v>47</v>
      </c>
      <c r="D159" s="42">
        <f>TRUNC(7718.02256079695+15.1800468795781+2044.51992382069,-1)</f>
        <v>9770</v>
      </c>
      <c r="E159" s="63">
        <f>TRUNC(+D159*3.3058,-1)</f>
        <v>32290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f>TRUNC(111325.959566364,-1)</f>
        <v>111320</v>
      </c>
      <c r="E160" s="64">
        <f>TRUNC(+D160*3.3058,-1)</f>
        <v>368000</v>
      </c>
      <c r="F160" s="2" t="s">
        <v>262</v>
      </c>
    </row>
    <row r="161" spans="1:5" x14ac:dyDescent="0.3">
      <c r="A161" s="2">
        <v>5</v>
      </c>
      <c r="C161" s="27" t="s">
        <v>112</v>
      </c>
      <c r="D161" s="39">
        <f>SUM(D157:D160)</f>
        <v>137600</v>
      </c>
      <c r="E161" s="39">
        <f>SUM(E157:E160)</f>
        <v>454860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2020-12-07T09:14:01Z</dcterms:modified>
</cp:coreProperties>
</file>