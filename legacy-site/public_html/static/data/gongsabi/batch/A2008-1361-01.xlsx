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8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57" i="4"/>
  <c r="E56" i="4"/>
  <c r="E54" i="4"/>
  <c r="E37" i="4"/>
  <c r="E133" i="4" l="1"/>
  <c r="E161" i="4"/>
  <c r="E146" i="4"/>
  <c r="D153" i="4"/>
  <c r="E153" i="4" s="1"/>
  <c r="D117" i="4"/>
  <c r="E117" i="4" s="1"/>
  <c r="D93" i="4"/>
  <c r="E93" i="4" s="1"/>
  <c r="E95" i="4" s="1"/>
  <c r="D94" i="4"/>
  <c r="E94" i="4" s="1"/>
  <c r="D59" i="4" l="1"/>
  <c r="E59" i="4" s="1"/>
  <c r="D40" i="4" l="1"/>
  <c r="E40" i="4" s="1"/>
  <c r="D152" i="4"/>
  <c r="E152" i="4" s="1"/>
  <c r="E154" i="4" s="1"/>
  <c r="D53" i="4" l="1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7" i="4"/>
  <c r="E47" i="4" s="1"/>
  <c r="D45" i="4"/>
  <c r="E45" i="4" s="1"/>
  <c r="D46" i="4"/>
  <c r="E46" i="4" s="1"/>
  <c r="D43" i="4"/>
  <c r="E43" i="4" s="1"/>
  <c r="D42" i="4"/>
  <c r="E42" i="4" s="1"/>
  <c r="D41" i="4"/>
  <c r="E41" i="4" s="1"/>
  <c r="E60" i="4" s="1"/>
  <c r="D63" i="4"/>
  <c r="E63" i="4" s="1"/>
  <c r="E66" i="4" s="1"/>
  <c r="D58" i="4"/>
  <c r="E58" i="4" s="1"/>
  <c r="D118" i="4"/>
  <c r="E118" i="4" s="1"/>
  <c r="E119" i="4" s="1"/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0" i="4"/>
  <c r="D25" i="4" s="1"/>
  <c r="E25" i="4" s="1"/>
  <c r="D66" i="4"/>
  <c r="D95" i="4"/>
  <c r="D133" i="4"/>
  <c r="D29" i="4" s="1"/>
  <c r="E29" i="4" s="1"/>
  <c r="D161" i="4"/>
  <c r="D32" i="4" s="1"/>
  <c r="E32" i="4" s="1"/>
  <c r="D27" i="4"/>
  <c r="E27" i="4" s="1"/>
  <c r="D7" i="4"/>
  <c r="O31" i="1"/>
  <c r="M31" i="1"/>
  <c r="D26" i="4" l="1"/>
  <c r="E26" i="4" s="1"/>
  <c r="D154" i="4" l="1"/>
  <c r="D31" i="4" l="1"/>
  <c r="E31" i="4" s="1"/>
  <c r="D146" i="4" l="1"/>
  <c r="D30" i="4" l="1"/>
  <c r="E30" i="4" s="1"/>
  <c r="D119" i="4" l="1"/>
  <c r="D28" i="4" l="1"/>
  <c r="E28" i="4" s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<sst xmlns="http://schemas.openxmlformats.org/spreadsheetml/2006/main" count="384" uniqueCount="320">
  <si>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</si>
  <si>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</si>
  <si>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</si>
  <si>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</si>
  <si>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</si>
  <si>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</si>
  <si>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</si>
  <si>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</si>
  <si>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</si>
  <si>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</si>
  <si>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</si>
  <si>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</si>
  <si>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</si>
  <si>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</si>
  <si>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</si>
  <si>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</si>
  <si>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</si>
  <si>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</si>
  <si>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</si>
  <si>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</si>
  <si>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</si>
  <si>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</si>
  <si>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</si>
  <si>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</si>
  <si>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</si>
  <si>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</si>
  <si>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</si>
  <si>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</si>
  <si>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</si>
  <si>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</si>
  <si>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</si>
  <si>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</si>
  <si>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</si>
  <si>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</si>
  <si>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</si>
  <si>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</si>
  <si>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</si>
  <si>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</si>
  <si>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</si>
  <si>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</si>
  <si>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</si>
  <si>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</si>
  <si>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</si>
  <si>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</si>
  <si>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</si>
  <si>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</si>
  <si>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</si>
  <si>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</si>
  <si>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</si>
  <si>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</si>
  <si>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</si>
  <si>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</si>
  <si>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</si>
  <si>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</si>
  <si>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</si>
  <si>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</si>
  <si>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</si>
  <si>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</si>
  <si>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</si>
  <si>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</si>
  <si>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</si>
  <si>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</si>
  <si>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</si>
  <si>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</si>
  <si>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</si>
  <si>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</si>
  <si>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</si>
  <si>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</si>
  <si>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</si>
  <si>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</si>
  <si>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</si>
  <si>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</si>
  <si>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</si>
  <si>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</si>
  <si>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</si>
  <si>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</si>
  <si>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</si>
  <si>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</si>
  <si>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</si>
  <si>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</si>
  <si>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</si>
  <si>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</si>
  <si>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</si>
  <si>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</si>
  <si>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</si>
  <si>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</si>
  <si>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</si>
  <si>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</si>
  <si>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</si>
  <si>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</si>
  <si>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</si>
  <si>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</si>
  <si>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</si>
  <si>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</si>
  <si>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</si>
  <si>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</si>
  <si>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</si>
  <si>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</si>
  <si>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</si>
  <si>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</si>
  <si>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</si>
  <si>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</si>
  <si>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</si>
  <si>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</si>
  <si>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</si>
  <si>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</si>
  <si>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</si>
  <si>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</si>
  <si>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</si>
  <si>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</si>
  <si>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</si>
  <si>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</si>
  <si>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</si>
  <si>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</si>
  <si>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</si>
  <si>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</si>
  <si>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</si>
  <si>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</si>
  <si>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</si>
  <si>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</si>
  <si>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</si>
  <si>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</si>
  <si>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</si>
  <si>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</si>
  <si>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</si>
  <si>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</si>
  <si>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</si>
  <si>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</si>
  <si>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</si>
  <si>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</si>
  <si>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</si>
  <si>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</si>
  <si>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</si>
  <si>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</si>
  <si>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</si>
  <si>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</si>
  <si>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</si>
  <si>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</si>
  <si>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</si>
  <si>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</si>
  <si>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</si>
  <si>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</si>
  <si>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</si>
  <si>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</si>
  <si>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</si>
  <si>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</si>
  <si>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</si>
  <si>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</si>
  <si>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</si>
  <si>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</si>
  <si>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</si>
  <si>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</si>
  <si>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</si>
  <si>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</si>
  <si>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</si>
  <si>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</si>
  <si>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</si>
  <si>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</si>
  <si>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</si>
  <si>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</si>
  <si>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</si>
  <si>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</si>
  <si>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</si>
  <si>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</si>
  <si>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</si>
  <si>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</si>
  <si>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</si>
  <si>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</si>
  <si>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</si>
  <si>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</si>
  <si>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</si>
  <si>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</si>
  <si>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</si>
  <si>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</si>
  <si>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</si>
  <si>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</si>
  <si>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</si>
  <si>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</si>
  <si>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</si>
  <si>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</si>
  <si>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</si>
  <si>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</si>
  <si>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</si>
  <si>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</si>
  <si>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</si>
  <si>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</si>
  <si>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</si>
  <si>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</si>
  <si>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</si>
  <si>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</si>
  <si>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</si>
  <si>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</si>
  <si>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</si>
  <si>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</si>
  <si>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</si>
  <si>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</si>
  <si>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</si>
  <si>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</si>
  <si>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</si>
  <si>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</si>
  <si>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</si>
  <si>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</si>
  <si>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</si>
  <si>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</si>
  <si>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</si>
  <si>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</si>
  <si>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</si>
  <si>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</si>
  <si>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</si>
  <si>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</si>
  <si>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</si>
  <si>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</si>
  <si>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</si>
  <si>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</si>
  <si>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</si>
  <si>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</si>
  <si>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</si>
  <si>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</si>
  <si>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</si>
  <si>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</si>
  <si>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</si>
  <si>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</si>
  <si>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</si>
  <si>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</si>
  <si>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</si>
  <si>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</si>
  <si>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</si>
  <si>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</si>
  <si>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</si>
  <si>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</si>
  <si>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</si>
  <si>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</si>
  <si>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</si>
  <si>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</si>
  <si>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</si>
  <si>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</si>
  <si>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</si>
  <si>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</si>
  <si>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</si>
  <si>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</si>
  <si>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</si>
  <si>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</si>
  <si>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</si>
  <si>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</si>
  <si>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</si>
  <si>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</si>
  <si>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</si>
  <si>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</si>
  <si>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</si>
  <si>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</si>
  <si>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</si>
  <si>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</si>
  <si>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</si>
  <si>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</si>
  <si>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</si>
  <si>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</si>
  <si>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</si>
  <si>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</si>
  <si>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</si>
  <si>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</si>
  <si>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</si>
  <si>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</si>
  <si>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</si>
  <si>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</si>
  <si>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</si>
  <si>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</si>
  <si>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</si>
  <si>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</si>
  <si>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</si>
  <si>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</si>
  <si>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</si>
  <si>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</si>
  <si>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</si>
  <si>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</si>
  <si>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</si>
  <si>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</si>
  <si>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</si>
  <si>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</si>
  <si>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</si>
  <si>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</si>
  <si>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</si>
  <si>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</si>
  <si>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</si>
  <si>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</si>
  <si>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</si>
  <si>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</si>
  <si>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</si>
  <si>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</si>
  <si>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</si>
  <si>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</si>
  <si>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</si>
  <si>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</si>
  <si>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</si>
  <si>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</si>
  <si>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</si>
  <si>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</si>
  <si>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</si>
  <si>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</si>
  <si>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</si>
  <si>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</si>
  <si>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</si>
  <si>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</si>
  <si>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</si>
  <si>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</si>
  <si>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</si>
  <si>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</si>
  <si>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</si>
  <si>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</si>
  <si>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서울가정,행정법원 신축공사</t>
  </si>
  <si>
    <t>업무</t>
  </si>
  <si>
    <t>서울</t>
  </si>
  <si>
    <t>기타공사,골재대및운반비</t>
  </si>
  <si>
    <t>토공사 및 지정공사</t>
  </si>
  <si>
    <t>작업부산물,부대시설공사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</si>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</sst>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154</v>
      </c>
      <c r="B2" s="75" t="s">
        <v>0</v>
      </c>
      <c r="C2" s="76"/>
      <c r="D2" s="75" t="s">
        <v>1</v>
      </c>
      <c r="E2" s="76"/>
      <c r="F2" s="75" t="s">
        <v>155</v>
      </c>
      <c r="G2" s="76"/>
      <c r="H2" s="75" t="s">
        <v>2</v>
      </c>
      <c r="I2" s="76"/>
      <c r="J2" s="75" t="s">
        <v>3</v>
      </c>
      <c r="K2" s="76"/>
      <c r="L2" s="75" t="s">
        <v>156</v>
      </c>
      <c r="M2" s="76"/>
      <c r="N2" s="75" t="s">
        <v>157</v>
      </c>
      <c r="O2" s="76"/>
      <c r="P2" s="75" t="s">
        <v>158</v>
      </c>
      <c r="Q2" s="76"/>
      <c r="R2" s="69" t="s">
        <v>159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160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161</v>
      </c>
      <c r="D5" s="5">
        <v>1</v>
      </c>
      <c r="E5" s="1" t="s">
        <v>162</v>
      </c>
      <c r="F5" s="5">
        <v>1</v>
      </c>
      <c r="G5" s="17" t="s">
        <v>317</v>
      </c>
      <c r="H5" s="5">
        <v>1</v>
      </c>
      <c r="I5" s="1" t="s">
        <v>28</v>
      </c>
      <c r="J5" s="19">
        <v>1</v>
      </c>
      <c r="K5" s="1" t="s">
        <v>163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75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164</v>
      </c>
      <c r="AD5" s="28">
        <v>1</v>
      </c>
      <c r="AE5" s="29" t="s">
        <v>25</v>
      </c>
      <c r="AF5" s="28">
        <v>1</v>
      </c>
      <c r="AG5" s="39" t="s">
        <v>165</v>
      </c>
    </row>
    <row r="6" spans="1:33" x14ac:dyDescent="0.3">
      <c r="A6" s="4">
        <f>+A5+1</f>
        <v>2</v>
      </c>
      <c r="B6" s="5">
        <f>+B5+1</f>
        <v>2</v>
      </c>
      <c r="C6" s="17" t="s">
        <v>166</v>
      </c>
      <c r="D6" s="5">
        <v>2</v>
      </c>
      <c r="E6" s="1" t="s">
        <v>167</v>
      </c>
      <c r="F6" s="5">
        <v>2</v>
      </c>
      <c r="G6" s="17" t="s">
        <v>168</v>
      </c>
      <c r="H6" s="5">
        <v>2</v>
      </c>
      <c r="I6" s="1" t="s">
        <v>169</v>
      </c>
      <c r="J6" s="19">
        <v>2</v>
      </c>
      <c r="K6" s="1" t="s">
        <v>170</v>
      </c>
      <c r="L6" s="5">
        <v>2</v>
      </c>
      <c r="M6" s="6" t="s">
        <v>171</v>
      </c>
      <c r="N6" s="5">
        <v>2</v>
      </c>
      <c r="O6" s="6" t="s">
        <v>172</v>
      </c>
      <c r="P6" s="5">
        <v>2</v>
      </c>
      <c r="Q6" s="1" t="s">
        <v>160</v>
      </c>
      <c r="R6" s="28">
        <v>2</v>
      </c>
      <c r="S6" s="29" t="s">
        <v>173</v>
      </c>
      <c r="T6" s="28">
        <v>2</v>
      </c>
      <c r="U6" s="29" t="s">
        <v>174</v>
      </c>
      <c r="V6" s="28">
        <v>2</v>
      </c>
      <c r="W6" s="29" t="s">
        <v>175</v>
      </c>
      <c r="X6" s="28">
        <v>2</v>
      </c>
      <c r="Y6" s="29" t="s">
        <v>176</v>
      </c>
      <c r="Z6" s="28">
        <v>2</v>
      </c>
      <c r="AA6" s="29" t="s">
        <v>177</v>
      </c>
      <c r="AB6" s="28">
        <v>2</v>
      </c>
      <c r="AC6" s="29" t="s">
        <v>178</v>
      </c>
      <c r="AD6" s="28">
        <v>2</v>
      </c>
      <c r="AE6" s="29" t="s">
        <v>179</v>
      </c>
      <c r="AF6" s="28">
        <v>2</v>
      </c>
      <c r="AG6" s="39" t="s">
        <v>180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181</v>
      </c>
      <c r="D7" s="5">
        <v>3</v>
      </c>
      <c r="E7" s="1" t="s">
        <v>182</v>
      </c>
      <c r="F7" s="5">
        <v>3</v>
      </c>
      <c r="G7" s="17" t="s">
        <v>183</v>
      </c>
      <c r="H7" s="5">
        <v>3</v>
      </c>
      <c r="I7" s="1" t="s">
        <v>184</v>
      </c>
      <c r="J7" s="19">
        <v>3</v>
      </c>
      <c r="K7" s="1" t="s">
        <v>185</v>
      </c>
      <c r="L7" s="5">
        <v>3</v>
      </c>
      <c r="M7" s="6" t="s">
        <v>186</v>
      </c>
      <c r="N7" s="5">
        <v>3</v>
      </c>
      <c r="O7" s="6" t="s">
        <v>187</v>
      </c>
      <c r="P7" s="5">
        <v>3</v>
      </c>
      <c r="Q7" s="1" t="s">
        <v>188</v>
      </c>
      <c r="R7" s="28">
        <v>3</v>
      </c>
      <c r="S7" s="29" t="s">
        <v>189</v>
      </c>
      <c r="T7" s="28">
        <v>3</v>
      </c>
      <c r="U7" s="29" t="s">
        <v>190</v>
      </c>
      <c r="V7" s="28">
        <v>3</v>
      </c>
      <c r="W7" s="29" t="s">
        <v>191</v>
      </c>
      <c r="X7" s="28">
        <v>3</v>
      </c>
      <c r="Y7" s="29" t="s">
        <v>192</v>
      </c>
      <c r="Z7" s="28">
        <v>3</v>
      </c>
      <c r="AA7" s="29" t="s">
        <v>193</v>
      </c>
      <c r="AB7" s="28">
        <v>3</v>
      </c>
      <c r="AC7" s="29" t="s">
        <v>194</v>
      </c>
      <c r="AD7" s="28">
        <v>3</v>
      </c>
      <c r="AE7" s="29" t="s">
        <v>195</v>
      </c>
      <c r="AF7" s="28">
        <v>3</v>
      </c>
      <c r="AG7" s="39" t="s">
        <v>178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196</v>
      </c>
      <c r="D8" s="5">
        <v>4</v>
      </c>
      <c r="E8" s="1" t="s">
        <v>197</v>
      </c>
      <c r="F8" s="5">
        <v>4</v>
      </c>
      <c r="G8" s="17" t="s">
        <v>198</v>
      </c>
      <c r="H8" s="5">
        <v>4</v>
      </c>
      <c r="I8" s="1" t="s">
        <v>199</v>
      </c>
      <c r="J8" s="19">
        <v>4</v>
      </c>
      <c r="K8" s="1" t="s">
        <v>200</v>
      </c>
      <c r="L8" s="5"/>
      <c r="M8" s="6"/>
      <c r="N8" s="5"/>
      <c r="O8" s="6"/>
      <c r="P8" s="5">
        <v>4</v>
      </c>
      <c r="Q8" s="1" t="s">
        <v>201</v>
      </c>
      <c r="R8" s="28">
        <v>4</v>
      </c>
      <c r="S8" s="29" t="s">
        <v>202</v>
      </c>
      <c r="T8" s="28"/>
      <c r="U8" s="29"/>
      <c r="V8" s="28">
        <v>4</v>
      </c>
      <c r="W8" s="29" t="s">
        <v>203</v>
      </c>
      <c r="X8" s="28">
        <v>4</v>
      </c>
      <c r="Y8" s="29" t="s">
        <v>204</v>
      </c>
      <c r="Z8" s="28">
        <v>4</v>
      </c>
      <c r="AA8" s="29" t="s">
        <v>205</v>
      </c>
      <c r="AB8" s="28">
        <v>4</v>
      </c>
      <c r="AC8" s="29" t="s">
        <v>206</v>
      </c>
      <c r="AD8" s="28">
        <v>4</v>
      </c>
      <c r="AE8" s="29" t="s">
        <v>178</v>
      </c>
      <c r="AF8" s="28">
        <v>4</v>
      </c>
      <c r="AG8" s="39" t="s">
        <v>207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208</v>
      </c>
      <c r="D9" s="5">
        <v>5</v>
      </c>
      <c r="E9" s="1" t="s">
        <v>209</v>
      </c>
      <c r="F9" s="5">
        <v>5</v>
      </c>
      <c r="G9" s="17" t="s">
        <v>210</v>
      </c>
      <c r="H9" s="5">
        <v>5</v>
      </c>
      <c r="I9" s="1" t="s">
        <v>211</v>
      </c>
      <c r="J9" s="19">
        <v>5</v>
      </c>
      <c r="K9" s="1" t="s">
        <v>212</v>
      </c>
      <c r="L9" s="5"/>
      <c r="M9" s="6"/>
      <c r="N9" s="5"/>
      <c r="O9" s="6"/>
      <c r="P9" s="5">
        <v>5</v>
      </c>
      <c r="Q9" s="1" t="s">
        <v>213</v>
      </c>
      <c r="R9" s="28">
        <v>5</v>
      </c>
      <c r="S9" s="29" t="s">
        <v>214</v>
      </c>
      <c r="T9" s="28"/>
      <c r="U9" s="29"/>
      <c r="V9" s="28">
        <v>5</v>
      </c>
      <c r="W9" s="29" t="s">
        <v>215</v>
      </c>
      <c r="X9" s="28">
        <v>5</v>
      </c>
      <c r="Y9" s="29" t="s">
        <v>216</v>
      </c>
      <c r="Z9" s="28">
        <v>5</v>
      </c>
      <c r="AA9" s="29" t="s">
        <v>217</v>
      </c>
      <c r="AB9" s="28">
        <v>5</v>
      </c>
      <c r="AC9" s="29" t="s">
        <v>218</v>
      </c>
      <c r="AD9" s="28">
        <v>5</v>
      </c>
      <c r="AE9" s="29" t="s">
        <v>207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219</v>
      </c>
      <c r="D10" s="5">
        <v>6</v>
      </c>
      <c r="E10" s="1" t="s">
        <v>220</v>
      </c>
      <c r="F10" s="5">
        <v>6</v>
      </c>
      <c r="G10" s="17" t="s">
        <v>221</v>
      </c>
      <c r="H10" s="5">
        <v>6</v>
      </c>
      <c r="I10" s="1" t="s">
        <v>222</v>
      </c>
      <c r="J10" s="19">
        <v>6</v>
      </c>
      <c r="K10" s="1" t="s">
        <v>223</v>
      </c>
      <c r="L10" s="5"/>
      <c r="M10" s="6"/>
      <c r="N10" s="5"/>
      <c r="O10" s="6"/>
      <c r="P10" s="5">
        <v>6</v>
      </c>
      <c r="Q10" s="1" t="s">
        <v>224</v>
      </c>
      <c r="R10" s="28">
        <v>6</v>
      </c>
      <c r="S10" s="29" t="s">
        <v>225</v>
      </c>
      <c r="T10" s="28"/>
      <c r="U10" s="29"/>
      <c r="V10" s="28">
        <v>6</v>
      </c>
      <c r="W10" s="29" t="s">
        <v>226</v>
      </c>
      <c r="X10" s="28">
        <v>6</v>
      </c>
      <c r="Y10" s="29" t="s">
        <v>227</v>
      </c>
      <c r="Z10" s="28">
        <v>6</v>
      </c>
      <c r="AA10" s="29" t="s">
        <v>228</v>
      </c>
      <c r="AB10" s="28">
        <v>6</v>
      </c>
      <c r="AC10" s="29" t="s">
        <v>229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230</v>
      </c>
      <c r="D11" s="5">
        <v>7</v>
      </c>
      <c r="E11" s="1" t="s">
        <v>231</v>
      </c>
      <c r="F11" s="5">
        <v>7</v>
      </c>
      <c r="G11" s="17" t="s">
        <v>232</v>
      </c>
      <c r="H11" s="5">
        <v>7</v>
      </c>
      <c r="I11" s="1" t="s">
        <v>233</v>
      </c>
      <c r="J11" s="19">
        <v>7</v>
      </c>
      <c r="K11" s="1" t="s">
        <v>69</v>
      </c>
      <c r="L11" s="5"/>
      <c r="M11" s="6"/>
      <c r="N11" s="5"/>
      <c r="O11" s="6"/>
      <c r="P11" s="5">
        <v>7</v>
      </c>
      <c r="Q11" s="1" t="s">
        <v>234</v>
      </c>
      <c r="R11" s="28">
        <v>7</v>
      </c>
      <c r="S11" s="29" t="s">
        <v>235</v>
      </c>
      <c r="T11" s="28"/>
      <c r="U11" s="29"/>
      <c r="V11" s="28">
        <v>7</v>
      </c>
      <c r="W11" s="29" t="s">
        <v>236</v>
      </c>
      <c r="X11" s="28">
        <v>7</v>
      </c>
      <c r="Y11" s="29" t="s">
        <v>237</v>
      </c>
      <c r="Z11" s="28">
        <v>7</v>
      </c>
      <c r="AA11" s="29" t="s">
        <v>238</v>
      </c>
      <c r="AB11" s="28">
        <v>7</v>
      </c>
      <c r="AC11" s="29" t="s">
        <v>239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240</v>
      </c>
      <c r="D12" s="5">
        <v>8</v>
      </c>
      <c r="E12" s="1" t="s">
        <v>241</v>
      </c>
      <c r="F12" s="5">
        <v>8</v>
      </c>
      <c r="G12" s="17" t="s">
        <v>242</v>
      </c>
      <c r="H12" s="5">
        <v>8</v>
      </c>
      <c r="I12" s="1" t="s">
        <v>243</v>
      </c>
      <c r="J12" s="19">
        <v>8</v>
      </c>
      <c r="K12" s="1" t="s">
        <v>68</v>
      </c>
      <c r="L12" s="5"/>
      <c r="M12" s="6"/>
      <c r="N12" s="5"/>
      <c r="O12" s="6"/>
      <c r="P12" s="5">
        <v>8</v>
      </c>
      <c r="Q12" s="1" t="s">
        <v>244</v>
      </c>
      <c r="R12" s="28">
        <v>8</v>
      </c>
      <c r="S12" s="29" t="s">
        <v>245</v>
      </c>
      <c r="T12" s="28"/>
      <c r="U12" s="29"/>
      <c r="V12" s="28">
        <v>8</v>
      </c>
      <c r="W12" s="29" t="s">
        <v>246</v>
      </c>
      <c r="X12" s="28">
        <v>8</v>
      </c>
      <c r="Y12" s="29" t="s">
        <v>238</v>
      </c>
      <c r="Z12" s="28">
        <v>8</v>
      </c>
      <c r="AA12" s="29" t="s">
        <v>247</v>
      </c>
      <c r="AB12" s="28">
        <v>8</v>
      </c>
      <c r="AC12" s="29" t="s">
        <v>248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249</v>
      </c>
      <c r="D13" s="5">
        <v>9</v>
      </c>
      <c r="E13" s="1" t="s">
        <v>250</v>
      </c>
      <c r="F13" s="5"/>
      <c r="G13" s="17"/>
      <c r="H13" s="5">
        <v>9</v>
      </c>
      <c r="I13" s="1" t="s">
        <v>251</v>
      </c>
      <c r="J13" s="19">
        <v>9</v>
      </c>
      <c r="K13" s="1" t="s">
        <v>66</v>
      </c>
      <c r="L13" s="5"/>
      <c r="M13" s="6"/>
      <c r="N13" s="5"/>
      <c r="O13" s="6"/>
      <c r="P13" s="5">
        <v>9</v>
      </c>
      <c r="Q13" s="1" t="s">
        <v>252</v>
      </c>
      <c r="R13" s="28">
        <v>9</v>
      </c>
      <c r="S13" s="29" t="s">
        <v>253</v>
      </c>
      <c r="T13" s="28"/>
      <c r="U13" s="29"/>
      <c r="V13" s="28">
        <v>9</v>
      </c>
      <c r="W13" s="29" t="s">
        <v>254</v>
      </c>
      <c r="X13" s="28">
        <v>9</v>
      </c>
      <c r="Y13" s="29" t="s">
        <v>255</v>
      </c>
      <c r="Z13" s="28">
        <v>9</v>
      </c>
      <c r="AA13" s="29" t="s">
        <v>256</v>
      </c>
      <c r="AB13" s="28">
        <v>9</v>
      </c>
      <c r="AC13" s="29" t="s">
        <v>257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258</v>
      </c>
      <c r="D14" s="5">
        <v>10</v>
      </c>
      <c r="E14" s="1" t="s">
        <v>259</v>
      </c>
      <c r="F14" s="5"/>
      <c r="G14" s="17"/>
      <c r="H14" s="5">
        <v>10</v>
      </c>
      <c r="I14" s="1" t="s">
        <v>260</v>
      </c>
      <c r="J14" s="19">
        <v>10</v>
      </c>
      <c r="K14" s="1" t="s">
        <v>67</v>
      </c>
      <c r="L14" s="5"/>
      <c r="M14" s="6"/>
      <c r="N14" s="5"/>
      <c r="O14" s="6"/>
      <c r="P14" s="5"/>
      <c r="Q14" s="1"/>
      <c r="R14" s="28">
        <v>10</v>
      </c>
      <c r="S14" s="29" t="s">
        <v>261</v>
      </c>
      <c r="T14" s="28"/>
      <c r="U14" s="29"/>
      <c r="V14" s="28">
        <v>10</v>
      </c>
      <c r="W14" s="29" t="s">
        <v>262</v>
      </c>
      <c r="X14" s="28">
        <v>10</v>
      </c>
      <c r="Y14" s="29" t="s">
        <v>263</v>
      </c>
      <c r="Z14" s="28">
        <v>10</v>
      </c>
      <c r="AA14" s="29" t="s">
        <v>207</v>
      </c>
      <c r="AB14" s="28">
        <v>10</v>
      </c>
      <c r="AC14" s="29" t="s">
        <v>207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264</v>
      </c>
      <c r="D15" s="5"/>
      <c r="E15" s="1"/>
      <c r="F15" s="17"/>
      <c r="G15" s="17"/>
      <c r="H15" s="5">
        <v>11</v>
      </c>
      <c r="I15" s="1" t="s">
        <v>265</v>
      </c>
      <c r="J15" s="19">
        <v>11</v>
      </c>
      <c r="K15" s="1" t="s">
        <v>65</v>
      </c>
      <c r="L15" s="5"/>
      <c r="M15" s="6"/>
      <c r="N15" s="5"/>
      <c r="O15" s="6"/>
      <c r="P15" s="5"/>
      <c r="Q15" s="1"/>
      <c r="R15" s="28">
        <v>11</v>
      </c>
      <c r="S15" s="29" t="s">
        <v>266</v>
      </c>
      <c r="T15" s="28"/>
      <c r="U15" s="29"/>
      <c r="V15" s="28">
        <v>11</v>
      </c>
      <c r="W15" s="29" t="s">
        <v>267</v>
      </c>
      <c r="X15" s="28">
        <v>11</v>
      </c>
      <c r="Y15" s="29" t="s">
        <v>268</v>
      </c>
      <c r="Z15" s="28">
        <v>11</v>
      </c>
      <c r="AA15" s="29" t="s">
        <v>178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269</v>
      </c>
      <c r="D16" s="5"/>
      <c r="E16" s="1"/>
      <c r="F16" s="17"/>
      <c r="G16" s="22"/>
      <c r="H16" s="5">
        <v>12</v>
      </c>
      <c r="I16" s="1" t="s">
        <v>270</v>
      </c>
      <c r="J16" s="19">
        <v>12</v>
      </c>
      <c r="K16" s="1" t="s">
        <v>64</v>
      </c>
      <c r="L16" s="5"/>
      <c r="M16" s="6"/>
      <c r="N16" s="5"/>
      <c r="O16" s="6"/>
      <c r="P16" s="5"/>
      <c r="Q16" s="1"/>
      <c r="R16" s="28">
        <v>12</v>
      </c>
      <c r="S16" s="29" t="s">
        <v>271</v>
      </c>
      <c r="T16" s="28"/>
      <c r="U16" s="29"/>
      <c r="V16" s="28">
        <v>12</v>
      </c>
      <c r="W16" s="29" t="s">
        <v>272</v>
      </c>
      <c r="X16" s="28">
        <v>12</v>
      </c>
      <c r="Y16" s="29" t="s">
        <v>273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274</v>
      </c>
      <c r="D17" s="5"/>
      <c r="E17" s="1"/>
      <c r="F17" s="17"/>
      <c r="G17" s="17"/>
      <c r="H17" s="5">
        <v>13</v>
      </c>
      <c r="I17" s="1" t="s">
        <v>275</v>
      </c>
      <c r="J17" s="19">
        <v>13</v>
      </c>
      <c r="K17" s="1" t="s">
        <v>63</v>
      </c>
      <c r="L17" s="5"/>
      <c r="M17" s="6"/>
      <c r="N17" s="5"/>
      <c r="O17" s="6"/>
      <c r="P17" s="5"/>
      <c r="Q17" s="1"/>
      <c r="R17" s="28">
        <v>13</v>
      </c>
      <c r="S17" s="29" t="s">
        <v>276</v>
      </c>
      <c r="T17" s="28"/>
      <c r="U17" s="29"/>
      <c r="V17" s="28">
        <v>13</v>
      </c>
      <c r="W17" s="29" t="s">
        <v>277</v>
      </c>
      <c r="X17" s="28">
        <v>13</v>
      </c>
      <c r="Y17" s="29" t="s">
        <v>278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279</v>
      </c>
      <c r="D18" s="17"/>
      <c r="E18" s="1"/>
      <c r="F18" s="17"/>
      <c r="G18" s="23"/>
      <c r="H18" s="5">
        <v>14</v>
      </c>
      <c r="I18" s="1" t="s">
        <v>280</v>
      </c>
      <c r="J18" s="19">
        <v>14</v>
      </c>
      <c r="K18" s="1" t="s">
        <v>74</v>
      </c>
      <c r="L18" s="5"/>
      <c r="M18" s="6"/>
      <c r="N18" s="5"/>
      <c r="O18" s="6"/>
      <c r="P18" s="5"/>
      <c r="Q18" s="1"/>
      <c r="R18" s="28">
        <v>14</v>
      </c>
      <c r="S18" s="29" t="s">
        <v>281</v>
      </c>
      <c r="T18" s="28"/>
      <c r="U18" s="29"/>
      <c r="V18" s="28">
        <v>14</v>
      </c>
      <c r="W18" s="29" t="s">
        <v>282</v>
      </c>
      <c r="X18" s="28">
        <v>14</v>
      </c>
      <c r="Y18" s="29" t="s">
        <v>283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284</v>
      </c>
      <c r="D19" s="5"/>
      <c r="E19" s="1"/>
      <c r="F19" s="17"/>
      <c r="G19" s="17"/>
      <c r="H19" s="5"/>
      <c r="I19" s="1"/>
      <c r="J19" s="19">
        <v>15</v>
      </c>
      <c r="K19" s="1" t="s">
        <v>73</v>
      </c>
      <c r="L19" s="5"/>
      <c r="M19" s="6"/>
      <c r="N19" s="5"/>
      <c r="O19" s="6"/>
      <c r="P19" s="5"/>
      <c r="Q19" s="1"/>
      <c r="R19" s="28">
        <v>15</v>
      </c>
      <c r="S19" s="29" t="s">
        <v>285</v>
      </c>
      <c r="T19" s="28"/>
      <c r="U19" s="29"/>
      <c r="V19" s="28">
        <v>15</v>
      </c>
      <c r="W19" s="29" t="s">
        <v>286</v>
      </c>
      <c r="X19" s="28">
        <v>15</v>
      </c>
      <c r="Y19" s="29" t="s">
        <v>287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288</v>
      </c>
      <c r="D20" s="5"/>
      <c r="E20" s="1"/>
      <c r="F20" s="17"/>
      <c r="G20" s="17"/>
      <c r="H20" s="5"/>
      <c r="I20" s="1"/>
      <c r="J20" s="19">
        <v>16</v>
      </c>
      <c r="K20" s="1" t="s">
        <v>72</v>
      </c>
      <c r="L20" s="5"/>
      <c r="M20" s="6"/>
      <c r="N20" s="5"/>
      <c r="O20" s="6"/>
      <c r="P20" s="5"/>
      <c r="Q20" s="1"/>
      <c r="R20" s="28">
        <v>16</v>
      </c>
      <c r="S20" s="29" t="s">
        <v>289</v>
      </c>
      <c r="T20" s="28"/>
      <c r="U20" s="29"/>
      <c r="V20" s="28">
        <v>16</v>
      </c>
      <c r="W20" s="29" t="s">
        <v>290</v>
      </c>
      <c r="X20" s="28">
        <v>16</v>
      </c>
      <c r="Y20" s="29" t="s">
        <v>291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178</v>
      </c>
      <c r="D21" s="5"/>
      <c r="E21" s="1"/>
      <c r="F21" s="17"/>
      <c r="G21" s="17"/>
      <c r="H21" s="5"/>
      <c r="I21" s="1"/>
      <c r="J21" s="19">
        <v>17</v>
      </c>
      <c r="K21" s="1" t="s">
        <v>71</v>
      </c>
      <c r="L21" s="5"/>
      <c r="M21" s="6"/>
      <c r="N21" s="5"/>
      <c r="O21" s="6"/>
      <c r="P21" s="5"/>
      <c r="Q21" s="1"/>
      <c r="R21" s="28">
        <v>17</v>
      </c>
      <c r="S21" s="29" t="s">
        <v>292</v>
      </c>
      <c r="T21" s="28"/>
      <c r="U21" s="29"/>
      <c r="V21" s="28">
        <v>17</v>
      </c>
      <c r="W21" s="29" t="s">
        <v>293</v>
      </c>
      <c r="X21" s="28">
        <v>17</v>
      </c>
      <c r="Y21" s="29" t="s">
        <v>294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70</v>
      </c>
      <c r="L22" s="5"/>
      <c r="M22" s="6"/>
      <c r="N22" s="5"/>
      <c r="O22" s="6"/>
      <c r="P22" s="5"/>
      <c r="Q22" s="1"/>
      <c r="R22" s="28">
        <v>18</v>
      </c>
      <c r="S22" s="29" t="s">
        <v>295</v>
      </c>
      <c r="T22" s="28"/>
      <c r="U22" s="29"/>
      <c r="V22" s="28">
        <v>18</v>
      </c>
      <c r="W22" s="29" t="s">
        <v>296</v>
      </c>
      <c r="X22" s="28">
        <v>18</v>
      </c>
      <c r="Y22" s="29" t="s">
        <v>297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62</v>
      </c>
      <c r="L23" s="5"/>
      <c r="M23" s="6"/>
      <c r="N23" s="5"/>
      <c r="O23" s="6"/>
      <c r="P23" s="5"/>
      <c r="Q23" s="1"/>
      <c r="R23" s="28">
        <v>19</v>
      </c>
      <c r="S23" s="29" t="s">
        <v>298</v>
      </c>
      <c r="T23" s="28"/>
      <c r="U23" s="29"/>
      <c r="V23" s="28">
        <v>19</v>
      </c>
      <c r="W23" s="29" t="s">
        <v>299</v>
      </c>
      <c r="X23" s="28">
        <v>19</v>
      </c>
      <c r="Y23" s="29" t="s">
        <v>300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61</v>
      </c>
      <c r="L24" s="5"/>
      <c r="M24" s="6"/>
      <c r="N24" s="5"/>
      <c r="O24" s="6"/>
      <c r="P24" s="5"/>
      <c r="Q24" s="1"/>
      <c r="R24" s="28">
        <v>20</v>
      </c>
      <c r="S24" s="29" t="s">
        <v>207</v>
      </c>
      <c r="T24" s="28"/>
      <c r="U24" s="29"/>
      <c r="V24" s="28">
        <v>20</v>
      </c>
      <c r="W24" s="29" t="s">
        <v>301</v>
      </c>
      <c r="X24" s="28">
        <v>20</v>
      </c>
      <c r="Y24" s="29" t="s">
        <v>207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302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303</v>
      </c>
      <c r="X25" s="28">
        <v>21</v>
      </c>
      <c r="Y25" s="29" t="s">
        <v>178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304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305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306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307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207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308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309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150</v>
      </c>
    </row>
    <row r="7" spans="1:4" ht="17.25" thickBot="1" x14ac:dyDescent="0.35">
      <c r="C7" s="38">
        <v>41613</v>
      </c>
      <c r="D7" s="36">
        <f>+C7/3.3058</f>
        <v>12587.875854558653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310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67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318</v>
      </c>
    </row>
    <row r="19" spans="1:5" x14ac:dyDescent="0.3">
      <c r="A19" s="2">
        <v>9</v>
      </c>
      <c r="B19" s="2" t="s">
        <v>319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151</v>
      </c>
      <c r="E23" s="35" t="s">
        <v>314</v>
      </c>
    </row>
    <row r="24" spans="1:5" x14ac:dyDescent="0.3">
      <c r="B24" s="2">
        <v>1</v>
      </c>
      <c r="C24" s="35" t="s">
        <v>44</v>
      </c>
      <c r="D24" s="43">
        <f>+D37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45</v>
      </c>
      <c r="D25" s="47">
        <f>+D60</f>
        <v>832430</v>
      </c>
      <c r="E25" s="60">
        <f t="shared" si="0"/>
        <v>2751840</v>
      </c>
    </row>
    <row r="26" spans="1:5" x14ac:dyDescent="0.3">
      <c r="B26" s="2">
        <v>3</v>
      </c>
      <c r="C26" s="35" t="s">
        <v>29</v>
      </c>
      <c r="D26" s="47">
        <f>+D66</f>
        <v>15220</v>
      </c>
      <c r="E26" s="60">
        <f t="shared" si="0"/>
        <v>50310</v>
      </c>
    </row>
    <row r="27" spans="1:5" x14ac:dyDescent="0.3">
      <c r="B27" s="2">
        <v>4</v>
      </c>
      <c r="C27" s="35" t="s">
        <v>30</v>
      </c>
      <c r="D27" s="47">
        <f>+D95</f>
        <v>235720</v>
      </c>
      <c r="E27" s="60">
        <f t="shared" si="0"/>
        <v>779240</v>
      </c>
    </row>
    <row r="28" spans="1:5" x14ac:dyDescent="0.3">
      <c r="B28" s="2">
        <v>5</v>
      </c>
      <c r="C28" s="35" t="s">
        <v>31</v>
      </c>
      <c r="D28" s="47">
        <f>+D119</f>
        <v>114100</v>
      </c>
      <c r="E28" s="60">
        <f t="shared" si="0"/>
        <v>377190</v>
      </c>
    </row>
    <row r="29" spans="1:5" x14ac:dyDescent="0.3">
      <c r="B29" s="2">
        <v>6</v>
      </c>
      <c r="C29" s="35" t="s">
        <v>32</v>
      </c>
      <c r="D29" s="47">
        <f>+D133</f>
        <v>21820.104294331097</v>
      </c>
      <c r="E29" s="60">
        <f t="shared" si="0"/>
        <v>72130</v>
      </c>
    </row>
    <row r="30" spans="1:5" x14ac:dyDescent="0.3">
      <c r="B30" s="2">
        <v>7</v>
      </c>
      <c r="C30" s="35" t="s">
        <v>33</v>
      </c>
      <c r="D30" s="47">
        <f>+D146</f>
        <v>0</v>
      </c>
      <c r="E30" s="60">
        <f t="shared" si="0"/>
        <v>0</v>
      </c>
    </row>
    <row r="31" spans="1:5" x14ac:dyDescent="0.3">
      <c r="B31" s="2">
        <v>8</v>
      </c>
      <c r="C31" s="35" t="s">
        <v>34</v>
      </c>
      <c r="D31" s="47">
        <f>+D154</f>
        <v>185780</v>
      </c>
      <c r="E31" s="60">
        <f t="shared" si="0"/>
        <v>614150</v>
      </c>
    </row>
    <row r="32" spans="1:5" x14ac:dyDescent="0.3">
      <c r="B32" s="2">
        <v>9</v>
      </c>
      <c r="C32" s="35" t="s">
        <v>35</v>
      </c>
      <c r="D32" s="47">
        <f>+D161</f>
        <v>0</v>
      </c>
      <c r="E32" s="60">
        <f t="shared" si="0"/>
        <v>0</v>
      </c>
    </row>
    <row r="33" spans="1:5" x14ac:dyDescent="0.3">
      <c r="B33" s="2">
        <v>10</v>
      </c>
      <c r="C33" s="35" t="s">
        <v>60</v>
      </c>
      <c r="D33" s="55">
        <f>TRUNC(SUM(D24:D32)*0.275,-1)</f>
        <v>386390</v>
      </c>
      <c r="E33" s="61">
        <f t="shared" si="0"/>
        <v>1277320</v>
      </c>
    </row>
    <row r="34" spans="1:5" x14ac:dyDescent="0.3">
      <c r="C34" s="35" t="s">
        <v>46</v>
      </c>
      <c r="D34" s="46">
        <f>SUM(D24:D33)</f>
        <v>1791460.104294331</v>
      </c>
      <c r="E34" s="46">
        <f>SUM(E24:E33)</f>
        <v>5922180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151</v>
      </c>
      <c r="E36" s="49" t="s">
        <v>314</v>
      </c>
    </row>
    <row r="37" spans="1:5" ht="17.25" thickBot="1" x14ac:dyDescent="0.35">
      <c r="C37" s="39" t="s">
        <v>51</v>
      </c>
      <c r="D37" s="56">
        <v>0</v>
      </c>
      <c r="E37" s="62">
        <f>TRUNC(+D37*3.3058,-1)</f>
        <v>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77</v>
      </c>
      <c r="D39" s="68" t="s">
        <v>315</v>
      </c>
      <c r="E39" s="68" t="s">
        <v>316</v>
      </c>
    </row>
    <row r="40" spans="1:5" x14ac:dyDescent="0.3">
      <c r="A40" s="2">
        <v>1</v>
      </c>
      <c r="C40" s="39" t="s">
        <v>75</v>
      </c>
      <c r="D40" s="42">
        <f>TRUNC(25965,-1)</f>
        <v>25960</v>
      </c>
      <c r="E40" s="63">
        <f t="shared" ref="E40:E59" si="1">TRUNC(+D40*3.3058,-1)</f>
        <v>85810</v>
      </c>
    </row>
    <row r="41" spans="1:5" x14ac:dyDescent="0.3">
      <c r="A41" s="2">
        <v>2</v>
      </c>
      <c r="C41" s="39" t="s">
        <v>6</v>
      </c>
      <c r="D41" s="44">
        <f>TRUNC(135996,-1)</f>
        <v>135990</v>
      </c>
      <c r="E41" s="64">
        <f t="shared" si="1"/>
        <v>449550</v>
      </c>
    </row>
    <row r="42" spans="1:5" x14ac:dyDescent="0.3">
      <c r="A42" s="2">
        <v>3</v>
      </c>
      <c r="C42" s="39" t="s">
        <v>7</v>
      </c>
      <c r="D42" s="44">
        <f>TRUNC(230970,-1)</f>
        <v>230970</v>
      </c>
      <c r="E42" s="64">
        <f t="shared" si="1"/>
        <v>763540</v>
      </c>
    </row>
    <row r="43" spans="1:5" x14ac:dyDescent="0.3">
      <c r="A43" s="2">
        <v>4</v>
      </c>
      <c r="C43" s="39" t="s">
        <v>8</v>
      </c>
      <c r="D43" s="44">
        <f>TRUNC(15040,-1)</f>
        <v>15040</v>
      </c>
      <c r="E43" s="64">
        <f t="shared" si="1"/>
        <v>49710</v>
      </c>
    </row>
    <row r="44" spans="1:5" x14ac:dyDescent="0.3">
      <c r="A44" s="2">
        <v>5</v>
      </c>
      <c r="C44" s="39" t="s">
        <v>9</v>
      </c>
      <c r="D44" s="44">
        <f>TRUNC(19183,-1)</f>
        <v>19180</v>
      </c>
      <c r="E44" s="64">
        <f t="shared" si="1"/>
        <v>63400</v>
      </c>
    </row>
    <row r="45" spans="1:5" x14ac:dyDescent="0.3">
      <c r="A45" s="2">
        <v>6</v>
      </c>
      <c r="C45" s="39" t="s">
        <v>10</v>
      </c>
      <c r="D45" s="44">
        <f>TRUNC(2181,-1)</f>
        <v>2180</v>
      </c>
      <c r="E45" s="64">
        <f t="shared" si="1"/>
        <v>7200</v>
      </c>
    </row>
    <row r="46" spans="1:5" x14ac:dyDescent="0.3">
      <c r="A46" s="2">
        <v>7</v>
      </c>
      <c r="C46" s="39" t="s">
        <v>11</v>
      </c>
      <c r="D46" s="44">
        <f>TRUNC(16965,-1)</f>
        <v>16960</v>
      </c>
      <c r="E46" s="64">
        <f t="shared" si="1"/>
        <v>56060</v>
      </c>
    </row>
    <row r="47" spans="1:5" x14ac:dyDescent="0.3">
      <c r="A47" s="2">
        <v>8</v>
      </c>
      <c r="C47" s="39" t="s">
        <v>12</v>
      </c>
      <c r="D47" s="44">
        <f>TRUNC(978,-1)</f>
        <v>970</v>
      </c>
      <c r="E47" s="64">
        <f t="shared" si="1"/>
        <v>3200</v>
      </c>
    </row>
    <row r="48" spans="1:5" x14ac:dyDescent="0.3">
      <c r="A48" s="2">
        <v>9</v>
      </c>
      <c r="C48" s="39" t="s">
        <v>13</v>
      </c>
      <c r="D48" s="44">
        <f>TRUNC(40694,-1)</f>
        <v>40690</v>
      </c>
      <c r="E48" s="64">
        <f t="shared" si="1"/>
        <v>134510</v>
      </c>
    </row>
    <row r="49" spans="1:6" x14ac:dyDescent="0.3">
      <c r="A49" s="2">
        <v>10</v>
      </c>
      <c r="C49" s="39" t="s">
        <v>14</v>
      </c>
      <c r="D49" s="44">
        <f>TRUNC(18062,-1)</f>
        <v>18060</v>
      </c>
      <c r="E49" s="64">
        <f t="shared" si="1"/>
        <v>59700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TRUNC(97243,-1)</f>
        <v>97240</v>
      </c>
      <c r="E50" s="64">
        <f t="shared" si="1"/>
        <v>321450</v>
      </c>
      <c r="F50" s="2"/>
    </row>
    <row r="51" spans="1:6" x14ac:dyDescent="0.3">
      <c r="A51" s="2">
        <v>12</v>
      </c>
      <c r="C51" s="39" t="s">
        <v>16</v>
      </c>
      <c r="D51" s="44">
        <f>TRUNC(32283,-1)</f>
        <v>32280</v>
      </c>
      <c r="E51" s="64">
        <f t="shared" si="1"/>
        <v>106710</v>
      </c>
    </row>
    <row r="52" spans="1:6" x14ac:dyDescent="0.3">
      <c r="A52" s="2">
        <v>13</v>
      </c>
      <c r="C52" s="39" t="s">
        <v>17</v>
      </c>
      <c r="D52" s="44">
        <f>TRUNC(8489,-1)</f>
        <v>8480</v>
      </c>
      <c r="E52" s="64">
        <f t="shared" si="1"/>
        <v>28030</v>
      </c>
    </row>
    <row r="53" spans="1:6" x14ac:dyDescent="0.3">
      <c r="A53" s="2">
        <v>14</v>
      </c>
      <c r="C53" s="39" t="s">
        <v>18</v>
      </c>
      <c r="D53" s="44">
        <f>TRUNC(56670,-1)</f>
        <v>56670</v>
      </c>
      <c r="E53" s="64">
        <f t="shared" si="1"/>
        <v>187330</v>
      </c>
    </row>
    <row r="54" spans="1:6" x14ac:dyDescent="0.3">
      <c r="A54" s="2">
        <v>15</v>
      </c>
      <c r="C54" s="39" t="s">
        <v>55</v>
      </c>
      <c r="D54" s="44">
        <v>0</v>
      </c>
      <c r="E54" s="64">
        <f t="shared" si="1"/>
        <v>0</v>
      </c>
    </row>
    <row r="55" spans="1:6" x14ac:dyDescent="0.3">
      <c r="A55" s="2">
        <v>16</v>
      </c>
      <c r="C55" s="39" t="s">
        <v>52</v>
      </c>
      <c r="D55" s="44">
        <f>TRUNC(99,-1)</f>
        <v>90</v>
      </c>
      <c r="E55" s="64">
        <f t="shared" si="1"/>
        <v>290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TRUNC(37754+3445,-1)</f>
        <v>41190</v>
      </c>
      <c r="E58" s="64">
        <f t="shared" si="1"/>
        <v>136160</v>
      </c>
      <c r="F58" s="2" t="s">
        <v>311</v>
      </c>
    </row>
    <row r="59" spans="1:6" ht="17.25" thickBot="1" x14ac:dyDescent="0.35">
      <c r="A59" s="2">
        <v>20</v>
      </c>
      <c r="C59" s="39" t="s">
        <v>56</v>
      </c>
      <c r="D59" s="45">
        <f>TRUNC(90485.6655372119,-1)</f>
        <v>90480</v>
      </c>
      <c r="E59" s="65">
        <f t="shared" si="1"/>
        <v>299100</v>
      </c>
    </row>
    <row r="60" spans="1:6" x14ac:dyDescent="0.3">
      <c r="A60" s="2">
        <v>21</v>
      </c>
      <c r="C60" s="27" t="s">
        <v>46</v>
      </c>
      <c r="D60" s="40">
        <f>SUM(D40:D59)</f>
        <v>832430</v>
      </c>
      <c r="E60" s="40">
        <f>SUM(E40:E59)</f>
        <v>2751750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152</v>
      </c>
      <c r="E62" s="49" t="s">
        <v>59</v>
      </c>
    </row>
    <row r="63" spans="1:6" x14ac:dyDescent="0.3">
      <c r="A63" s="2">
        <v>1</v>
      </c>
      <c r="C63" s="39" t="s">
        <v>20</v>
      </c>
      <c r="D63" s="42">
        <f>TRUNC(15226,-1)</f>
        <v>15220</v>
      </c>
      <c r="E63" s="63">
        <f>TRUNC(+D63*3.3058,-1)</f>
        <v>50310</v>
      </c>
      <c r="F63" s="2" t="s">
        <v>312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5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5" x14ac:dyDescent="0.3">
      <c r="A66" s="2">
        <v>4</v>
      </c>
      <c r="C66" s="27" t="s">
        <v>46</v>
      </c>
      <c r="D66" s="40">
        <f>SUM(D63:D65)</f>
        <v>15220</v>
      </c>
      <c r="E66" s="66">
        <f>SUM(E63:E65)</f>
        <v>50310</v>
      </c>
    </row>
    <row r="67" spans="1:5" s="48" customFormat="1" x14ac:dyDescent="0.3">
      <c r="C67" s="49"/>
      <c r="D67" s="49"/>
      <c r="E67" s="49"/>
    </row>
    <row r="68" spans="1:5" s="48" customFormat="1" ht="17.25" thickBot="1" x14ac:dyDescent="0.35">
      <c r="B68" s="48" t="s">
        <v>76</v>
      </c>
      <c r="C68" s="48" t="s">
        <v>77</v>
      </c>
      <c r="D68" s="49" t="s">
        <v>48</v>
      </c>
      <c r="E68" s="49" t="s">
        <v>59</v>
      </c>
    </row>
    <row r="69" spans="1:5" x14ac:dyDescent="0.3">
      <c r="A69" s="2">
        <v>1</v>
      </c>
      <c r="C69" s="39" t="s">
        <v>78</v>
      </c>
      <c r="D69" s="42">
        <v>0</v>
      </c>
      <c r="E69" s="63">
        <f t="shared" ref="E69:E94" si="2">TRUNC(+D69*3.3058,-1)</f>
        <v>0</v>
      </c>
    </row>
    <row r="70" spans="1:5" ht="16.5" customHeight="1" x14ac:dyDescent="0.3">
      <c r="A70" s="2">
        <v>2</v>
      </c>
      <c r="C70" s="39" t="s">
        <v>79</v>
      </c>
      <c r="D70" s="44">
        <v>0</v>
      </c>
      <c r="E70" s="64">
        <f t="shared" si="2"/>
        <v>0</v>
      </c>
    </row>
    <row r="71" spans="1:5" x14ac:dyDescent="0.3">
      <c r="A71" s="2">
        <v>3</v>
      </c>
      <c r="C71" s="39" t="s">
        <v>80</v>
      </c>
      <c r="D71" s="44">
        <v>0</v>
      </c>
      <c r="E71" s="64">
        <f t="shared" si="2"/>
        <v>0</v>
      </c>
    </row>
    <row r="72" spans="1:5" x14ac:dyDescent="0.3">
      <c r="A72" s="2">
        <v>4</v>
      </c>
      <c r="C72" s="39" t="s">
        <v>81</v>
      </c>
      <c r="D72" s="44">
        <v>0</v>
      </c>
      <c r="E72" s="64">
        <f t="shared" si="2"/>
        <v>0</v>
      </c>
    </row>
    <row r="73" spans="1:5" x14ac:dyDescent="0.3">
      <c r="A73" s="2">
        <v>5</v>
      </c>
      <c r="C73" s="39" t="s">
        <v>82</v>
      </c>
      <c r="D73" s="44">
        <v>0</v>
      </c>
      <c r="E73" s="64">
        <f t="shared" si="2"/>
        <v>0</v>
      </c>
    </row>
    <row r="74" spans="1:5" x14ac:dyDescent="0.3">
      <c r="A74" s="2">
        <v>6</v>
      </c>
      <c r="C74" s="39" t="s">
        <v>83</v>
      </c>
      <c r="D74" s="44">
        <v>0</v>
      </c>
      <c r="E74" s="64">
        <f t="shared" si="2"/>
        <v>0</v>
      </c>
    </row>
    <row r="75" spans="1:5" x14ac:dyDescent="0.3">
      <c r="A75" s="2">
        <v>7</v>
      </c>
      <c r="C75" s="39" t="s">
        <v>84</v>
      </c>
      <c r="D75" s="44">
        <v>0</v>
      </c>
      <c r="E75" s="64">
        <f t="shared" si="2"/>
        <v>0</v>
      </c>
    </row>
    <row r="76" spans="1:5" x14ac:dyDescent="0.3">
      <c r="A76" s="2">
        <v>8</v>
      </c>
      <c r="C76" s="39" t="s">
        <v>85</v>
      </c>
      <c r="D76" s="44">
        <v>0</v>
      </c>
      <c r="E76" s="64">
        <f t="shared" si="2"/>
        <v>0</v>
      </c>
    </row>
    <row r="77" spans="1:5" x14ac:dyDescent="0.3">
      <c r="A77" s="2">
        <v>9</v>
      </c>
      <c r="C77" s="39" t="s">
        <v>86</v>
      </c>
      <c r="D77" s="44">
        <v>0</v>
      </c>
      <c r="E77" s="64">
        <f t="shared" si="2"/>
        <v>0</v>
      </c>
    </row>
    <row r="78" spans="1:5" x14ac:dyDescent="0.3">
      <c r="A78" s="2">
        <v>10</v>
      </c>
      <c r="C78" s="39" t="s">
        <v>87</v>
      </c>
      <c r="D78" s="44">
        <v>0</v>
      </c>
      <c r="E78" s="64">
        <f t="shared" si="2"/>
        <v>0</v>
      </c>
    </row>
    <row r="79" spans="1:5" x14ac:dyDescent="0.3">
      <c r="A79" s="2">
        <v>11</v>
      </c>
      <c r="C79" s="39" t="s">
        <v>88</v>
      </c>
      <c r="D79" s="44">
        <v>0</v>
      </c>
      <c r="E79" s="64">
        <f t="shared" si="2"/>
        <v>0</v>
      </c>
    </row>
    <row r="80" spans="1:5" x14ac:dyDescent="0.3">
      <c r="A80" s="2">
        <v>12</v>
      </c>
      <c r="C80" s="39" t="s">
        <v>89</v>
      </c>
      <c r="D80" s="44">
        <v>0</v>
      </c>
      <c r="E80" s="64">
        <f t="shared" si="2"/>
        <v>0</v>
      </c>
    </row>
    <row r="81" spans="1:5" x14ac:dyDescent="0.3">
      <c r="A81" s="2">
        <v>13</v>
      </c>
      <c r="C81" s="39" t="s">
        <v>90</v>
      </c>
      <c r="D81" s="44">
        <v>0</v>
      </c>
      <c r="E81" s="64">
        <f t="shared" si="2"/>
        <v>0</v>
      </c>
    </row>
    <row r="82" spans="1:5" x14ac:dyDescent="0.3">
      <c r="A82" s="2">
        <v>14</v>
      </c>
      <c r="C82" s="39" t="s">
        <v>91</v>
      </c>
      <c r="D82" s="44">
        <v>0</v>
      </c>
      <c r="E82" s="64">
        <f t="shared" si="2"/>
        <v>0</v>
      </c>
    </row>
    <row r="83" spans="1:5" x14ac:dyDescent="0.3">
      <c r="A83" s="2">
        <v>15</v>
      </c>
      <c r="C83" s="39" t="s">
        <v>92</v>
      </c>
      <c r="D83" s="44">
        <v>0</v>
      </c>
      <c r="E83" s="64">
        <f t="shared" si="2"/>
        <v>0</v>
      </c>
    </row>
    <row r="84" spans="1:5" x14ac:dyDescent="0.3">
      <c r="A84" s="2">
        <v>16</v>
      </c>
      <c r="C84" s="39" t="s">
        <v>93</v>
      </c>
      <c r="D84" s="44">
        <v>0</v>
      </c>
      <c r="E84" s="64">
        <f t="shared" si="2"/>
        <v>0</v>
      </c>
    </row>
    <row r="85" spans="1:5" x14ac:dyDescent="0.3">
      <c r="A85" s="2">
        <v>17</v>
      </c>
      <c r="C85" s="39" t="s">
        <v>94</v>
      </c>
      <c r="D85" s="44">
        <v>0</v>
      </c>
      <c r="E85" s="64">
        <f t="shared" si="2"/>
        <v>0</v>
      </c>
    </row>
    <row r="86" spans="1:5" x14ac:dyDescent="0.3">
      <c r="A86" s="2">
        <v>18</v>
      </c>
      <c r="C86" s="39" t="s">
        <v>95</v>
      </c>
      <c r="D86" s="44">
        <v>0</v>
      </c>
      <c r="E86" s="64">
        <f t="shared" si="2"/>
        <v>0</v>
      </c>
    </row>
    <row r="87" spans="1:5" x14ac:dyDescent="0.3">
      <c r="A87" s="2">
        <v>19</v>
      </c>
      <c r="C87" s="39" t="s">
        <v>96</v>
      </c>
      <c r="D87" s="44">
        <v>0</v>
      </c>
      <c r="E87" s="64">
        <f t="shared" si="2"/>
        <v>0</v>
      </c>
    </row>
    <row r="88" spans="1:5" x14ac:dyDescent="0.3">
      <c r="A88" s="2">
        <v>20</v>
      </c>
      <c r="C88" s="39" t="s">
        <v>97</v>
      </c>
      <c r="D88" s="44">
        <v>0</v>
      </c>
      <c r="E88" s="64">
        <f t="shared" si="2"/>
        <v>0</v>
      </c>
    </row>
    <row r="89" spans="1:5" x14ac:dyDescent="0.3">
      <c r="A89" s="2">
        <v>21</v>
      </c>
      <c r="C89" s="39" t="s">
        <v>98</v>
      </c>
      <c r="D89" s="44">
        <v>0</v>
      </c>
      <c r="E89" s="64">
        <f t="shared" si="2"/>
        <v>0</v>
      </c>
    </row>
    <row r="90" spans="1:5" x14ac:dyDescent="0.3">
      <c r="A90" s="2">
        <v>22</v>
      </c>
      <c r="C90" s="39" t="s">
        <v>99</v>
      </c>
      <c r="D90" s="44">
        <v>0</v>
      </c>
      <c r="E90" s="64">
        <f t="shared" si="2"/>
        <v>0</v>
      </c>
    </row>
    <row r="91" spans="1:5" x14ac:dyDescent="0.3">
      <c r="A91" s="2">
        <v>23</v>
      </c>
      <c r="C91" s="39" t="s">
        <v>100</v>
      </c>
      <c r="D91" s="44">
        <v>0</v>
      </c>
      <c r="E91" s="64">
        <f t="shared" si="2"/>
        <v>0</v>
      </c>
    </row>
    <row r="92" spans="1:5" x14ac:dyDescent="0.3">
      <c r="A92" s="2">
        <v>24</v>
      </c>
      <c r="C92" s="39" t="s">
        <v>101</v>
      </c>
      <c r="D92" s="44">
        <v>0</v>
      </c>
      <c r="E92" s="64">
        <f t="shared" si="2"/>
        <v>0</v>
      </c>
    </row>
    <row r="93" spans="1:5" x14ac:dyDescent="0.3">
      <c r="A93" s="2">
        <v>25</v>
      </c>
      <c r="C93" s="39" t="s">
        <v>102</v>
      </c>
      <c r="D93" s="44">
        <f>TRUNC(11597.0771393555,-1)</f>
        <v>11590</v>
      </c>
      <c r="E93" s="64">
        <f t="shared" si="2"/>
        <v>38310</v>
      </c>
    </row>
    <row r="94" spans="1:5" ht="17.25" thickBot="1" x14ac:dyDescent="0.35">
      <c r="A94" s="2">
        <v>26</v>
      </c>
      <c r="C94" s="39" t="s">
        <v>103</v>
      </c>
      <c r="D94" s="45">
        <f>TRUNC(224132,-1)</f>
        <v>224130</v>
      </c>
      <c r="E94" s="65">
        <f t="shared" si="2"/>
        <v>740920</v>
      </c>
    </row>
    <row r="95" spans="1:5" x14ac:dyDescent="0.3">
      <c r="A95" s="2">
        <v>27</v>
      </c>
      <c r="C95" s="27" t="s">
        <v>104</v>
      </c>
      <c r="D95" s="40">
        <f>SUM(D69:D94)</f>
        <v>235720</v>
      </c>
      <c r="E95" s="40">
        <f>SUM(E69:E94)</f>
        <v>779230</v>
      </c>
    </row>
    <row r="96" spans="1:5" s="48" customFormat="1" x14ac:dyDescent="0.3">
      <c r="C96" s="49"/>
      <c r="D96" s="49"/>
      <c r="E96" s="49"/>
    </row>
    <row r="97" spans="1:5" s="48" customFormat="1" ht="17.25" thickBot="1" x14ac:dyDescent="0.35">
      <c r="B97" s="48" t="s">
        <v>105</v>
      </c>
      <c r="C97" s="48" t="s">
        <v>77</v>
      </c>
      <c r="D97" s="49" t="s">
        <v>48</v>
      </c>
      <c r="E97" s="49" t="s">
        <v>59</v>
      </c>
    </row>
    <row r="98" spans="1:5" x14ac:dyDescent="0.3">
      <c r="A98" s="2">
        <v>1</v>
      </c>
      <c r="C98" s="29" t="s">
        <v>106</v>
      </c>
      <c r="D98" s="42">
        <v>0</v>
      </c>
      <c r="E98" s="63">
        <f t="shared" ref="E98:E118" si="3">TRUNC(+D98*3.3058,-1)</f>
        <v>0</v>
      </c>
    </row>
    <row r="99" spans="1:5" x14ac:dyDescent="0.3">
      <c r="A99" s="2">
        <v>2</v>
      </c>
      <c r="C99" s="29" t="s">
        <v>107</v>
      </c>
      <c r="D99" s="44">
        <v>0</v>
      </c>
      <c r="E99" s="64">
        <f t="shared" si="3"/>
        <v>0</v>
      </c>
    </row>
    <row r="100" spans="1:5" x14ac:dyDescent="0.3">
      <c r="A100" s="2">
        <v>3</v>
      </c>
      <c r="C100" s="29" t="s">
        <v>108</v>
      </c>
      <c r="D100" s="44">
        <v>0</v>
      </c>
      <c r="E100" s="64">
        <f t="shared" si="3"/>
        <v>0</v>
      </c>
    </row>
    <row r="101" spans="1:5" x14ac:dyDescent="0.3">
      <c r="A101" s="2">
        <v>4</v>
      </c>
      <c r="C101" s="29" t="s">
        <v>109</v>
      </c>
      <c r="D101" s="44">
        <v>0</v>
      </c>
      <c r="E101" s="64">
        <f t="shared" si="3"/>
        <v>0</v>
      </c>
    </row>
    <row r="102" spans="1:5" x14ac:dyDescent="0.3">
      <c r="A102" s="2">
        <v>5</v>
      </c>
      <c r="C102" s="29" t="s">
        <v>110</v>
      </c>
      <c r="D102" s="44">
        <v>0</v>
      </c>
      <c r="E102" s="64">
        <f t="shared" si="3"/>
        <v>0</v>
      </c>
    </row>
    <row r="103" spans="1:5" x14ac:dyDescent="0.3">
      <c r="A103" s="2">
        <v>6</v>
      </c>
      <c r="C103" s="29" t="s">
        <v>111</v>
      </c>
      <c r="D103" s="44">
        <v>0</v>
      </c>
      <c r="E103" s="64">
        <f t="shared" si="3"/>
        <v>0</v>
      </c>
    </row>
    <row r="104" spans="1:5" x14ac:dyDescent="0.3">
      <c r="A104" s="2">
        <v>7</v>
      </c>
      <c r="C104" s="29" t="s">
        <v>112</v>
      </c>
      <c r="D104" s="44">
        <v>0</v>
      </c>
      <c r="E104" s="64">
        <f t="shared" si="3"/>
        <v>0</v>
      </c>
    </row>
    <row r="105" spans="1:5" x14ac:dyDescent="0.3">
      <c r="A105" s="2">
        <v>8</v>
      </c>
      <c r="C105" s="29" t="s">
        <v>113</v>
      </c>
      <c r="D105" s="44">
        <v>0</v>
      </c>
      <c r="E105" s="64">
        <f t="shared" si="3"/>
        <v>0</v>
      </c>
    </row>
    <row r="106" spans="1:5" x14ac:dyDescent="0.3">
      <c r="A106" s="2">
        <v>9</v>
      </c>
      <c r="C106" s="29" t="s">
        <v>114</v>
      </c>
      <c r="D106" s="44">
        <v>0</v>
      </c>
      <c r="E106" s="64">
        <f t="shared" si="3"/>
        <v>0</v>
      </c>
    </row>
    <row r="107" spans="1:5" x14ac:dyDescent="0.3">
      <c r="A107" s="2">
        <v>10</v>
      </c>
      <c r="C107" s="29" t="s">
        <v>115</v>
      </c>
      <c r="D107" s="44">
        <v>0</v>
      </c>
      <c r="E107" s="64">
        <f t="shared" si="3"/>
        <v>0</v>
      </c>
    </row>
    <row r="108" spans="1:5" x14ac:dyDescent="0.3">
      <c r="A108" s="2">
        <v>11</v>
      </c>
      <c r="C108" s="29" t="s">
        <v>116</v>
      </c>
      <c r="D108" s="44">
        <v>0</v>
      </c>
      <c r="E108" s="64">
        <f t="shared" si="3"/>
        <v>0</v>
      </c>
    </row>
    <row r="109" spans="1:5" x14ac:dyDescent="0.3">
      <c r="A109" s="2">
        <v>12</v>
      </c>
      <c r="C109" s="29" t="s">
        <v>117</v>
      </c>
      <c r="D109" s="44">
        <v>0</v>
      </c>
      <c r="E109" s="64">
        <f t="shared" si="3"/>
        <v>0</v>
      </c>
    </row>
    <row r="110" spans="1:5" x14ac:dyDescent="0.3">
      <c r="A110" s="2">
        <v>13</v>
      </c>
      <c r="C110" s="29" t="s">
        <v>118</v>
      </c>
      <c r="D110" s="44">
        <v>0</v>
      </c>
      <c r="E110" s="64">
        <f t="shared" si="3"/>
        <v>0</v>
      </c>
    </row>
    <row r="111" spans="1:5" x14ac:dyDescent="0.3">
      <c r="A111" s="2">
        <v>14</v>
      </c>
      <c r="C111" s="29" t="s">
        <v>119</v>
      </c>
      <c r="D111" s="44">
        <v>0</v>
      </c>
      <c r="E111" s="64">
        <f t="shared" si="3"/>
        <v>0</v>
      </c>
    </row>
    <row r="112" spans="1:5" x14ac:dyDescent="0.3">
      <c r="A112" s="2">
        <v>15</v>
      </c>
      <c r="C112" s="29" t="s">
        <v>120</v>
      </c>
      <c r="D112" s="44">
        <v>0</v>
      </c>
      <c r="E112" s="64">
        <f t="shared" si="3"/>
        <v>0</v>
      </c>
    </row>
    <row r="113" spans="1:5" x14ac:dyDescent="0.3">
      <c r="A113" s="2">
        <v>16</v>
      </c>
      <c r="C113" s="29" t="s">
        <v>121</v>
      </c>
      <c r="D113" s="44">
        <v>0</v>
      </c>
      <c r="E113" s="64">
        <f t="shared" si="3"/>
        <v>0</v>
      </c>
    </row>
    <row r="114" spans="1:5" x14ac:dyDescent="0.3">
      <c r="A114" s="2">
        <v>17</v>
      </c>
      <c r="C114" s="29" t="s">
        <v>122</v>
      </c>
      <c r="D114" s="44">
        <v>0</v>
      </c>
      <c r="E114" s="64">
        <f t="shared" si="3"/>
        <v>0</v>
      </c>
    </row>
    <row r="115" spans="1:5" x14ac:dyDescent="0.3">
      <c r="A115" s="2">
        <v>18</v>
      </c>
      <c r="C115" s="29" t="s">
        <v>123</v>
      </c>
      <c r="D115" s="44">
        <v>0</v>
      </c>
      <c r="E115" s="64">
        <f t="shared" si="3"/>
        <v>0</v>
      </c>
    </row>
    <row r="116" spans="1:5" x14ac:dyDescent="0.3">
      <c r="A116" s="2">
        <v>19</v>
      </c>
      <c r="C116" s="29" t="s">
        <v>124</v>
      </c>
      <c r="D116" s="44">
        <v>0</v>
      </c>
      <c r="E116" s="64">
        <f t="shared" si="3"/>
        <v>0</v>
      </c>
    </row>
    <row r="117" spans="1:5" x14ac:dyDescent="0.3">
      <c r="A117" s="2">
        <v>20</v>
      </c>
      <c r="C117" s="29" t="s">
        <v>102</v>
      </c>
      <c r="D117" s="44">
        <f>TRUNC(16389.1091726143,-1)</f>
        <v>16380</v>
      </c>
      <c r="E117" s="64">
        <f t="shared" si="3"/>
        <v>54140</v>
      </c>
    </row>
    <row r="118" spans="1:5" ht="17.25" thickBot="1" x14ac:dyDescent="0.35">
      <c r="A118" s="2">
        <v>21</v>
      </c>
      <c r="C118" s="29" t="s">
        <v>103</v>
      </c>
      <c r="D118" s="45">
        <f>TRUNC(97727,-1)</f>
        <v>97720</v>
      </c>
      <c r="E118" s="65">
        <f t="shared" si="3"/>
        <v>323040</v>
      </c>
    </row>
    <row r="119" spans="1:5" x14ac:dyDescent="0.3">
      <c r="A119" s="2">
        <v>22</v>
      </c>
      <c r="C119" s="27" t="s">
        <v>104</v>
      </c>
      <c r="D119" s="40">
        <f>SUM(D98:D118)</f>
        <v>114100</v>
      </c>
      <c r="E119" s="40">
        <f>SUM(E98:E118)</f>
        <v>377180</v>
      </c>
    </row>
    <row r="120" spans="1:5" s="48" customFormat="1" x14ac:dyDescent="0.3">
      <c r="C120" s="49"/>
      <c r="D120" s="49"/>
      <c r="E120" s="49"/>
    </row>
    <row r="121" spans="1:5" s="48" customFormat="1" ht="17.25" thickBot="1" x14ac:dyDescent="0.35">
      <c r="B121" s="48" t="s">
        <v>125</v>
      </c>
      <c r="C121" s="48" t="s">
        <v>77</v>
      </c>
      <c r="D121" s="49" t="s">
        <v>151</v>
      </c>
      <c r="E121" s="49" t="s">
        <v>59</v>
      </c>
    </row>
    <row r="122" spans="1:5" x14ac:dyDescent="0.3">
      <c r="A122" s="2">
        <v>1</v>
      </c>
      <c r="C122" s="29" t="s">
        <v>126</v>
      </c>
      <c r="D122" s="42">
        <v>0</v>
      </c>
      <c r="E122" s="63">
        <f t="shared" ref="E122:E132" si="4">TRUNC(+D122*3.3058,-1)</f>
        <v>0</v>
      </c>
    </row>
    <row r="123" spans="1:5" x14ac:dyDescent="0.3">
      <c r="A123" s="2">
        <v>2</v>
      </c>
      <c r="C123" s="29" t="s">
        <v>127</v>
      </c>
      <c r="D123" s="44">
        <v>0</v>
      </c>
      <c r="E123" s="64">
        <f t="shared" si="4"/>
        <v>0</v>
      </c>
    </row>
    <row r="124" spans="1:5" x14ac:dyDescent="0.3">
      <c r="A124" s="2">
        <v>3</v>
      </c>
      <c r="C124" s="29" t="s">
        <v>128</v>
      </c>
      <c r="D124" s="44">
        <v>0</v>
      </c>
      <c r="E124" s="64">
        <f t="shared" si="4"/>
        <v>0</v>
      </c>
    </row>
    <row r="125" spans="1:5" x14ac:dyDescent="0.3">
      <c r="A125" s="2">
        <v>4</v>
      </c>
      <c r="C125" s="29" t="s">
        <v>129</v>
      </c>
      <c r="D125" s="44">
        <v>0</v>
      </c>
      <c r="E125" s="64">
        <f t="shared" si="4"/>
        <v>0</v>
      </c>
    </row>
    <row r="126" spans="1:5" x14ac:dyDescent="0.3">
      <c r="A126" s="2">
        <v>5</v>
      </c>
      <c r="C126" s="29" t="s">
        <v>130</v>
      </c>
      <c r="D126" s="44">
        <v>0</v>
      </c>
      <c r="E126" s="64">
        <f t="shared" si="4"/>
        <v>0</v>
      </c>
    </row>
    <row r="127" spans="1:5" x14ac:dyDescent="0.3">
      <c r="A127" s="2">
        <v>6</v>
      </c>
      <c r="C127" s="29" t="s">
        <v>131</v>
      </c>
      <c r="D127" s="44">
        <v>0</v>
      </c>
      <c r="E127" s="64">
        <f t="shared" si="4"/>
        <v>0</v>
      </c>
    </row>
    <row r="128" spans="1:5" x14ac:dyDescent="0.3">
      <c r="A128" s="2">
        <v>7</v>
      </c>
      <c r="C128" s="29" t="s">
        <v>113</v>
      </c>
      <c r="D128" s="44">
        <v>0</v>
      </c>
      <c r="E128" s="64">
        <f t="shared" si="4"/>
        <v>0</v>
      </c>
    </row>
    <row r="129" spans="1:5" x14ac:dyDescent="0.3">
      <c r="A129" s="2">
        <v>8</v>
      </c>
      <c r="C129" s="29" t="s">
        <v>132</v>
      </c>
      <c r="D129" s="44">
        <v>0</v>
      </c>
      <c r="E129" s="64">
        <f t="shared" si="4"/>
        <v>0</v>
      </c>
    </row>
    <row r="130" spans="1:5" ht="17.25" customHeight="1" x14ac:dyDescent="0.3">
      <c r="A130" s="2">
        <v>9</v>
      </c>
      <c r="C130" s="29" t="s">
        <v>133</v>
      </c>
      <c r="D130" s="44">
        <v>0</v>
      </c>
      <c r="E130" s="64">
        <f t="shared" si="4"/>
        <v>0</v>
      </c>
    </row>
    <row r="131" spans="1:5" x14ac:dyDescent="0.3">
      <c r="A131" s="2">
        <v>10</v>
      </c>
      <c r="C131" s="29" t="s">
        <v>102</v>
      </c>
      <c r="D131" s="44">
        <v>0</v>
      </c>
      <c r="E131" s="64">
        <f t="shared" si="4"/>
        <v>0</v>
      </c>
    </row>
    <row r="132" spans="1:5" ht="17.25" thickBot="1" x14ac:dyDescent="0.35">
      <c r="A132" s="2">
        <v>11</v>
      </c>
      <c r="C132" s="29" t="s">
        <v>103</v>
      </c>
      <c r="D132" s="45">
        <v>21820.104294331097</v>
      </c>
      <c r="E132" s="65">
        <f t="shared" si="4"/>
        <v>72130</v>
      </c>
    </row>
    <row r="133" spans="1:5" x14ac:dyDescent="0.3">
      <c r="A133" s="2">
        <v>12</v>
      </c>
      <c r="C133" s="41" t="s">
        <v>104</v>
      </c>
      <c r="D133" s="40">
        <f>SUM(D122:D132)</f>
        <v>21820.104294331097</v>
      </c>
      <c r="E133" s="40">
        <f>SUM(E122:E132)</f>
        <v>72130</v>
      </c>
    </row>
    <row r="134" spans="1:5" s="48" customFormat="1" x14ac:dyDescent="0.3">
      <c r="C134" s="49"/>
      <c r="D134" s="49"/>
      <c r="E134" s="49"/>
    </row>
    <row r="135" spans="1:5" s="48" customFormat="1" ht="17.25" thickBot="1" x14ac:dyDescent="0.35">
      <c r="B135" s="48" t="s">
        <v>134</v>
      </c>
      <c r="C135" s="48" t="s">
        <v>77</v>
      </c>
      <c r="D135" s="49" t="s">
        <v>151</v>
      </c>
      <c r="E135" s="49" t="s">
        <v>59</v>
      </c>
    </row>
    <row r="136" spans="1:5" x14ac:dyDescent="0.3">
      <c r="A136" s="2">
        <v>1</v>
      </c>
      <c r="C136" s="39" t="s">
        <v>135</v>
      </c>
      <c r="D136" s="42">
        <v>0</v>
      </c>
      <c r="E136" s="63">
        <f t="shared" ref="E136:E145" si="5">TRUNC(+D136*3.3058,-1)</f>
        <v>0</v>
      </c>
    </row>
    <row r="137" spans="1:5" x14ac:dyDescent="0.3">
      <c r="A137" s="2">
        <v>2</v>
      </c>
      <c r="C137" s="39" t="s">
        <v>103</v>
      </c>
      <c r="D137" s="44">
        <v>0</v>
      </c>
      <c r="E137" s="64">
        <f t="shared" si="5"/>
        <v>0</v>
      </c>
    </row>
    <row r="138" spans="1:5" x14ac:dyDescent="0.3">
      <c r="A138" s="2">
        <v>3</v>
      </c>
      <c r="C138" s="39" t="s">
        <v>136</v>
      </c>
      <c r="D138" s="44">
        <v>0</v>
      </c>
      <c r="E138" s="64">
        <f t="shared" si="5"/>
        <v>0</v>
      </c>
    </row>
    <row r="139" spans="1:5" x14ac:dyDescent="0.3">
      <c r="A139" s="2">
        <v>4</v>
      </c>
      <c r="C139" s="39" t="s">
        <v>137</v>
      </c>
      <c r="D139" s="44">
        <v>0</v>
      </c>
      <c r="E139" s="64">
        <f t="shared" si="5"/>
        <v>0</v>
      </c>
    </row>
    <row r="140" spans="1:5" x14ac:dyDescent="0.3">
      <c r="A140" s="2">
        <v>5</v>
      </c>
      <c r="C140" s="39" t="s">
        <v>138</v>
      </c>
      <c r="D140" s="44">
        <v>0</v>
      </c>
      <c r="E140" s="64">
        <f t="shared" si="5"/>
        <v>0</v>
      </c>
    </row>
    <row r="141" spans="1:5" x14ac:dyDescent="0.3">
      <c r="A141" s="2">
        <v>6</v>
      </c>
      <c r="C141" s="39" t="s">
        <v>139</v>
      </c>
      <c r="D141" s="44">
        <v>0</v>
      </c>
      <c r="E141" s="64">
        <f t="shared" si="5"/>
        <v>0</v>
      </c>
    </row>
    <row r="142" spans="1:5" x14ac:dyDescent="0.3">
      <c r="A142" s="2">
        <v>7</v>
      </c>
      <c r="C142" s="39" t="s">
        <v>140</v>
      </c>
      <c r="D142" s="44">
        <v>0</v>
      </c>
      <c r="E142" s="64">
        <f t="shared" si="5"/>
        <v>0</v>
      </c>
    </row>
    <row r="143" spans="1:5" x14ac:dyDescent="0.3">
      <c r="A143" s="2">
        <v>8</v>
      </c>
      <c r="C143" s="39" t="s">
        <v>141</v>
      </c>
      <c r="D143" s="44">
        <v>0</v>
      </c>
      <c r="E143" s="64">
        <f t="shared" si="5"/>
        <v>0</v>
      </c>
    </row>
    <row r="144" spans="1:5" x14ac:dyDescent="0.3">
      <c r="A144" s="2">
        <v>9</v>
      </c>
      <c r="C144" s="39" t="s">
        <v>142</v>
      </c>
      <c r="D144" s="44">
        <v>0</v>
      </c>
      <c r="E144" s="64">
        <f t="shared" si="5"/>
        <v>0</v>
      </c>
    </row>
    <row r="145" spans="1:6" ht="17.25" thickBot="1" x14ac:dyDescent="0.35">
      <c r="A145" s="2">
        <v>10</v>
      </c>
      <c r="C145" s="39" t="s">
        <v>102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104</v>
      </c>
      <c r="D146" s="40">
        <f>SUM(D136:D145)</f>
        <v>0</v>
      </c>
      <c r="E146" s="40">
        <f>SUM(E136:E145)</f>
        <v>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143</v>
      </c>
      <c r="C148" s="48" t="s">
        <v>77</v>
      </c>
      <c r="D148" s="49" t="s">
        <v>151</v>
      </c>
      <c r="E148" s="49" t="s">
        <v>59</v>
      </c>
    </row>
    <row r="149" spans="1:6" x14ac:dyDescent="0.3">
      <c r="A149" s="2">
        <v>1</v>
      </c>
      <c r="C149" s="39" t="s">
        <v>144</v>
      </c>
      <c r="D149" s="42">
        <v>0</v>
      </c>
      <c r="E149" s="63">
        <f>TRUNC(+D149*3.3058,-1)</f>
        <v>0</v>
      </c>
    </row>
    <row r="150" spans="1:6" x14ac:dyDescent="0.3">
      <c r="A150" s="2">
        <v>2</v>
      </c>
      <c r="C150" s="39" t="s">
        <v>145</v>
      </c>
      <c r="D150" s="44">
        <v>0</v>
      </c>
      <c r="E150" s="64">
        <f>TRUNC(+D150*3.3058,-1)</f>
        <v>0</v>
      </c>
    </row>
    <row r="151" spans="1:6" x14ac:dyDescent="0.3">
      <c r="A151" s="2">
        <v>3</v>
      </c>
      <c r="C151" s="39" t="s">
        <v>146</v>
      </c>
      <c r="D151" s="44">
        <v>0</v>
      </c>
      <c r="E151" s="64">
        <f>TRUNC(+D151*3.3058,-1)</f>
        <v>0</v>
      </c>
    </row>
    <row r="152" spans="1:6" x14ac:dyDescent="0.3">
      <c r="A152" s="2">
        <v>4</v>
      </c>
      <c r="C152" s="39" t="s">
        <v>103</v>
      </c>
      <c r="D152" s="44">
        <f>TRUNC(-4354+187962,-1)</f>
        <v>183600</v>
      </c>
      <c r="E152" s="64">
        <f>TRUNC(+D152*3.3058,-1)</f>
        <v>606940</v>
      </c>
      <c r="F152" s="37" t="s">
        <v>313</v>
      </c>
    </row>
    <row r="153" spans="1:6" ht="17.25" thickBot="1" x14ac:dyDescent="0.35">
      <c r="A153" s="2">
        <v>5</v>
      </c>
      <c r="C153" s="39" t="s">
        <v>102</v>
      </c>
      <c r="D153" s="45">
        <f>TRUNC(2187.58561026602,-1)</f>
        <v>2180</v>
      </c>
      <c r="E153" s="65">
        <f>TRUNC(+D153*3.3058,-1)</f>
        <v>7200</v>
      </c>
    </row>
    <row r="154" spans="1:6" x14ac:dyDescent="0.3">
      <c r="A154" s="2">
        <v>6</v>
      </c>
      <c r="C154" s="27" t="s">
        <v>104</v>
      </c>
      <c r="D154" s="40">
        <f>SUM(D149:D153)</f>
        <v>185780</v>
      </c>
      <c r="E154" s="40">
        <f>SUM(E149:E153)</f>
        <v>614140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147</v>
      </c>
      <c r="C156" s="48" t="s">
        <v>77</v>
      </c>
      <c r="D156" s="49" t="s">
        <v>153</v>
      </c>
      <c r="E156" s="49" t="s">
        <v>59</v>
      </c>
    </row>
    <row r="157" spans="1:6" x14ac:dyDescent="0.3">
      <c r="A157" s="2">
        <v>1</v>
      </c>
      <c r="C157" s="39" t="s">
        <v>148</v>
      </c>
      <c r="D157" s="42">
        <v>0</v>
      </c>
      <c r="E157" s="63">
        <f>TRUNC(+D157*3.3058,-1)</f>
        <v>0</v>
      </c>
    </row>
    <row r="158" spans="1:6" x14ac:dyDescent="0.3">
      <c r="A158" s="2">
        <v>2</v>
      </c>
      <c r="C158" s="39" t="s">
        <v>149</v>
      </c>
      <c r="D158" s="44">
        <v>0</v>
      </c>
      <c r="E158" s="64">
        <f>TRUNC(+D158*3.3058,-1)</f>
        <v>0</v>
      </c>
    </row>
    <row r="159" spans="1:6" x14ac:dyDescent="0.3">
      <c r="A159" s="2">
        <v>3</v>
      </c>
      <c r="C159" s="39" t="s">
        <v>103</v>
      </c>
      <c r="D159" s="44">
        <v>0</v>
      </c>
      <c r="E159" s="64">
        <f>TRUNC(+D159*3.3058,-1)</f>
        <v>0</v>
      </c>
    </row>
    <row r="160" spans="1:6" ht="17.25" thickBot="1" x14ac:dyDescent="0.35">
      <c r="A160" s="2">
        <v>4</v>
      </c>
      <c r="C160" s="39" t="s">
        <v>102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104</v>
      </c>
      <c r="D161" s="40">
        <f>SUM(D157:D160)</f>
        <v>0</v>
      </c>
      <c r="E161" s="40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2020-12-07T09:24:39Z</dcterms:modified>
</cp:coreProperties>
</file>