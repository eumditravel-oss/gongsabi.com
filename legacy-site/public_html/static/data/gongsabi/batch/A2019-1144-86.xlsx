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49" i="4"/>
  <c r="D144" i="4"/>
  <c r="D143" i="4"/>
  <c r="D142" i="4"/>
  <c r="D141" i="4"/>
  <c r="D140" i="4"/>
  <c r="D139" i="4"/>
  <c r="D137" i="4"/>
  <c r="D132" i="4"/>
  <c r="D130" i="4"/>
  <c r="D128" i="4"/>
  <c r="D127" i="4"/>
  <c r="D125" i="4"/>
  <c r="D124" i="4"/>
  <c r="D122" i="4"/>
  <c r="D118" i="4"/>
  <c r="D117" i="4"/>
  <c r="D114" i="4"/>
  <c r="D105" i="4"/>
  <c r="D104" i="4"/>
  <c r="D103" i="4"/>
  <c r="D102" i="4"/>
  <c r="D100" i="4"/>
  <c r="D99" i="4"/>
  <c r="D98" i="4"/>
  <c r="D94" i="4"/>
  <c r="D89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6" i="4"/>
  <c r="D45" i="4"/>
  <c r="D44" i="4"/>
  <c r="D43" i="4"/>
  <c r="D42" i="4"/>
  <c r="D41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<sst xmlns="http://schemas.openxmlformats.org/spreadsheetml/2006/main" count="388" uniqueCount="262">
  <si>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</si>
  <si>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</si>
  <si>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</si>
  <si>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</si>
  <si>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</si>
  <si>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</si>
  <si>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</si>
  <si>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</si>
  <si>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</si>
  <si>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</si>
  <si>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</si>
  <si>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</si>
  <si>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</si>
  <si>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</si>
  <si>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</si>
  <si>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</si>
  <si>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</si>
  <si>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</si>
  <si>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</si>
  <si>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</si>
  <si>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</si>
  <si>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</si>
  <si>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</si>
  <si>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</si>
  <si>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</si>
  <si>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</si>
  <si>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</si>
  <si>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</si>
  <si>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</si>
  <si>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</si>
  <si>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</si>
  <si>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</si>
  <si>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</si>
  <si>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</si>
  <si>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</si>
  <si>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</si>
  <si>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</si>
  <si>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</si>
  <si>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</si>
  <si>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</si>
  <si>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</si>
  <si>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</si>
  <si>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</si>
  <si>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</si>
  <si>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</si>
  <si>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</si>
  <si>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</si>
  <si>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</si>
  <si>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</si>
  <si>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</si>
  <si>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</si>
  <si>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</si>
  <si>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</si>
  <si>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</si>
  <si>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</si>
  <si>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</si>
  <si>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</si>
  <si>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</si>
  <si>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</si>
  <si>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</si>
  <si>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</si>
  <si>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</si>
  <si>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</si>
  <si>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</si>
  <si>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</si>
  <si>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</si>
  <si>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</si>
  <si>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</si>
  <si>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</si>
  <si>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</si>
  <si>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</si>
  <si>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</si>
  <si>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</si>
  <si>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</si>
  <si>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</si>
  <si>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</si>
  <si>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</si>
  <si>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</si>
  <si>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</si>
  <si>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</si>
  <si>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</si>
  <si>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</si>
  <si>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</si>
  <si>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</si>
  <si>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</si>
  <si>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</si>
  <si>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</si>
  <si>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</si>
  <si>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</si>
  <si>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</si>
  <si>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</si>
  <si>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</si>
  <si>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</si>
  <si>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</si>
  <si>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</si>
  <si>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</si>
  <si>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</si>
  <si>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</si>
  <si>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</si>
  <si>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</si>
  <si>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</si>
  <si>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</si>
  <si>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</si>
  <si>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</si>
  <si>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</si>
  <si>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</si>
  <si>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</si>
  <si>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</si>
  <si>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</si>
  <si>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</si>
  <si>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</si>
  <si>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</si>
  <si>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</si>
  <si>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</si>
  <si>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</si>
  <si>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</si>
  <si>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</si>
  <si>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</si>
  <si>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</si>
  <si>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</si>
  <si>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</si>
  <si>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</si>
  <si>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</si>
  <si>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</si>
  <si>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</si>
  <si>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</si>
  <si>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</si>
  <si>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</si>
  <si>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</si>
  <si>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</si>
  <si>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</si>
  <si>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</si>
  <si>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</si>
  <si>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</si>
  <si>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</si>
  <si>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</si>
  <si>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</si>
  <si>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</si>
  <si>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</si>
  <si>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</si>
  <si>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</si>
  <si>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</si>
  <si>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</si>
  <si>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</si>
  <si>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</si>
  <si>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</si>
  <si>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</si>
  <si>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</si>
  <si>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</si>
  <si>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</si>
  <si>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</si>
  <si>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</si>
  <si>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</si>
  <si>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</si>
  <si>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</si>
  <si>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</si>
  <si>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</si>
  <si>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</si>
  <si>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</si>
  <si>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</si>
  <si>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</si>
  <si>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</si>
  <si>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</si>
  <si>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</si>
  <si>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</si>
  <si>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</si>
  <si>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</si>
  <si>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</si>
  <si>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</si>
  <si>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</si>
  <si>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</si>
  <si>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</si>
  <si>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</si>
  <si>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</si>
  <si>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</si>
  <si>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</si>
  <si>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</si>
  <si>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</si>
  <si>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</si>
  <si>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</si>
  <si>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</si>
  <si>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</si>
  <si>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</si>
  <si>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</si>
  <si>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</si>
  <si>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</si>
  <si>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</si>
  <si>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</si>
  <si>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</si>
  <si>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</si>
  <si>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</si>
  <si>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</si>
  <si>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</si>
  <si>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</si>
  <si>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</si>
  <si>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</si>
  <si>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</si>
  <si>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</si>
  <si>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</si>
  <si>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</si>
  <si>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</si>
  <si>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</si>
  <si>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</si>
  <si>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</si>
  <si>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</si>
  <si>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</si>
  <si>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</si>
  <si>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</si>
  <si>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</si>
  <si>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</si>
  <si>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</si>
  <si>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</si>
  <si>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</si>
  <si>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</si>
  <si>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</si>
  <si>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</si>
  <si>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</si>
  <si>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</si>
  <si>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</si>
  <si>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</si>
  <si>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</si>
  <si>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</si>
  <si>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</si>
  <si>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</si>
  <si>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</si>
  <si>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</si>
  <si>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</si>
  <si>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</si>
  <si>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</si>
  <si>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</si>
  <si>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</si>
  <si>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</si>
  <si>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</si>
  <si>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</si>
  <si>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</si>
  <si>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</si>
  <si>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</si>
  <si>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</si>
  <si>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</si>
  <si>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</si>
  <si>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</si>
  <si>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</si>
  <si>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</si>
  <si>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</si>
  <si>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</si>
  <si>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</si>
  <si>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</si>
  <si>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</si>
  <si>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</si>
  <si>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</si>
  <si>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(가칭)일광2초등학교 교사신축공사(계속비 공사)</t>
    <phoneticPr fontId="2" type="noConversion"/>
  </si>
  <si>
    <t>부산시</t>
  </si>
  <si>
    <t>지붕및홈통공사 포함</t>
    <phoneticPr fontId="2" type="noConversion"/>
  </si>
  <si>
    <t xml:space="preserve">목공사및수장공사(인테리어공사 포함) </t>
    <phoneticPr fontId="2" type="noConversion"/>
  </si>
  <si>
    <t>기초공사, 골재비및운반비, 품질시험비, 기타공사</t>
    <phoneticPr fontId="2" type="noConversion"/>
  </si>
  <si>
    <t>난방배관공사, 바닥난방공사, 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</si>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</sst>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15671.59</v>
      </c>
      <c r="D7" s="36">
        <f>+C7/3.3058</f>
        <v>4740.6346421441103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940760</v>
      </c>
      <c r="E25" s="59">
        <f t="shared" si="0"/>
        <v>3109960</v>
      </c>
    </row>
    <row r="26" spans="1:5" x14ac:dyDescent="0.3">
      <c r="B26" s="2">
        <v>3</v>
      </c>
      <c r="C26" s="35" t="s">
        <v>95</v>
      </c>
      <c r="D26" s="45">
        <f>+D66</f>
        <v>17060</v>
      </c>
      <c r="E26" s="59">
        <f t="shared" si="0"/>
        <v>56390</v>
      </c>
    </row>
    <row r="27" spans="1:5" x14ac:dyDescent="0.3">
      <c r="B27" s="2">
        <v>4</v>
      </c>
      <c r="C27" s="35" t="s">
        <v>96</v>
      </c>
      <c r="D27" s="45">
        <f>+D95</f>
        <v>114330</v>
      </c>
      <c r="E27" s="59">
        <f t="shared" si="0"/>
        <v>377950</v>
      </c>
    </row>
    <row r="28" spans="1:5" x14ac:dyDescent="0.3">
      <c r="B28" s="2">
        <v>5</v>
      </c>
      <c r="C28" s="35" t="s">
        <v>97</v>
      </c>
      <c r="D28" s="45">
        <f>+D119</f>
        <v>239500</v>
      </c>
      <c r="E28" s="59">
        <f t="shared" si="0"/>
        <v>791730</v>
      </c>
    </row>
    <row r="29" spans="1:5" x14ac:dyDescent="0.3">
      <c r="B29" s="2">
        <v>6</v>
      </c>
      <c r="C29" s="35" t="s">
        <v>98</v>
      </c>
      <c r="D29" s="45">
        <f>+D133</f>
        <v>85420</v>
      </c>
      <c r="E29" s="59">
        <f t="shared" si="0"/>
        <v>282380</v>
      </c>
    </row>
    <row r="30" spans="1:5" x14ac:dyDescent="0.3">
      <c r="B30" s="2">
        <v>7</v>
      </c>
      <c r="C30" s="35" t="s">
        <v>99</v>
      </c>
      <c r="D30" s="45">
        <f>+D146</f>
        <v>78210</v>
      </c>
      <c r="E30" s="59">
        <f t="shared" si="0"/>
        <v>258540</v>
      </c>
    </row>
    <row r="31" spans="1:5" x14ac:dyDescent="0.3">
      <c r="B31" s="2">
        <v>8</v>
      </c>
      <c r="C31" s="35" t="s">
        <v>100</v>
      </c>
      <c r="D31" s="45">
        <f>+D154</f>
        <v>113870</v>
      </c>
      <c r="E31" s="59">
        <f t="shared" si="0"/>
        <v>376430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437010</v>
      </c>
      <c r="E33" s="60">
        <f t="shared" si="0"/>
        <v>1444660</v>
      </c>
    </row>
    <row r="34" spans="1:7" x14ac:dyDescent="0.3">
      <c r="C34" s="35" t="s">
        <v>112</v>
      </c>
      <c r="D34" s="44">
        <f>SUM(D24:D33)</f>
        <v>2026160</v>
      </c>
      <c r="E34" s="44">
        <f>SUM(E24:E33)</f>
        <v>6698040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44810</v>
      </c>
      <c r="E40" s="62">
        <f t="shared" ref="E40:E59" si="1">TRUNC(+D40*3.3058,-1)</f>
        <v>148130</v>
      </c>
    </row>
    <row r="41" spans="1:7" x14ac:dyDescent="0.3">
      <c r="A41" s="2">
        <v>2</v>
      </c>
      <c r="C41" s="38" t="s">
        <v>13</v>
      </c>
      <c r="D41" s="42">
        <f>TRUNC(210683,-1)</f>
        <v>210680</v>
      </c>
      <c r="E41" s="63">
        <f t="shared" si="1"/>
        <v>696460</v>
      </c>
    </row>
    <row r="42" spans="1:7" x14ac:dyDescent="0.3">
      <c r="A42" s="2">
        <v>3</v>
      </c>
      <c r="C42" s="38" t="s">
        <v>14</v>
      </c>
      <c r="D42" s="42">
        <f>TRUNC(12402,-1)</f>
        <v>12400</v>
      </c>
      <c r="E42" s="63">
        <f t="shared" si="1"/>
        <v>40990</v>
      </c>
    </row>
    <row r="43" spans="1:7" x14ac:dyDescent="0.3">
      <c r="A43" s="2">
        <v>4</v>
      </c>
      <c r="C43" s="38" t="s">
        <v>16</v>
      </c>
      <c r="D43" s="42">
        <f>TRUNC(19345,-1)</f>
        <v>19340</v>
      </c>
      <c r="E43" s="63">
        <f t="shared" si="1"/>
        <v>63930</v>
      </c>
    </row>
    <row r="44" spans="1:7" x14ac:dyDescent="0.3">
      <c r="A44" s="2">
        <v>5</v>
      </c>
      <c r="C44" s="38" t="s">
        <v>17</v>
      </c>
      <c r="D44" s="42">
        <f>TRUNC(25988,-1)</f>
        <v>25980</v>
      </c>
      <c r="E44" s="63">
        <f t="shared" si="1"/>
        <v>85880</v>
      </c>
    </row>
    <row r="45" spans="1:7" x14ac:dyDescent="0.3">
      <c r="A45" s="2">
        <v>6</v>
      </c>
      <c r="C45" s="38" t="s">
        <v>18</v>
      </c>
      <c r="D45" s="42">
        <f>TRUNC(12765,-1)</f>
        <v>12760</v>
      </c>
      <c r="E45" s="63">
        <f t="shared" si="1"/>
        <v>42180</v>
      </c>
    </row>
    <row r="46" spans="1:7" x14ac:dyDescent="0.3">
      <c r="A46" s="2">
        <v>7</v>
      </c>
      <c r="C46" s="38" t="s">
        <v>19</v>
      </c>
      <c r="D46" s="42">
        <f>TRUNC(13767,-1)</f>
        <v>13760</v>
      </c>
      <c r="E46" s="63">
        <f t="shared" si="1"/>
        <v>45480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55140</v>
      </c>
      <c r="E48" s="63">
        <f t="shared" si="1"/>
        <v>182280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TRUNC(22031,-1)</f>
        <v>22030</v>
      </c>
      <c r="E49" s="63">
        <f t="shared" si="1"/>
        <v>72820</v>
      </c>
    </row>
    <row r="50" spans="1:7" x14ac:dyDescent="0.3">
      <c r="A50" s="2">
        <v>11</v>
      </c>
      <c r="C50" s="38" t="s">
        <v>156</v>
      </c>
      <c r="D50" s="42">
        <f>TRUNC(53542,-1)</f>
        <v>53540</v>
      </c>
      <c r="E50" s="63">
        <f t="shared" si="1"/>
        <v>176990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TRUNC(12203,-1)</f>
        <v>12200</v>
      </c>
      <c r="E52" s="63">
        <f t="shared" si="1"/>
        <v>40330</v>
      </c>
    </row>
    <row r="53" spans="1:7" x14ac:dyDescent="0.3">
      <c r="A53" s="2">
        <v>14</v>
      </c>
      <c r="C53" s="38" t="s">
        <v>25</v>
      </c>
      <c r="D53" s="42">
        <f>TRUNC(66378,-1)</f>
        <v>66370</v>
      </c>
      <c r="E53" s="63">
        <f t="shared" si="1"/>
        <v>219400</v>
      </c>
      <c r="F53" s="2" t="s">
        <v>253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TRUNC(42171+6441+958+9091,-1)</f>
        <v>58660</v>
      </c>
      <c r="E58" s="63">
        <f t="shared" si="1"/>
        <v>193910</v>
      </c>
      <c r="F58" s="2" t="s">
        <v>254</v>
      </c>
    </row>
    <row r="59" spans="1:7" ht="17.25" thickBot="1" x14ac:dyDescent="0.35">
      <c r="A59" s="2">
        <v>20</v>
      </c>
      <c r="C59" s="38" t="s">
        <v>149</v>
      </c>
      <c r="D59" s="43">
        <f>TRUNC(333091,-1)</f>
        <v>333090</v>
      </c>
      <c r="E59" s="64">
        <f t="shared" si="1"/>
        <v>1101120</v>
      </c>
    </row>
    <row r="60" spans="1:7" x14ac:dyDescent="0.3">
      <c r="A60" s="2">
        <v>21</v>
      </c>
      <c r="C60" s="27" t="s">
        <v>112</v>
      </c>
      <c r="D60" s="39">
        <f>SUM(D40:D59)</f>
        <v>940760</v>
      </c>
      <c r="E60" s="39">
        <f>SUM(E40:E59)</f>
        <v>3109900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TRUNC(6183,-1)</f>
        <v>6180</v>
      </c>
      <c r="E63" s="62">
        <f>TRUNC(+D63*3.3058,-1)</f>
        <v>20420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TRUNC(10882,-1)</f>
        <v>10880</v>
      </c>
      <c r="E65" s="64">
        <f>TRUNC(+D65*3.3058,-1)</f>
        <v>35960</v>
      </c>
    </row>
    <row r="66" spans="1:7" x14ac:dyDescent="0.3">
      <c r="A66" s="2">
        <v>4</v>
      </c>
      <c r="C66" s="27" t="s">
        <v>112</v>
      </c>
      <c r="D66" s="39">
        <f>SUM(D63:D65)</f>
        <v>17060</v>
      </c>
      <c r="E66" s="65">
        <f>SUM(E63:E65)</f>
        <v>56380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TRUNC(13096,-1)</f>
        <v>13090</v>
      </c>
      <c r="E69" s="62">
        <f t="shared" ref="E69:E94" si="2">TRUNC(+D69*3.3058,-1)</f>
        <v>43270</v>
      </c>
    </row>
    <row r="70" spans="1:7" ht="16.5" customHeight="1" x14ac:dyDescent="0.3">
      <c r="A70" s="2">
        <v>2</v>
      </c>
      <c r="C70" s="38" t="s">
        <v>31</v>
      </c>
      <c r="D70" s="42">
        <f>TRUNC(3295,-1)</f>
        <v>3290</v>
      </c>
      <c r="E70" s="63">
        <f t="shared" si="2"/>
        <v>10870</v>
      </c>
    </row>
    <row r="71" spans="1:7" x14ac:dyDescent="0.3">
      <c r="A71" s="2">
        <v>3</v>
      </c>
      <c r="C71" s="38" t="s">
        <v>32</v>
      </c>
      <c r="D71" s="42">
        <f>TRUNC(8442,-1)</f>
        <v>8440</v>
      </c>
      <c r="E71" s="63">
        <f t="shared" si="2"/>
        <v>27900</v>
      </c>
    </row>
    <row r="72" spans="1:7" x14ac:dyDescent="0.3">
      <c r="A72" s="2">
        <v>4</v>
      </c>
      <c r="C72" s="38" t="s">
        <v>33</v>
      </c>
      <c r="D72" s="42">
        <f>TRUNC(7969,-1)</f>
        <v>7960</v>
      </c>
      <c r="E72" s="63">
        <f t="shared" si="2"/>
        <v>26310</v>
      </c>
    </row>
    <row r="73" spans="1:7" x14ac:dyDescent="0.3">
      <c r="A73" s="2">
        <v>5</v>
      </c>
      <c r="C73" s="38" t="s">
        <v>34</v>
      </c>
      <c r="D73" s="42">
        <f>TRUNC(21739,-1)</f>
        <v>21730</v>
      </c>
      <c r="E73" s="63">
        <f t="shared" si="2"/>
        <v>71830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TRUNC(8948,-1)</f>
        <v>8940</v>
      </c>
      <c r="E89" s="63">
        <f t="shared" si="2"/>
        <v>29550</v>
      </c>
    </row>
    <row r="90" spans="1:7" x14ac:dyDescent="0.3">
      <c r="A90" s="2">
        <v>22</v>
      </c>
      <c r="C90" s="38" t="s">
        <v>36</v>
      </c>
      <c r="D90" s="42">
        <v>1110</v>
      </c>
      <c r="E90" s="63">
        <f t="shared" si="2"/>
        <v>3660</v>
      </c>
    </row>
    <row r="91" spans="1:7" x14ac:dyDescent="0.3">
      <c r="A91" s="2">
        <v>23</v>
      </c>
      <c r="C91" s="38" t="s">
        <v>37</v>
      </c>
      <c r="D91" s="42">
        <v>7050</v>
      </c>
      <c r="E91" s="63">
        <f t="shared" si="2"/>
        <v>23300</v>
      </c>
    </row>
    <row r="92" spans="1:7" x14ac:dyDescent="0.3">
      <c r="A92" s="2">
        <v>24</v>
      </c>
      <c r="C92" s="38" t="s">
        <v>38</v>
      </c>
      <c r="D92" s="42">
        <v>20510</v>
      </c>
      <c r="E92" s="63">
        <f t="shared" si="2"/>
        <v>67800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TRUNC(10810+3103+8306,-1)</f>
        <v>22210</v>
      </c>
      <c r="E94" s="64">
        <f t="shared" si="2"/>
        <v>73420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114330</v>
      </c>
      <c r="E95" s="39">
        <f>SUM(E69:E94)</f>
        <v>377910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TRUNC(21866,-1)</f>
        <v>21860</v>
      </c>
      <c r="E98" s="62">
        <f t="shared" ref="E98:E118" si="3">TRUNC(+D98*3.3058,-1)</f>
        <v>72260</v>
      </c>
    </row>
    <row r="99" spans="1:7" x14ac:dyDescent="0.3">
      <c r="A99" s="2">
        <v>2</v>
      </c>
      <c r="C99" s="38" t="s">
        <v>40</v>
      </c>
      <c r="D99" s="42">
        <f>TRUNC(4667,-1)</f>
        <v>4660</v>
      </c>
      <c r="E99" s="63">
        <f t="shared" si="3"/>
        <v>15400</v>
      </c>
    </row>
    <row r="100" spans="1:7" x14ac:dyDescent="0.3">
      <c r="A100" s="2">
        <v>3</v>
      </c>
      <c r="C100" s="38" t="s">
        <v>41</v>
      </c>
      <c r="D100" s="42">
        <f>TRUNC(38992,-1)</f>
        <v>38990</v>
      </c>
      <c r="E100" s="63">
        <f t="shared" si="3"/>
        <v>128890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TRUNC(21428,-1)</f>
        <v>21420</v>
      </c>
      <c r="E102" s="63">
        <f t="shared" si="3"/>
        <v>70810</v>
      </c>
    </row>
    <row r="103" spans="1:7" x14ac:dyDescent="0.3">
      <c r="A103" s="2">
        <v>6</v>
      </c>
      <c r="C103" s="38" t="s">
        <v>44</v>
      </c>
      <c r="D103" s="42">
        <f>TRUNC(8538,-1)</f>
        <v>8530</v>
      </c>
      <c r="E103" s="63">
        <f t="shared" si="3"/>
        <v>28190</v>
      </c>
    </row>
    <row r="104" spans="1:7" x14ac:dyDescent="0.3">
      <c r="A104" s="2">
        <v>7</v>
      </c>
      <c r="C104" s="38" t="s">
        <v>45</v>
      </c>
      <c r="D104" s="42">
        <f>TRUNC(2557,-1)</f>
        <v>2550</v>
      </c>
      <c r="E104" s="63">
        <f t="shared" si="3"/>
        <v>8420</v>
      </c>
    </row>
    <row r="105" spans="1:7" x14ac:dyDescent="0.3">
      <c r="A105" s="2">
        <v>8</v>
      </c>
      <c r="C105" s="38" t="s">
        <v>46</v>
      </c>
      <c r="D105" s="42">
        <f>TRUNC(5724,-1)</f>
        <v>5720</v>
      </c>
      <c r="E105" s="63">
        <f t="shared" si="3"/>
        <v>18900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TRUNC(2914,-1)</f>
        <v>2910</v>
      </c>
      <c r="E114" s="63">
        <f t="shared" si="3"/>
        <v>9610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149</v>
      </c>
      <c r="D117" s="42">
        <f>TRUNC(132279,-1)</f>
        <v>132270</v>
      </c>
      <c r="E117" s="63">
        <f t="shared" si="3"/>
        <v>437250</v>
      </c>
    </row>
    <row r="118" spans="1:7" ht="17.25" thickBot="1" x14ac:dyDescent="0.35">
      <c r="A118" s="2">
        <v>21</v>
      </c>
      <c r="C118" s="38" t="s">
        <v>47</v>
      </c>
      <c r="D118" s="43">
        <f>TRUNC(596,-1)</f>
        <v>590</v>
      </c>
      <c r="E118" s="64">
        <f t="shared" si="3"/>
        <v>1950</v>
      </c>
    </row>
    <row r="119" spans="1:7" x14ac:dyDescent="0.3">
      <c r="A119" s="2">
        <v>22</v>
      </c>
      <c r="C119" s="27" t="s">
        <v>112</v>
      </c>
      <c r="D119" s="39">
        <f>SUM(D98:D118)</f>
        <v>239500</v>
      </c>
      <c r="E119" s="39">
        <f>SUM(E98:E118)</f>
        <v>791680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TRUNC(3628,-1)</f>
        <v>3620</v>
      </c>
      <c r="E122" s="62">
        <f t="shared" ref="E122:E132" si="4">TRUNC(+D122*3.3058,-1)</f>
        <v>11960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TRUNC(1003,-1)</f>
        <v>1000</v>
      </c>
      <c r="E124" s="63">
        <f t="shared" si="4"/>
        <v>3300</v>
      </c>
    </row>
    <row r="125" spans="1:7" x14ac:dyDescent="0.3">
      <c r="A125" s="2">
        <v>4</v>
      </c>
      <c r="C125" s="38" t="s">
        <v>138</v>
      </c>
      <c r="D125" s="42">
        <f>TRUNC(5732,-1)</f>
        <v>5730</v>
      </c>
      <c r="E125" s="63">
        <f t="shared" si="4"/>
        <v>18940</v>
      </c>
    </row>
    <row r="126" spans="1:7" x14ac:dyDescent="0.3">
      <c r="A126" s="2">
        <v>5</v>
      </c>
      <c r="C126" s="38" t="s">
        <v>53</v>
      </c>
      <c r="D126" s="42">
        <v>2010</v>
      </c>
      <c r="E126" s="63">
        <f t="shared" si="4"/>
        <v>6640</v>
      </c>
    </row>
    <row r="127" spans="1:7" x14ac:dyDescent="0.3">
      <c r="A127" s="2">
        <v>6</v>
      </c>
      <c r="C127" s="38" t="s">
        <v>56</v>
      </c>
      <c r="D127" s="42">
        <f>TRUNC(3093,-1)</f>
        <v>3090</v>
      </c>
      <c r="E127" s="63">
        <f t="shared" si="4"/>
        <v>10210</v>
      </c>
    </row>
    <row r="128" spans="1:7" x14ac:dyDescent="0.3">
      <c r="A128" s="2">
        <v>7</v>
      </c>
      <c r="C128" s="38" t="s">
        <v>46</v>
      </c>
      <c r="D128" s="42">
        <f>TRUNC(5868,-1)</f>
        <v>5860</v>
      </c>
      <c r="E128" s="63">
        <f t="shared" si="4"/>
        <v>19370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TRUNC(12551,-1)</f>
        <v>12550</v>
      </c>
      <c r="E130" s="63">
        <f t="shared" si="4"/>
        <v>41480</v>
      </c>
    </row>
    <row r="131" spans="1:7" x14ac:dyDescent="0.3">
      <c r="A131" s="2">
        <v>10</v>
      </c>
      <c r="C131" s="38" t="s">
        <v>149</v>
      </c>
      <c r="D131" s="42">
        <v>48810</v>
      </c>
      <c r="E131" s="63">
        <f t="shared" si="4"/>
        <v>161350</v>
      </c>
    </row>
    <row r="132" spans="1:7" ht="18" thickBot="1" x14ac:dyDescent="0.35">
      <c r="A132" s="2">
        <v>11</v>
      </c>
      <c r="C132" s="38" t="s">
        <v>47</v>
      </c>
      <c r="D132" s="43">
        <f>TRUNC(2752,-1)</f>
        <v>2750</v>
      </c>
      <c r="E132" s="64">
        <f t="shared" si="4"/>
        <v>9090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85420</v>
      </c>
      <c r="E133" s="39">
        <f>SUM(E122:E132)</f>
        <v>282340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TRUNC(7025,-1)</f>
        <v>7020</v>
      </c>
      <c r="E137" s="63">
        <f t="shared" si="5"/>
        <v>23200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TRUNC(4431,-1)</f>
        <v>4430</v>
      </c>
      <c r="E139" s="63">
        <f t="shared" si="5"/>
        <v>14640</v>
      </c>
    </row>
    <row r="140" spans="1:7" x14ac:dyDescent="0.3">
      <c r="A140" s="2">
        <v>5</v>
      </c>
      <c r="C140" s="38" t="s">
        <v>57</v>
      </c>
      <c r="D140" s="42">
        <f>TRUNC(2434,-1)</f>
        <v>2430</v>
      </c>
      <c r="E140" s="63">
        <f t="shared" si="5"/>
        <v>8030</v>
      </c>
    </row>
    <row r="141" spans="1:7" x14ac:dyDescent="0.3">
      <c r="A141" s="2">
        <v>6</v>
      </c>
      <c r="C141" s="38" t="s">
        <v>59</v>
      </c>
      <c r="D141" s="42">
        <f>TRUNC(31103,-1)</f>
        <v>31100</v>
      </c>
      <c r="E141" s="63">
        <f t="shared" si="5"/>
        <v>102810</v>
      </c>
    </row>
    <row r="142" spans="1:7" x14ac:dyDescent="0.3">
      <c r="A142" s="2">
        <v>7</v>
      </c>
      <c r="C142" s="38" t="s">
        <v>58</v>
      </c>
      <c r="D142" s="42">
        <f>TRUNC(17482,-1)</f>
        <v>17480</v>
      </c>
      <c r="E142" s="63">
        <f t="shared" si="5"/>
        <v>57780</v>
      </c>
    </row>
    <row r="143" spans="1:7" x14ac:dyDescent="0.3">
      <c r="A143" s="2">
        <v>8</v>
      </c>
      <c r="C143" s="38" t="s">
        <v>62</v>
      </c>
      <c r="D143" s="42">
        <f>TRUNC(8614,-1)</f>
        <v>8610</v>
      </c>
      <c r="E143" s="63">
        <f t="shared" si="5"/>
        <v>28460</v>
      </c>
    </row>
    <row r="144" spans="1:7" x14ac:dyDescent="0.3">
      <c r="A144" s="2">
        <v>9</v>
      </c>
      <c r="C144" s="38" t="s">
        <v>63</v>
      </c>
      <c r="D144" s="42">
        <f>TRUNC(7148,-1)</f>
        <v>7140</v>
      </c>
      <c r="E144" s="63">
        <f t="shared" si="5"/>
        <v>23600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78210</v>
      </c>
      <c r="E146" s="39">
        <f>SUM(E136:E145)</f>
        <v>258520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TRUNC(9155+3468,-1)</f>
        <v>12620</v>
      </c>
      <c r="E149" s="62">
        <f>TRUNC(+D149*3.3058,-1)</f>
        <v>41710</v>
      </c>
    </row>
    <row r="150" spans="1:7" x14ac:dyDescent="0.3">
      <c r="A150" s="2">
        <v>2</v>
      </c>
      <c r="C150" s="38" t="s">
        <v>49</v>
      </c>
      <c r="D150" s="42">
        <v>14570</v>
      </c>
      <c r="E150" s="63">
        <f>TRUNC(+D150*3.3058,-1)</f>
        <v>48160</v>
      </c>
    </row>
    <row r="151" spans="1:7" x14ac:dyDescent="0.3">
      <c r="A151" s="2">
        <v>3</v>
      </c>
      <c r="C151" s="38" t="s">
        <v>50</v>
      </c>
      <c r="D151" s="42">
        <f>TRUNC(25508,-1)</f>
        <v>25500</v>
      </c>
      <c r="E151" s="63">
        <f>TRUNC(+D151*3.3058,-1)</f>
        <v>84290</v>
      </c>
    </row>
    <row r="152" spans="1:7" x14ac:dyDescent="0.3">
      <c r="A152" s="2">
        <v>4</v>
      </c>
      <c r="C152" s="38" t="s">
        <v>47</v>
      </c>
      <c r="D152" s="42">
        <f>TRUNC(45+14756,-1)</f>
        <v>14800</v>
      </c>
      <c r="E152" s="63">
        <f>TRUNC(+D152*3.3058,-1)</f>
        <v>48920</v>
      </c>
      <c r="F152" s="2" t="s">
        <v>258</v>
      </c>
    </row>
    <row r="153" spans="1:7" ht="17.25" thickBot="1" x14ac:dyDescent="0.35">
      <c r="A153" s="2">
        <v>5</v>
      </c>
      <c r="C153" s="38" t="s">
        <v>149</v>
      </c>
      <c r="D153" s="43">
        <f>TRUNC(46387,-1)</f>
        <v>46380</v>
      </c>
      <c r="E153" s="64">
        <f>TRUNC(+D153*3.3058,-1)</f>
        <v>153320</v>
      </c>
    </row>
    <row r="154" spans="1:7" x14ac:dyDescent="0.3">
      <c r="A154" s="2">
        <v>6</v>
      </c>
      <c r="C154" s="27" t="s">
        <v>112</v>
      </c>
      <c r="D154" s="39">
        <f>SUM(D149:D153)</f>
        <v>113870</v>
      </c>
      <c r="E154" s="39">
        <f>SUM(E149:E153)</f>
        <v>376400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2020-12-08T04:21:05Z</dcterms:modified>
</cp:coreProperties>
</file>