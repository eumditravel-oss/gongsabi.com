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0" i="4"/>
  <c r="D149" i="4"/>
  <c r="D144" i="4"/>
  <c r="D142" i="4"/>
  <c r="D141" i="4"/>
  <c r="D140" i="4"/>
  <c r="D138" i="4"/>
  <c r="D137" i="4"/>
  <c r="D132" i="4"/>
  <c r="D128" i="4"/>
  <c r="D127" i="4"/>
  <c r="D126" i="4"/>
  <c r="D124" i="4"/>
  <c r="D122" i="4"/>
  <c r="D118" i="4"/>
  <c r="D117" i="4"/>
  <c r="D116" i="4"/>
  <c r="D114" i="4"/>
  <c r="D104" i="4"/>
  <c r="D102" i="4"/>
  <c r="D101" i="4"/>
  <c r="D100" i="4"/>
  <c r="D99" i="4"/>
  <c r="D98" i="4"/>
  <c r="D94" i="4"/>
  <c r="D93" i="4"/>
  <c r="D92" i="4"/>
  <c r="D91" i="4"/>
  <c r="D89" i="4"/>
  <c r="D76" i="4"/>
  <c r="D75" i="4"/>
  <c r="D73" i="4"/>
  <c r="D72" i="4"/>
  <c r="D71" i="4"/>
  <c r="D70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<sst xmlns="http://schemas.openxmlformats.org/spreadsheetml/2006/main" count="393" uniqueCount="267">
  <si>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</si>
  <si>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</si>
  <si>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</si>
  <si>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</si>
  <si>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</si>
  <si>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</si>
  <si>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</si>
  <si>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</si>
  <si>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</si>
  <si>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</si>
  <si>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</si>
  <si>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</si>
  <si>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</si>
  <si>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</si>
  <si>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</si>
  <si>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</si>
  <si>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</si>
  <si>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</si>
  <si>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</si>
  <si>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</si>
  <si>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</si>
  <si>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</si>
  <si>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</si>
  <si>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</si>
  <si>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</si>
  <si>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</si>
  <si>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</si>
  <si>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</si>
  <si>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</si>
  <si>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</si>
  <si>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</si>
  <si>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</si>
  <si>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</si>
  <si>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</si>
  <si>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</si>
  <si>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</si>
  <si>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</si>
  <si>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</si>
  <si>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</si>
  <si>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</si>
  <si>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</si>
  <si>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</si>
  <si>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</si>
  <si>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</si>
  <si>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</si>
  <si>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</si>
  <si>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</si>
  <si>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</si>
  <si>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</si>
  <si>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</si>
  <si>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</si>
  <si>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</si>
  <si>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</si>
  <si>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</si>
  <si>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</si>
  <si>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</si>
  <si>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</si>
  <si>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</si>
  <si>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</si>
  <si>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</si>
  <si>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</si>
  <si>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</si>
  <si>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</si>
  <si>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</si>
  <si>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</si>
  <si>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</si>
  <si>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</si>
  <si>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</si>
  <si>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</si>
  <si>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</si>
  <si>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</si>
  <si>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</si>
  <si>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</si>
  <si>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</si>
  <si>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</si>
  <si>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</si>
  <si>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</si>
  <si>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</si>
  <si>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</si>
  <si>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</si>
  <si>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</si>
  <si>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</si>
  <si>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</si>
  <si>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</si>
  <si>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</si>
  <si>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</si>
  <si>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</si>
  <si>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</si>
  <si>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</si>
  <si>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</si>
  <si>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</si>
  <si>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</si>
  <si>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</si>
  <si>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</si>
  <si>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</si>
  <si>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</si>
  <si>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</si>
  <si>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</si>
  <si>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</si>
  <si>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</si>
  <si>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</si>
  <si>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</si>
  <si>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</si>
  <si>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</si>
  <si>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</si>
  <si>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</si>
  <si>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</si>
  <si>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</si>
  <si>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</si>
  <si>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</si>
  <si>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</si>
  <si>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</si>
  <si>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</si>
  <si>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</si>
  <si>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</si>
  <si>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</si>
  <si>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</si>
  <si>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</si>
  <si>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</si>
  <si>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</si>
  <si>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</si>
  <si>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</si>
  <si>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</si>
  <si>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</si>
  <si>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</si>
  <si>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</si>
  <si>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</si>
  <si>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</si>
  <si>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</si>
  <si>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</si>
  <si>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</si>
  <si>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</si>
  <si>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</si>
  <si>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</si>
  <si>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</si>
  <si>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</si>
  <si>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</si>
  <si>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</si>
  <si>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</si>
  <si>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</si>
  <si>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</si>
  <si>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</si>
  <si>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</si>
  <si>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</si>
  <si>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</si>
  <si>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</si>
  <si>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</si>
  <si>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</si>
  <si>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</si>
  <si>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</si>
  <si>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</si>
  <si>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</si>
  <si>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</si>
  <si>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</si>
  <si>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</si>
  <si>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</si>
  <si>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</si>
  <si>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</si>
  <si>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</si>
  <si>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</si>
  <si>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</si>
  <si>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</si>
  <si>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</si>
  <si>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</si>
  <si>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</si>
  <si>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</si>
  <si>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</si>
  <si>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</si>
  <si>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</si>
  <si>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</si>
  <si>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</si>
  <si>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</si>
  <si>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</si>
  <si>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</si>
  <si>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</si>
  <si>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</si>
  <si>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</si>
  <si>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</si>
  <si>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</si>
  <si>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</si>
  <si>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</si>
  <si>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</si>
  <si>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</si>
  <si>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</si>
  <si>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</si>
  <si>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</si>
  <si>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</si>
  <si>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</si>
  <si>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</si>
  <si>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</si>
  <si>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</si>
  <si>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</si>
  <si>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</si>
  <si>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</si>
  <si>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</si>
  <si>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</si>
  <si>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</si>
  <si>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</si>
  <si>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</si>
  <si>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</si>
  <si>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</si>
  <si>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</si>
  <si>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</si>
  <si>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</si>
  <si>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</si>
  <si>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</si>
  <si>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</si>
  <si>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</si>
  <si>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</si>
  <si>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</si>
  <si>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</si>
  <si>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</si>
  <si>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</si>
  <si>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</si>
  <si>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</si>
  <si>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</si>
  <si>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</si>
  <si>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</si>
  <si>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</si>
  <si>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</si>
  <si>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</si>
  <si>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</si>
  <si>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</si>
  <si>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</si>
  <si>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</si>
  <si>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</si>
  <si>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</si>
  <si>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</si>
  <si>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</si>
  <si>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</si>
  <si>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</si>
  <si>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</si>
  <si>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</si>
  <si>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</si>
  <si>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</si>
  <si>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</si>
  <si>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</si>
  <si>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</si>
  <si>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</si>
  <si>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</si>
  <si>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</si>
  <si>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</si>
  <si>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</si>
  <si>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</si>
  <si>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</si>
  <si>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</si>
  <si>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</si>
  <si>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</si>
  <si>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</si>
  <si>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</si>
  <si>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</si>
  <si>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</si>
  <si>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</si>
  <si>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</si>
  <si>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</si>
  <si>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</si>
  <si>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업무</t>
  </si>
  <si>
    <t>전주지방검찰청 신축공사</t>
    <phoneticPr fontId="2" type="noConversion"/>
  </si>
  <si>
    <t>전라도</t>
  </si>
  <si>
    <t>기초공사, 해체및철거공사, 골재비및운반비, 작업부산물, 품질시험비, 기타공사</t>
    <phoneticPr fontId="2" type="noConversion"/>
  </si>
  <si>
    <t>공조배관공사, 난방배관공사, 우수처리시설공사, 바닥난방공사, 기타공사</t>
    <phoneticPr fontId="2" type="noConversion"/>
  </si>
  <si>
    <t>CCTV설비공사, 주차관제설비공사, 기타공사</t>
    <phoneticPr fontId="2" type="noConversion"/>
  </si>
  <si>
    <t>옥외소화배관공사, 펌프실배관공사, 제연덕트설치공사, 무선통신보조설비공사, 기타공사</t>
    <phoneticPr fontId="2" type="noConversion"/>
  </si>
  <si>
    <t>상수도공사, 사급자재비, 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</si>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</sst>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26265.63</v>
      </c>
      <c r="D7" s="36">
        <f>+C7/3.3058</f>
        <v>7945.3173210720552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857670</v>
      </c>
      <c r="E25" s="59">
        <f t="shared" si="0"/>
        <v>2835280</v>
      </c>
    </row>
    <row r="26" spans="1:5" x14ac:dyDescent="0.3">
      <c r="B26" s="2">
        <v>3</v>
      </c>
      <c r="C26" s="35" t="s">
        <v>95</v>
      </c>
      <c r="D26" s="45">
        <f>+D66</f>
        <v>11640</v>
      </c>
      <c r="E26" s="59">
        <f t="shared" si="0"/>
        <v>38470</v>
      </c>
    </row>
    <row r="27" spans="1:5" x14ac:dyDescent="0.3">
      <c r="B27" s="2">
        <v>4</v>
      </c>
      <c r="C27" s="35" t="s">
        <v>96</v>
      </c>
      <c r="D27" s="45">
        <f>+D95</f>
        <v>262250</v>
      </c>
      <c r="E27" s="59">
        <f t="shared" si="0"/>
        <v>866940</v>
      </c>
    </row>
    <row r="28" spans="1:5" x14ac:dyDescent="0.3">
      <c r="B28" s="2">
        <v>5</v>
      </c>
      <c r="C28" s="35" t="s">
        <v>97</v>
      </c>
      <c r="D28" s="45">
        <f>+D119</f>
        <v>173260</v>
      </c>
      <c r="E28" s="59">
        <f t="shared" si="0"/>
        <v>572760</v>
      </c>
    </row>
    <row r="29" spans="1:5" x14ac:dyDescent="0.3">
      <c r="B29" s="2">
        <v>6</v>
      </c>
      <c r="C29" s="35" t="s">
        <v>98</v>
      </c>
      <c r="D29" s="45">
        <f>+D133</f>
        <v>101530</v>
      </c>
      <c r="E29" s="59">
        <f t="shared" si="0"/>
        <v>335630</v>
      </c>
    </row>
    <row r="30" spans="1:5" x14ac:dyDescent="0.3">
      <c r="B30" s="2">
        <v>7</v>
      </c>
      <c r="C30" s="35" t="s">
        <v>99</v>
      </c>
      <c r="D30" s="45">
        <f>+D146</f>
        <v>63740</v>
      </c>
      <c r="E30" s="59">
        <f t="shared" si="0"/>
        <v>210710</v>
      </c>
    </row>
    <row r="31" spans="1:5" x14ac:dyDescent="0.3">
      <c r="B31" s="2">
        <v>8</v>
      </c>
      <c r="C31" s="35" t="s">
        <v>100</v>
      </c>
      <c r="D31" s="45">
        <f>+D154</f>
        <v>50660</v>
      </c>
      <c r="E31" s="59">
        <f t="shared" si="0"/>
        <v>167470</v>
      </c>
    </row>
    <row r="32" spans="1:5" x14ac:dyDescent="0.3">
      <c r="B32" s="2">
        <v>9</v>
      </c>
      <c r="C32" s="35" t="s">
        <v>101</v>
      </c>
      <c r="D32" s="45">
        <f>+D161</f>
        <v>101330</v>
      </c>
      <c r="E32" s="59">
        <f t="shared" si="0"/>
        <v>334970</v>
      </c>
    </row>
    <row r="33" spans="1:7" x14ac:dyDescent="0.3">
      <c r="B33" s="2">
        <v>10</v>
      </c>
      <c r="C33" s="35" t="s">
        <v>155</v>
      </c>
      <c r="D33" s="53">
        <f>TRUNC(SUM(D24:D32)*0.275,-1)</f>
        <v>446070</v>
      </c>
      <c r="E33" s="60">
        <f t="shared" si="0"/>
        <v>1474610</v>
      </c>
    </row>
    <row r="34" spans="1:7" x14ac:dyDescent="0.3">
      <c r="C34" s="35" t="s">
        <v>112</v>
      </c>
      <c r="D34" s="44">
        <f>SUM(D24:D33)</f>
        <v>2068150</v>
      </c>
      <c r="E34" s="44">
        <f>SUM(E24:E33)</f>
        <v>6836840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TRUNC(52933,-1)</f>
        <v>52930</v>
      </c>
      <c r="E40" s="62">
        <f t="shared" ref="E40:E59" si="1">TRUNC(+D40*3.3058,-1)</f>
        <v>174970</v>
      </c>
    </row>
    <row r="41" spans="1:7" x14ac:dyDescent="0.3">
      <c r="A41" s="2">
        <v>2</v>
      </c>
      <c r="C41" s="38" t="s">
        <v>13</v>
      </c>
      <c r="D41" s="42">
        <v>117860</v>
      </c>
      <c r="E41" s="63">
        <f t="shared" si="1"/>
        <v>389620</v>
      </c>
    </row>
    <row r="42" spans="1:7" x14ac:dyDescent="0.3">
      <c r="A42" s="2">
        <v>3</v>
      </c>
      <c r="C42" s="38" t="s">
        <v>14</v>
      </c>
      <c r="D42" s="42">
        <f>TRUNC(11738,-1)</f>
        <v>11730</v>
      </c>
      <c r="E42" s="63">
        <f t="shared" si="1"/>
        <v>38770</v>
      </c>
    </row>
    <row r="43" spans="1:7" x14ac:dyDescent="0.3">
      <c r="A43" s="2">
        <v>4</v>
      </c>
      <c r="C43" s="38" t="s">
        <v>16</v>
      </c>
      <c r="D43" s="42">
        <f>TRUNC(19809,-1)</f>
        <v>19800</v>
      </c>
      <c r="E43" s="63">
        <f t="shared" si="1"/>
        <v>65450</v>
      </c>
    </row>
    <row r="44" spans="1:7" x14ac:dyDescent="0.3">
      <c r="A44" s="2">
        <v>5</v>
      </c>
      <c r="C44" s="38" t="s">
        <v>17</v>
      </c>
      <c r="D44" s="42">
        <f>TRUNC(29522,-1)</f>
        <v>29520</v>
      </c>
      <c r="E44" s="63">
        <f t="shared" si="1"/>
        <v>97580</v>
      </c>
    </row>
    <row r="45" spans="1:7" x14ac:dyDescent="0.3">
      <c r="A45" s="2">
        <v>6</v>
      </c>
      <c r="C45" s="38" t="s">
        <v>18</v>
      </c>
      <c r="D45" s="42">
        <f>TRUNC(6645,-1)</f>
        <v>6640</v>
      </c>
      <c r="E45" s="63">
        <f t="shared" si="1"/>
        <v>21950</v>
      </c>
    </row>
    <row r="46" spans="1:7" x14ac:dyDescent="0.3">
      <c r="A46" s="2">
        <v>7</v>
      </c>
      <c r="C46" s="38" t="s">
        <v>19</v>
      </c>
      <c r="D46" s="42">
        <f>TRUNC(90813,-1)</f>
        <v>90810</v>
      </c>
      <c r="E46" s="63">
        <f t="shared" si="1"/>
        <v>300190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TRUNC(26663,-1)</f>
        <v>26660</v>
      </c>
      <c r="E48" s="63">
        <f t="shared" si="1"/>
        <v>88130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TRUNC(24834,-1)</f>
        <v>24830</v>
      </c>
      <c r="E49" s="63">
        <f t="shared" si="1"/>
        <v>82080</v>
      </c>
    </row>
    <row r="50" spans="1:7" x14ac:dyDescent="0.3">
      <c r="A50" s="2">
        <v>11</v>
      </c>
      <c r="C50" s="38" t="s">
        <v>156</v>
      </c>
      <c r="D50" s="42">
        <f>TRUNC(46447,-1)</f>
        <v>46440</v>
      </c>
      <c r="E50" s="63">
        <f t="shared" si="1"/>
        <v>153520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TRUNC(10118,-1)</f>
        <v>10110</v>
      </c>
      <c r="E52" s="63">
        <f t="shared" si="1"/>
        <v>33420</v>
      </c>
    </row>
    <row r="53" spans="1:7" x14ac:dyDescent="0.3">
      <c r="A53" s="2">
        <v>14</v>
      </c>
      <c r="C53" s="38" t="s">
        <v>25</v>
      </c>
      <c r="D53" s="42">
        <f>TRUNC(120128,-1)</f>
        <v>120120</v>
      </c>
      <c r="E53" s="63">
        <f t="shared" si="1"/>
        <v>397090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TRUNC(13688+26+5720-560+1634+16175,-1)</f>
        <v>36680</v>
      </c>
      <c r="E58" s="63">
        <f t="shared" si="1"/>
        <v>121250</v>
      </c>
      <c r="F58" s="2" t="s">
        <v>259</v>
      </c>
    </row>
    <row r="59" spans="1:7" ht="17.25" thickBot="1" x14ac:dyDescent="0.35">
      <c r="A59" s="2">
        <v>20</v>
      </c>
      <c r="C59" s="38" t="s">
        <v>149</v>
      </c>
      <c r="D59" s="43">
        <f>TRUNC(263543,-1)</f>
        <v>263540</v>
      </c>
      <c r="E59" s="64">
        <f t="shared" si="1"/>
        <v>871210</v>
      </c>
    </row>
    <row r="60" spans="1:7" x14ac:dyDescent="0.3">
      <c r="A60" s="2">
        <v>21</v>
      </c>
      <c r="C60" s="27" t="s">
        <v>112</v>
      </c>
      <c r="D60" s="39">
        <f>SUM(D40:D59)</f>
        <v>857670</v>
      </c>
      <c r="E60" s="39">
        <f>SUM(E40:E59)</f>
        <v>2835230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TRUNC(11648,-1)</f>
        <v>11640</v>
      </c>
      <c r="E63" s="62">
        <f>TRUNC(+D63*3.3058,-1)</f>
        <v>38470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11640</v>
      </c>
      <c r="E66" s="65">
        <f>SUM(E63:E65)</f>
        <v>38470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TRUNC(8588,-1)</f>
        <v>8580</v>
      </c>
      <c r="E69" s="62">
        <f t="shared" ref="E69:E94" si="2">TRUNC(+D69*3.3058,-1)</f>
        <v>28360</v>
      </c>
    </row>
    <row r="70" spans="1:7" ht="16.5" customHeight="1" x14ac:dyDescent="0.3">
      <c r="A70" s="2">
        <v>2</v>
      </c>
      <c r="C70" s="38" t="s">
        <v>31</v>
      </c>
      <c r="D70" s="42">
        <f>TRUNC(713,-1)</f>
        <v>710</v>
      </c>
      <c r="E70" s="63">
        <f t="shared" si="2"/>
        <v>2340</v>
      </c>
    </row>
    <row r="71" spans="1:7" x14ac:dyDescent="0.3">
      <c r="A71" s="2">
        <v>3</v>
      </c>
      <c r="C71" s="38" t="s">
        <v>32</v>
      </c>
      <c r="D71" s="42">
        <f>TRUNC(10591,-1)</f>
        <v>10590</v>
      </c>
      <c r="E71" s="63">
        <f t="shared" si="2"/>
        <v>35000</v>
      </c>
    </row>
    <row r="72" spans="1:7" x14ac:dyDescent="0.3">
      <c r="A72" s="2">
        <v>4</v>
      </c>
      <c r="C72" s="38" t="s">
        <v>33</v>
      </c>
      <c r="D72" s="42">
        <f>TRUNC(2631,-1)</f>
        <v>2630</v>
      </c>
      <c r="E72" s="63">
        <f t="shared" si="2"/>
        <v>8690</v>
      </c>
    </row>
    <row r="73" spans="1:7" x14ac:dyDescent="0.3">
      <c r="A73" s="2">
        <v>5</v>
      </c>
      <c r="C73" s="38" t="s">
        <v>34</v>
      </c>
      <c r="D73" s="42">
        <f>TRUNC(7746,-1)</f>
        <v>7740</v>
      </c>
      <c r="E73" s="63">
        <f t="shared" si="2"/>
        <v>25580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TRUNC(1179,-1)</f>
        <v>1170</v>
      </c>
      <c r="E75" s="63">
        <f t="shared" si="2"/>
        <v>3860</v>
      </c>
    </row>
    <row r="76" spans="1:7" x14ac:dyDescent="0.3">
      <c r="A76" s="2">
        <v>8</v>
      </c>
      <c r="C76" s="38" t="s">
        <v>119</v>
      </c>
      <c r="D76" s="42">
        <f>TRUNC(59467,-1)</f>
        <v>59460</v>
      </c>
      <c r="E76" s="63">
        <f t="shared" si="2"/>
        <v>196560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TRUNC(10613,-1)</f>
        <v>10610</v>
      </c>
      <c r="E89" s="63">
        <f t="shared" si="2"/>
        <v>35070</v>
      </c>
    </row>
    <row r="90" spans="1:7" x14ac:dyDescent="0.3">
      <c r="A90" s="2">
        <v>22</v>
      </c>
      <c r="C90" s="38" t="s">
        <v>36</v>
      </c>
      <c r="D90" s="42">
        <v>1540</v>
      </c>
      <c r="E90" s="63">
        <f t="shared" si="2"/>
        <v>5090</v>
      </c>
    </row>
    <row r="91" spans="1:7" x14ac:dyDescent="0.3">
      <c r="A91" s="2">
        <v>23</v>
      </c>
      <c r="C91" s="38" t="s">
        <v>37</v>
      </c>
      <c r="D91" s="42">
        <f>TRUNC(44931,-1)</f>
        <v>44930</v>
      </c>
      <c r="E91" s="63">
        <f t="shared" si="2"/>
        <v>148520</v>
      </c>
    </row>
    <row r="92" spans="1:7" x14ac:dyDescent="0.3">
      <c r="A92" s="2">
        <v>24</v>
      </c>
      <c r="C92" s="38" t="s">
        <v>38</v>
      </c>
      <c r="D92" s="42">
        <f>TRUNC(4101,-1)</f>
        <v>4100</v>
      </c>
      <c r="E92" s="63">
        <f t="shared" si="2"/>
        <v>13550</v>
      </c>
    </row>
    <row r="93" spans="1:7" x14ac:dyDescent="0.3">
      <c r="A93" s="2">
        <v>25</v>
      </c>
      <c r="C93" s="38" t="s">
        <v>149</v>
      </c>
      <c r="D93" s="42">
        <f>TRUNC(69543,-1)</f>
        <v>69540</v>
      </c>
      <c r="E93" s="63">
        <f t="shared" si="2"/>
        <v>229880</v>
      </c>
    </row>
    <row r="94" spans="1:7" ht="17.25" thickBot="1" x14ac:dyDescent="0.35">
      <c r="A94" s="2">
        <v>26</v>
      </c>
      <c r="C94" s="38" t="s">
        <v>47</v>
      </c>
      <c r="D94" s="43">
        <f>TRUNC(13880+744+997+550+24480,-1)</f>
        <v>40650</v>
      </c>
      <c r="E94" s="64">
        <f t="shared" si="2"/>
        <v>134380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262250</v>
      </c>
      <c r="E95" s="39">
        <f>SUM(E69:E94)</f>
        <v>866880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TRUNC(16058,-1)</f>
        <v>16050</v>
      </c>
      <c r="E98" s="62">
        <f t="shared" ref="E98:E118" si="3">TRUNC(+D98*3.3058,-1)</f>
        <v>53050</v>
      </c>
    </row>
    <row r="99" spans="1:7" x14ac:dyDescent="0.3">
      <c r="A99" s="2">
        <v>2</v>
      </c>
      <c r="C99" s="38" t="s">
        <v>40</v>
      </c>
      <c r="D99" s="42">
        <f>TRUNC(15808,-1)</f>
        <v>15800</v>
      </c>
      <c r="E99" s="63">
        <f t="shared" si="3"/>
        <v>52230</v>
      </c>
    </row>
    <row r="100" spans="1:7" x14ac:dyDescent="0.3">
      <c r="A100" s="2">
        <v>3</v>
      </c>
      <c r="C100" s="38" t="s">
        <v>41</v>
      </c>
      <c r="D100" s="42">
        <f>TRUNC(34112,-1)</f>
        <v>34110</v>
      </c>
      <c r="E100" s="63">
        <f t="shared" si="3"/>
        <v>112760</v>
      </c>
    </row>
    <row r="101" spans="1:7" x14ac:dyDescent="0.3">
      <c r="A101" s="2">
        <v>4</v>
      </c>
      <c r="C101" s="38" t="s">
        <v>42</v>
      </c>
      <c r="D101" s="42">
        <f>TRUNC(3711,-1)</f>
        <v>3710</v>
      </c>
      <c r="E101" s="63">
        <f t="shared" si="3"/>
        <v>12260</v>
      </c>
    </row>
    <row r="102" spans="1:7" x14ac:dyDescent="0.3">
      <c r="A102" s="2">
        <v>5</v>
      </c>
      <c r="C102" s="38" t="s">
        <v>43</v>
      </c>
      <c r="D102" s="42">
        <f>TRUNC(16522,-1)</f>
        <v>16520</v>
      </c>
      <c r="E102" s="63">
        <f t="shared" si="3"/>
        <v>54610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TRUNC(1196,-1)</f>
        <v>1190</v>
      </c>
      <c r="E104" s="63">
        <f t="shared" si="3"/>
        <v>3930</v>
      </c>
    </row>
    <row r="105" spans="1:7" x14ac:dyDescent="0.3">
      <c r="A105" s="2">
        <v>8</v>
      </c>
      <c r="C105" s="38" t="s">
        <v>46</v>
      </c>
      <c r="D105" s="42">
        <v>2720</v>
      </c>
      <c r="E105" s="63">
        <f t="shared" si="3"/>
        <v>8990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TRUNC(3243,-1)</f>
        <v>3240</v>
      </c>
      <c r="E114" s="63">
        <f t="shared" si="3"/>
        <v>10710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TRUNC(6135,-1)</f>
        <v>6130</v>
      </c>
      <c r="E116" s="63">
        <f t="shared" si="3"/>
        <v>20260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f>TRUNC(73524,-1)</f>
        <v>73520</v>
      </c>
      <c r="E117" s="63">
        <f t="shared" si="3"/>
        <v>243040</v>
      </c>
    </row>
    <row r="118" spans="1:7" ht="17.25" thickBot="1" x14ac:dyDescent="0.35">
      <c r="A118" s="2">
        <v>21</v>
      </c>
      <c r="C118" s="38" t="s">
        <v>47</v>
      </c>
      <c r="D118" s="43">
        <f>TRUNC(274,-1)</f>
        <v>270</v>
      </c>
      <c r="E118" s="64">
        <f t="shared" si="3"/>
        <v>890</v>
      </c>
    </row>
    <row r="119" spans="1:7" x14ac:dyDescent="0.3">
      <c r="A119" s="2">
        <v>22</v>
      </c>
      <c r="C119" s="27" t="s">
        <v>112</v>
      </c>
      <c r="D119" s="39">
        <f>SUM(D98:D118)</f>
        <v>173260</v>
      </c>
      <c r="E119" s="39">
        <f>SUM(E98:E118)</f>
        <v>572730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TRUNC(6329,-1)</f>
        <v>6320</v>
      </c>
      <c r="E122" s="62">
        <f t="shared" ref="E122:E132" si="4">TRUNC(+D122*3.3058,-1)</f>
        <v>20890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TRUNC(1292,-1)</f>
        <v>1290</v>
      </c>
      <c r="E124" s="63">
        <f t="shared" si="4"/>
        <v>4260</v>
      </c>
    </row>
    <row r="125" spans="1:7" x14ac:dyDescent="0.3">
      <c r="A125" s="2">
        <v>4</v>
      </c>
      <c r="C125" s="38" t="s">
        <v>138</v>
      </c>
      <c r="D125" s="42">
        <v>8540</v>
      </c>
      <c r="E125" s="63">
        <f t="shared" si="4"/>
        <v>28230</v>
      </c>
    </row>
    <row r="126" spans="1:7" x14ac:dyDescent="0.3">
      <c r="A126" s="2">
        <v>5</v>
      </c>
      <c r="C126" s="38" t="s">
        <v>53</v>
      </c>
      <c r="D126" s="42">
        <f>TRUNC(14059,-1)</f>
        <v>14050</v>
      </c>
      <c r="E126" s="63">
        <f t="shared" si="4"/>
        <v>46440</v>
      </c>
    </row>
    <row r="127" spans="1:7" x14ac:dyDescent="0.3">
      <c r="A127" s="2">
        <v>6</v>
      </c>
      <c r="C127" s="38" t="s">
        <v>56</v>
      </c>
      <c r="D127" s="42">
        <f>TRUNC(7354,-1)</f>
        <v>7350</v>
      </c>
      <c r="E127" s="63">
        <f t="shared" si="4"/>
        <v>24290</v>
      </c>
    </row>
    <row r="128" spans="1:7" x14ac:dyDescent="0.3">
      <c r="A128" s="2">
        <v>7</v>
      </c>
      <c r="C128" s="38" t="s">
        <v>46</v>
      </c>
      <c r="D128" s="42">
        <f>TRUNC(8822,-1)</f>
        <v>8820</v>
      </c>
      <c r="E128" s="63">
        <f t="shared" si="4"/>
        <v>29150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5550</v>
      </c>
      <c r="E130" s="63">
        <f t="shared" si="4"/>
        <v>18340</v>
      </c>
    </row>
    <row r="131" spans="1:7" x14ac:dyDescent="0.3">
      <c r="A131" s="2">
        <v>10</v>
      </c>
      <c r="C131" s="38" t="s">
        <v>149</v>
      </c>
      <c r="D131" s="42">
        <v>42790</v>
      </c>
      <c r="E131" s="63">
        <f t="shared" si="4"/>
        <v>141450</v>
      </c>
    </row>
    <row r="132" spans="1:7" ht="18" thickBot="1" x14ac:dyDescent="0.35">
      <c r="A132" s="2">
        <v>11</v>
      </c>
      <c r="C132" s="38" t="s">
        <v>47</v>
      </c>
      <c r="D132" s="43">
        <f>TRUNC(2956+787+3085,-1)</f>
        <v>6820</v>
      </c>
      <c r="E132" s="64">
        <f t="shared" si="4"/>
        <v>22540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101530</v>
      </c>
      <c r="E133" s="39">
        <f>SUM(E122:E132)</f>
        <v>335590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TRUNC(60+851+2629+1877+615,-1)</f>
        <v>6030</v>
      </c>
      <c r="E137" s="63">
        <f t="shared" si="5"/>
        <v>19930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f>TRUNC(4403,-1)</f>
        <v>4400</v>
      </c>
      <c r="E138" s="63">
        <f t="shared" si="5"/>
        <v>14540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TRUNC(1137,-1)</f>
        <v>1130</v>
      </c>
      <c r="E140" s="63">
        <f t="shared" si="5"/>
        <v>3730</v>
      </c>
    </row>
    <row r="141" spans="1:7" x14ac:dyDescent="0.3">
      <c r="A141" s="2">
        <v>6</v>
      </c>
      <c r="C141" s="38" t="s">
        <v>59</v>
      </c>
      <c r="D141" s="42">
        <f>TRUNC(26707,-1)</f>
        <v>26700</v>
      </c>
      <c r="E141" s="63">
        <f t="shared" si="5"/>
        <v>88260</v>
      </c>
    </row>
    <row r="142" spans="1:7" x14ac:dyDescent="0.3">
      <c r="A142" s="2">
        <v>7</v>
      </c>
      <c r="C142" s="38" t="s">
        <v>58</v>
      </c>
      <c r="D142" s="42">
        <f>TRUNC(5953,-1)</f>
        <v>5950</v>
      </c>
      <c r="E142" s="63">
        <f t="shared" si="5"/>
        <v>19660</v>
      </c>
    </row>
    <row r="143" spans="1:7" x14ac:dyDescent="0.3">
      <c r="A143" s="2">
        <v>8</v>
      </c>
      <c r="C143" s="38" t="s">
        <v>62</v>
      </c>
      <c r="D143" s="42">
        <v>4150</v>
      </c>
      <c r="E143" s="63">
        <f t="shared" si="5"/>
        <v>13710</v>
      </c>
    </row>
    <row r="144" spans="1:7" x14ac:dyDescent="0.3">
      <c r="A144" s="2">
        <v>9</v>
      </c>
      <c r="C144" s="38" t="s">
        <v>63</v>
      </c>
      <c r="D144" s="42">
        <f>TRUNC(15387,-1)</f>
        <v>15380</v>
      </c>
      <c r="E144" s="63">
        <f t="shared" si="5"/>
        <v>50840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63740</v>
      </c>
      <c r="E146" s="39">
        <f>SUM(E136:E145)</f>
        <v>210670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TRUNC(7246+1357,-1)</f>
        <v>8600</v>
      </c>
      <c r="E149" s="62">
        <f>TRUNC(+D149*3.3058,-1)</f>
        <v>28420</v>
      </c>
    </row>
    <row r="150" spans="1:7" x14ac:dyDescent="0.3">
      <c r="A150" s="2">
        <v>2</v>
      </c>
      <c r="C150" s="38" t="s">
        <v>49</v>
      </c>
      <c r="D150" s="42">
        <f>TRUNC(6319,-1)</f>
        <v>6310</v>
      </c>
      <c r="E150" s="63">
        <f>TRUNC(+D150*3.3058,-1)</f>
        <v>20850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TRUNC(129+2043+256+5664,-1)</f>
        <v>8090</v>
      </c>
      <c r="E152" s="63">
        <f>TRUNC(+D152*3.3058,-1)</f>
        <v>26740</v>
      </c>
      <c r="F152" s="2" t="s">
        <v>263</v>
      </c>
    </row>
    <row r="153" spans="1:7" ht="17.25" thickBot="1" x14ac:dyDescent="0.35">
      <c r="A153" s="2">
        <v>5</v>
      </c>
      <c r="C153" s="38" t="s">
        <v>149</v>
      </c>
      <c r="D153" s="43">
        <f>TRUNC(27667,-1)</f>
        <v>27660</v>
      </c>
      <c r="E153" s="64">
        <f>TRUNC(+D153*3.3058,-1)</f>
        <v>91430</v>
      </c>
    </row>
    <row r="154" spans="1:7" x14ac:dyDescent="0.3">
      <c r="A154" s="2">
        <v>6</v>
      </c>
      <c r="C154" s="27" t="s">
        <v>112</v>
      </c>
      <c r="D154" s="39">
        <f>SUM(D149:D153)</f>
        <v>50660</v>
      </c>
      <c r="E154" s="39">
        <f>SUM(E149:E153)</f>
        <v>167440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TRUNC(82098,-1)</f>
        <v>82090</v>
      </c>
      <c r="E157" s="62">
        <f>TRUNC(+D157*3.3058,-1)</f>
        <v>271370</v>
      </c>
    </row>
    <row r="158" spans="1:7" x14ac:dyDescent="0.3">
      <c r="A158" s="2">
        <v>2</v>
      </c>
      <c r="C158" s="38" t="s">
        <v>52</v>
      </c>
      <c r="D158" s="42">
        <f>TRUNC(12397,-1)</f>
        <v>12390</v>
      </c>
      <c r="E158" s="63">
        <f>TRUNC(+D158*3.3058,-1)</f>
        <v>40950</v>
      </c>
    </row>
    <row r="159" spans="1:7" x14ac:dyDescent="0.3">
      <c r="A159" s="2">
        <v>3</v>
      </c>
      <c r="C159" s="38" t="s">
        <v>47</v>
      </c>
      <c r="D159" s="42">
        <f>TRUNC(6064+790,-1)</f>
        <v>6850</v>
      </c>
      <c r="E159" s="63">
        <f>TRUNC(+D159*3.3058,-1)</f>
        <v>22640</v>
      </c>
      <c r="F159" s="2" t="s">
        <v>255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101330</v>
      </c>
      <c r="E161" s="39">
        <f>SUM(E157:E160)</f>
        <v>334960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2020-12-08T01:28:15Z</dcterms:modified>
</cp:coreProperties>
</file>