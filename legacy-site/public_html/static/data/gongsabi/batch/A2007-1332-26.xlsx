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58" i="4" l="1"/>
  <c r="D54" i="4"/>
  <c r="D53" i="4"/>
  <c r="D52" i="4"/>
  <c r="D51" i="4"/>
  <c r="D50" i="4"/>
  <c r="D49" i="4"/>
  <c r="D48" i="4"/>
  <c r="D55" i="4"/>
  <c r="D44" i="4"/>
  <c r="D47" i="4"/>
  <c r="D45" i="4"/>
  <c r="D46" i="4"/>
  <c r="D43" i="4"/>
  <c r="D42" i="4"/>
  <c r="D41" i="4"/>
  <c r="D40" i="4"/>
  <c r="D159" i="4"/>
  <c r="D158" i="4"/>
  <c r="D157" i="4"/>
  <c r="D150" i="4"/>
  <c r="D151" i="4"/>
  <c r="D59" i="4"/>
  <c r="D63" i="4"/>
  <c r="D94" i="4"/>
  <c r="D93" i="4"/>
  <c r="D87" i="4"/>
  <c r="D86" i="4"/>
  <c r="D85" i="4"/>
  <c r="D75" i="4"/>
  <c r="D90" i="4"/>
  <c r="D81" i="4"/>
  <c r="D72" i="4"/>
  <c r="D137" i="4"/>
  <c r="D136" i="4"/>
  <c r="D92" i="4"/>
  <c r="D78" i="4"/>
  <c r="D71" i="4"/>
  <c r="D70" i="4"/>
  <c r="D69" i="4"/>
  <c r="D118" i="4"/>
  <c r="D101" i="4"/>
  <c r="D104" i="4"/>
  <c r="D105" i="4"/>
  <c r="D102" i="4"/>
  <c r="D100" i="4"/>
  <c r="D114" i="4"/>
  <c r="D99" i="4"/>
  <c r="D98" i="4"/>
  <c r="D115" i="4"/>
  <c r="D117" i="4"/>
  <c r="D132" i="4"/>
  <c r="D128" i="4"/>
  <c r="D124" i="4"/>
  <c r="D125" i="4"/>
  <c r="D122" i="4"/>
  <c r="D130" i="4"/>
  <c r="D13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154" i="4"/>
  <c r="E146" i="4"/>
  <c r="E95" i="4"/>
  <c r="E119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<sst xmlns="http://schemas.openxmlformats.org/spreadsheetml/2006/main" count="393" uniqueCount="266">
  <si>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</si>
  <si>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</si>
  <si>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</si>
  <si>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</si>
  <si>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</si>
  <si>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</si>
  <si>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</si>
  <si>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</si>
  <si>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</si>
  <si>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</si>
  <si>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</si>
  <si>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</si>
  <si>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</si>
  <si>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</si>
  <si>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</si>
  <si>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</si>
  <si>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</si>
  <si>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</si>
  <si>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</si>
  <si>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</si>
  <si>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</si>
  <si>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</si>
  <si>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</si>
  <si>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</si>
  <si>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</si>
  <si>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</si>
  <si>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</si>
  <si>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</si>
  <si>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</si>
  <si>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</si>
  <si>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</si>
  <si>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</si>
  <si>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</si>
  <si>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</si>
  <si>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</si>
  <si>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</si>
  <si>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</si>
  <si>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</si>
  <si>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</si>
  <si>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</si>
  <si>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</si>
  <si>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</si>
  <si>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</si>
  <si>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</si>
  <si>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</si>
  <si>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</si>
  <si>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</si>
  <si>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</si>
  <si>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</si>
  <si>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</si>
  <si>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</si>
  <si>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</si>
  <si>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</si>
  <si>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</si>
  <si>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</si>
  <si>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</si>
  <si>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</si>
  <si>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</si>
  <si>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</si>
  <si>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</si>
  <si>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</si>
  <si>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</si>
  <si>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</si>
  <si>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</si>
  <si>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</si>
  <si>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</si>
  <si>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</si>
  <si>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</si>
  <si>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</si>
  <si>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</si>
  <si>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</si>
  <si>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</si>
  <si>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</si>
  <si>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</si>
  <si>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</si>
  <si>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</si>
  <si>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</si>
  <si>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</si>
  <si>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</si>
  <si>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</si>
  <si>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</si>
  <si>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</si>
  <si>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</si>
  <si>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</si>
  <si>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</si>
  <si>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</si>
  <si>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</si>
  <si>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</si>
  <si>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</si>
  <si>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</si>
  <si>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</si>
  <si>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</si>
  <si>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</si>
  <si>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</si>
  <si>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</si>
  <si>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</si>
  <si>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</si>
  <si>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</si>
  <si>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</si>
  <si>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</si>
  <si>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</si>
  <si>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</si>
  <si>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</si>
  <si>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</si>
  <si>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</si>
  <si>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</si>
  <si>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</si>
  <si>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</si>
  <si>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</si>
  <si>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</si>
  <si>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</si>
  <si>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</si>
  <si>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</si>
  <si>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</si>
  <si>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</si>
  <si>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</si>
  <si>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</si>
  <si>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</si>
  <si>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</si>
  <si>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</si>
  <si>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</si>
  <si>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</si>
  <si>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</si>
  <si>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</si>
  <si>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</si>
  <si>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</si>
  <si>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</si>
  <si>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</si>
  <si>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</si>
  <si>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</si>
  <si>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</si>
  <si>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</si>
  <si>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</si>
  <si>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</si>
  <si>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</si>
  <si>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</si>
  <si>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</si>
  <si>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</si>
  <si>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</si>
  <si>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</si>
  <si>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</si>
  <si>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</si>
  <si>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</si>
  <si>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</si>
  <si>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</si>
  <si>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</si>
  <si>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</si>
  <si>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</si>
  <si>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</si>
  <si>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</si>
  <si>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</si>
  <si>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</si>
  <si>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</si>
  <si>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</si>
  <si>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</si>
  <si>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</si>
  <si>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</si>
  <si>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</si>
  <si>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</si>
  <si>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</si>
  <si>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</si>
  <si>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</si>
  <si>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</si>
  <si>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</si>
  <si>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</si>
  <si>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</si>
  <si>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</si>
  <si>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</si>
  <si>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</si>
  <si>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</si>
  <si>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</si>
  <si>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</si>
  <si>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</si>
  <si>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</si>
  <si>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</si>
  <si>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</si>
  <si>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</si>
  <si>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</si>
  <si>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</si>
  <si>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</si>
  <si>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</si>
  <si>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</si>
  <si>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</si>
  <si>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</si>
  <si>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</si>
  <si>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</si>
  <si>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</si>
  <si>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</si>
  <si>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</si>
  <si>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</si>
  <si>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</si>
  <si>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</si>
  <si>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</si>
  <si>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</si>
  <si>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</si>
  <si>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</si>
  <si>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</si>
  <si>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</si>
  <si>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</si>
  <si>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</si>
  <si>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</si>
  <si>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</si>
  <si>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</si>
  <si>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</si>
  <si>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</si>
  <si>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</si>
  <si>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</si>
  <si>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</si>
  <si>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</si>
  <si>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</si>
  <si>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</si>
  <si>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</si>
  <si>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</si>
  <si>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</si>
  <si>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</si>
  <si>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</si>
  <si>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</si>
  <si>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</si>
  <si>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</si>
  <si>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</si>
  <si>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</si>
  <si>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</si>
  <si>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</si>
  <si>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</si>
  <si>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</si>
  <si>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</si>
  <si>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</si>
  <si>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</si>
  <si>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</si>
  <si>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</si>
  <si>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</si>
  <si>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</si>
  <si>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</si>
  <si>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</si>
  <si>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</si>
  <si>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</si>
  <si>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</si>
  <si>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</si>
  <si>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</si>
  <si>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</si>
  <si>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</si>
  <si>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</si>
  <si>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</si>
  <si>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</si>
  <si>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</si>
  <si>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</si>
  <si>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</si>
  <si>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</si>
  <si>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00우체국 건립공사</t>
  </si>
  <si>
    <t>업무</t>
  </si>
  <si>
    <t>경기도</t>
  </si>
  <si>
    <t>CATV 설비공사</t>
  </si>
  <si>
    <t>대회의실 A/V설비공사</t>
  </si>
  <si>
    <t>CCTV 설비공사,가설창고</t>
    <phoneticPr fontId="2" type="noConversion"/>
  </si>
  <si>
    <t>전기 소방설비공사</t>
  </si>
  <si>
    <t>조명및전열자동제어공사</t>
  </si>
  <si>
    <t>주차관제설비공사,가설창고</t>
    <phoneticPr fontId="2" type="noConversion"/>
  </si>
  <si>
    <t>위생설비공사</t>
  </si>
  <si>
    <t>기계 소화설비공사</t>
    <phoneticPr fontId="2" type="noConversion"/>
  </si>
  <si>
    <t>공조실배관공사,전기온돌판넬,시운전</t>
    <phoneticPr fontId="2" type="noConversion"/>
  </si>
  <si>
    <t>포장공사,관수/배수/토공</t>
    <phoneticPr fontId="2" type="noConversion"/>
  </si>
  <si>
    <t>품질시험비,부대공사,이륜주차장,국기게양대,통용문,정화조,골재비,작업부산물,운반비</t>
    <phoneticPr fontId="2" type="noConversion"/>
  </si>
  <si>
    <t>배수공사,상수공사,부대공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</si>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</sst>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7117</v>
      </c>
      <c r="D7" s="36">
        <f>+C7/3.3058</f>
        <v>2152.8828120273456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527820</v>
      </c>
      <c r="E25" s="59">
        <f t="shared" si="0"/>
        <v>1744860</v>
      </c>
    </row>
    <row r="26" spans="1:5" x14ac:dyDescent="0.3">
      <c r="B26" s="2">
        <v>3</v>
      </c>
      <c r="C26" s="35" t="s">
        <v>95</v>
      </c>
      <c r="D26" s="45">
        <f>+D66</f>
        <v>56000</v>
      </c>
      <c r="E26" s="59">
        <f t="shared" si="0"/>
        <v>185120</v>
      </c>
    </row>
    <row r="27" spans="1:5" x14ac:dyDescent="0.3">
      <c r="B27" s="2">
        <v>4</v>
      </c>
      <c r="C27" s="35" t="s">
        <v>96</v>
      </c>
      <c r="D27" s="45">
        <f>+D95</f>
        <v>179470</v>
      </c>
      <c r="E27" s="59">
        <f t="shared" si="0"/>
        <v>593290</v>
      </c>
    </row>
    <row r="28" spans="1:5" x14ac:dyDescent="0.3">
      <c r="B28" s="2">
        <v>5</v>
      </c>
      <c r="C28" s="35" t="s">
        <v>97</v>
      </c>
      <c r="D28" s="45">
        <f>+D119</f>
        <v>161090</v>
      </c>
      <c r="E28" s="59">
        <f t="shared" si="0"/>
        <v>532530</v>
      </c>
    </row>
    <row r="29" spans="1:5" x14ac:dyDescent="0.3">
      <c r="B29" s="2">
        <v>6</v>
      </c>
      <c r="C29" s="35" t="s">
        <v>98</v>
      </c>
      <c r="D29" s="45">
        <f>+D133</f>
        <v>47380</v>
      </c>
      <c r="E29" s="59">
        <f t="shared" si="0"/>
        <v>156620</v>
      </c>
    </row>
    <row r="30" spans="1:5" x14ac:dyDescent="0.3">
      <c r="B30" s="2">
        <v>7</v>
      </c>
      <c r="C30" s="35" t="s">
        <v>99</v>
      </c>
      <c r="D30" s="45">
        <f>+D146</f>
        <v>24600</v>
      </c>
      <c r="E30" s="59">
        <f t="shared" si="0"/>
        <v>81320</v>
      </c>
    </row>
    <row r="31" spans="1:5" x14ac:dyDescent="0.3">
      <c r="B31" s="2">
        <v>8</v>
      </c>
      <c r="C31" s="35" t="s">
        <v>100</v>
      </c>
      <c r="D31" s="45">
        <f>+D154</f>
        <v>16790</v>
      </c>
      <c r="E31" s="59">
        <f t="shared" si="0"/>
        <v>55500</v>
      </c>
    </row>
    <row r="32" spans="1:5" x14ac:dyDescent="0.3">
      <c r="B32" s="2">
        <v>9</v>
      </c>
      <c r="C32" s="35" t="s">
        <v>101</v>
      </c>
      <c r="D32" s="45">
        <f>+D161</f>
        <v>31600</v>
      </c>
      <c r="E32" s="59">
        <f t="shared" si="0"/>
        <v>104460</v>
      </c>
    </row>
    <row r="33" spans="1:7" x14ac:dyDescent="0.3">
      <c r="B33" s="2">
        <v>10</v>
      </c>
      <c r="C33" s="35" t="s">
        <v>154</v>
      </c>
      <c r="D33" s="53">
        <f>TRUNC(SUM(D24:D32)*0.275,-1)</f>
        <v>287300</v>
      </c>
      <c r="E33" s="60">
        <f t="shared" si="0"/>
        <v>949750</v>
      </c>
    </row>
    <row r="34" spans="1:7" x14ac:dyDescent="0.3">
      <c r="C34" s="35" t="s">
        <v>112</v>
      </c>
      <c r="D34" s="44">
        <f>SUM(D24:D33)</f>
        <v>1332050</v>
      </c>
      <c r="E34" s="44">
        <f>SUM(E24:E33)</f>
        <v>4403450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TRUNC(30925.2044400731,-1)</f>
        <v>30920</v>
      </c>
      <c r="E40" s="62">
        <f t="shared" ref="E40:E59" si="1">TRUNC(+D40*3.3058,-1)</f>
        <v>102210</v>
      </c>
    </row>
    <row r="41" spans="1:7" x14ac:dyDescent="0.3">
      <c r="A41" s="2">
        <v>2</v>
      </c>
      <c r="C41" s="38" t="s">
        <v>13</v>
      </c>
      <c r="D41" s="42">
        <f>TRUNC(92295.3209217367,-1)</f>
        <v>92290</v>
      </c>
      <c r="E41" s="63">
        <f t="shared" si="1"/>
        <v>305090</v>
      </c>
    </row>
    <row r="42" spans="1:7" x14ac:dyDescent="0.3">
      <c r="A42" s="2">
        <v>3</v>
      </c>
      <c r="C42" s="38" t="s">
        <v>14</v>
      </c>
      <c r="D42" s="42">
        <f>TRUNC(4995.45735562737,-1)</f>
        <v>4990</v>
      </c>
      <c r="E42" s="63">
        <f t="shared" si="1"/>
        <v>16490</v>
      </c>
    </row>
    <row r="43" spans="1:7" x14ac:dyDescent="0.3">
      <c r="A43" s="2">
        <v>4</v>
      </c>
      <c r="C43" s="38" t="s">
        <v>16</v>
      </c>
      <c r="D43" s="42">
        <f>TRUNC(11792.4048053955,-1)</f>
        <v>11790</v>
      </c>
      <c r="E43" s="63">
        <f t="shared" si="1"/>
        <v>38970</v>
      </c>
    </row>
    <row r="44" spans="1:7" x14ac:dyDescent="0.3">
      <c r="A44" s="2">
        <v>5</v>
      </c>
      <c r="C44" s="38" t="s">
        <v>17</v>
      </c>
      <c r="D44" s="42">
        <f>TRUNC(20347.2751159196,-1)</f>
        <v>20340</v>
      </c>
      <c r="E44" s="63">
        <f t="shared" si="1"/>
        <v>67230</v>
      </c>
    </row>
    <row r="45" spans="1:7" x14ac:dyDescent="0.3">
      <c r="A45" s="2">
        <v>6</v>
      </c>
      <c r="C45" s="38" t="s">
        <v>18</v>
      </c>
      <c r="D45" s="42">
        <f>TRUNC(4682.56287761697,-1)</f>
        <v>4680</v>
      </c>
      <c r="E45" s="63">
        <f t="shared" si="1"/>
        <v>15470</v>
      </c>
    </row>
    <row r="46" spans="1:7" x14ac:dyDescent="0.3">
      <c r="A46" s="2">
        <v>7</v>
      </c>
      <c r="C46" s="38" t="s">
        <v>19</v>
      </c>
      <c r="D46" s="42">
        <f>TRUNC(18012.662357735,-1)</f>
        <v>18010</v>
      </c>
      <c r="E46" s="63">
        <f t="shared" si="1"/>
        <v>59530</v>
      </c>
    </row>
    <row r="47" spans="1:7" x14ac:dyDescent="0.3">
      <c r="A47" s="2">
        <v>8</v>
      </c>
      <c r="C47" s="38" t="s">
        <v>20</v>
      </c>
      <c r="D47" s="42">
        <f>TRUNC(64.9995784740762,-1)</f>
        <v>60</v>
      </c>
      <c r="E47" s="63">
        <f t="shared" si="1"/>
        <v>190</v>
      </c>
    </row>
    <row r="48" spans="1:7" x14ac:dyDescent="0.3">
      <c r="A48" s="2">
        <v>9</v>
      </c>
      <c r="C48" s="38" t="s">
        <v>21</v>
      </c>
      <c r="D48" s="42">
        <f>TRUNC(54662.0580300689,-1)</f>
        <v>54660</v>
      </c>
      <c r="E48" s="63">
        <f t="shared" si="1"/>
        <v>180690</v>
      </c>
    </row>
    <row r="49" spans="1:7" x14ac:dyDescent="0.3">
      <c r="A49" s="2">
        <v>10</v>
      </c>
      <c r="C49" s="38" t="s">
        <v>22</v>
      </c>
      <c r="D49" s="42">
        <f>TRUNC(13809.3262610651,-1)</f>
        <v>13800</v>
      </c>
      <c r="E49" s="63">
        <f t="shared" si="1"/>
        <v>45620</v>
      </c>
    </row>
    <row r="50" spans="1:7" x14ac:dyDescent="0.3">
      <c r="A50" s="2">
        <v>11</v>
      </c>
      <c r="C50" s="38" t="s">
        <v>155</v>
      </c>
      <c r="D50" s="42">
        <f>TRUNC(53259.4303779682,-1)</f>
        <v>53250</v>
      </c>
      <c r="E50" s="63">
        <f t="shared" si="1"/>
        <v>176030</v>
      </c>
    </row>
    <row r="51" spans="1:7" x14ac:dyDescent="0.3">
      <c r="A51" s="2">
        <v>12</v>
      </c>
      <c r="C51" s="38" t="s">
        <v>23</v>
      </c>
      <c r="D51" s="42">
        <f>TRUNC(8021.2869186455,-1)</f>
        <v>8020</v>
      </c>
      <c r="E51" s="63">
        <f t="shared" si="1"/>
        <v>26510</v>
      </c>
    </row>
    <row r="52" spans="1:7" x14ac:dyDescent="0.3">
      <c r="A52" s="2">
        <v>13</v>
      </c>
      <c r="C52" s="38" t="s">
        <v>24</v>
      </c>
      <c r="D52" s="42">
        <f>TRUNC(13024.0680061824,-1)</f>
        <v>13020</v>
      </c>
      <c r="E52" s="63">
        <f t="shared" si="1"/>
        <v>43040</v>
      </c>
    </row>
    <row r="53" spans="1:7" x14ac:dyDescent="0.3">
      <c r="A53" s="2">
        <v>14</v>
      </c>
      <c r="C53" s="38" t="s">
        <v>25</v>
      </c>
      <c r="D53" s="42">
        <f>TRUNC(64414.7427286778,-1)</f>
        <v>64410</v>
      </c>
      <c r="E53" s="63">
        <f t="shared" si="1"/>
        <v>212920</v>
      </c>
    </row>
    <row r="54" spans="1:7" x14ac:dyDescent="0.3">
      <c r="A54" s="2">
        <v>15</v>
      </c>
      <c r="C54" s="38" t="s">
        <v>147</v>
      </c>
      <c r="D54" s="42">
        <f>TRUNC(30979.6393143178,-1)</f>
        <v>30970</v>
      </c>
      <c r="E54" s="63">
        <f t="shared" si="1"/>
        <v>102380</v>
      </c>
    </row>
    <row r="55" spans="1:7" x14ac:dyDescent="0.3">
      <c r="A55" s="2">
        <v>16</v>
      </c>
      <c r="C55" s="38" t="s">
        <v>144</v>
      </c>
      <c r="D55" s="42">
        <f>TRUNC(1430.80722214416,-1)</f>
        <v>1430</v>
      </c>
      <c r="E55" s="63">
        <f t="shared" si="1"/>
        <v>4720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TRUNC(107.538288604749+6231.70394829282+9975.68062385837+252.78614584797+3693.5898552761+290.429253899115+1302.93663060278-458.304763242939+1670.51426162709,-1)</f>
        <v>23060</v>
      </c>
      <c r="E58" s="63">
        <f t="shared" si="1"/>
        <v>76230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TRUNC(82121.3994660672,-1)</f>
        <v>82120</v>
      </c>
      <c r="E59" s="64">
        <f t="shared" si="1"/>
        <v>271470</v>
      </c>
    </row>
    <row r="60" spans="1:7" x14ac:dyDescent="0.3">
      <c r="A60" s="2">
        <v>21</v>
      </c>
      <c r="C60" s="27" t="s">
        <v>112</v>
      </c>
      <c r="D60" s="39">
        <f>SUM(D40:D59)</f>
        <v>527820</v>
      </c>
      <c r="E60" s="39">
        <f>SUM(E40:E59)</f>
        <v>1744790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TRUNC(56002.625544471,-1)</f>
        <v>56000</v>
      </c>
      <c r="E63" s="62">
        <f>TRUNC(+D63*3.3058,-1)</f>
        <v>185120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56000</v>
      </c>
      <c r="E66" s="65">
        <f>SUM(E63:E65)</f>
        <v>185120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TRUNC(17961.0623858367,-1)</f>
        <v>17960</v>
      </c>
      <c r="E69" s="62">
        <f t="shared" ref="E69:E94" si="2">TRUNC(+D69*3.3058,-1)</f>
        <v>59370</v>
      </c>
    </row>
    <row r="70" spans="1:7" ht="16.5" customHeight="1" x14ac:dyDescent="0.3">
      <c r="A70" s="2">
        <v>2</v>
      </c>
      <c r="C70" s="38" t="s">
        <v>31</v>
      </c>
      <c r="D70" s="42">
        <f>TRUNC(404.272305746803,-1)</f>
        <v>400</v>
      </c>
      <c r="E70" s="63">
        <f t="shared" si="2"/>
        <v>1320</v>
      </c>
    </row>
    <row r="71" spans="1:7" x14ac:dyDescent="0.3">
      <c r="A71" s="2">
        <v>3</v>
      </c>
      <c r="C71" s="38" t="s">
        <v>32</v>
      </c>
      <c r="D71" s="42">
        <f>TRUNC(24381.3342700576,-1)</f>
        <v>24380</v>
      </c>
      <c r="E71" s="63">
        <f t="shared" si="2"/>
        <v>80590</v>
      </c>
    </row>
    <row r="72" spans="1:7" x14ac:dyDescent="0.3">
      <c r="A72" s="2">
        <v>4</v>
      </c>
      <c r="C72" s="38" t="s">
        <v>33</v>
      </c>
      <c r="D72" s="42">
        <f>TRUNC(3885.92496838556,-1)</f>
        <v>3880</v>
      </c>
      <c r="E72" s="63">
        <f t="shared" si="2"/>
        <v>12820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TRUNC(1135.11310945623,-1)</f>
        <v>1130</v>
      </c>
      <c r="E75" s="63">
        <f t="shared" si="2"/>
        <v>3730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TRUNC(26931.4135169313,-1)</f>
        <v>26930</v>
      </c>
      <c r="E78" s="63">
        <f t="shared" si="2"/>
        <v>89020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TRUNC(6847.91569481523,-1)</f>
        <v>6840</v>
      </c>
      <c r="E81" s="63">
        <f t="shared" si="2"/>
        <v>22610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TRUNC(173.163130532528,-1)</f>
        <v>170</v>
      </c>
      <c r="E85" s="63">
        <f t="shared" si="2"/>
        <v>560</v>
      </c>
    </row>
    <row r="86" spans="1:7" x14ac:dyDescent="0.3">
      <c r="A86" s="2">
        <v>18</v>
      </c>
      <c r="C86" s="38" t="s">
        <v>141</v>
      </c>
      <c r="D86" s="42">
        <f>TRUNC(1809.04510327385,-1)</f>
        <v>1800</v>
      </c>
      <c r="E86" s="63">
        <f t="shared" si="2"/>
        <v>5950</v>
      </c>
    </row>
    <row r="87" spans="1:7" x14ac:dyDescent="0.3">
      <c r="A87" s="2">
        <v>19</v>
      </c>
      <c r="C87" s="38" t="s">
        <v>139</v>
      </c>
      <c r="D87" s="42">
        <f>TRUNC(27071.2617675987,-1)</f>
        <v>27070</v>
      </c>
      <c r="E87" s="63">
        <f t="shared" si="2"/>
        <v>89480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TRUNC(1978.12505269074,-1)</f>
        <v>1970</v>
      </c>
      <c r="E90" s="63">
        <f t="shared" si="2"/>
        <v>6510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TRUNC(22968.9440775608,-1)</f>
        <v>22960</v>
      </c>
      <c r="E92" s="63">
        <f t="shared" si="2"/>
        <v>75900</v>
      </c>
      <c r="F92" s="2" t="s">
        <v>257</v>
      </c>
    </row>
    <row r="93" spans="1:7" x14ac:dyDescent="0.3">
      <c r="A93" s="2">
        <v>25</v>
      </c>
      <c r="C93" s="38" t="s">
        <v>148</v>
      </c>
      <c r="D93" s="42">
        <f>TRUNC(28644.7941548405,-1)</f>
        <v>28640</v>
      </c>
      <c r="E93" s="63">
        <f t="shared" si="2"/>
        <v>94670</v>
      </c>
    </row>
    <row r="94" spans="1:7" ht="17.25" thickBot="1" x14ac:dyDescent="0.35">
      <c r="A94" s="2">
        <v>26</v>
      </c>
      <c r="C94" s="38" t="s">
        <v>47</v>
      </c>
      <c r="D94" s="43">
        <f>TRUNC(14146.6876492904+311.086131797106+890.113390473514,-1)</f>
        <v>15340</v>
      </c>
      <c r="E94" s="64">
        <f t="shared" si="2"/>
        <v>50710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179470</v>
      </c>
      <c r="E95" s="39">
        <f>SUM(E69:E94)</f>
        <v>593240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TRUNC(8585.90248700295,-1)</f>
        <v>8580</v>
      </c>
      <c r="E98" s="62">
        <f t="shared" ref="E98:E118" si="3">TRUNC(+D98*3.3058,-1)</f>
        <v>28360</v>
      </c>
    </row>
    <row r="99" spans="1:7" x14ac:dyDescent="0.3">
      <c r="A99" s="2">
        <v>2</v>
      </c>
      <c r="C99" s="38" t="s">
        <v>40</v>
      </c>
      <c r="D99" s="42">
        <f>TRUNC(4823.38372909934,-1)</f>
        <v>4820</v>
      </c>
      <c r="E99" s="63">
        <f t="shared" si="3"/>
        <v>15930</v>
      </c>
    </row>
    <row r="100" spans="1:7" x14ac:dyDescent="0.3">
      <c r="A100" s="2">
        <v>3</v>
      </c>
      <c r="C100" s="38" t="s">
        <v>41</v>
      </c>
      <c r="D100" s="42">
        <f>TRUNC(20156.2690740481,-1)</f>
        <v>20150</v>
      </c>
      <c r="E100" s="63">
        <f t="shared" si="3"/>
        <v>66610</v>
      </c>
    </row>
    <row r="101" spans="1:7" x14ac:dyDescent="0.3">
      <c r="A101" s="2">
        <v>4</v>
      </c>
      <c r="C101" s="38" t="s">
        <v>42</v>
      </c>
      <c r="D101" s="42">
        <f>TRUNC(1055.09400028102,-1)</f>
        <v>1050</v>
      </c>
      <c r="E101" s="63">
        <f t="shared" si="3"/>
        <v>3470</v>
      </c>
      <c r="F101" s="2" t="s">
        <v>255</v>
      </c>
    </row>
    <row r="102" spans="1:7" x14ac:dyDescent="0.3">
      <c r="A102" s="2">
        <v>5</v>
      </c>
      <c r="C102" s="38" t="s">
        <v>43</v>
      </c>
      <c r="D102" s="42">
        <f>TRUNC(11642.4036813264,-1)</f>
        <v>11640</v>
      </c>
      <c r="E102" s="63">
        <f t="shared" si="3"/>
        <v>38470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TRUNC(2218.47365462976,-1)</f>
        <v>2210</v>
      </c>
      <c r="E104" s="63">
        <f t="shared" si="3"/>
        <v>7300</v>
      </c>
    </row>
    <row r="105" spans="1:7" x14ac:dyDescent="0.3">
      <c r="A105" s="2">
        <v>8</v>
      </c>
      <c r="C105" s="38" t="s">
        <v>46</v>
      </c>
      <c r="D105" s="42">
        <f>TRUNC(1623.87902205986,-1)</f>
        <v>1620</v>
      </c>
      <c r="E105" s="63">
        <f t="shared" si="3"/>
        <v>5350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TRUNC(2208.01334832092,-1)</f>
        <v>2200</v>
      </c>
      <c r="E114" s="63">
        <f t="shared" si="3"/>
        <v>7270</v>
      </c>
    </row>
    <row r="115" spans="1:7" x14ac:dyDescent="0.3">
      <c r="A115" s="2">
        <v>18</v>
      </c>
      <c r="C115" s="38" t="s">
        <v>116</v>
      </c>
      <c r="D115" s="42">
        <f>TRUNC(2952.81228045525,-1)</f>
        <v>2950</v>
      </c>
      <c r="E115" s="63">
        <f t="shared" si="3"/>
        <v>9750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TRUNC(18968.6665729942+85362.6528031474,-1)</f>
        <v>104330</v>
      </c>
      <c r="E117" s="63">
        <f t="shared" si="3"/>
        <v>344890</v>
      </c>
    </row>
    <row r="118" spans="1:7" ht="17.25" thickBot="1" x14ac:dyDescent="0.35">
      <c r="A118" s="2">
        <v>21</v>
      </c>
      <c r="C118" s="38" t="s">
        <v>47</v>
      </c>
      <c r="D118" s="43">
        <f>TRUNC(1461.30602782071+84.3051847688633,-1)</f>
        <v>1540</v>
      </c>
      <c r="E118" s="64">
        <f t="shared" si="3"/>
        <v>5090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161090</v>
      </c>
      <c r="E119" s="39">
        <f>SUM(E98:E118)</f>
        <v>532490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TRUNC(1476.05114514543,-1)</f>
        <v>1470</v>
      </c>
      <c r="E122" s="62">
        <f t="shared" ref="E122:E132" si="4">TRUNC(+D122*3.3058,-1)</f>
        <v>4850</v>
      </c>
      <c r="F122" s="2" t="s">
        <v>251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TRUNC(410.811296894759,-1)</f>
        <v>410</v>
      </c>
      <c r="E124" s="63">
        <f t="shared" si="4"/>
        <v>1350</v>
      </c>
      <c r="F124" s="2" t="s">
        <v>252</v>
      </c>
    </row>
    <row r="125" spans="1:7" x14ac:dyDescent="0.3">
      <c r="A125" s="2">
        <v>4</v>
      </c>
      <c r="C125" s="38" t="s">
        <v>138</v>
      </c>
      <c r="D125" s="42">
        <f>TRUNC(5682.54109877757,-1)</f>
        <v>5680</v>
      </c>
      <c r="E125" s="63">
        <f t="shared" si="4"/>
        <v>18770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TRUNC(877.001967120978,-1)</f>
        <v>870</v>
      </c>
      <c r="E128" s="63">
        <f t="shared" si="4"/>
        <v>2870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TRUNC(18459.2236897569,-1)</f>
        <v>18450</v>
      </c>
      <c r="E130" s="63">
        <f t="shared" si="4"/>
        <v>60990</v>
      </c>
    </row>
    <row r="131" spans="1:7" x14ac:dyDescent="0.3">
      <c r="A131" s="2">
        <v>10</v>
      </c>
      <c r="C131" s="38" t="s">
        <v>148</v>
      </c>
      <c r="D131" s="42">
        <f>TRUNC(16782.7736405789,-1)</f>
        <v>16780</v>
      </c>
      <c r="E131" s="63">
        <f t="shared" si="4"/>
        <v>55470</v>
      </c>
    </row>
    <row r="132" spans="1:7" ht="18" thickBot="1" x14ac:dyDescent="0.35">
      <c r="A132" s="2">
        <v>11</v>
      </c>
      <c r="C132" s="38" t="s">
        <v>47</v>
      </c>
      <c r="D132" s="43">
        <f>TRUNC(3638.23015315442+84.3051847688633,-1)</f>
        <v>3720</v>
      </c>
      <c r="E132" s="64">
        <f t="shared" si="4"/>
        <v>12290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47380</v>
      </c>
      <c r="E133" s="39">
        <f>SUM(E122:E132)</f>
        <v>156590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TRUNC(14836.0081495012,-1)</f>
        <v>14830</v>
      </c>
      <c r="E136" s="62">
        <f t="shared" ref="E136:E145" si="5">TRUNC(+D136*3.3058,-1)</f>
        <v>49020</v>
      </c>
      <c r="F136" s="2" t="s">
        <v>258</v>
      </c>
    </row>
    <row r="137" spans="1:7" x14ac:dyDescent="0.3">
      <c r="A137" s="2">
        <v>2</v>
      </c>
      <c r="C137" s="38" t="s">
        <v>47</v>
      </c>
      <c r="D137" s="42">
        <f>TRUNC(9777.25024589012,-1)</f>
        <v>9770</v>
      </c>
      <c r="E137" s="63">
        <f t="shared" si="5"/>
        <v>32290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24600</v>
      </c>
      <c r="E146" s="39">
        <f>SUM(E136:E145)</f>
        <v>81310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TRUNC(6900.29366306028,-1)</f>
        <v>6900</v>
      </c>
      <c r="E150" s="63">
        <f>TRUNC(+D150*3.3058,-1)</f>
        <v>22810</v>
      </c>
    </row>
    <row r="151" spans="1:7" x14ac:dyDescent="0.3">
      <c r="A151" s="2">
        <v>3</v>
      </c>
      <c r="C151" s="38" t="s">
        <v>50</v>
      </c>
      <c r="D151" s="42">
        <f>TRUNC(1455.28663762821,-1)</f>
        <v>1450</v>
      </c>
      <c r="E151" s="63">
        <f>TRUNC(+D151*3.3058,-1)</f>
        <v>4790</v>
      </c>
    </row>
    <row r="152" spans="1:7" x14ac:dyDescent="0.3">
      <c r="A152" s="2">
        <v>4</v>
      </c>
      <c r="C152" s="38" t="s">
        <v>47</v>
      </c>
      <c r="D152" s="42">
        <f>TRUNC(7483.77040888015+126.632148377125+835.104678937755,-1)</f>
        <v>8440</v>
      </c>
      <c r="E152" s="63">
        <f>TRUNC(+D152*3.3058,-1)</f>
        <v>27900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16790</v>
      </c>
      <c r="E154" s="39">
        <f>SUM(E149:E153)</f>
        <v>55500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TRUNC(13725.1229450611,-1)</f>
        <v>13720</v>
      </c>
      <c r="E157" s="62">
        <f>TRUNC(+D157*3.3058,-1)</f>
        <v>45350</v>
      </c>
    </row>
    <row r="158" spans="1:7" x14ac:dyDescent="0.3">
      <c r="A158" s="2">
        <v>2</v>
      </c>
      <c r="C158" s="38" t="s">
        <v>52</v>
      </c>
      <c r="D158" s="42">
        <f>TRUNC(7329.75846564564,-1)</f>
        <v>7320</v>
      </c>
      <c r="E158" s="63">
        <f>TRUNC(+D158*3.3058,-1)</f>
        <v>24190</v>
      </c>
    </row>
    <row r="159" spans="1:7" x14ac:dyDescent="0.3">
      <c r="A159" s="2">
        <v>3</v>
      </c>
      <c r="C159" s="38" t="s">
        <v>47</v>
      </c>
      <c r="D159" s="42">
        <f>TRUNC(7601.68230996206+2964.34368413657,-1)</f>
        <v>10560</v>
      </c>
      <c r="E159" s="63">
        <f>TRUNC(+D159*3.3058,-1)</f>
        <v>34900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31600</v>
      </c>
      <c r="E161" s="39">
        <f>SUM(E157:E160)</f>
        <v>104440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2020-12-07T09:20:15Z</dcterms:modified>
</cp:coreProperties>
</file>