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39" i="4"/>
  <c r="E138" i="4"/>
  <c r="E136" i="4"/>
  <c r="E129" i="4"/>
  <c r="E127" i="4"/>
  <c r="E124" i="4"/>
  <c r="E123" i="4"/>
  <c r="E117" i="4"/>
  <c r="E115" i="4"/>
  <c r="E114" i="4"/>
  <c r="E113" i="4"/>
  <c r="E112" i="4"/>
  <c r="E111" i="4"/>
  <c r="E110" i="4"/>
  <c r="E109" i="4"/>
  <c r="E108" i="4"/>
  <c r="E107" i="4"/>
  <c r="E106" i="4"/>
  <c r="E10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1" i="4"/>
  <c r="E64" i="4"/>
  <c r="E57" i="4"/>
  <c r="E56" i="4"/>
  <c r="E55" i="4"/>
  <c r="E54" i="4"/>
  <c r="E51" i="4"/>
  <c r="E47" i="4"/>
  <c r="E37" i="4"/>
  <c r="D159" i="4" l="1"/>
  <c r="D153" i="4"/>
  <c r="E153" i="4" s="1"/>
  <c r="D152" i="4"/>
  <c r="E152" i="4" s="1"/>
  <c r="D151" i="4"/>
  <c r="E151" i="4" s="1"/>
  <c r="D150" i="4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D140" i="4"/>
  <c r="E140" i="4" s="1"/>
  <c r="D137" i="4"/>
  <c r="E137" i="4" s="1"/>
  <c r="D132" i="4"/>
  <c r="E132" i="4" s="1"/>
  <c r="D131" i="4"/>
  <c r="E131" i="4" s="1"/>
  <c r="D130" i="4"/>
  <c r="E130" i="4" s="1"/>
  <c r="D128" i="4"/>
  <c r="E128" i="4" s="1"/>
  <c r="D126" i="4"/>
  <c r="D125" i="4"/>
  <c r="E125" i="4" s="1"/>
  <c r="D122" i="4"/>
  <c r="E122" i="4" s="1"/>
  <c r="D118" i="4"/>
  <c r="E118" i="4" s="1"/>
  <c r="D116" i="4"/>
  <c r="E116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2" i="4"/>
  <c r="E72" i="4" s="1"/>
  <c r="D70" i="4"/>
  <c r="E70" i="4" s="1"/>
  <c r="D69" i="4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119" i="4" l="1"/>
  <c r="D28" i="4" s="1"/>
  <c r="E28" i="4" s="1"/>
  <c r="E98" i="4"/>
  <c r="D154" i="4"/>
  <c r="D31" i="4" s="1"/>
  <c r="E31" i="4" s="1"/>
  <c r="E150" i="4"/>
  <c r="E154" i="4" s="1"/>
  <c r="D161" i="4"/>
  <c r="D32" i="4" s="1"/>
  <c r="E32" i="4" s="1"/>
  <c r="E159" i="4"/>
  <c r="E161" i="4" s="1"/>
  <c r="D133" i="4"/>
  <c r="D29" i="4" s="1"/>
  <c r="E29" i="4" s="1"/>
  <c r="E126" i="4"/>
  <c r="D66" i="4"/>
  <c r="D26" i="4" s="1"/>
  <c r="E26" i="4" s="1"/>
  <c r="E119" i="4"/>
  <c r="D60" i="4"/>
  <c r="D25" i="4" s="1"/>
  <c r="E25" i="4" s="1"/>
  <c r="E41" i="4"/>
  <c r="E60" i="4" s="1"/>
  <c r="D95" i="4"/>
  <c r="D27" i="4" s="1"/>
  <c r="E27" i="4" s="1"/>
  <c r="E69" i="4"/>
  <c r="E95" i="4" s="1"/>
  <c r="E133" i="4"/>
  <c r="D146" i="4"/>
  <c r="D30" i="4" s="1"/>
  <c r="E30" i="4" s="1"/>
  <c r="E141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<sst xmlns="http://schemas.openxmlformats.org/spreadsheetml/2006/main" count="394" uniqueCount="266">
  <si>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</si>
  <si>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</si>
  <si>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</si>
  <si>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</si>
  <si>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</si>
  <si>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</si>
  <si>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</si>
  <si>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</si>
  <si>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</si>
  <si>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</si>
  <si>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</si>
  <si>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</si>
  <si>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</si>
  <si>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</si>
  <si>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</si>
  <si>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</si>
  <si>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</si>
  <si>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</si>
  <si>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</si>
  <si>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</si>
  <si>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</si>
  <si>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</si>
  <si>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</si>
  <si>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</si>
  <si>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</si>
  <si>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</si>
  <si>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</si>
  <si>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</si>
  <si>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</si>
  <si>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</si>
  <si>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</si>
  <si>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</si>
  <si>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</si>
  <si>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</si>
  <si>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</si>
  <si>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</si>
  <si>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</si>
  <si>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</si>
  <si>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</si>
  <si>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</si>
  <si>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</si>
  <si>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</si>
  <si>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</si>
  <si>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</si>
  <si>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</si>
  <si>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</si>
  <si>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</si>
  <si>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</si>
  <si>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</si>
  <si>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</si>
  <si>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</si>
  <si>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</si>
  <si>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</si>
  <si>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</si>
  <si>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</si>
  <si>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</si>
  <si>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</si>
  <si>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</si>
  <si>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</si>
  <si>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</si>
  <si>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</si>
  <si>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</si>
  <si>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</si>
  <si>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</si>
  <si>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</si>
  <si>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</si>
  <si>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</si>
  <si>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</si>
  <si>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</si>
  <si>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</si>
  <si>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</si>
  <si>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</si>
  <si>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</si>
  <si>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</si>
  <si>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</si>
  <si>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</si>
  <si>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</si>
  <si>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</si>
  <si>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</si>
  <si>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</si>
  <si>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</si>
  <si>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</si>
  <si>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</si>
  <si>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</si>
  <si>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</si>
  <si>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</si>
  <si>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</si>
  <si>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</si>
  <si>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</si>
  <si>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</si>
  <si>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</si>
  <si>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</si>
  <si>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</si>
  <si>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</si>
  <si>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</si>
  <si>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</si>
  <si>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</si>
  <si>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</si>
  <si>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</si>
  <si>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</si>
  <si>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</si>
  <si>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</si>
  <si>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</si>
  <si>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</si>
  <si>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</si>
  <si>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</si>
  <si>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</si>
  <si>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</si>
  <si>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</si>
  <si>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</si>
  <si>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</si>
  <si>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</si>
  <si>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</si>
  <si>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</si>
  <si>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</si>
  <si>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</si>
  <si>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</si>
  <si>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</si>
  <si>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</si>
  <si>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</si>
  <si>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</si>
  <si>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</si>
  <si>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</si>
  <si>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</si>
  <si>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</si>
  <si>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</si>
  <si>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</si>
  <si>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</si>
  <si>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</si>
  <si>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</si>
  <si>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</si>
  <si>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</si>
  <si>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</si>
  <si>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</si>
  <si>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</si>
  <si>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</si>
  <si>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</si>
  <si>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</si>
  <si>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</si>
  <si>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</si>
  <si>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</si>
  <si>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</si>
  <si>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</si>
  <si>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</si>
  <si>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</si>
  <si>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</si>
  <si>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</si>
  <si>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</si>
  <si>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</si>
  <si>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</si>
  <si>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</si>
  <si>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</si>
  <si>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</si>
  <si>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</si>
  <si>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</si>
  <si>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</si>
  <si>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</si>
  <si>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</si>
  <si>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</si>
  <si>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</si>
  <si>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</si>
  <si>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</si>
  <si>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</si>
  <si>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</si>
  <si>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</si>
  <si>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</si>
  <si>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</si>
  <si>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</si>
  <si>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</si>
  <si>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</si>
  <si>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</si>
  <si>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</si>
  <si>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</si>
  <si>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</si>
  <si>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</si>
  <si>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</si>
  <si>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</si>
  <si>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</si>
  <si>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</si>
  <si>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</si>
  <si>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</si>
  <si>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</si>
  <si>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</si>
  <si>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</si>
  <si>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</si>
  <si>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</si>
  <si>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</si>
  <si>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</si>
  <si>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</si>
  <si>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</si>
  <si>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</si>
  <si>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</si>
  <si>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</si>
  <si>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</si>
  <si>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</si>
  <si>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</si>
  <si>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</si>
  <si>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</si>
  <si>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</si>
  <si>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</si>
  <si>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</si>
  <si>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</si>
  <si>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</si>
  <si>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</si>
  <si>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</si>
  <si>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</si>
  <si>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</si>
  <si>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</si>
  <si>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</si>
  <si>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</si>
  <si>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</si>
  <si>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</si>
  <si>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</si>
  <si>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</si>
  <si>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</si>
  <si>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</si>
  <si>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</si>
  <si>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</si>
  <si>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</si>
  <si>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</si>
  <si>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</si>
  <si>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</si>
  <si>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</si>
  <si>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</si>
  <si>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</si>
  <si>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</si>
  <si>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</si>
  <si>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</si>
  <si>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</si>
  <si>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</si>
  <si>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</si>
  <si>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</si>
  <si>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</si>
  <si>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</si>
  <si>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</si>
  <si>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</si>
  <si>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</si>
  <si>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</si>
  <si>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</si>
  <si>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</si>
  <si>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</si>
  <si>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</si>
  <si>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</si>
  <si>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</si>
  <si>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</si>
  <si>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</si>
  <si>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</si>
  <si>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긴급 운전면허본부 울산이전청사 신축공사</t>
  </si>
  <si>
    <t>업무</t>
  </si>
  <si>
    <t>울산시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</si>
  <si>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</si>
  <si>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</si>
  <si>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</si>
  <si>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골재비및운반비,작업부산물,품질시험비, 기타공사</t>
    <phoneticPr fontId="2" type="noConversion"/>
  </si>
  <si>
    <t>공조배관공사, 우수처리시설공사, 바닥난방공사</t>
    <phoneticPr fontId="2" type="noConversion"/>
  </si>
  <si>
    <t xml:space="preserve"> 전기인입 및 수변전 설비공사</t>
    <phoneticPr fontId="2" type="noConversion"/>
  </si>
  <si>
    <t>펌프실배관공사</t>
    <phoneticPr fontId="2" type="noConversion"/>
  </si>
  <si>
    <t>토목</t>
    <phoneticPr fontId="2" type="noConversion"/>
  </si>
  <si>
    <t>토목 상수도공사, 토목 기타공사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</si>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</sst>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4986.55</v>
      </c>
      <c r="D7" s="36">
        <f>+C7/3.3058</f>
        <v>1508.4245870893581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803290</v>
      </c>
      <c r="E25" s="60">
        <f t="shared" si="0"/>
        <v>2655510</v>
      </c>
    </row>
    <row r="26" spans="1:5" x14ac:dyDescent="0.3">
      <c r="B26" s="2">
        <v>3</v>
      </c>
      <c r="C26" s="35" t="s">
        <v>95</v>
      </c>
      <c r="D26" s="45">
        <f>+D66</f>
        <v>84840</v>
      </c>
      <c r="E26" s="60">
        <f t="shared" si="0"/>
        <v>280460</v>
      </c>
    </row>
    <row r="27" spans="1:5" x14ac:dyDescent="0.3">
      <c r="B27" s="2">
        <v>4</v>
      </c>
      <c r="C27" s="35" t="s">
        <v>96</v>
      </c>
      <c r="D27" s="45">
        <f>+D95</f>
        <v>208380</v>
      </c>
      <c r="E27" s="60">
        <f t="shared" si="0"/>
        <v>688860</v>
      </c>
    </row>
    <row r="28" spans="1:5" x14ac:dyDescent="0.3">
      <c r="B28" s="2">
        <v>5</v>
      </c>
      <c r="C28" s="35" t="s">
        <v>97</v>
      </c>
      <c r="D28" s="45">
        <f>+D119</f>
        <v>133090</v>
      </c>
      <c r="E28" s="60">
        <f t="shared" si="0"/>
        <v>439960</v>
      </c>
    </row>
    <row r="29" spans="1:5" x14ac:dyDescent="0.3">
      <c r="B29" s="2">
        <v>6</v>
      </c>
      <c r="C29" s="35" t="s">
        <v>98</v>
      </c>
      <c r="D29" s="45">
        <f>+D133</f>
        <v>108810</v>
      </c>
      <c r="E29" s="60">
        <f t="shared" si="0"/>
        <v>359700</v>
      </c>
    </row>
    <row r="30" spans="1:5" x14ac:dyDescent="0.3">
      <c r="B30" s="2">
        <v>7</v>
      </c>
      <c r="C30" s="35" t="s">
        <v>99</v>
      </c>
      <c r="D30" s="45">
        <f>+D146</f>
        <v>30370</v>
      </c>
      <c r="E30" s="60">
        <f t="shared" si="0"/>
        <v>100390</v>
      </c>
    </row>
    <row r="31" spans="1:5" x14ac:dyDescent="0.3">
      <c r="B31" s="2">
        <v>8</v>
      </c>
      <c r="C31" s="35" t="s">
        <v>100</v>
      </c>
      <c r="D31" s="45">
        <f>+D154</f>
        <v>48190</v>
      </c>
      <c r="E31" s="60">
        <f t="shared" si="0"/>
        <v>159300</v>
      </c>
    </row>
    <row r="32" spans="1:5" x14ac:dyDescent="0.3">
      <c r="B32" s="2">
        <v>9</v>
      </c>
      <c r="C32" s="35" t="s">
        <v>101</v>
      </c>
      <c r="D32" s="45">
        <f>+D161</f>
        <v>43420</v>
      </c>
      <c r="E32" s="60">
        <f t="shared" si="0"/>
        <v>143530</v>
      </c>
    </row>
    <row r="33" spans="1:7" x14ac:dyDescent="0.3">
      <c r="B33" s="2">
        <v>10</v>
      </c>
      <c r="C33" s="35" t="s">
        <v>154</v>
      </c>
      <c r="D33" s="53">
        <f>TRUNC(SUM(D24:D32)*0.275,-1)</f>
        <v>401600</v>
      </c>
      <c r="E33" s="61">
        <f t="shared" si="0"/>
        <v>1327600</v>
      </c>
    </row>
    <row r="34" spans="1:7" x14ac:dyDescent="0.3">
      <c r="C34" s="35" t="s">
        <v>112</v>
      </c>
      <c r="D34" s="44">
        <f>SUM(D24:D33)</f>
        <v>1861990</v>
      </c>
      <c r="E34" s="44">
        <f>SUM(E24:E33)</f>
        <v>6155310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260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TRUNC(89463,-1)</f>
        <v>89460</v>
      </c>
      <c r="E40" s="63">
        <f t="shared" ref="E40:E59" si="1">TRUNC(+D40*3.3058,-1)</f>
        <v>295730</v>
      </c>
    </row>
    <row r="41" spans="1:7" x14ac:dyDescent="0.3">
      <c r="A41" s="2">
        <v>2</v>
      </c>
      <c r="C41" s="38" t="s">
        <v>13</v>
      </c>
      <c r="D41" s="42">
        <f>TRUNC(103362,-1)</f>
        <v>103360</v>
      </c>
      <c r="E41" s="64">
        <f t="shared" si="1"/>
        <v>341680</v>
      </c>
    </row>
    <row r="42" spans="1:7" x14ac:dyDescent="0.3">
      <c r="A42" s="2">
        <v>3</v>
      </c>
      <c r="C42" s="38" t="s">
        <v>14</v>
      </c>
      <c r="D42" s="42">
        <f>TRUNC(4567,-1)</f>
        <v>4560</v>
      </c>
      <c r="E42" s="64">
        <f t="shared" si="1"/>
        <v>15070</v>
      </c>
    </row>
    <row r="43" spans="1:7" x14ac:dyDescent="0.3">
      <c r="A43" s="2">
        <v>4</v>
      </c>
      <c r="C43" s="38" t="s">
        <v>16</v>
      </c>
      <c r="D43" s="42">
        <f>TRUNC(10894,-1)</f>
        <v>10890</v>
      </c>
      <c r="E43" s="64">
        <f t="shared" si="1"/>
        <v>36000</v>
      </c>
    </row>
    <row r="44" spans="1:7" x14ac:dyDescent="0.3">
      <c r="A44" s="2">
        <v>5</v>
      </c>
      <c r="C44" s="38" t="s">
        <v>17</v>
      </c>
      <c r="D44" s="42">
        <f>TRUNC(12364,-1)</f>
        <v>12360</v>
      </c>
      <c r="E44" s="64">
        <f t="shared" si="1"/>
        <v>40850</v>
      </c>
    </row>
    <row r="45" spans="1:7" x14ac:dyDescent="0.3">
      <c r="A45" s="2">
        <v>6</v>
      </c>
      <c r="C45" s="38" t="s">
        <v>18</v>
      </c>
      <c r="D45" s="42">
        <f>TRUNC(11650,-1)</f>
        <v>11650</v>
      </c>
      <c r="E45" s="64">
        <f t="shared" si="1"/>
        <v>38510</v>
      </c>
    </row>
    <row r="46" spans="1:7" x14ac:dyDescent="0.3">
      <c r="A46" s="2">
        <v>7</v>
      </c>
      <c r="C46" s="38" t="s">
        <v>19</v>
      </c>
      <c r="D46" s="42">
        <f>TRUNC(7854,-1)</f>
        <v>7850</v>
      </c>
      <c r="E46" s="64">
        <f t="shared" si="1"/>
        <v>25950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TRUNC(37365,-1)</f>
        <v>37360</v>
      </c>
      <c r="E48" s="64">
        <f t="shared" si="1"/>
        <v>123500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TRUNC(17721,-1)</f>
        <v>17720</v>
      </c>
      <c r="E49" s="64">
        <f t="shared" si="1"/>
        <v>58570</v>
      </c>
    </row>
    <row r="50" spans="1:7" x14ac:dyDescent="0.3">
      <c r="A50" s="2">
        <v>11</v>
      </c>
      <c r="C50" s="38" t="s">
        <v>155</v>
      </c>
      <c r="D50" s="42">
        <f>TRUNC(74322,-1)</f>
        <v>74320</v>
      </c>
      <c r="E50" s="64">
        <f t="shared" si="1"/>
        <v>245680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TRUNC(13958,-1)</f>
        <v>13950</v>
      </c>
      <c r="E52" s="64">
        <f t="shared" si="1"/>
        <v>46110</v>
      </c>
    </row>
    <row r="53" spans="1:7" x14ac:dyDescent="0.3">
      <c r="A53" s="2">
        <v>14</v>
      </c>
      <c r="C53" s="38" t="s">
        <v>25</v>
      </c>
      <c r="D53" s="42">
        <f>TRUNC(76847,-1)</f>
        <v>76840</v>
      </c>
      <c r="E53" s="64">
        <f t="shared" si="1"/>
        <v>254010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5809-654+1014+12221</f>
        <v>18390</v>
      </c>
      <c r="E58" s="64">
        <f t="shared" si="1"/>
        <v>60790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TRUNC(324587,-1)</f>
        <v>324580</v>
      </c>
      <c r="E59" s="65">
        <f t="shared" si="1"/>
        <v>1072990</v>
      </c>
    </row>
    <row r="60" spans="1:7" x14ac:dyDescent="0.3">
      <c r="A60" s="2">
        <v>21</v>
      </c>
      <c r="C60" s="27" t="s">
        <v>112</v>
      </c>
      <c r="D60" s="39">
        <f>SUM(D40:D59)</f>
        <v>803290</v>
      </c>
      <c r="E60" s="39">
        <f>SUM(E40:E59)</f>
        <v>2655440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260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TRUNC(72201,-1)</f>
        <v>72200</v>
      </c>
      <c r="E63" s="63">
        <f>TRUNC(+D63*3.3058,-1)</f>
        <v>238670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TRUNC(12642,-1)</f>
        <v>12640</v>
      </c>
      <c r="E65" s="65">
        <f>TRUNC(+D65*3.3058,-1)</f>
        <v>41780</v>
      </c>
    </row>
    <row r="66" spans="1:7" x14ac:dyDescent="0.3">
      <c r="A66" s="2">
        <v>4</v>
      </c>
      <c r="C66" s="27" t="s">
        <v>112</v>
      </c>
      <c r="D66" s="57">
        <f>SUM(D63:D65)</f>
        <v>84840</v>
      </c>
      <c r="E66" s="57">
        <f>SUM(E63:E65)</f>
        <v>280450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260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TRUNC(9863,-1)</f>
        <v>9860</v>
      </c>
      <c r="E69" s="63">
        <f t="shared" ref="E69:E94" si="2">TRUNC(+D69*3.3058,-1)</f>
        <v>32590</v>
      </c>
    </row>
    <row r="70" spans="1:7" ht="16.5" customHeight="1" x14ac:dyDescent="0.3">
      <c r="A70" s="2">
        <v>2</v>
      </c>
      <c r="C70" s="38" t="s">
        <v>31</v>
      </c>
      <c r="D70" s="42">
        <f>TRUNC(1195,-1)</f>
        <v>1190</v>
      </c>
      <c r="E70" s="64">
        <f t="shared" si="2"/>
        <v>3930</v>
      </c>
    </row>
    <row r="71" spans="1:7" x14ac:dyDescent="0.3">
      <c r="A71" s="2">
        <v>3</v>
      </c>
      <c r="C71" s="38" t="s">
        <v>32</v>
      </c>
      <c r="D71" s="42">
        <v>15450</v>
      </c>
      <c r="E71" s="64">
        <f t="shared" si="2"/>
        <v>51070</v>
      </c>
    </row>
    <row r="72" spans="1:7" x14ac:dyDescent="0.3">
      <c r="A72" s="2">
        <v>4</v>
      </c>
      <c r="C72" s="38" t="s">
        <v>33</v>
      </c>
      <c r="D72" s="42">
        <f>TRUNC(2641,-1)</f>
        <v>2640</v>
      </c>
      <c r="E72" s="64">
        <f t="shared" si="2"/>
        <v>8720</v>
      </c>
    </row>
    <row r="73" spans="1:7" x14ac:dyDescent="0.3">
      <c r="A73" s="2">
        <v>5</v>
      </c>
      <c r="C73" s="38" t="s">
        <v>34</v>
      </c>
      <c r="D73" s="42">
        <f>TRUNC(13139,-1)</f>
        <v>13130</v>
      </c>
      <c r="E73" s="64">
        <f t="shared" si="2"/>
        <v>43400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TRUNC(145,-1)</f>
        <v>140</v>
      </c>
      <c r="E75" s="64">
        <f t="shared" si="2"/>
        <v>460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TRUNC(8377,-1)</f>
        <v>8370</v>
      </c>
      <c r="E89" s="64">
        <f t="shared" si="2"/>
        <v>27660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TRUNC(12382,-1)</f>
        <v>12380</v>
      </c>
      <c r="E91" s="64">
        <f t="shared" si="2"/>
        <v>40920</v>
      </c>
    </row>
    <row r="92" spans="1:7" x14ac:dyDescent="0.3">
      <c r="A92" s="2">
        <v>24</v>
      </c>
      <c r="C92" s="38" t="s">
        <v>38</v>
      </c>
      <c r="D92" s="42">
        <f>TRUNC(6016,-1)</f>
        <v>6010</v>
      </c>
      <c r="E92" s="64">
        <f t="shared" si="2"/>
        <v>19860</v>
      </c>
    </row>
    <row r="93" spans="1:7" x14ac:dyDescent="0.3">
      <c r="A93" s="2">
        <v>25</v>
      </c>
      <c r="C93" s="38" t="s">
        <v>148</v>
      </c>
      <c r="D93" s="42">
        <f>TRUNC(35342,-1)</f>
        <v>35340</v>
      </c>
      <c r="E93" s="64">
        <f t="shared" si="2"/>
        <v>116820</v>
      </c>
    </row>
    <row r="94" spans="1:7" ht="17.25" thickBot="1" x14ac:dyDescent="0.35">
      <c r="A94" s="2">
        <v>26</v>
      </c>
      <c r="C94" s="38" t="s">
        <v>47</v>
      </c>
      <c r="D94" s="43">
        <f>TRUNC(63808+8614+852+30598,-1)</f>
        <v>103870</v>
      </c>
      <c r="E94" s="65">
        <f t="shared" si="2"/>
        <v>343370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208380</v>
      </c>
      <c r="E95" s="39">
        <f>SUM(E69:E94)</f>
        <v>688800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260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TRUNC(8626,-1)</f>
        <v>8620</v>
      </c>
      <c r="E98" s="63">
        <f t="shared" ref="E98:E118" si="3">TRUNC(+D98*3.3058,-1)</f>
        <v>28490</v>
      </c>
    </row>
    <row r="99" spans="1:7" x14ac:dyDescent="0.3">
      <c r="A99" s="2">
        <v>2</v>
      </c>
      <c r="C99" s="38" t="s">
        <v>40</v>
      </c>
      <c r="D99" s="42">
        <f>TRUNC(9983,-1)</f>
        <v>9980</v>
      </c>
      <c r="E99" s="64">
        <f t="shared" si="3"/>
        <v>32990</v>
      </c>
    </row>
    <row r="100" spans="1:7" x14ac:dyDescent="0.3">
      <c r="A100" s="2">
        <v>3</v>
      </c>
      <c r="C100" s="38" t="s">
        <v>41</v>
      </c>
      <c r="D100" s="42">
        <f>TRUNC(39226,-1)</f>
        <v>39220</v>
      </c>
      <c r="E100" s="64">
        <f t="shared" si="3"/>
        <v>129650</v>
      </c>
    </row>
    <row r="101" spans="1:7" x14ac:dyDescent="0.3">
      <c r="A101" s="2">
        <v>4</v>
      </c>
      <c r="C101" s="38" t="s">
        <v>42</v>
      </c>
      <c r="D101" s="42">
        <f>TRUNC(754,-1)</f>
        <v>750</v>
      </c>
      <c r="E101" s="64">
        <f t="shared" si="3"/>
        <v>2470</v>
      </c>
    </row>
    <row r="102" spans="1:7" x14ac:dyDescent="0.3">
      <c r="A102" s="2">
        <v>5</v>
      </c>
      <c r="C102" s="38" t="s">
        <v>43</v>
      </c>
      <c r="D102" s="42">
        <f>TRUNC(15571,-1)</f>
        <v>15570</v>
      </c>
      <c r="E102" s="64">
        <f t="shared" si="3"/>
        <v>51470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TRUNC(6504,-1)</f>
        <v>6500</v>
      </c>
      <c r="E104" s="64">
        <f t="shared" si="3"/>
        <v>21480</v>
      </c>
    </row>
    <row r="105" spans="1:7" x14ac:dyDescent="0.3">
      <c r="A105" s="2">
        <v>8</v>
      </c>
      <c r="C105" s="38" t="s">
        <v>46</v>
      </c>
      <c r="D105" s="42">
        <f>TRUNC(3757,-1)</f>
        <v>3750</v>
      </c>
      <c r="E105" s="64">
        <f t="shared" si="3"/>
        <v>12390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TRUNC(16108,-1)</f>
        <v>16100</v>
      </c>
      <c r="E116" s="64">
        <f t="shared" si="3"/>
        <v>53220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31300</v>
      </c>
      <c r="E117" s="64">
        <f t="shared" si="3"/>
        <v>103470</v>
      </c>
    </row>
    <row r="118" spans="1:7" ht="17.25" thickBot="1" x14ac:dyDescent="0.35">
      <c r="A118" s="2">
        <v>21</v>
      </c>
      <c r="C118" s="38" t="s">
        <v>47</v>
      </c>
      <c r="D118" s="43">
        <f>TRUNC(1304,-1)</f>
        <v>1300</v>
      </c>
      <c r="E118" s="65">
        <f t="shared" si="3"/>
        <v>4290</v>
      </c>
    </row>
    <row r="119" spans="1:7" x14ac:dyDescent="0.3">
      <c r="A119" s="2">
        <v>22</v>
      </c>
      <c r="C119" s="27" t="s">
        <v>112</v>
      </c>
      <c r="D119" s="39">
        <f>SUM(D98:D118)</f>
        <v>133090</v>
      </c>
      <c r="E119" s="39">
        <f>SUM(E98:E118)</f>
        <v>439920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260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TRUNC(2474,-1)</f>
        <v>2470</v>
      </c>
      <c r="E122" s="63">
        <f t="shared" ref="E122:E132" si="4">TRUNC(+D122*3.3058,-1)</f>
        <v>8160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TRUNC(5557,-1)</f>
        <v>5550</v>
      </c>
      <c r="E125" s="64">
        <f t="shared" si="4"/>
        <v>18340</v>
      </c>
    </row>
    <row r="126" spans="1:7" x14ac:dyDescent="0.3">
      <c r="A126" s="2">
        <v>5</v>
      </c>
      <c r="C126" s="38" t="s">
        <v>53</v>
      </c>
      <c r="D126" s="42">
        <f>TRUNC(4475,-1)</f>
        <v>4470</v>
      </c>
      <c r="E126" s="64">
        <f t="shared" si="4"/>
        <v>14770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TRUNC(5892,-1)</f>
        <v>5890</v>
      </c>
      <c r="E128" s="64">
        <f t="shared" si="4"/>
        <v>19470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TRUNC(51463,-1)</f>
        <v>51460</v>
      </c>
      <c r="E130" s="64">
        <f t="shared" si="4"/>
        <v>170110</v>
      </c>
    </row>
    <row r="131" spans="1:7" x14ac:dyDescent="0.3">
      <c r="A131" s="2">
        <v>10</v>
      </c>
      <c r="C131" s="38" t="s">
        <v>148</v>
      </c>
      <c r="D131" s="42">
        <f>TRUNC(37678,-1)</f>
        <v>37670</v>
      </c>
      <c r="E131" s="64">
        <f t="shared" si="4"/>
        <v>124520</v>
      </c>
    </row>
    <row r="132" spans="1:7" ht="17.25" thickBot="1" x14ac:dyDescent="0.35">
      <c r="A132" s="2">
        <v>11</v>
      </c>
      <c r="C132" s="38" t="s">
        <v>47</v>
      </c>
      <c r="D132" s="43">
        <f>TRUNC(1304,-1)</f>
        <v>1300</v>
      </c>
      <c r="E132" s="65">
        <f t="shared" si="4"/>
        <v>4290</v>
      </c>
    </row>
    <row r="133" spans="1:7" x14ac:dyDescent="0.3">
      <c r="A133" s="2">
        <v>12</v>
      </c>
      <c r="C133" s="27" t="s">
        <v>112</v>
      </c>
      <c r="D133" s="39">
        <f>SUM(D122:D132)</f>
        <v>108810</v>
      </c>
      <c r="E133" s="39">
        <f>SUM(E122:E132)</f>
        <v>359660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260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TRUNC(1822,-1)</f>
        <v>1820</v>
      </c>
      <c r="E137" s="64">
        <f t="shared" si="5"/>
        <v>6010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TRUNC(308,-1)</f>
        <v>300</v>
      </c>
      <c r="E140" s="64">
        <f t="shared" si="5"/>
        <v>990</v>
      </c>
    </row>
    <row r="141" spans="1:7" x14ac:dyDescent="0.3">
      <c r="A141" s="2">
        <v>6</v>
      </c>
      <c r="C141" s="38" t="s">
        <v>59</v>
      </c>
      <c r="D141" s="42">
        <f>TRUNC(869,-1)</f>
        <v>860</v>
      </c>
      <c r="E141" s="64">
        <f t="shared" si="5"/>
        <v>2840</v>
      </c>
    </row>
    <row r="142" spans="1:7" x14ac:dyDescent="0.3">
      <c r="A142" s="2">
        <v>7</v>
      </c>
      <c r="C142" s="38" t="s">
        <v>58</v>
      </c>
      <c r="D142" s="42">
        <f>TRUNC(3386,-1)</f>
        <v>3380</v>
      </c>
      <c r="E142" s="64">
        <f t="shared" si="5"/>
        <v>11170</v>
      </c>
    </row>
    <row r="143" spans="1:7" x14ac:dyDescent="0.3">
      <c r="A143" s="2">
        <v>8</v>
      </c>
      <c r="C143" s="38" t="s">
        <v>62</v>
      </c>
      <c r="D143" s="42">
        <f>TRUNC(4179,-1)</f>
        <v>4170</v>
      </c>
      <c r="E143" s="64">
        <f t="shared" si="5"/>
        <v>13780</v>
      </c>
    </row>
    <row r="144" spans="1:7" x14ac:dyDescent="0.3">
      <c r="A144" s="2">
        <v>9</v>
      </c>
      <c r="C144" s="38" t="s">
        <v>63</v>
      </c>
      <c r="D144" s="42">
        <f>TRUNC(10467,-1)</f>
        <v>10460</v>
      </c>
      <c r="E144" s="64">
        <f t="shared" si="5"/>
        <v>34570</v>
      </c>
    </row>
    <row r="145" spans="1:7" ht="17.25" thickBot="1" x14ac:dyDescent="0.35">
      <c r="A145" s="2">
        <v>10</v>
      </c>
      <c r="C145" s="38" t="s">
        <v>148</v>
      </c>
      <c r="D145" s="43">
        <f>TRUNC(9384,-1)</f>
        <v>9380</v>
      </c>
      <c r="E145" s="65">
        <f t="shared" si="5"/>
        <v>31000</v>
      </c>
    </row>
    <row r="146" spans="1:7" x14ac:dyDescent="0.3">
      <c r="A146" s="2">
        <v>11</v>
      </c>
      <c r="C146" s="27" t="s">
        <v>112</v>
      </c>
      <c r="D146" s="39">
        <f>SUM(D136:D145)</f>
        <v>30370</v>
      </c>
      <c r="E146" s="39">
        <f>SUM(E136:E145)</f>
        <v>100360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260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TRUNC(8898+1915,-1)</f>
        <v>10810</v>
      </c>
      <c r="E149" s="63">
        <f>TRUNC(+D149*3.3058,-1)</f>
        <v>35730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TRUNC(11761,-1)</f>
        <v>11760</v>
      </c>
      <c r="E150" s="64">
        <f>TRUNC(+D150*3.3058,-1)</f>
        <v>38870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f>TRUNC(9165,-1)</f>
        <v>9160</v>
      </c>
      <c r="E151" s="64">
        <f>TRUNC(+D151*3.3058,-1)</f>
        <v>30280</v>
      </c>
      <c r="F151" s="2" t="s">
        <v>257</v>
      </c>
    </row>
    <row r="152" spans="1:7" x14ac:dyDescent="0.3">
      <c r="A152" s="2">
        <v>4</v>
      </c>
      <c r="C152" s="38" t="s">
        <v>47</v>
      </c>
      <c r="D152" s="42">
        <f>TRUNC(772+215,-1)</f>
        <v>980</v>
      </c>
      <c r="E152" s="64">
        <f>TRUNC(+D152*3.3058,-1)</f>
        <v>3230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TRUNC(15481,-1)</f>
        <v>15480</v>
      </c>
      <c r="E153" s="65">
        <f>TRUNC(+D153*3.3058,-1)</f>
        <v>51170</v>
      </c>
      <c r="F153" s="2" t="s">
        <v>257</v>
      </c>
    </row>
    <row r="154" spans="1:7" x14ac:dyDescent="0.3">
      <c r="A154" s="2">
        <v>6</v>
      </c>
      <c r="C154" s="27" t="s">
        <v>112</v>
      </c>
      <c r="D154" s="39">
        <f>SUM(D149:D153)</f>
        <v>48190</v>
      </c>
      <c r="E154" s="39">
        <f>SUM(E149:E153)</f>
        <v>159280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260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25080</v>
      </c>
      <c r="E157" s="63">
        <f>TRUNC(+D157*3.3058,-1)</f>
        <v>82900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TRUNC(3952+14396,-1)</f>
        <v>18340</v>
      </c>
      <c r="E159" s="64">
        <f>TRUNC(+D159*3.3058,-1)</f>
        <v>60620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43420</v>
      </c>
      <c r="E161" s="39">
        <f>SUM(E157:E160)</f>
        <v>143520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2020-12-07T10:06:44Z</dcterms:modified>
</cp:coreProperties>
</file>