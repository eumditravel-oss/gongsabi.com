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5" i="4"/>
  <c r="D144" i="4"/>
  <c r="D143" i="4"/>
  <c r="D141" i="4"/>
  <c r="D140" i="4"/>
  <c r="D137" i="4"/>
  <c r="D132" i="4"/>
  <c r="D131" i="4"/>
  <c r="D130" i="4"/>
  <c r="D128" i="4"/>
  <c r="D127" i="4"/>
  <c r="D126" i="4"/>
  <c r="D125" i="4"/>
  <c r="D124" i="4"/>
  <c r="D122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76" i="4"/>
  <c r="D75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<sst xmlns="http://schemas.openxmlformats.org/spreadsheetml/2006/main" count="393" uniqueCount="267">
  <si>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</si>
  <si>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</si>
  <si>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</si>
  <si>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</si>
  <si>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</si>
  <si>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</si>
  <si>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</si>
  <si>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</si>
  <si>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</si>
  <si>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</si>
  <si>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</si>
  <si>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</si>
  <si>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</si>
  <si>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</si>
  <si>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</si>
  <si>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</si>
  <si>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</si>
  <si>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</si>
  <si>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</si>
  <si>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</si>
  <si>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</si>
  <si>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</si>
  <si>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</si>
  <si>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</si>
  <si>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</si>
  <si>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</si>
  <si>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</si>
  <si>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</si>
  <si>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</si>
  <si>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</si>
  <si>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</si>
  <si>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</si>
  <si>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</si>
  <si>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</si>
  <si>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</si>
  <si>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</si>
  <si>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</si>
  <si>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</si>
  <si>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</si>
  <si>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</si>
  <si>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</si>
  <si>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</si>
  <si>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</si>
  <si>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</si>
  <si>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</si>
  <si>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</si>
  <si>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</si>
  <si>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</si>
  <si>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</si>
  <si>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</si>
  <si>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</si>
  <si>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</si>
  <si>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</si>
  <si>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</si>
  <si>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</si>
  <si>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</si>
  <si>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</si>
  <si>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</si>
  <si>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</si>
  <si>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</si>
  <si>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</si>
  <si>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</si>
  <si>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</si>
  <si>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</si>
  <si>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</si>
  <si>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</si>
  <si>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</si>
  <si>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</si>
  <si>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</si>
  <si>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</si>
  <si>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</si>
  <si>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</si>
  <si>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</si>
  <si>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</si>
  <si>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</si>
  <si>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</si>
  <si>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</si>
  <si>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</si>
  <si>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</si>
  <si>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</si>
  <si>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</si>
  <si>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</si>
  <si>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</si>
  <si>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</si>
  <si>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</si>
  <si>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</si>
  <si>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</si>
  <si>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</si>
  <si>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</si>
  <si>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</si>
  <si>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</si>
  <si>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</si>
  <si>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</si>
  <si>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</si>
  <si>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</si>
  <si>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</si>
  <si>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</si>
  <si>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</si>
  <si>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</si>
  <si>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</si>
  <si>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</si>
  <si>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</si>
  <si>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</si>
  <si>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</si>
  <si>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</si>
  <si>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</si>
  <si>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</si>
  <si>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</si>
  <si>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</si>
  <si>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</si>
  <si>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</si>
  <si>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</si>
  <si>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</si>
  <si>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</si>
  <si>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</si>
  <si>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</si>
  <si>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</si>
  <si>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</si>
  <si>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</si>
  <si>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</si>
  <si>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</si>
  <si>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</si>
  <si>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</si>
  <si>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</si>
  <si>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</si>
  <si>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</si>
  <si>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</si>
  <si>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</si>
  <si>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</si>
  <si>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</si>
  <si>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</si>
  <si>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</si>
  <si>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</si>
  <si>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</si>
  <si>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</si>
  <si>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</si>
  <si>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</si>
  <si>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</si>
  <si>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</si>
  <si>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</si>
  <si>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</si>
  <si>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</si>
  <si>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</si>
  <si>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</si>
  <si>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</si>
  <si>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</si>
  <si>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</si>
  <si>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</si>
  <si>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</si>
  <si>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</si>
  <si>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</si>
  <si>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</si>
  <si>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</si>
  <si>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</si>
  <si>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</si>
  <si>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</si>
  <si>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</si>
  <si>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</si>
  <si>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</si>
  <si>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</si>
  <si>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</si>
  <si>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</si>
  <si>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</si>
  <si>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</si>
  <si>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</si>
  <si>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</si>
  <si>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</si>
  <si>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</si>
  <si>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</si>
  <si>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</si>
  <si>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</si>
  <si>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</si>
  <si>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</si>
  <si>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</si>
  <si>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</si>
  <si>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</si>
  <si>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</si>
  <si>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</si>
  <si>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</si>
  <si>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</si>
  <si>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</si>
  <si>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</si>
  <si>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</si>
  <si>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</si>
  <si>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</si>
  <si>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</si>
  <si>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</si>
  <si>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</si>
  <si>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</si>
  <si>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</si>
  <si>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</si>
  <si>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</si>
  <si>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</si>
  <si>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</si>
  <si>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</si>
  <si>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</si>
  <si>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</si>
  <si>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</si>
  <si>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</si>
  <si>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</si>
  <si>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</si>
  <si>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</si>
  <si>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</si>
  <si>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</si>
  <si>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</si>
  <si>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</si>
  <si>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</si>
  <si>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</si>
  <si>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</si>
  <si>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</si>
  <si>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</si>
  <si>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</si>
  <si>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</si>
  <si>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</si>
  <si>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</si>
  <si>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</si>
  <si>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</si>
  <si>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</si>
  <si>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</si>
  <si>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</si>
  <si>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</si>
  <si>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</si>
  <si>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</si>
  <si>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</si>
  <si>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</si>
  <si>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</si>
  <si>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</si>
  <si>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</si>
  <si>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</si>
  <si>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</si>
  <si>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</si>
  <si>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</si>
  <si>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</si>
  <si>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</si>
  <si>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</si>
  <si>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</si>
  <si>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</si>
  <si>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</si>
  <si>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</si>
  <si>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</si>
  <si>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</si>
  <si>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</si>
  <si>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</si>
  <si>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</si>
  <si>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</si>
  <si>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</si>
  <si>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</si>
  <si>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</si>
  <si>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</si>
  <si>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</si>
  <si>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</si>
  <si>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</si>
  <si>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</si>
  <si>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</si>
  <si>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</si>
  <si>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</si>
  <si>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</si>
  <si>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</si>
  <si>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 xml:space="preserve"> 커뮤니티센터1 건립공사</t>
    <phoneticPr fontId="2" type="noConversion"/>
  </si>
  <si>
    <t>경기도</t>
  </si>
  <si>
    <t>업무</t>
  </si>
  <si>
    <t>공조배관공사, 우수처리시설공사, 바닥난방공사, 기타공사</t>
    <phoneticPr fontId="2" type="noConversion"/>
  </si>
  <si>
    <t>옥외소화배관공사, 펌프실배관공사, 무선통신보조설비공사</t>
    <phoneticPr fontId="2" type="noConversion"/>
  </si>
  <si>
    <t>상수도공사,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</si>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</sst>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11734.92</v>
      </c>
      <c r="D7" s="36">
        <f>+C7/3.3058</f>
        <v>3549.7973259120336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1012410</v>
      </c>
      <c r="E25" s="59">
        <f t="shared" si="0"/>
        <v>3346820</v>
      </c>
    </row>
    <row r="26" spans="1:5" x14ac:dyDescent="0.3">
      <c r="B26" s="2">
        <v>3</v>
      </c>
      <c r="C26" s="35" t="s">
        <v>95</v>
      </c>
      <c r="D26" s="45">
        <f>+D66</f>
        <v>56890</v>
      </c>
      <c r="E26" s="59">
        <f t="shared" si="0"/>
        <v>188060</v>
      </c>
    </row>
    <row r="27" spans="1:5" x14ac:dyDescent="0.3">
      <c r="B27" s="2">
        <v>4</v>
      </c>
      <c r="C27" s="35" t="s">
        <v>96</v>
      </c>
      <c r="D27" s="45">
        <f>+D95</f>
        <v>291650</v>
      </c>
      <c r="E27" s="59">
        <f t="shared" si="0"/>
        <v>964130</v>
      </c>
    </row>
    <row r="28" spans="1:5" x14ac:dyDescent="0.3">
      <c r="B28" s="2">
        <v>5</v>
      </c>
      <c r="C28" s="35" t="s">
        <v>97</v>
      </c>
      <c r="D28" s="45">
        <f>+D119</f>
        <v>168010</v>
      </c>
      <c r="E28" s="59">
        <f t="shared" si="0"/>
        <v>555400</v>
      </c>
    </row>
    <row r="29" spans="1:5" x14ac:dyDescent="0.3">
      <c r="B29" s="2">
        <v>6</v>
      </c>
      <c r="C29" s="35" t="s">
        <v>98</v>
      </c>
      <c r="D29" s="45">
        <f>+D133</f>
        <v>117530</v>
      </c>
      <c r="E29" s="59">
        <f t="shared" si="0"/>
        <v>388530</v>
      </c>
    </row>
    <row r="30" spans="1:5" x14ac:dyDescent="0.3">
      <c r="B30" s="2">
        <v>7</v>
      </c>
      <c r="C30" s="35" t="s">
        <v>99</v>
      </c>
      <c r="D30" s="45">
        <f>+D146</f>
        <v>46940</v>
      </c>
      <c r="E30" s="59">
        <f t="shared" si="0"/>
        <v>155170</v>
      </c>
    </row>
    <row r="31" spans="1:5" x14ac:dyDescent="0.3">
      <c r="B31" s="2">
        <v>8</v>
      </c>
      <c r="C31" s="35" t="s">
        <v>100</v>
      </c>
      <c r="D31" s="45">
        <f>+D154</f>
        <v>47180</v>
      </c>
      <c r="E31" s="59">
        <f t="shared" si="0"/>
        <v>155960</v>
      </c>
    </row>
    <row r="32" spans="1:5" x14ac:dyDescent="0.3">
      <c r="B32" s="2">
        <v>9</v>
      </c>
      <c r="C32" s="35" t="s">
        <v>101</v>
      </c>
      <c r="D32" s="45">
        <f>+D161</f>
        <v>49700</v>
      </c>
      <c r="E32" s="59">
        <f t="shared" si="0"/>
        <v>164290</v>
      </c>
    </row>
    <row r="33" spans="1:7" x14ac:dyDescent="0.3">
      <c r="B33" s="2">
        <v>10</v>
      </c>
      <c r="C33" s="35" t="s">
        <v>155</v>
      </c>
      <c r="D33" s="53">
        <f>TRUNC(SUM(D24:D32)*0.275,-1)</f>
        <v>492330</v>
      </c>
      <c r="E33" s="60">
        <f t="shared" si="0"/>
        <v>1627540</v>
      </c>
    </row>
    <row r="34" spans="1:7" x14ac:dyDescent="0.3">
      <c r="C34" s="35" t="s">
        <v>112</v>
      </c>
      <c r="D34" s="44">
        <f>SUM(D24:D33)</f>
        <v>2282640</v>
      </c>
      <c r="E34" s="44">
        <f>SUM(E24:E33)</f>
        <v>7545900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TRUNC(65111,-1)</f>
        <v>65110</v>
      </c>
      <c r="E40" s="62">
        <f t="shared" ref="E40:E59" si="1">TRUNC(+D40*3.3058,-1)</f>
        <v>215240</v>
      </c>
    </row>
    <row r="41" spans="1:7" x14ac:dyDescent="0.3">
      <c r="A41" s="2">
        <v>2</v>
      </c>
      <c r="C41" s="38" t="s">
        <v>13</v>
      </c>
      <c r="D41" s="42">
        <v>150330</v>
      </c>
      <c r="E41" s="63">
        <f t="shared" si="1"/>
        <v>496960</v>
      </c>
    </row>
    <row r="42" spans="1:7" x14ac:dyDescent="0.3">
      <c r="A42" s="2">
        <v>3</v>
      </c>
      <c r="C42" s="38" t="s">
        <v>14</v>
      </c>
      <c r="D42" s="42">
        <f>TRUNC(29622,-1)</f>
        <v>29620</v>
      </c>
      <c r="E42" s="63">
        <f t="shared" si="1"/>
        <v>97910</v>
      </c>
      <c r="F42" s="35"/>
    </row>
    <row r="43" spans="1:7" x14ac:dyDescent="0.3">
      <c r="A43" s="2">
        <v>4</v>
      </c>
      <c r="C43" s="38" t="s">
        <v>16</v>
      </c>
      <c r="D43" s="42">
        <f>TRUNC(13628,-1)</f>
        <v>13620</v>
      </c>
      <c r="E43" s="63">
        <f t="shared" si="1"/>
        <v>45020</v>
      </c>
    </row>
    <row r="44" spans="1:7" x14ac:dyDescent="0.3">
      <c r="A44" s="2">
        <v>5</v>
      </c>
      <c r="C44" s="38" t="s">
        <v>17</v>
      </c>
      <c r="D44" s="42">
        <f>TRUNC(45554,-1)</f>
        <v>45550</v>
      </c>
      <c r="E44" s="63">
        <f t="shared" si="1"/>
        <v>150570</v>
      </c>
    </row>
    <row r="45" spans="1:7" x14ac:dyDescent="0.3">
      <c r="A45" s="2">
        <v>6</v>
      </c>
      <c r="C45" s="38" t="s">
        <v>18</v>
      </c>
      <c r="D45" s="42">
        <f>TRUNC(19875,-1)</f>
        <v>19870</v>
      </c>
      <c r="E45" s="63">
        <f t="shared" si="1"/>
        <v>65680</v>
      </c>
    </row>
    <row r="46" spans="1:7" x14ac:dyDescent="0.3">
      <c r="A46" s="2">
        <v>7</v>
      </c>
      <c r="C46" s="38" t="s">
        <v>19</v>
      </c>
      <c r="D46" s="42">
        <f>TRUNC(9816,-1)</f>
        <v>9810</v>
      </c>
      <c r="E46" s="63">
        <f t="shared" si="1"/>
        <v>32420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TRUNC(94083,-1)</f>
        <v>94080</v>
      </c>
      <c r="E48" s="63">
        <f t="shared" si="1"/>
        <v>311000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TRUNC(10243,-1)</f>
        <v>10240</v>
      </c>
      <c r="E49" s="63">
        <f t="shared" si="1"/>
        <v>33850</v>
      </c>
    </row>
    <row r="50" spans="1:7" x14ac:dyDescent="0.3">
      <c r="A50" s="2">
        <v>11</v>
      </c>
      <c r="C50" s="38" t="s">
        <v>156</v>
      </c>
      <c r="D50" s="42">
        <f>TRUNC(57788,-1)</f>
        <v>57780</v>
      </c>
      <c r="E50" s="63">
        <f t="shared" si="1"/>
        <v>191000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TRUNC(19996,-1)</f>
        <v>19990</v>
      </c>
      <c r="E52" s="63">
        <f t="shared" si="1"/>
        <v>66080</v>
      </c>
    </row>
    <row r="53" spans="1:7" x14ac:dyDescent="0.3">
      <c r="A53" s="2">
        <v>14</v>
      </c>
      <c r="C53" s="38" t="s">
        <v>25</v>
      </c>
      <c r="D53" s="42">
        <f>TRUNC(99412,-1)</f>
        <v>99410</v>
      </c>
      <c r="E53" s="63">
        <f t="shared" si="1"/>
        <v>328620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TRUNC(11718+5214-699+17781,-1)</f>
        <v>34010</v>
      </c>
      <c r="E58" s="63">
        <f t="shared" si="1"/>
        <v>112430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TRUNC(362995,-1)</f>
        <v>362990</v>
      </c>
      <c r="E59" s="64">
        <f t="shared" si="1"/>
        <v>1199970</v>
      </c>
    </row>
    <row r="60" spans="1:7" x14ac:dyDescent="0.3">
      <c r="A60" s="2">
        <v>21</v>
      </c>
      <c r="C60" s="27" t="s">
        <v>112</v>
      </c>
      <c r="D60" s="39">
        <f>SUM(D40:D59)</f>
        <v>1012410</v>
      </c>
      <c r="E60" s="39">
        <f>SUM(E40:E59)</f>
        <v>3346750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TRUNC(42907,-1)</f>
        <v>42900</v>
      </c>
      <c r="E63" s="62">
        <f>TRUNC(+D63*3.3058,-1)</f>
        <v>141810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TRUNC(13993,-1)</f>
        <v>13990</v>
      </c>
      <c r="E65" s="64">
        <f>TRUNC(+D65*3.3058,-1)</f>
        <v>46240</v>
      </c>
    </row>
    <row r="66" spans="1:7" x14ac:dyDescent="0.3">
      <c r="A66" s="2">
        <v>4</v>
      </c>
      <c r="C66" s="27" t="s">
        <v>112</v>
      </c>
      <c r="D66" s="39">
        <f>SUM(D63:D65)</f>
        <v>56890</v>
      </c>
      <c r="E66" s="65">
        <f>SUM(E63:E65)</f>
        <v>188050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TRUNC(17079,-1)</f>
        <v>17070</v>
      </c>
      <c r="E69" s="62">
        <f t="shared" ref="E69:E94" si="2">TRUNC(+D69*3.3058,-1)</f>
        <v>56430</v>
      </c>
    </row>
    <row r="70" spans="1:7" ht="16.5" customHeight="1" x14ac:dyDescent="0.3">
      <c r="A70" s="2">
        <v>2</v>
      </c>
      <c r="C70" s="38" t="s">
        <v>31</v>
      </c>
      <c r="D70" s="42">
        <f>TRUNC(904,-1)</f>
        <v>900</v>
      </c>
      <c r="E70" s="63">
        <f t="shared" si="2"/>
        <v>2970</v>
      </c>
    </row>
    <row r="71" spans="1:7" x14ac:dyDescent="0.3">
      <c r="A71" s="2">
        <v>3</v>
      </c>
      <c r="C71" s="38" t="s">
        <v>32</v>
      </c>
      <c r="D71" s="42">
        <f>TRUNC(35458,-1)</f>
        <v>35450</v>
      </c>
      <c r="E71" s="63">
        <f t="shared" si="2"/>
        <v>117190</v>
      </c>
    </row>
    <row r="72" spans="1:7" x14ac:dyDescent="0.3">
      <c r="A72" s="2">
        <v>4</v>
      </c>
      <c r="C72" s="38" t="s">
        <v>33</v>
      </c>
      <c r="D72" s="42">
        <v>870</v>
      </c>
      <c r="E72" s="63">
        <f t="shared" si="2"/>
        <v>2870</v>
      </c>
    </row>
    <row r="73" spans="1:7" x14ac:dyDescent="0.3">
      <c r="A73" s="2">
        <v>5</v>
      </c>
      <c r="C73" s="38" t="s">
        <v>34</v>
      </c>
      <c r="D73" s="42">
        <f>TRUNC(8104,-1)</f>
        <v>8100</v>
      </c>
      <c r="E73" s="63">
        <f t="shared" si="2"/>
        <v>26770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TRUNC(601,-1)</f>
        <v>600</v>
      </c>
      <c r="E75" s="63">
        <f t="shared" si="2"/>
        <v>1980</v>
      </c>
    </row>
    <row r="76" spans="1:7" x14ac:dyDescent="0.3">
      <c r="A76" s="2">
        <v>8</v>
      </c>
      <c r="C76" s="38" t="s">
        <v>119</v>
      </c>
      <c r="D76" s="42">
        <f>TRUNC(33132,-1)</f>
        <v>33130</v>
      </c>
      <c r="E76" s="63">
        <f t="shared" si="2"/>
        <v>109520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6400</v>
      </c>
      <c r="E89" s="63">
        <f t="shared" si="2"/>
        <v>21150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TRUNC(23465,-1)</f>
        <v>23460</v>
      </c>
      <c r="E91" s="63">
        <f t="shared" si="2"/>
        <v>77550</v>
      </c>
    </row>
    <row r="92" spans="1:7" x14ac:dyDescent="0.3">
      <c r="A92" s="2">
        <v>24</v>
      </c>
      <c r="C92" s="38" t="s">
        <v>38</v>
      </c>
      <c r="D92" s="42">
        <f>TRUNC(6585,-1)</f>
        <v>6580</v>
      </c>
      <c r="E92" s="63">
        <f t="shared" si="2"/>
        <v>21750</v>
      </c>
    </row>
    <row r="93" spans="1:7" x14ac:dyDescent="0.3">
      <c r="A93" s="2">
        <v>25</v>
      </c>
      <c r="C93" s="38" t="s">
        <v>149</v>
      </c>
      <c r="D93" s="42">
        <f>TRUNC(128555,-1)</f>
        <v>128550</v>
      </c>
      <c r="E93" s="63">
        <f t="shared" si="2"/>
        <v>424960</v>
      </c>
    </row>
    <row r="94" spans="1:7" ht="17.25" thickBot="1" x14ac:dyDescent="0.35">
      <c r="A94" s="2">
        <v>26</v>
      </c>
      <c r="C94" s="38" t="s">
        <v>47</v>
      </c>
      <c r="D94" s="43">
        <f>TRUNC(23169+1574+1113+4691,-1)</f>
        <v>30540</v>
      </c>
      <c r="E94" s="64">
        <f t="shared" si="2"/>
        <v>100950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291650</v>
      </c>
      <c r="E95" s="39">
        <f>SUM(E69:E94)</f>
        <v>964090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TRUNC(8189,-1)</f>
        <v>8180</v>
      </c>
      <c r="E98" s="62">
        <f t="shared" ref="E98:E118" si="3">TRUNC(+D98*3.3058,-1)</f>
        <v>27040</v>
      </c>
    </row>
    <row r="99" spans="1:7" x14ac:dyDescent="0.3">
      <c r="A99" s="2">
        <v>2</v>
      </c>
      <c r="C99" s="38" t="s">
        <v>40</v>
      </c>
      <c r="D99" s="42">
        <f>TRUNC(5912,-1)</f>
        <v>5910</v>
      </c>
      <c r="E99" s="63">
        <f t="shared" si="3"/>
        <v>19530</v>
      </c>
    </row>
    <row r="100" spans="1:7" x14ac:dyDescent="0.3">
      <c r="A100" s="2">
        <v>3</v>
      </c>
      <c r="C100" s="38" t="s">
        <v>41</v>
      </c>
      <c r="D100" s="42">
        <f>TRUNC(18687,-1)</f>
        <v>18680</v>
      </c>
      <c r="E100" s="63">
        <f t="shared" si="3"/>
        <v>61750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TRUNC(6689,-1)</f>
        <v>6680</v>
      </c>
      <c r="E102" s="63">
        <f t="shared" si="3"/>
        <v>22080</v>
      </c>
    </row>
    <row r="103" spans="1:7" x14ac:dyDescent="0.3">
      <c r="A103" s="2">
        <v>6</v>
      </c>
      <c r="C103" s="38" t="s">
        <v>44</v>
      </c>
      <c r="D103" s="42">
        <f>TRUNC(3491,-1)</f>
        <v>3490</v>
      </c>
      <c r="E103" s="63">
        <f t="shared" si="3"/>
        <v>11530</v>
      </c>
    </row>
    <row r="104" spans="1:7" x14ac:dyDescent="0.3">
      <c r="A104" s="2">
        <v>7</v>
      </c>
      <c r="C104" s="38" t="s">
        <v>45</v>
      </c>
      <c r="D104" s="42">
        <f>TRUNC(1848,-1)</f>
        <v>1840</v>
      </c>
      <c r="E104" s="63">
        <f t="shared" si="3"/>
        <v>6080</v>
      </c>
    </row>
    <row r="105" spans="1:7" x14ac:dyDescent="0.3">
      <c r="A105" s="2">
        <v>8</v>
      </c>
      <c r="C105" s="38" t="s">
        <v>46</v>
      </c>
      <c r="D105" s="42">
        <f>TRUNC(3616,-1)</f>
        <v>3610</v>
      </c>
      <c r="E105" s="63">
        <f t="shared" si="3"/>
        <v>11930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TRUNC(3738,-1)</f>
        <v>3730</v>
      </c>
      <c r="E114" s="63">
        <f t="shared" si="3"/>
        <v>12330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TRUNC(3784,-1)</f>
        <v>3780</v>
      </c>
      <c r="E116" s="63">
        <f t="shared" si="3"/>
        <v>12490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TRUNC(112025,-1)</f>
        <v>112020</v>
      </c>
      <c r="E117" s="63">
        <f t="shared" si="3"/>
        <v>370310</v>
      </c>
    </row>
    <row r="118" spans="1:7" ht="17.25" thickBot="1" x14ac:dyDescent="0.35">
      <c r="A118" s="2">
        <v>21</v>
      </c>
      <c r="C118" s="38" t="s">
        <v>47</v>
      </c>
      <c r="D118" s="43">
        <v>90</v>
      </c>
      <c r="E118" s="64">
        <f t="shared" si="3"/>
        <v>290</v>
      </c>
    </row>
    <row r="119" spans="1:7" x14ac:dyDescent="0.3">
      <c r="A119" s="2">
        <v>22</v>
      </c>
      <c r="C119" s="27" t="s">
        <v>112</v>
      </c>
      <c r="D119" s="39">
        <f>SUM(D98:D118)</f>
        <v>168010</v>
      </c>
      <c r="E119" s="39">
        <f>SUM(E98:E118)</f>
        <v>555360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TRUNC(4585,-1)</f>
        <v>4580</v>
      </c>
      <c r="E122" s="62">
        <f t="shared" ref="E122:E132" si="4">TRUNC(+D122*3.3058,-1)</f>
        <v>15140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TRUNC(1629,-1)</f>
        <v>1620</v>
      </c>
      <c r="E124" s="63">
        <f t="shared" si="4"/>
        <v>5350</v>
      </c>
    </row>
    <row r="125" spans="1:7" x14ac:dyDescent="0.3">
      <c r="A125" s="2">
        <v>4</v>
      </c>
      <c r="C125" s="38" t="s">
        <v>138</v>
      </c>
      <c r="D125" s="42">
        <f>TRUNC(3077,-1)</f>
        <v>3070</v>
      </c>
      <c r="E125" s="63">
        <f t="shared" si="4"/>
        <v>10140</v>
      </c>
    </row>
    <row r="126" spans="1:7" x14ac:dyDescent="0.3">
      <c r="A126" s="2">
        <v>5</v>
      </c>
      <c r="C126" s="38" t="s">
        <v>53</v>
      </c>
      <c r="D126" s="42">
        <f>TRUNC(3113,-1)</f>
        <v>3110</v>
      </c>
      <c r="E126" s="63">
        <f t="shared" si="4"/>
        <v>10280</v>
      </c>
    </row>
    <row r="127" spans="1:7" x14ac:dyDescent="0.3">
      <c r="A127" s="2">
        <v>6</v>
      </c>
      <c r="C127" s="38" t="s">
        <v>56</v>
      </c>
      <c r="D127" s="42">
        <f>TRUNC(663,-1)</f>
        <v>660</v>
      </c>
      <c r="E127" s="63">
        <f t="shared" si="4"/>
        <v>2180</v>
      </c>
    </row>
    <row r="128" spans="1:7" x14ac:dyDescent="0.3">
      <c r="A128" s="2">
        <v>7</v>
      </c>
      <c r="C128" s="38" t="s">
        <v>46</v>
      </c>
      <c r="D128" s="42">
        <f>TRUNC(6247,-1)</f>
        <v>6240</v>
      </c>
      <c r="E128" s="63">
        <f t="shared" si="4"/>
        <v>20620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TRUNC(18544,-1)</f>
        <v>18540</v>
      </c>
      <c r="E130" s="63">
        <f t="shared" si="4"/>
        <v>61280</v>
      </c>
    </row>
    <row r="131" spans="1:7" x14ac:dyDescent="0.3">
      <c r="A131" s="2">
        <v>10</v>
      </c>
      <c r="C131" s="38" t="s">
        <v>149</v>
      </c>
      <c r="D131" s="42">
        <f>TRUNC(78369,-1)</f>
        <v>78360</v>
      </c>
      <c r="E131" s="63">
        <f t="shared" si="4"/>
        <v>259040</v>
      </c>
    </row>
    <row r="132" spans="1:7" ht="18" thickBot="1" x14ac:dyDescent="0.35">
      <c r="A132" s="2">
        <v>11</v>
      </c>
      <c r="C132" s="38" t="s">
        <v>47</v>
      </c>
      <c r="D132" s="43">
        <f>TRUNC(1352,-1)</f>
        <v>1350</v>
      </c>
      <c r="E132" s="64">
        <f t="shared" si="4"/>
        <v>4460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117530</v>
      </c>
      <c r="E133" s="39">
        <f>SUM(E122:E132)</f>
        <v>388490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TRUNC(119+3017+992,-1)</f>
        <v>4120</v>
      </c>
      <c r="E137" s="63">
        <f t="shared" si="5"/>
        <v>13610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TRUNC(2343,-1)</f>
        <v>2340</v>
      </c>
      <c r="E140" s="63">
        <f t="shared" si="5"/>
        <v>7730</v>
      </c>
    </row>
    <row r="141" spans="1:7" x14ac:dyDescent="0.3">
      <c r="A141" s="2">
        <v>6</v>
      </c>
      <c r="C141" s="38" t="s">
        <v>59</v>
      </c>
      <c r="D141" s="42">
        <f>TRUNC(17991,-1)</f>
        <v>17990</v>
      </c>
      <c r="E141" s="63">
        <f t="shared" si="5"/>
        <v>59470</v>
      </c>
    </row>
    <row r="142" spans="1:7" x14ac:dyDescent="0.3">
      <c r="A142" s="2">
        <v>7</v>
      </c>
      <c r="C142" s="38" t="s">
        <v>58</v>
      </c>
      <c r="D142" s="42">
        <v>4440</v>
      </c>
      <c r="E142" s="63">
        <f t="shared" si="5"/>
        <v>14670</v>
      </c>
    </row>
    <row r="143" spans="1:7" x14ac:dyDescent="0.3">
      <c r="A143" s="2">
        <v>8</v>
      </c>
      <c r="C143" s="38" t="s">
        <v>62</v>
      </c>
      <c r="D143" s="42">
        <f>TRUNC(2524,-1)</f>
        <v>2520</v>
      </c>
      <c r="E143" s="63">
        <f t="shared" si="5"/>
        <v>8330</v>
      </c>
    </row>
    <row r="144" spans="1:7" x14ac:dyDescent="0.3">
      <c r="A144" s="2">
        <v>9</v>
      </c>
      <c r="C144" s="38" t="s">
        <v>63</v>
      </c>
      <c r="D144" s="42">
        <f>TRUNC(12756,-1)</f>
        <v>12750</v>
      </c>
      <c r="E144" s="63">
        <f t="shared" si="5"/>
        <v>42140</v>
      </c>
    </row>
    <row r="145" spans="1:7" ht="17.25" thickBot="1" x14ac:dyDescent="0.35">
      <c r="A145" s="2">
        <v>10</v>
      </c>
      <c r="C145" s="38" t="s">
        <v>149</v>
      </c>
      <c r="D145" s="43">
        <f>TRUNC(2786,-1)</f>
        <v>2780</v>
      </c>
      <c r="E145" s="64">
        <f t="shared" si="5"/>
        <v>9190</v>
      </c>
    </row>
    <row r="146" spans="1:7" x14ac:dyDescent="0.3">
      <c r="A146" s="2">
        <v>11</v>
      </c>
      <c r="C146" s="27" t="s">
        <v>112</v>
      </c>
      <c r="D146" s="39">
        <f>SUM(D136:D145)</f>
        <v>46940</v>
      </c>
      <c r="E146" s="39">
        <f>SUM(E136:E145)</f>
        <v>155140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TRUNC(7247+1196,-1)</f>
        <v>8440</v>
      </c>
      <c r="E149" s="62">
        <f>TRUNC(+D149*3.3058,-1)</f>
        <v>27900</v>
      </c>
    </row>
    <row r="150" spans="1:7" x14ac:dyDescent="0.3">
      <c r="A150" s="2">
        <v>2</v>
      </c>
      <c r="C150" s="38" t="s">
        <v>49</v>
      </c>
      <c r="D150" s="42">
        <f>TRUNC(3459,-1)</f>
        <v>3450</v>
      </c>
      <c r="E150" s="63">
        <f>TRUNC(+D150*3.3058,-1)</f>
        <v>11400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TRUNC(418+744,-1)</f>
        <v>1160</v>
      </c>
      <c r="E152" s="63">
        <f>TRUNC(+D152*3.3058,-1)</f>
        <v>3830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TRUNC(34134,-1)</f>
        <v>34130</v>
      </c>
      <c r="E153" s="64">
        <f>TRUNC(+D153*3.3058,-1)</f>
        <v>112820</v>
      </c>
    </row>
    <row r="154" spans="1:7" x14ac:dyDescent="0.3">
      <c r="A154" s="2">
        <v>6</v>
      </c>
      <c r="C154" s="27" t="s">
        <v>112</v>
      </c>
      <c r="D154" s="39">
        <f>SUM(D149:D153)</f>
        <v>47180</v>
      </c>
      <c r="E154" s="39">
        <f>SUM(E149:E153)</f>
        <v>155950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TRUNC(25955,-1)</f>
        <v>25950</v>
      </c>
      <c r="E157" s="62">
        <f>TRUNC(+D157*3.3058,-1)</f>
        <v>85780</v>
      </c>
    </row>
    <row r="158" spans="1:7" x14ac:dyDescent="0.3">
      <c r="A158" s="2">
        <v>2</v>
      </c>
      <c r="C158" s="38" t="s">
        <v>52</v>
      </c>
      <c r="D158" s="42">
        <f>TRUNC(16511,-1)</f>
        <v>16510</v>
      </c>
      <c r="E158" s="63">
        <f>TRUNC(+D158*3.3058,-1)</f>
        <v>54570</v>
      </c>
    </row>
    <row r="159" spans="1:7" x14ac:dyDescent="0.3">
      <c r="A159" s="2">
        <v>3</v>
      </c>
      <c r="C159" s="38" t="s">
        <v>47</v>
      </c>
      <c r="D159" s="42">
        <f>TRUNC(7091+153,-1)</f>
        <v>7240</v>
      </c>
      <c r="E159" s="63">
        <f>TRUNC(+D159*3.3058,-1)</f>
        <v>23930</v>
      </c>
      <c r="F159" s="2" t="s">
        <v>257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49700</v>
      </c>
      <c r="E161" s="39">
        <f>SUM(E157:E160)</f>
        <v>164280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2020-12-08T01:19:11Z</dcterms:modified>
</cp:coreProperties>
</file>