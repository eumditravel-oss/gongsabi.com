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7" i="4"/>
  <c r="D153" i="4"/>
  <c r="D152" i="4"/>
  <c r="D149" i="4"/>
  <c r="D144" i="4"/>
  <c r="D143" i="4"/>
  <c r="D141" i="4"/>
  <c r="D137" i="4"/>
  <c r="D132" i="4"/>
  <c r="D131" i="4"/>
  <c r="D130" i="4"/>
  <c r="D127" i="4"/>
  <c r="D125" i="4"/>
  <c r="D124" i="4"/>
  <c r="D122" i="4"/>
  <c r="D118" i="4"/>
  <c r="D117" i="4"/>
  <c r="D116" i="4"/>
  <c r="D114" i="4"/>
  <c r="D103" i="4"/>
  <c r="D102" i="4"/>
  <c r="D101" i="4"/>
  <c r="D100" i="4"/>
  <c r="D99" i="4"/>
  <c r="D98" i="4"/>
  <c r="D94" i="4"/>
  <c r="D93" i="4"/>
  <c r="D91" i="4"/>
  <c r="D89" i="4"/>
  <c r="D71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<sst xmlns="http://schemas.openxmlformats.org/spreadsheetml/2006/main" count="393" uniqueCount="267">
  <si>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</si>
  <si>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</si>
  <si>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</si>
  <si>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</si>
  <si>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</si>
  <si>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</si>
  <si>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</si>
  <si>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</si>
  <si>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</si>
  <si>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</si>
  <si>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</si>
  <si>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</si>
  <si>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</si>
  <si>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</si>
  <si>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</si>
  <si>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</si>
  <si>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</si>
  <si>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</si>
  <si>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</si>
  <si>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</si>
  <si>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</si>
  <si>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</si>
  <si>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</si>
  <si>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</si>
  <si>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</si>
  <si>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</si>
  <si>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</si>
  <si>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</si>
  <si>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</si>
  <si>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</si>
  <si>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</si>
  <si>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</si>
  <si>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</si>
  <si>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</si>
  <si>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</si>
  <si>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</si>
  <si>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</si>
  <si>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</si>
  <si>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</si>
  <si>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</si>
  <si>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</si>
  <si>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</si>
  <si>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</si>
  <si>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</si>
  <si>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</si>
  <si>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</si>
  <si>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</si>
  <si>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</si>
  <si>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</si>
  <si>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</si>
  <si>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</si>
  <si>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</si>
  <si>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</si>
  <si>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</si>
  <si>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</si>
  <si>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</si>
  <si>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</si>
  <si>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</si>
  <si>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</si>
  <si>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</si>
  <si>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</si>
  <si>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</si>
  <si>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</si>
  <si>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</si>
  <si>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</si>
  <si>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</si>
  <si>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</si>
  <si>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</si>
  <si>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</si>
  <si>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</si>
  <si>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</si>
  <si>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</si>
  <si>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</si>
  <si>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</si>
  <si>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</si>
  <si>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</si>
  <si>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</si>
  <si>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</si>
  <si>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</si>
  <si>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</si>
  <si>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</si>
  <si>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</si>
  <si>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</si>
  <si>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</si>
  <si>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</si>
  <si>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</si>
  <si>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</si>
  <si>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</si>
  <si>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</si>
  <si>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</si>
  <si>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</si>
  <si>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</si>
  <si>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</si>
  <si>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</si>
  <si>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</si>
  <si>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</si>
  <si>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</si>
  <si>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</si>
  <si>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</si>
  <si>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</si>
  <si>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</si>
  <si>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</si>
  <si>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</si>
  <si>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</si>
  <si>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</si>
  <si>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</si>
  <si>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</si>
  <si>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</si>
  <si>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</si>
  <si>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</si>
  <si>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</si>
  <si>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</si>
  <si>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</si>
  <si>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</si>
  <si>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</si>
  <si>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</si>
  <si>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</si>
  <si>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</si>
  <si>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</si>
  <si>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</si>
  <si>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</si>
  <si>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</si>
  <si>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</si>
  <si>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</si>
  <si>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</si>
  <si>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</si>
  <si>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</si>
  <si>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</si>
  <si>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</si>
  <si>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</si>
  <si>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</si>
  <si>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</si>
  <si>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</si>
  <si>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</si>
  <si>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</si>
  <si>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</si>
  <si>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</si>
  <si>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</si>
  <si>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</si>
  <si>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</si>
  <si>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</si>
  <si>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</si>
  <si>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</si>
  <si>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</si>
  <si>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</si>
  <si>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</si>
  <si>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</si>
  <si>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</si>
  <si>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</si>
  <si>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</si>
  <si>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</si>
  <si>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</si>
  <si>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</si>
  <si>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</si>
  <si>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</si>
  <si>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</si>
  <si>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</si>
  <si>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</si>
  <si>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</si>
  <si>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</si>
  <si>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</si>
  <si>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</si>
  <si>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</si>
  <si>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</si>
  <si>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</si>
  <si>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</si>
  <si>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</si>
  <si>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</si>
  <si>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</si>
  <si>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</si>
  <si>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</si>
  <si>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</si>
  <si>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</si>
  <si>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</si>
  <si>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</si>
  <si>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</si>
  <si>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</si>
  <si>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</si>
  <si>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</si>
  <si>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</si>
  <si>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</si>
  <si>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</si>
  <si>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</si>
  <si>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</si>
  <si>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</si>
  <si>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</si>
  <si>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</si>
  <si>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</si>
  <si>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</si>
  <si>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</si>
  <si>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</si>
  <si>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</si>
  <si>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</si>
  <si>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</si>
  <si>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</si>
  <si>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</si>
  <si>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</si>
  <si>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</si>
  <si>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</si>
  <si>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</si>
  <si>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</si>
  <si>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</si>
  <si>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</si>
  <si>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</si>
  <si>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</si>
  <si>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</si>
  <si>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</si>
  <si>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</si>
  <si>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</si>
  <si>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</si>
  <si>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</si>
  <si>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</si>
  <si>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</si>
  <si>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</si>
  <si>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</si>
  <si>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</si>
  <si>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</si>
  <si>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</si>
  <si>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</si>
  <si>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</si>
  <si>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</si>
  <si>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</si>
  <si>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</si>
  <si>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</si>
  <si>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</si>
  <si>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</si>
  <si>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</si>
  <si>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</si>
  <si>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</si>
  <si>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</si>
  <si>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</si>
  <si>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</si>
  <si>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</si>
  <si>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</si>
  <si>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</si>
  <si>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</si>
  <si>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</si>
  <si>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</si>
  <si>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</si>
  <si>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</si>
  <si>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</si>
  <si>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</si>
  <si>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</si>
  <si>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</si>
  <si>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</si>
  <si>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</si>
  <si>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</si>
  <si>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</si>
  <si>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</si>
  <si>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</si>
  <si>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</si>
  <si>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</si>
  <si>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</si>
  <si>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</si>
  <si>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</si>
  <si>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</si>
  <si>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</si>
  <si>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포장공사, 기타공사</t>
    <phoneticPr fontId="2" type="noConversion"/>
  </si>
  <si>
    <t>교육연구정보센터 건립공사</t>
    <phoneticPr fontId="2" type="noConversion"/>
  </si>
  <si>
    <t>충청도</t>
  </si>
  <si>
    <t>기초공사, 해체및철거공사, 골재비및운반비, 작업부산물, 기타공사</t>
    <phoneticPr fontId="2" type="noConversion"/>
  </si>
  <si>
    <t>공조배관공사, 기타공사</t>
    <phoneticPr fontId="2" type="noConversion"/>
  </si>
  <si>
    <t>옥외소화배관공사, 펌프실배관공사, 기타공사</t>
    <phoneticPr fontId="2" type="noConversion"/>
  </si>
  <si>
    <t>사급자재비,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</si>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</sst>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11953.82</v>
      </c>
      <c r="D7" s="36">
        <f>+C7/3.3058</f>
        <v>3616.0142779357493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582770</v>
      </c>
      <c r="E25" s="59">
        <f t="shared" si="0"/>
        <v>1926520</v>
      </c>
    </row>
    <row r="26" spans="1:5" x14ac:dyDescent="0.3">
      <c r="B26" s="2">
        <v>3</v>
      </c>
      <c r="C26" s="35" t="s">
        <v>95</v>
      </c>
      <c r="D26" s="45">
        <f>+D66</f>
        <v>2830</v>
      </c>
      <c r="E26" s="59">
        <f t="shared" si="0"/>
        <v>9350</v>
      </c>
    </row>
    <row r="27" spans="1:5" x14ac:dyDescent="0.3">
      <c r="B27" s="2">
        <v>4</v>
      </c>
      <c r="C27" s="35" t="s">
        <v>96</v>
      </c>
      <c r="D27" s="45">
        <f>+D95</f>
        <v>282300</v>
      </c>
      <c r="E27" s="59">
        <f t="shared" si="0"/>
        <v>933220</v>
      </c>
    </row>
    <row r="28" spans="1:5" x14ac:dyDescent="0.3">
      <c r="B28" s="2">
        <v>5</v>
      </c>
      <c r="C28" s="35" t="s">
        <v>97</v>
      </c>
      <c r="D28" s="45">
        <f>+D119</f>
        <v>132860</v>
      </c>
      <c r="E28" s="59">
        <f t="shared" si="0"/>
        <v>439200</v>
      </c>
    </row>
    <row r="29" spans="1:5" x14ac:dyDescent="0.3">
      <c r="B29" s="2">
        <v>6</v>
      </c>
      <c r="C29" s="35" t="s">
        <v>98</v>
      </c>
      <c r="D29" s="45">
        <f>+D133</f>
        <v>65970</v>
      </c>
      <c r="E29" s="59">
        <f t="shared" si="0"/>
        <v>218080</v>
      </c>
    </row>
    <row r="30" spans="1:5" x14ac:dyDescent="0.3">
      <c r="B30" s="2">
        <v>7</v>
      </c>
      <c r="C30" s="35" t="s">
        <v>99</v>
      </c>
      <c r="D30" s="45">
        <f>+D146</f>
        <v>55670</v>
      </c>
      <c r="E30" s="59">
        <f t="shared" si="0"/>
        <v>184030</v>
      </c>
    </row>
    <row r="31" spans="1:5" x14ac:dyDescent="0.3">
      <c r="B31" s="2">
        <v>8</v>
      </c>
      <c r="C31" s="35" t="s">
        <v>100</v>
      </c>
      <c r="D31" s="45">
        <f>+D154</f>
        <v>42170</v>
      </c>
      <c r="E31" s="59">
        <f t="shared" si="0"/>
        <v>139400</v>
      </c>
    </row>
    <row r="32" spans="1:5" x14ac:dyDescent="0.3">
      <c r="B32" s="2">
        <v>9</v>
      </c>
      <c r="C32" s="35" t="s">
        <v>101</v>
      </c>
      <c r="D32" s="45">
        <f>+D161</f>
        <v>44440</v>
      </c>
      <c r="E32" s="59">
        <f t="shared" si="0"/>
        <v>146900</v>
      </c>
    </row>
    <row r="33" spans="1:7" x14ac:dyDescent="0.3">
      <c r="B33" s="2">
        <v>10</v>
      </c>
      <c r="C33" s="35" t="s">
        <v>155</v>
      </c>
      <c r="D33" s="53">
        <f>TRUNC(SUM(D24:D32)*0.275,-1)</f>
        <v>332470</v>
      </c>
      <c r="E33" s="60">
        <f t="shared" si="0"/>
        <v>1099070</v>
      </c>
    </row>
    <row r="34" spans="1:7" x14ac:dyDescent="0.3">
      <c r="C34" s="35" t="s">
        <v>112</v>
      </c>
      <c r="D34" s="44">
        <f>SUM(D24:D33)</f>
        <v>1541480</v>
      </c>
      <c r="E34" s="44">
        <f>SUM(E24:E33)</f>
        <v>5095770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TRUNC(28422,-1)</f>
        <v>28420</v>
      </c>
      <c r="E40" s="62">
        <f t="shared" ref="E40:E59" si="1">TRUNC(+D40*3.3058,-1)</f>
        <v>93950</v>
      </c>
    </row>
    <row r="41" spans="1:7" x14ac:dyDescent="0.3">
      <c r="A41" s="2">
        <v>2</v>
      </c>
      <c r="C41" s="38" t="s">
        <v>13</v>
      </c>
      <c r="D41" s="42">
        <f>TRUNC(92926,-1)</f>
        <v>92920</v>
      </c>
      <c r="E41" s="63">
        <f t="shared" si="1"/>
        <v>307170</v>
      </c>
    </row>
    <row r="42" spans="1:7" x14ac:dyDescent="0.3">
      <c r="A42" s="2">
        <v>3</v>
      </c>
      <c r="C42" s="38" t="s">
        <v>14</v>
      </c>
      <c r="D42" s="42">
        <f>TRUNC(5466,-1)</f>
        <v>5460</v>
      </c>
      <c r="E42" s="63">
        <f t="shared" si="1"/>
        <v>18040</v>
      </c>
    </row>
    <row r="43" spans="1:7" x14ac:dyDescent="0.3">
      <c r="A43" s="2">
        <v>4</v>
      </c>
      <c r="C43" s="38" t="s">
        <v>16</v>
      </c>
      <c r="D43" s="42">
        <f>TRUNC(6959,-1)</f>
        <v>6950</v>
      </c>
      <c r="E43" s="63">
        <f t="shared" si="1"/>
        <v>22970</v>
      </c>
    </row>
    <row r="44" spans="1:7" x14ac:dyDescent="0.3">
      <c r="A44" s="2">
        <v>5</v>
      </c>
      <c r="C44" s="38" t="s">
        <v>17</v>
      </c>
      <c r="D44" s="42">
        <f>TRUNC(21338,-1)</f>
        <v>21330</v>
      </c>
      <c r="E44" s="63">
        <f t="shared" si="1"/>
        <v>70510</v>
      </c>
    </row>
    <row r="45" spans="1:7" x14ac:dyDescent="0.3">
      <c r="A45" s="2">
        <v>6</v>
      </c>
      <c r="C45" s="38" t="s">
        <v>18</v>
      </c>
      <c r="D45" s="42">
        <f>TRUNC(3594,-1)</f>
        <v>3590</v>
      </c>
      <c r="E45" s="63">
        <f t="shared" si="1"/>
        <v>11860</v>
      </c>
    </row>
    <row r="46" spans="1:7" x14ac:dyDescent="0.3">
      <c r="A46" s="2">
        <v>7</v>
      </c>
      <c r="C46" s="38" t="s">
        <v>19</v>
      </c>
      <c r="D46" s="42">
        <f>TRUNC(43951,-1)</f>
        <v>43950</v>
      </c>
      <c r="E46" s="63">
        <f t="shared" si="1"/>
        <v>145280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TRUNC(56161,-1)</f>
        <v>56160</v>
      </c>
      <c r="E48" s="63">
        <f t="shared" si="1"/>
        <v>185650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TRUNC(12477,-1)</f>
        <v>12470</v>
      </c>
      <c r="E49" s="63">
        <f t="shared" si="1"/>
        <v>41220</v>
      </c>
    </row>
    <row r="50" spans="1:7" x14ac:dyDescent="0.3">
      <c r="A50" s="2">
        <v>11</v>
      </c>
      <c r="C50" s="38" t="s">
        <v>156</v>
      </c>
      <c r="D50" s="42">
        <f>TRUNC(39297,-1)</f>
        <v>39290</v>
      </c>
      <c r="E50" s="63">
        <f t="shared" si="1"/>
        <v>129880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TRUNC(30096,-1)</f>
        <v>30090</v>
      </c>
      <c r="E52" s="63">
        <f t="shared" si="1"/>
        <v>99470</v>
      </c>
    </row>
    <row r="53" spans="1:7" x14ac:dyDescent="0.3">
      <c r="A53" s="2">
        <v>14</v>
      </c>
      <c r="C53" s="38" t="s">
        <v>25</v>
      </c>
      <c r="D53" s="42">
        <f>TRUNC(53119,-1)</f>
        <v>53110</v>
      </c>
      <c r="E53" s="63">
        <f t="shared" si="1"/>
        <v>175570</v>
      </c>
      <c r="F53" s="2" t="s">
        <v>252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TRUNC(30205+1355+7432-231+25038,-1)</f>
        <v>63790</v>
      </c>
      <c r="E58" s="63">
        <f t="shared" si="1"/>
        <v>210870</v>
      </c>
      <c r="F58" s="2" t="s">
        <v>260</v>
      </c>
    </row>
    <row r="59" spans="1:7" ht="17.25" thickBot="1" x14ac:dyDescent="0.35">
      <c r="A59" s="2">
        <v>20</v>
      </c>
      <c r="C59" s="38" t="s">
        <v>149</v>
      </c>
      <c r="D59" s="43">
        <f>TRUNC(125245,-1)</f>
        <v>125240</v>
      </c>
      <c r="E59" s="64">
        <f t="shared" si="1"/>
        <v>414010</v>
      </c>
    </row>
    <row r="60" spans="1:7" x14ac:dyDescent="0.3">
      <c r="A60" s="2">
        <v>21</v>
      </c>
      <c r="C60" s="27" t="s">
        <v>112</v>
      </c>
      <c r="D60" s="39">
        <f>SUM(D40:D59)</f>
        <v>582770</v>
      </c>
      <c r="E60" s="39">
        <f>SUM(E40:E59)</f>
        <v>1926450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TRUNC(2837,-1)</f>
        <v>2830</v>
      </c>
      <c r="E63" s="62">
        <f>TRUNC(+D63*3.3058,-1)</f>
        <v>9350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2830</v>
      </c>
      <c r="E66" s="65">
        <f>SUM(E63:E65)</f>
        <v>9350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TRUNC(10392,-1)</f>
        <v>10390</v>
      </c>
      <c r="E69" s="62">
        <f t="shared" ref="E69:E94" si="2">TRUNC(+D69*3.3058,-1)</f>
        <v>34340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TRUNC(3601,-1)</f>
        <v>3600</v>
      </c>
      <c r="E71" s="63">
        <f t="shared" si="2"/>
        <v>11900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6080</v>
      </c>
      <c r="E73" s="63">
        <f t="shared" si="2"/>
        <v>20090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TRUNC(7895,-1)</f>
        <v>7890</v>
      </c>
      <c r="E89" s="63">
        <f t="shared" si="2"/>
        <v>26080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TRUNC(21682,-1)</f>
        <v>21680</v>
      </c>
      <c r="E91" s="63">
        <f t="shared" si="2"/>
        <v>71660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149</v>
      </c>
      <c r="D93" s="42">
        <f>TRUNC(193711,-1)</f>
        <v>193710</v>
      </c>
      <c r="E93" s="63">
        <f t="shared" si="2"/>
        <v>640360</v>
      </c>
    </row>
    <row r="94" spans="1:7" ht="17.25" thickBot="1" x14ac:dyDescent="0.35">
      <c r="A94" s="2">
        <v>26</v>
      </c>
      <c r="C94" s="38" t="s">
        <v>47</v>
      </c>
      <c r="D94" s="43">
        <f>TRUNC(35958+2998,-1)</f>
        <v>38950</v>
      </c>
      <c r="E94" s="64">
        <f t="shared" si="2"/>
        <v>128760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282300</v>
      </c>
      <c r="E95" s="39">
        <f>SUM(E69:E94)</f>
        <v>933190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TRUNC(9936,-1)</f>
        <v>9930</v>
      </c>
      <c r="E98" s="62">
        <f t="shared" ref="E98:E118" si="3">TRUNC(+D98*3.3058,-1)</f>
        <v>32820</v>
      </c>
    </row>
    <row r="99" spans="1:7" x14ac:dyDescent="0.3">
      <c r="A99" s="2">
        <v>2</v>
      </c>
      <c r="C99" s="38" t="s">
        <v>40</v>
      </c>
      <c r="D99" s="42">
        <f>TRUNC(5318,-1)</f>
        <v>5310</v>
      </c>
      <c r="E99" s="63">
        <f t="shared" si="3"/>
        <v>17550</v>
      </c>
    </row>
    <row r="100" spans="1:7" x14ac:dyDescent="0.3">
      <c r="A100" s="2">
        <v>3</v>
      </c>
      <c r="C100" s="38" t="s">
        <v>41</v>
      </c>
      <c r="D100" s="42">
        <f>TRUNC(26526,-1)</f>
        <v>26520</v>
      </c>
      <c r="E100" s="63">
        <f t="shared" si="3"/>
        <v>87660</v>
      </c>
    </row>
    <row r="101" spans="1:7" x14ac:dyDescent="0.3">
      <c r="A101" s="2">
        <v>4</v>
      </c>
      <c r="C101" s="38" t="s">
        <v>42</v>
      </c>
      <c r="D101" s="42">
        <f>TRUNC(1263,-1)</f>
        <v>1260</v>
      </c>
      <c r="E101" s="63">
        <f t="shared" si="3"/>
        <v>4160</v>
      </c>
    </row>
    <row r="102" spans="1:7" x14ac:dyDescent="0.3">
      <c r="A102" s="2">
        <v>5</v>
      </c>
      <c r="C102" s="38" t="s">
        <v>43</v>
      </c>
      <c r="D102" s="42">
        <f>TRUNC(7166,-1)</f>
        <v>7160</v>
      </c>
      <c r="E102" s="63">
        <f t="shared" si="3"/>
        <v>23660</v>
      </c>
    </row>
    <row r="103" spans="1:7" x14ac:dyDescent="0.3">
      <c r="A103" s="2">
        <v>6</v>
      </c>
      <c r="C103" s="38" t="s">
        <v>44</v>
      </c>
      <c r="D103" s="42">
        <f>TRUNC(4602,-1)</f>
        <v>4600</v>
      </c>
      <c r="E103" s="63">
        <f t="shared" si="3"/>
        <v>15200</v>
      </c>
    </row>
    <row r="104" spans="1:7" x14ac:dyDescent="0.3">
      <c r="A104" s="2">
        <v>7</v>
      </c>
      <c r="C104" s="38" t="s">
        <v>45</v>
      </c>
      <c r="D104" s="42">
        <v>3330</v>
      </c>
      <c r="E104" s="63">
        <f t="shared" si="3"/>
        <v>11000</v>
      </c>
    </row>
    <row r="105" spans="1:7" x14ac:dyDescent="0.3">
      <c r="A105" s="2">
        <v>8</v>
      </c>
      <c r="C105" s="38" t="s">
        <v>46</v>
      </c>
      <c r="D105" s="42">
        <v>3190</v>
      </c>
      <c r="E105" s="63">
        <f t="shared" si="3"/>
        <v>10540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TRUNC(2863,-1)</f>
        <v>2860</v>
      </c>
      <c r="E114" s="63">
        <f t="shared" si="3"/>
        <v>9450</v>
      </c>
      <c r="F114" s="2" t="s">
        <v>253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TRUNC(5318,-1)</f>
        <v>5310</v>
      </c>
      <c r="E116" s="63">
        <f t="shared" si="3"/>
        <v>17550</v>
      </c>
      <c r="F116" s="2" t="s">
        <v>254</v>
      </c>
    </row>
    <row r="117" spans="1:7" x14ac:dyDescent="0.3">
      <c r="A117" s="2">
        <v>20</v>
      </c>
      <c r="C117" s="38" t="s">
        <v>149</v>
      </c>
      <c r="D117" s="42">
        <f>TRUNC(57555,-1)</f>
        <v>57550</v>
      </c>
      <c r="E117" s="63">
        <f t="shared" si="3"/>
        <v>190240</v>
      </c>
    </row>
    <row r="118" spans="1:7" ht="17.25" thickBot="1" x14ac:dyDescent="0.35">
      <c r="A118" s="2">
        <v>21</v>
      </c>
      <c r="C118" s="38" t="s">
        <v>47</v>
      </c>
      <c r="D118" s="43">
        <f>TRUNC(5841,-1)</f>
        <v>5840</v>
      </c>
      <c r="E118" s="64">
        <f t="shared" si="3"/>
        <v>19300</v>
      </c>
    </row>
    <row r="119" spans="1:7" x14ac:dyDescent="0.3">
      <c r="A119" s="2">
        <v>22</v>
      </c>
      <c r="C119" s="27" t="s">
        <v>112</v>
      </c>
      <c r="D119" s="39">
        <f>SUM(D98:D118)</f>
        <v>132860</v>
      </c>
      <c r="E119" s="39">
        <f>SUM(E98:E118)</f>
        <v>439130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TRUNC(2137,-1)</f>
        <v>2130</v>
      </c>
      <c r="E122" s="62">
        <f t="shared" ref="E122:E132" si="4">TRUNC(+D122*3.3058,-1)</f>
        <v>7040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TRUNC(1068,-1)</f>
        <v>1060</v>
      </c>
      <c r="E124" s="63">
        <f t="shared" si="4"/>
        <v>3500</v>
      </c>
    </row>
    <row r="125" spans="1:7" x14ac:dyDescent="0.3">
      <c r="A125" s="2">
        <v>4</v>
      </c>
      <c r="C125" s="38" t="s">
        <v>138</v>
      </c>
      <c r="D125" s="42">
        <f>TRUNC(5826,-1)</f>
        <v>5820</v>
      </c>
      <c r="E125" s="63">
        <f t="shared" si="4"/>
        <v>19230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TRUNC(743,-1)</f>
        <v>740</v>
      </c>
      <c r="E127" s="63">
        <f t="shared" si="4"/>
        <v>2440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TRUNC(18498,-1)</f>
        <v>18490</v>
      </c>
      <c r="E130" s="63">
        <f t="shared" si="4"/>
        <v>61120</v>
      </c>
    </row>
    <row r="131" spans="1:7" x14ac:dyDescent="0.3">
      <c r="A131" s="2">
        <v>10</v>
      </c>
      <c r="C131" s="38" t="s">
        <v>149</v>
      </c>
      <c r="D131" s="42">
        <f>TRUNC(33025,-1)</f>
        <v>33020</v>
      </c>
      <c r="E131" s="63">
        <f t="shared" si="4"/>
        <v>109150</v>
      </c>
    </row>
    <row r="132" spans="1:7" ht="18" thickBot="1" x14ac:dyDescent="0.35">
      <c r="A132" s="2">
        <v>11</v>
      </c>
      <c r="C132" s="38" t="s">
        <v>47</v>
      </c>
      <c r="D132" s="43">
        <f>TRUNC(2505+2214,-1)</f>
        <v>4710</v>
      </c>
      <c r="E132" s="64">
        <f t="shared" si="4"/>
        <v>15570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65970</v>
      </c>
      <c r="E133" s="39">
        <f>SUM(E122:E132)</f>
        <v>218050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TRUNC(467+1960+18046,-1)</f>
        <v>20470</v>
      </c>
      <c r="E137" s="63">
        <f t="shared" si="5"/>
        <v>67660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2280</v>
      </c>
      <c r="E140" s="63">
        <f t="shared" si="5"/>
        <v>7530</v>
      </c>
    </row>
    <row r="141" spans="1:7" x14ac:dyDescent="0.3">
      <c r="A141" s="2">
        <v>6</v>
      </c>
      <c r="C141" s="38" t="s">
        <v>59</v>
      </c>
      <c r="D141" s="42">
        <f>TRUNC(19371,-1)</f>
        <v>19370</v>
      </c>
      <c r="E141" s="63">
        <f t="shared" si="5"/>
        <v>64030</v>
      </c>
    </row>
    <row r="142" spans="1:7" x14ac:dyDescent="0.3">
      <c r="A142" s="2">
        <v>7</v>
      </c>
      <c r="C142" s="38" t="s">
        <v>58</v>
      </c>
      <c r="D142" s="42">
        <v>5370</v>
      </c>
      <c r="E142" s="63">
        <f t="shared" si="5"/>
        <v>17750</v>
      </c>
    </row>
    <row r="143" spans="1:7" x14ac:dyDescent="0.3">
      <c r="A143" s="2">
        <v>8</v>
      </c>
      <c r="C143" s="38" t="s">
        <v>62</v>
      </c>
      <c r="D143" s="42">
        <f>TRUNC(1653,-1)</f>
        <v>1650</v>
      </c>
      <c r="E143" s="63">
        <f t="shared" si="5"/>
        <v>5450</v>
      </c>
    </row>
    <row r="144" spans="1:7" x14ac:dyDescent="0.3">
      <c r="A144" s="2">
        <v>9</v>
      </c>
      <c r="C144" s="38" t="s">
        <v>63</v>
      </c>
      <c r="D144" s="42">
        <f>TRUNC(6538,-1)</f>
        <v>6530</v>
      </c>
      <c r="E144" s="63">
        <f t="shared" si="5"/>
        <v>21580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55670</v>
      </c>
      <c r="E146" s="39">
        <f>SUM(E136:E145)</f>
        <v>184000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TRUNC(1887,-1)</f>
        <v>1880</v>
      </c>
      <c r="E149" s="62">
        <f>TRUNC(+D149*3.3058,-1)</f>
        <v>6210</v>
      </c>
    </row>
    <row r="150" spans="1:7" x14ac:dyDescent="0.3">
      <c r="A150" s="2">
        <v>2</v>
      </c>
      <c r="C150" s="38" t="s">
        <v>49</v>
      </c>
      <c r="D150" s="42">
        <v>2040</v>
      </c>
      <c r="E150" s="63">
        <f>TRUNC(+D150*3.3058,-1)</f>
        <v>6740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TRUNC(6316+173,-1)</f>
        <v>6480</v>
      </c>
      <c r="E152" s="63">
        <f>TRUNC(+D152*3.3058,-1)</f>
        <v>21420</v>
      </c>
      <c r="F152" s="2" t="s">
        <v>263</v>
      </c>
    </row>
    <row r="153" spans="1:7" ht="17.25" thickBot="1" x14ac:dyDescent="0.35">
      <c r="A153" s="2">
        <v>5</v>
      </c>
      <c r="C153" s="38" t="s">
        <v>149</v>
      </c>
      <c r="D153" s="43">
        <f>TRUNC(31772,-1)</f>
        <v>31770</v>
      </c>
      <c r="E153" s="64">
        <f>TRUNC(+D153*3.3058,-1)</f>
        <v>105020</v>
      </c>
    </row>
    <row r="154" spans="1:7" x14ac:dyDescent="0.3">
      <c r="A154" s="2">
        <v>6</v>
      </c>
      <c r="C154" s="27" t="s">
        <v>112</v>
      </c>
      <c r="D154" s="39">
        <f>SUM(D149:D153)</f>
        <v>42170</v>
      </c>
      <c r="E154" s="39">
        <f>SUM(E149:E153)</f>
        <v>139390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TRUNC(19606,-1)</f>
        <v>19600</v>
      </c>
      <c r="E157" s="62">
        <f>TRUNC(+D157*3.3058,-1)</f>
        <v>64790</v>
      </c>
    </row>
    <row r="158" spans="1:7" x14ac:dyDescent="0.3">
      <c r="A158" s="2">
        <v>2</v>
      </c>
      <c r="C158" s="38" t="s">
        <v>52</v>
      </c>
      <c r="D158" s="42">
        <v>5330</v>
      </c>
      <c r="E158" s="63">
        <f>TRUNC(+D158*3.3058,-1)</f>
        <v>17610</v>
      </c>
    </row>
    <row r="159" spans="1:7" x14ac:dyDescent="0.3">
      <c r="A159" s="2">
        <v>3</v>
      </c>
      <c r="C159" s="38" t="s">
        <v>47</v>
      </c>
      <c r="D159" s="42">
        <f>TRUNC(19110+409,-1)</f>
        <v>19510</v>
      </c>
      <c r="E159" s="63">
        <f>TRUNC(+D159*3.3058,-1)</f>
        <v>64490</v>
      </c>
      <c r="F159" s="2" t="s">
        <v>257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44440</v>
      </c>
      <c r="E161" s="39">
        <f>SUM(E157:E160)</f>
        <v>146890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2020-12-08T01:23:13Z</dcterms:modified>
</cp:coreProperties>
</file>