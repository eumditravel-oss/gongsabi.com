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37" i="4"/>
  <c r="D144" i="4"/>
  <c r="D143" i="4"/>
  <c r="D139" i="4"/>
  <c r="D141" i="4"/>
  <c r="D142" i="4"/>
  <c r="D140" i="4"/>
  <c r="D132" i="4"/>
  <c r="D127" i="4"/>
  <c r="D124" i="4"/>
  <c r="D125" i="4"/>
  <c r="D122" i="4"/>
  <c r="D130" i="4"/>
  <c r="D126" i="4"/>
  <c r="D118" i="4"/>
  <c r="D104" i="4"/>
  <c r="D103" i="4"/>
  <c r="D102" i="4"/>
  <c r="D101" i="4"/>
  <c r="D100" i="4"/>
  <c r="D99" i="4"/>
  <c r="D98" i="4"/>
  <c r="D114" i="4"/>
  <c r="D116" i="4"/>
  <c r="D76" i="4"/>
  <c r="D92" i="4"/>
  <c r="D89" i="4"/>
  <c r="D73" i="4"/>
  <c r="D72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95" i="4"/>
  <c r="E60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<sst xmlns="http://schemas.openxmlformats.org/spreadsheetml/2006/main" count="395" uniqueCount="270">
  <si>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</si>
  <si>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</si>
  <si>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</si>
  <si>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</si>
  <si>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</si>
  <si>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</si>
  <si>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</si>
  <si>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</si>
  <si>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</si>
  <si>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</si>
  <si>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</si>
  <si>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</si>
  <si>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</si>
  <si>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</si>
  <si>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</si>
  <si>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</si>
  <si>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</si>
  <si>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</si>
  <si>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</si>
  <si>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</si>
  <si>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</si>
  <si>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</si>
  <si>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</si>
  <si>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</si>
  <si>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</si>
  <si>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</si>
  <si>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</si>
  <si>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</si>
  <si>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</si>
  <si>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</si>
  <si>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</si>
  <si>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</si>
  <si>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</si>
  <si>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</si>
  <si>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</si>
  <si>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</si>
  <si>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</si>
  <si>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</si>
  <si>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</si>
  <si>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</si>
  <si>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</si>
  <si>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</si>
  <si>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</si>
  <si>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</si>
  <si>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</si>
  <si>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</si>
  <si>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</si>
  <si>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</si>
  <si>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</si>
  <si>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</si>
  <si>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</si>
  <si>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</si>
  <si>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</si>
  <si>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</si>
  <si>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</si>
  <si>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</si>
  <si>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</si>
  <si>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</si>
  <si>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</si>
  <si>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</si>
  <si>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</si>
  <si>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</si>
  <si>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</si>
  <si>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</si>
  <si>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</si>
  <si>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</si>
  <si>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</si>
  <si>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</si>
  <si>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</si>
  <si>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</si>
  <si>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</si>
  <si>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</si>
  <si>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</si>
  <si>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</si>
  <si>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</si>
  <si>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</si>
  <si>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</si>
  <si>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</si>
  <si>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</si>
  <si>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</si>
  <si>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</si>
  <si>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</si>
  <si>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</si>
  <si>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</si>
  <si>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</si>
  <si>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</si>
  <si>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</si>
  <si>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</si>
  <si>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</si>
  <si>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</si>
  <si>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</si>
  <si>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</si>
  <si>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</si>
  <si>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</si>
  <si>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</si>
  <si>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</si>
  <si>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</si>
  <si>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</si>
  <si>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</si>
  <si>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</si>
  <si>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</si>
  <si>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</si>
  <si>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</si>
  <si>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</si>
  <si>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</si>
  <si>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</si>
  <si>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</si>
  <si>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</si>
  <si>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</si>
  <si>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</si>
  <si>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</si>
  <si>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</si>
  <si>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</si>
  <si>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</si>
  <si>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</si>
  <si>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</si>
  <si>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</si>
  <si>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</si>
  <si>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</si>
  <si>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</si>
  <si>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</si>
  <si>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</si>
  <si>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</si>
  <si>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</si>
  <si>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</si>
  <si>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</si>
  <si>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</si>
  <si>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</si>
  <si>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</si>
  <si>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</si>
  <si>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</si>
  <si>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</si>
  <si>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</si>
  <si>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</si>
  <si>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</si>
  <si>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</si>
  <si>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</si>
  <si>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</si>
  <si>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</si>
  <si>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</si>
  <si>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</si>
  <si>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</si>
  <si>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</si>
  <si>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</si>
  <si>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</si>
  <si>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</si>
  <si>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</si>
  <si>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</si>
  <si>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</si>
  <si>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</si>
  <si>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</si>
  <si>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</si>
  <si>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</si>
  <si>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</si>
  <si>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</si>
  <si>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</si>
  <si>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</si>
  <si>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</si>
  <si>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</si>
  <si>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</si>
  <si>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</si>
  <si>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</si>
  <si>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</si>
  <si>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</si>
  <si>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</si>
  <si>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</si>
  <si>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</si>
  <si>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</si>
  <si>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</si>
  <si>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</si>
  <si>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</si>
  <si>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</si>
  <si>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</si>
  <si>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</si>
  <si>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</si>
  <si>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</si>
  <si>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</si>
  <si>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</si>
  <si>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</si>
  <si>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</si>
  <si>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</si>
  <si>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</si>
  <si>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</si>
  <si>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</si>
  <si>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</si>
  <si>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</si>
  <si>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</si>
  <si>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</si>
  <si>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</si>
  <si>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</si>
  <si>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</si>
  <si>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</si>
  <si>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</si>
  <si>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</si>
  <si>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</si>
  <si>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</si>
  <si>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</si>
  <si>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</si>
  <si>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</si>
  <si>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</si>
  <si>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</si>
  <si>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</si>
  <si>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</si>
  <si>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</si>
  <si>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</si>
  <si>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</si>
  <si>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</si>
  <si>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</si>
  <si>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</si>
  <si>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</si>
  <si>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</si>
  <si>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</si>
  <si>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</si>
  <si>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</si>
  <si>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</si>
  <si>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</si>
  <si>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</si>
  <si>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</si>
  <si>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</si>
  <si>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</si>
  <si>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</si>
  <si>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</si>
  <si>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</si>
  <si>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</si>
  <si>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</si>
  <si>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</si>
  <si>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</si>
  <si>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</si>
  <si>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</si>
  <si>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</si>
  <si>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</si>
  <si>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</si>
  <si>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</si>
  <si>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</si>
  <si>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</si>
  <si>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</si>
  <si>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</si>
  <si>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</si>
  <si>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</si>
  <si>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</si>
  <si>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</si>
  <si>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</si>
  <si>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</si>
  <si>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</si>
  <si>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</si>
  <si>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</si>
  <si>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</si>
  <si>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</si>
  <si>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 정산기숙형중학교 신축공사</t>
    <phoneticPr fontId="2" type="noConversion"/>
  </si>
  <si>
    <t>교육연구</t>
  </si>
  <si>
    <t>충청도</t>
  </si>
  <si>
    <t>포장공사</t>
    <phoneticPr fontId="2" type="noConversion"/>
  </si>
  <si>
    <t>조경시설물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</si>
  <si>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</si>
  <si>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</si>
  <si>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</si>
  <si>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</si>
  <si>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</si>
  <si>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</si>
  <si>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</si>
  <si>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기초공사,골재비및운반비,작업부산물,품질시험비,기타공사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</si>
  <si>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</si>
  <si>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</si>
  <si>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</si>
  <si>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공조배관공사,난방배관공사,기타공사,바닥난방공사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</si>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</sst>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12226.07</v>
      </c>
      <c r="D7" s="36">
        <f>+C7/3.3058</f>
        <v>3698.3695323371044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1137290</v>
      </c>
      <c r="E25" s="59">
        <f t="shared" si="0"/>
        <v>3759650</v>
      </c>
    </row>
    <row r="26" spans="1:5" x14ac:dyDescent="0.3">
      <c r="B26" s="2">
        <v>3</v>
      </c>
      <c r="C26" s="35" t="s">
        <v>95</v>
      </c>
      <c r="D26" s="45">
        <f>+D66</f>
        <v>75170</v>
      </c>
      <c r="E26" s="59">
        <f t="shared" si="0"/>
        <v>248490</v>
      </c>
    </row>
    <row r="27" spans="1:5" x14ac:dyDescent="0.3">
      <c r="B27" s="2">
        <v>4</v>
      </c>
      <c r="C27" s="35" t="s">
        <v>96</v>
      </c>
      <c r="D27" s="45">
        <f>+D95</f>
        <v>132720</v>
      </c>
      <c r="E27" s="59">
        <f t="shared" si="0"/>
        <v>438740</v>
      </c>
    </row>
    <row r="28" spans="1:5" x14ac:dyDescent="0.3">
      <c r="B28" s="2">
        <v>5</v>
      </c>
      <c r="C28" s="35" t="s">
        <v>97</v>
      </c>
      <c r="D28" s="45">
        <f>+D119</f>
        <v>195380</v>
      </c>
      <c r="E28" s="59">
        <f t="shared" si="0"/>
        <v>645880</v>
      </c>
    </row>
    <row r="29" spans="1:5" x14ac:dyDescent="0.3">
      <c r="B29" s="2">
        <v>6</v>
      </c>
      <c r="C29" s="35" t="s">
        <v>98</v>
      </c>
      <c r="D29" s="45">
        <f>+D133</f>
        <v>73830</v>
      </c>
      <c r="E29" s="59">
        <f t="shared" si="0"/>
        <v>244060</v>
      </c>
    </row>
    <row r="30" spans="1:5" x14ac:dyDescent="0.3">
      <c r="B30" s="2">
        <v>7</v>
      </c>
      <c r="C30" s="35" t="s">
        <v>99</v>
      </c>
      <c r="D30" s="45">
        <f>+D146</f>
        <v>51750</v>
      </c>
      <c r="E30" s="59">
        <f t="shared" si="0"/>
        <v>171070</v>
      </c>
    </row>
    <row r="31" spans="1:5" x14ac:dyDescent="0.3">
      <c r="B31" s="2">
        <v>8</v>
      </c>
      <c r="C31" s="35" t="s">
        <v>100</v>
      </c>
      <c r="D31" s="45">
        <f>+D154</f>
        <v>49870</v>
      </c>
      <c r="E31" s="59">
        <f t="shared" si="0"/>
        <v>164860</v>
      </c>
    </row>
    <row r="32" spans="1:5" x14ac:dyDescent="0.3">
      <c r="B32" s="2">
        <v>9</v>
      </c>
      <c r="C32" s="35" t="s">
        <v>101</v>
      </c>
      <c r="D32" s="45">
        <f>+D161</f>
        <v>45390</v>
      </c>
      <c r="E32" s="59">
        <f t="shared" si="0"/>
        <v>150050</v>
      </c>
    </row>
    <row r="33" spans="1:7" x14ac:dyDescent="0.3">
      <c r="B33" s="2">
        <v>10</v>
      </c>
      <c r="C33" s="35" t="s">
        <v>154</v>
      </c>
      <c r="D33" s="53">
        <f>TRUNC(SUM(D24:D32)*0.275,-1)</f>
        <v>484380</v>
      </c>
      <c r="E33" s="60">
        <f t="shared" si="0"/>
        <v>1601260</v>
      </c>
    </row>
    <row r="34" spans="1:7" x14ac:dyDescent="0.3">
      <c r="C34" s="35" t="s">
        <v>112</v>
      </c>
      <c r="D34" s="44">
        <f>SUM(D24:D33)</f>
        <v>2245780</v>
      </c>
      <c r="E34" s="44">
        <f>SUM(E24:E33)</f>
        <v>7424060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TRUNC(42716,-1)</f>
        <v>42710</v>
      </c>
      <c r="E40" s="62">
        <f t="shared" ref="E40:E59" si="1">TRUNC(+D40*3.3058,-1)</f>
        <v>141190</v>
      </c>
    </row>
    <row r="41" spans="1:7" x14ac:dyDescent="0.3">
      <c r="A41" s="2">
        <v>2</v>
      </c>
      <c r="C41" s="38" t="s">
        <v>13</v>
      </c>
      <c r="D41" s="42">
        <f>TRUNC(165376,-1)</f>
        <v>165370</v>
      </c>
      <c r="E41" s="63">
        <f t="shared" si="1"/>
        <v>546680</v>
      </c>
    </row>
    <row r="42" spans="1:7" x14ac:dyDescent="0.3">
      <c r="A42" s="2">
        <v>3</v>
      </c>
      <c r="C42" s="38" t="s">
        <v>14</v>
      </c>
      <c r="D42" s="42">
        <f>TRUNC(30281,-1)</f>
        <v>30280</v>
      </c>
      <c r="E42" s="63">
        <f t="shared" si="1"/>
        <v>100090</v>
      </c>
    </row>
    <row r="43" spans="1:7" x14ac:dyDescent="0.3">
      <c r="A43" s="2">
        <v>4</v>
      </c>
      <c r="C43" s="38" t="s">
        <v>16</v>
      </c>
      <c r="D43" s="42">
        <f>TRUNC(15028,-1)</f>
        <v>15020</v>
      </c>
      <c r="E43" s="63">
        <f t="shared" si="1"/>
        <v>49650</v>
      </c>
    </row>
    <row r="44" spans="1:7" x14ac:dyDescent="0.3">
      <c r="A44" s="2">
        <v>5</v>
      </c>
      <c r="C44" s="38" t="s">
        <v>17</v>
      </c>
      <c r="D44" s="42">
        <f>TRUNC(32622,-1)</f>
        <v>32620</v>
      </c>
      <c r="E44" s="63">
        <f t="shared" si="1"/>
        <v>107830</v>
      </c>
    </row>
    <row r="45" spans="1:7" x14ac:dyDescent="0.3">
      <c r="A45" s="2">
        <v>6</v>
      </c>
      <c r="C45" s="38" t="s">
        <v>18</v>
      </c>
      <c r="D45" s="42">
        <f>TRUNC(12417,-1)</f>
        <v>12410</v>
      </c>
      <c r="E45" s="63">
        <f t="shared" si="1"/>
        <v>41020</v>
      </c>
    </row>
    <row r="46" spans="1:7" x14ac:dyDescent="0.3">
      <c r="A46" s="2">
        <v>7</v>
      </c>
      <c r="C46" s="38" t="s">
        <v>19</v>
      </c>
      <c r="D46" s="42">
        <f>TRUNC(46420,-1)</f>
        <v>46420</v>
      </c>
      <c r="E46" s="63">
        <f t="shared" si="1"/>
        <v>153450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TRUNC(62426,-1)</f>
        <v>62420</v>
      </c>
      <c r="E48" s="63">
        <f t="shared" si="1"/>
        <v>206340</v>
      </c>
      <c r="F48" s="2" t="s">
        <v>261</v>
      </c>
    </row>
    <row r="49" spans="1:7" x14ac:dyDescent="0.3">
      <c r="A49" s="2">
        <v>10</v>
      </c>
      <c r="C49" s="38" t="s">
        <v>22</v>
      </c>
      <c r="D49" s="42">
        <f>TRUNC(18457,-1)</f>
        <v>18450</v>
      </c>
      <c r="E49" s="63">
        <f t="shared" si="1"/>
        <v>60990</v>
      </c>
    </row>
    <row r="50" spans="1:7" x14ac:dyDescent="0.3">
      <c r="A50" s="2">
        <v>11</v>
      </c>
      <c r="C50" s="38" t="s">
        <v>155</v>
      </c>
      <c r="D50" s="42">
        <f>TRUNC(53809,-1)</f>
        <v>53800</v>
      </c>
      <c r="E50" s="63">
        <f t="shared" si="1"/>
        <v>177850</v>
      </c>
      <c r="F50" s="2" t="s">
        <v>262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TRUNC(9094,-1)</f>
        <v>9090</v>
      </c>
      <c r="E52" s="63">
        <f t="shared" si="1"/>
        <v>30040</v>
      </c>
    </row>
    <row r="53" spans="1:7" x14ac:dyDescent="0.3">
      <c r="A53" s="2">
        <v>14</v>
      </c>
      <c r="C53" s="38" t="s">
        <v>25</v>
      </c>
      <c r="D53" s="42">
        <f>TRUNC(192820,-10)</f>
        <v>0</v>
      </c>
      <c r="E53" s="63">
        <f t="shared" si="1"/>
        <v>0</v>
      </c>
      <c r="F53" s="2" t="s">
        <v>263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TRUNC(42687+3647-1028+1257+98121,-1)</f>
        <v>144680</v>
      </c>
      <c r="E58" s="63">
        <f t="shared" si="1"/>
        <v>478280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TRUNC(504023,-1)</f>
        <v>504020</v>
      </c>
      <c r="E59" s="64">
        <f t="shared" si="1"/>
        <v>1666180</v>
      </c>
    </row>
    <row r="60" spans="1:7" x14ac:dyDescent="0.3">
      <c r="A60" s="2">
        <v>21</v>
      </c>
      <c r="C60" s="27" t="s">
        <v>112</v>
      </c>
      <c r="D60" s="39">
        <f>SUM(D40:D59)</f>
        <v>1137290</v>
      </c>
      <c r="E60" s="39">
        <f>SUM(E40:E59)</f>
        <v>3759590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TRUNC(75176,-1)</f>
        <v>75170</v>
      </c>
      <c r="E63" s="62">
        <f>TRUNC(+D63*3.3058,-1)</f>
        <v>248490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75170</v>
      </c>
      <c r="E66" s="65">
        <f>SUM(E63:E65)</f>
        <v>248490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TRUNC(7352,-1)</f>
        <v>7350</v>
      </c>
      <c r="E69" s="62">
        <f t="shared" ref="E69:E94" si="2">TRUNC(+D69*3.3058,-1)</f>
        <v>24290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TRUNC(521,-1)</f>
        <v>520</v>
      </c>
      <c r="E72" s="63">
        <f t="shared" si="2"/>
        <v>1710</v>
      </c>
    </row>
    <row r="73" spans="1:7" x14ac:dyDescent="0.3">
      <c r="A73" s="2">
        <v>5</v>
      </c>
      <c r="C73" s="38" t="s">
        <v>34</v>
      </c>
      <c r="D73" s="42">
        <f>TRUNC(26125,-1)</f>
        <v>26120</v>
      </c>
      <c r="E73" s="63">
        <f t="shared" si="2"/>
        <v>86340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TRUNC(42013,-1)</f>
        <v>42010</v>
      </c>
      <c r="E76" s="63">
        <f t="shared" si="2"/>
        <v>138870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TRUNC(8084,-1)</f>
        <v>8080</v>
      </c>
      <c r="E89" s="63">
        <f t="shared" si="2"/>
        <v>26710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TRUNC(11313,-1)</f>
        <v>11310</v>
      </c>
      <c r="E92" s="63">
        <f t="shared" si="2"/>
        <v>37380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TRUNC(5556+25256+4597+1922,-1)</f>
        <v>37330</v>
      </c>
      <c r="E94" s="64">
        <f t="shared" si="2"/>
        <v>123400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132720</v>
      </c>
      <c r="E95" s="39">
        <f>SUM(E69:E94)</f>
        <v>438700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TRUNC(12977,-1)</f>
        <v>12970</v>
      </c>
      <c r="E98" s="62">
        <f t="shared" ref="E98:E118" si="3">TRUNC(+D98*3.3058,-1)</f>
        <v>42870</v>
      </c>
    </row>
    <row r="99" spans="1:7" x14ac:dyDescent="0.3">
      <c r="A99" s="2">
        <v>2</v>
      </c>
      <c r="C99" s="38" t="s">
        <v>40</v>
      </c>
      <c r="D99" s="42">
        <f>TRUNC(9597,-1)</f>
        <v>9590</v>
      </c>
      <c r="E99" s="63">
        <f t="shared" si="3"/>
        <v>31700</v>
      </c>
    </row>
    <row r="100" spans="1:7" x14ac:dyDescent="0.3">
      <c r="A100" s="2">
        <v>3</v>
      </c>
      <c r="C100" s="38" t="s">
        <v>41</v>
      </c>
      <c r="D100" s="42">
        <f>TRUNC(37653,-1)</f>
        <v>37650</v>
      </c>
      <c r="E100" s="63">
        <f t="shared" si="3"/>
        <v>124460</v>
      </c>
    </row>
    <row r="101" spans="1:7" x14ac:dyDescent="0.3">
      <c r="A101" s="2">
        <v>4</v>
      </c>
      <c r="C101" s="38" t="s">
        <v>42</v>
      </c>
      <c r="D101" s="42">
        <f>TRUNC(3722,-1)</f>
        <v>3720</v>
      </c>
      <c r="E101" s="63">
        <f t="shared" si="3"/>
        <v>12290</v>
      </c>
    </row>
    <row r="102" spans="1:7" x14ac:dyDescent="0.3">
      <c r="A102" s="2">
        <v>5</v>
      </c>
      <c r="C102" s="38" t="s">
        <v>43</v>
      </c>
      <c r="D102" s="42">
        <f>TRUNC(17214,-1)</f>
        <v>17210</v>
      </c>
      <c r="E102" s="63">
        <f t="shared" si="3"/>
        <v>56890</v>
      </c>
    </row>
    <row r="103" spans="1:7" x14ac:dyDescent="0.3">
      <c r="A103" s="2">
        <v>6</v>
      </c>
      <c r="C103" s="38" t="s">
        <v>44</v>
      </c>
      <c r="D103" s="42">
        <f>TRUNC(5320,-1)</f>
        <v>5320</v>
      </c>
      <c r="E103" s="63">
        <f t="shared" si="3"/>
        <v>17580</v>
      </c>
    </row>
    <row r="104" spans="1:7" x14ac:dyDescent="0.3">
      <c r="A104" s="2">
        <v>7</v>
      </c>
      <c r="C104" s="38" t="s">
        <v>45</v>
      </c>
      <c r="D104" s="42">
        <f>TRUNC(5027,-1)</f>
        <v>5020</v>
      </c>
      <c r="E104" s="63">
        <f t="shared" si="3"/>
        <v>16590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TRUNC(10202,-1)</f>
        <v>10200</v>
      </c>
      <c r="E114" s="63">
        <f t="shared" si="3"/>
        <v>33710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TRUNC(1529,-1)</f>
        <v>1520</v>
      </c>
      <c r="E116" s="63">
        <f t="shared" si="3"/>
        <v>5020</v>
      </c>
      <c r="F116" s="2" t="s">
        <v>259</v>
      </c>
    </row>
    <row r="117" spans="1:7" x14ac:dyDescent="0.3">
      <c r="A117" s="2">
        <v>20</v>
      </c>
      <c r="C117" s="38" t="s">
        <v>148</v>
      </c>
      <c r="D117" s="42">
        <f>TRUNC(89081,-1)</f>
        <v>89080</v>
      </c>
      <c r="E117" s="63">
        <f t="shared" si="3"/>
        <v>294480</v>
      </c>
    </row>
    <row r="118" spans="1:7" ht="17.25" thickBot="1" x14ac:dyDescent="0.35">
      <c r="A118" s="2">
        <v>21</v>
      </c>
      <c r="C118" s="38" t="s">
        <v>47</v>
      </c>
      <c r="D118" s="43">
        <f>TRUNC(3104,-1)</f>
        <v>3100</v>
      </c>
      <c r="E118" s="64">
        <f t="shared" si="3"/>
        <v>10240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195380</v>
      </c>
      <c r="E119" s="39">
        <f>SUM(E98:E118)</f>
        <v>645830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TRUNC(3965,-1)</f>
        <v>3960</v>
      </c>
      <c r="E122" s="62">
        <f t="shared" ref="E122:E132" si="4">TRUNC(+D122*3.3058,-1)</f>
        <v>13090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TRUNC(1584,-1)</f>
        <v>1580</v>
      </c>
      <c r="E124" s="63">
        <f t="shared" si="4"/>
        <v>5220</v>
      </c>
    </row>
    <row r="125" spans="1:7" x14ac:dyDescent="0.3">
      <c r="A125" s="2">
        <v>4</v>
      </c>
      <c r="C125" s="38" t="s">
        <v>138</v>
      </c>
      <c r="D125" s="42">
        <f>TRUNC(7277,-1)</f>
        <v>7270</v>
      </c>
      <c r="E125" s="63">
        <f t="shared" si="4"/>
        <v>24030</v>
      </c>
    </row>
    <row r="126" spans="1:7" x14ac:dyDescent="0.3">
      <c r="A126" s="2">
        <v>5</v>
      </c>
      <c r="C126" s="38" t="s">
        <v>53</v>
      </c>
      <c r="D126" s="42">
        <f>TRUNC(9345,-1)</f>
        <v>9340</v>
      </c>
      <c r="E126" s="63">
        <f t="shared" si="4"/>
        <v>30870</v>
      </c>
    </row>
    <row r="127" spans="1:7" x14ac:dyDescent="0.3">
      <c r="A127" s="2">
        <v>6</v>
      </c>
      <c r="C127" s="38" t="s">
        <v>56</v>
      </c>
      <c r="D127" s="42">
        <f>TRUNC(2300,-1)</f>
        <v>2300</v>
      </c>
      <c r="E127" s="63">
        <f t="shared" si="4"/>
        <v>7600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TRUNC(19599,-1)</f>
        <v>19590</v>
      </c>
      <c r="E130" s="63">
        <f t="shared" si="4"/>
        <v>64760</v>
      </c>
    </row>
    <row r="131" spans="1:7" x14ac:dyDescent="0.3">
      <c r="A131" s="2">
        <v>10</v>
      </c>
      <c r="C131" s="38" t="s">
        <v>148</v>
      </c>
      <c r="D131" s="42">
        <f>TRUNC(26864,-1)</f>
        <v>26860</v>
      </c>
      <c r="E131" s="63">
        <f t="shared" si="4"/>
        <v>88790</v>
      </c>
    </row>
    <row r="132" spans="1:7" ht="18" thickBot="1" x14ac:dyDescent="0.35">
      <c r="A132" s="2">
        <v>11</v>
      </c>
      <c r="C132" s="38" t="s">
        <v>47</v>
      </c>
      <c r="D132" s="43">
        <f>TRUNC(2930,-1)</f>
        <v>2930</v>
      </c>
      <c r="E132" s="64">
        <f t="shared" si="4"/>
        <v>9680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73830</v>
      </c>
      <c r="E133" s="39">
        <f>SUM(E122:E132)</f>
        <v>244040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TRUNC(4649,-1)</f>
        <v>4640</v>
      </c>
      <c r="E137" s="63">
        <f t="shared" si="5"/>
        <v>15330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TRUNC(3550,-1)</f>
        <v>3550</v>
      </c>
      <c r="E139" s="63">
        <f t="shared" si="5"/>
        <v>11730</v>
      </c>
    </row>
    <row r="140" spans="1:7" x14ac:dyDescent="0.3">
      <c r="A140" s="2">
        <v>5</v>
      </c>
      <c r="C140" s="38" t="s">
        <v>57</v>
      </c>
      <c r="D140" s="42">
        <f>TRUNC(5878,-1)</f>
        <v>5870</v>
      </c>
      <c r="E140" s="63">
        <f t="shared" si="5"/>
        <v>19400</v>
      </c>
    </row>
    <row r="141" spans="1:7" x14ac:dyDescent="0.3">
      <c r="A141" s="2">
        <v>6</v>
      </c>
      <c r="C141" s="38" t="s">
        <v>59</v>
      </c>
      <c r="D141" s="42">
        <f>TRUNC(8808,-1)</f>
        <v>8800</v>
      </c>
      <c r="E141" s="63">
        <f t="shared" si="5"/>
        <v>29090</v>
      </c>
    </row>
    <row r="142" spans="1:7" x14ac:dyDescent="0.3">
      <c r="A142" s="2">
        <v>7</v>
      </c>
      <c r="C142" s="38" t="s">
        <v>58</v>
      </c>
      <c r="D142" s="42">
        <f>TRUNC(6750,-1)</f>
        <v>6750</v>
      </c>
      <c r="E142" s="63">
        <f t="shared" si="5"/>
        <v>22310</v>
      </c>
    </row>
    <row r="143" spans="1:7" x14ac:dyDescent="0.3">
      <c r="A143" s="2">
        <v>8</v>
      </c>
      <c r="C143" s="38" t="s">
        <v>62</v>
      </c>
      <c r="D143" s="42">
        <f>TRUNC(3988,-1)</f>
        <v>3980</v>
      </c>
      <c r="E143" s="63">
        <f t="shared" si="5"/>
        <v>13150</v>
      </c>
    </row>
    <row r="144" spans="1:7" x14ac:dyDescent="0.3">
      <c r="A144" s="2">
        <v>9</v>
      </c>
      <c r="C144" s="38" t="s">
        <v>63</v>
      </c>
      <c r="D144" s="42">
        <f>TRUNC(18162,-1)</f>
        <v>18160</v>
      </c>
      <c r="E144" s="63">
        <f t="shared" si="5"/>
        <v>60030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51750</v>
      </c>
      <c r="E146" s="39">
        <f>SUM(E136:E145)</f>
        <v>171040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TRUNC(9878+2335,-1)</f>
        <v>12210</v>
      </c>
      <c r="E149" s="62">
        <f>TRUNC(+D149*3.3058,-1)</f>
        <v>40360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TRUNC(11593,-1)</f>
        <v>11590</v>
      </c>
      <c r="E150" s="63">
        <f>TRUNC(+D150*3.3058,-1)</f>
        <v>38310</v>
      </c>
    </row>
    <row r="151" spans="1:7" x14ac:dyDescent="0.3">
      <c r="A151" s="2">
        <v>3</v>
      </c>
      <c r="C151" s="38" t="s">
        <v>50</v>
      </c>
      <c r="D151" s="42">
        <f>TRUNC(1208,-1)</f>
        <v>1200</v>
      </c>
      <c r="E151" s="63">
        <f>TRUNC(+D151*3.3058,-1)</f>
        <v>3960</v>
      </c>
    </row>
    <row r="152" spans="1:7" x14ac:dyDescent="0.3">
      <c r="A152" s="2">
        <v>4</v>
      </c>
      <c r="C152" s="38" t="s">
        <v>47</v>
      </c>
      <c r="D152" s="42">
        <f>TRUNC(24309+144+421,-1)</f>
        <v>24870</v>
      </c>
      <c r="E152" s="63">
        <f>TRUNC(+D152*3.3058,-1)</f>
        <v>82210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49870</v>
      </c>
      <c r="E154" s="39">
        <f>SUM(E149:E153)</f>
        <v>164840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TRUNC(29828,-1)</f>
        <v>29820</v>
      </c>
      <c r="E157" s="62">
        <f>TRUNC(+D157*3.3058,-1)</f>
        <v>98570</v>
      </c>
    </row>
    <row r="158" spans="1:7" x14ac:dyDescent="0.3">
      <c r="A158" s="2">
        <v>2</v>
      </c>
      <c r="C158" s="38" t="s">
        <v>52</v>
      </c>
      <c r="D158" s="42">
        <f>TRUNC(12044,-1)</f>
        <v>12040</v>
      </c>
      <c r="E158" s="63">
        <f>TRUNC(+D158*3.3058,-1)</f>
        <v>39800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TRUNC(3534,-1)</f>
        <v>3530</v>
      </c>
      <c r="E159" s="63">
        <f>TRUNC(+D159*3.3058,-1)</f>
        <v>11660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45390</v>
      </c>
      <c r="E161" s="39">
        <f>SUM(E157:E160)</f>
        <v>150030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2020-12-08T03:58:37Z</dcterms:modified>
</cp:coreProperties>
</file>