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7" i="4" l="1"/>
  <c r="D99" i="4"/>
  <c r="E160" i="4" l="1"/>
  <c r="E159" i="4"/>
  <c r="E158" i="4"/>
  <c r="E157" i="4"/>
  <c r="E161" i="4" s="1"/>
  <c r="E153" i="4"/>
  <c r="E151" i="4"/>
  <c r="E144" i="4"/>
  <c r="E143" i="4"/>
  <c r="E142" i="4"/>
  <c r="E141" i="4"/>
  <c r="E140" i="4"/>
  <c r="E139" i="4"/>
  <c r="E138" i="4"/>
  <c r="E137" i="4"/>
  <c r="E136" i="4"/>
  <c r="E130" i="4"/>
  <c r="E129" i="4"/>
  <c r="E127" i="4"/>
  <c r="E126" i="4"/>
  <c r="E124" i="4"/>
  <c r="E118" i="4"/>
  <c r="E116" i="4"/>
  <c r="E114" i="4"/>
  <c r="E113" i="4"/>
  <c r="E112" i="4"/>
  <c r="E111" i="4"/>
  <c r="E110" i="4"/>
  <c r="E109" i="4"/>
  <c r="E108" i="4"/>
  <c r="E107" i="4"/>
  <c r="E106" i="4"/>
  <c r="E103" i="4"/>
  <c r="E101" i="4"/>
  <c r="E99" i="4"/>
  <c r="E98" i="4"/>
  <c r="E94" i="4"/>
  <c r="E91" i="4"/>
  <c r="E88" i="4"/>
  <c r="E87" i="4"/>
  <c r="E86" i="4"/>
  <c r="E85" i="4"/>
  <c r="E83" i="4"/>
  <c r="E82" i="4"/>
  <c r="E80" i="4"/>
  <c r="E78" i="4"/>
  <c r="E77" i="4"/>
  <c r="E76" i="4"/>
  <c r="E74" i="4"/>
  <c r="E70" i="4"/>
  <c r="E65" i="4"/>
  <c r="E64" i="4"/>
  <c r="E57" i="4"/>
  <c r="E56" i="4"/>
  <c r="E54" i="4"/>
  <c r="E42" i="4"/>
  <c r="E37" i="4"/>
  <c r="D145" i="4" l="1"/>
  <c r="E145" i="4" s="1"/>
  <c r="E146" i="4" s="1"/>
  <c r="D117" i="4"/>
  <c r="E117" i="4" s="1"/>
  <c r="D59" i="4"/>
  <c r="E59" i="4" s="1"/>
  <c r="D161" i="4" l="1"/>
  <c r="D152" i="4"/>
  <c r="E152" i="4" s="1"/>
  <c r="D150" i="4"/>
  <c r="E150" i="4" s="1"/>
  <c r="D149" i="4"/>
  <c r="D146" i="4"/>
  <c r="D30" i="4" s="1"/>
  <c r="E30" i="4" s="1"/>
  <c r="D132" i="4"/>
  <c r="E132" i="4" s="1"/>
  <c r="D131" i="4"/>
  <c r="E131" i="4" s="1"/>
  <c r="D128" i="4"/>
  <c r="E128" i="4" s="1"/>
  <c r="D125" i="4"/>
  <c r="E125" i="4" s="1"/>
  <c r="D123" i="4"/>
  <c r="D122" i="4"/>
  <c r="E122" i="4" s="1"/>
  <c r="D115" i="4"/>
  <c r="E115" i="4" s="1"/>
  <c r="D105" i="4"/>
  <c r="E105" i="4" s="1"/>
  <c r="D104" i="4"/>
  <c r="E104" i="4" s="1"/>
  <c r="D102" i="4"/>
  <c r="E102" i="4" s="1"/>
  <c r="D100" i="4"/>
  <c r="D93" i="4"/>
  <c r="E93" i="4" s="1"/>
  <c r="D92" i="4"/>
  <c r="E92" i="4" s="1"/>
  <c r="D90" i="4"/>
  <c r="E90" i="4" s="1"/>
  <c r="D89" i="4"/>
  <c r="E89" i="4" s="1"/>
  <c r="D84" i="4"/>
  <c r="E84" i="4" s="1"/>
  <c r="D81" i="4"/>
  <c r="E81" i="4" s="1"/>
  <c r="D79" i="4"/>
  <c r="E79" i="4" s="1"/>
  <c r="D75" i="4"/>
  <c r="E75" i="4" s="1"/>
  <c r="D73" i="4"/>
  <c r="E73" i="4" s="1"/>
  <c r="D72" i="4"/>
  <c r="E72" i="4" s="1"/>
  <c r="D71" i="4"/>
  <c r="E71" i="4" s="1"/>
  <c r="D69" i="4"/>
  <c r="D63" i="4"/>
  <c r="E63" i="4" s="1"/>
  <c r="E66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D43" i="4"/>
  <c r="E43" i="4" s="1"/>
  <c r="D41" i="4"/>
  <c r="E41" i="4" s="1"/>
  <c r="D40" i="4"/>
  <c r="E40" i="4" s="1"/>
  <c r="D32" i="4"/>
  <c r="E32" i="4" s="1"/>
  <c r="D24" i="4"/>
  <c r="E24" i="4" s="1"/>
  <c r="D7" i="4"/>
  <c r="D95" i="4" l="1"/>
  <c r="D27" i="4" s="1"/>
  <c r="E27" i="4" s="1"/>
  <c r="E69" i="4"/>
  <c r="E95" i="4" s="1"/>
  <c r="D119" i="4"/>
  <c r="D28" i="4" s="1"/>
  <c r="E28" i="4" s="1"/>
  <c r="E100" i="4"/>
  <c r="E119" i="4" s="1"/>
  <c r="D154" i="4"/>
  <c r="D31" i="4" s="1"/>
  <c r="E31" i="4" s="1"/>
  <c r="E149" i="4"/>
  <c r="E154" i="4" s="1"/>
  <c r="D60" i="4"/>
  <c r="D25" i="4" s="1"/>
  <c r="E25" i="4" s="1"/>
  <c r="E44" i="4"/>
  <c r="E60" i="4" s="1"/>
  <c r="D133" i="4"/>
  <c r="D29" i="4" s="1"/>
  <c r="E29" i="4" s="1"/>
  <c r="E123" i="4"/>
  <c r="D66" i="4"/>
  <c r="D26" i="4" s="1"/>
  <c r="E26" i="4" s="1"/>
  <c r="E133" i="4"/>
  <c r="D33" i="4" l="1"/>
  <c r="E33" i="4" s="1"/>
  <c r="E34" i="4" s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<sst xmlns="http://schemas.openxmlformats.org/spreadsheetml/2006/main" count="397" uniqueCount="274">
  <si>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</si>
  <si>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</si>
  <si>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</si>
  <si>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</si>
  <si>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</si>
  <si>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</si>
  <si>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</si>
  <si>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</si>
  <si>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</si>
  <si>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</si>
  <si>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</si>
  <si>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</si>
  <si>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</si>
  <si>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</si>
  <si>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</si>
  <si>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</si>
  <si>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</si>
  <si>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</si>
  <si>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</si>
  <si>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</si>
  <si>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</si>
  <si>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</si>
  <si>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</si>
  <si>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</si>
  <si>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</si>
  <si>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</si>
  <si>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</si>
  <si>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</si>
  <si>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</si>
  <si>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</si>
  <si>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</si>
  <si>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</si>
  <si>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</si>
  <si>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</si>
  <si>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</si>
  <si>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</si>
  <si>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</si>
  <si>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</si>
  <si>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</si>
  <si>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</si>
  <si>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</si>
  <si>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</si>
  <si>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</si>
  <si>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</si>
  <si>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</si>
  <si>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</si>
  <si>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</si>
  <si>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</si>
  <si>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</si>
  <si>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</si>
  <si>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</si>
  <si>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</si>
  <si>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</si>
  <si>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</si>
  <si>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</si>
  <si>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</si>
  <si>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</si>
  <si>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</si>
  <si>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</si>
  <si>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</si>
  <si>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</si>
  <si>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</si>
  <si>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</si>
  <si>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</si>
  <si>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</si>
  <si>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</si>
  <si>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</si>
  <si>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</si>
  <si>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</si>
  <si>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</si>
  <si>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</si>
  <si>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</si>
  <si>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</si>
  <si>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</si>
  <si>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</si>
  <si>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</si>
  <si>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</si>
  <si>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</si>
  <si>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</si>
  <si>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</si>
  <si>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</si>
  <si>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</si>
  <si>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</si>
  <si>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</si>
  <si>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</si>
  <si>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</si>
  <si>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</si>
  <si>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</si>
  <si>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</si>
  <si>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</si>
  <si>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</si>
  <si>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</si>
  <si>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</si>
  <si>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</si>
  <si>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</si>
  <si>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</si>
  <si>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</si>
  <si>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</si>
  <si>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</si>
  <si>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</si>
  <si>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</si>
  <si>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</si>
  <si>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</si>
  <si>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</si>
  <si>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</si>
  <si>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</si>
  <si>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</si>
  <si>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</si>
  <si>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</si>
  <si>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</si>
  <si>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</si>
  <si>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</si>
  <si>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</si>
  <si>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</si>
  <si>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</si>
  <si>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</si>
  <si>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</si>
  <si>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</si>
  <si>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</si>
  <si>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</si>
  <si>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</si>
  <si>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</si>
  <si>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</si>
  <si>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</si>
  <si>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</si>
  <si>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</si>
  <si>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</si>
  <si>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</si>
  <si>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</si>
  <si>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</si>
  <si>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</si>
  <si>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</si>
  <si>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</si>
  <si>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</si>
  <si>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</si>
  <si>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</si>
  <si>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</si>
  <si>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</si>
  <si>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</si>
  <si>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</si>
  <si>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</si>
  <si>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</si>
  <si>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</si>
  <si>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</si>
  <si>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</si>
  <si>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</si>
  <si>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</si>
  <si>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</si>
  <si>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</si>
  <si>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</si>
  <si>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</si>
  <si>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</si>
  <si>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</si>
  <si>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</si>
  <si>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</si>
  <si>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</si>
  <si>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</si>
  <si>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</si>
  <si>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</si>
  <si>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</si>
  <si>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</si>
  <si>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</si>
  <si>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</si>
  <si>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</si>
  <si>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</si>
  <si>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</si>
  <si>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</si>
  <si>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</si>
  <si>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</si>
  <si>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</si>
  <si>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</si>
  <si>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</si>
  <si>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</si>
  <si>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</si>
  <si>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</si>
  <si>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</si>
  <si>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</si>
  <si>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</si>
  <si>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</si>
  <si>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</si>
  <si>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</si>
  <si>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</si>
  <si>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</si>
  <si>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</si>
  <si>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</si>
  <si>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</si>
  <si>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</si>
  <si>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</si>
  <si>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</si>
  <si>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</si>
  <si>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</si>
  <si>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</si>
  <si>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</si>
  <si>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</si>
  <si>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</si>
  <si>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</si>
  <si>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</si>
  <si>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</si>
  <si>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</si>
  <si>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</si>
  <si>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</si>
  <si>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</si>
  <si>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</si>
  <si>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</si>
  <si>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</si>
  <si>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</si>
  <si>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</si>
  <si>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</si>
  <si>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</si>
  <si>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</si>
  <si>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</si>
  <si>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</si>
  <si>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</si>
  <si>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</si>
  <si>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</si>
  <si>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</si>
  <si>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</si>
  <si>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</si>
  <si>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</si>
  <si>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</si>
  <si>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</si>
  <si>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</si>
  <si>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</si>
  <si>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</si>
  <si>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</si>
  <si>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</si>
  <si>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</si>
  <si>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</si>
  <si>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</si>
  <si>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</si>
  <si>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</si>
  <si>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</si>
  <si>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</si>
  <si>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</si>
  <si>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</si>
  <si>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</si>
  <si>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</si>
  <si>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</si>
  <si>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</si>
  <si>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</si>
  <si>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</si>
  <si>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</si>
  <si>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</si>
  <si>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</si>
  <si>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</si>
  <si>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</si>
  <si>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00고등학교 본관 교사동 개축공사</t>
  </si>
  <si>
    <t>서울</t>
  </si>
  <si>
    <t>평</t>
    <phoneticPr fontId="2" type="noConversion"/>
  </si>
  <si>
    <t>원/ m2</t>
    <phoneticPr fontId="2" type="noConversion"/>
  </si>
  <si>
    <t>토공사,잡공사,철거공사,골재비및운반비,작업부산물</t>
    <phoneticPr fontId="2" type="noConversion"/>
  </si>
  <si>
    <t>환기닥트설치공사,환기유니트설치공사</t>
    <phoneticPr fontId="2" type="noConversion"/>
  </si>
  <si>
    <t>난방배관공사</t>
    <phoneticPr fontId="2" type="noConversion"/>
  </si>
  <si>
    <t>오배수통기배관공사</t>
  </si>
  <si>
    <t>전열및전력간선설비공사</t>
  </si>
  <si>
    <t>기계실동력설비공사,일반동력설비공사</t>
    <phoneticPr fontId="2" type="noConversion"/>
  </si>
  <si>
    <t>CATV설비공사</t>
  </si>
  <si>
    <t>관급자설치관급자재</t>
  </si>
  <si>
    <t>인터폰설비공사</t>
  </si>
  <si>
    <t>우수공사,오수공사</t>
    <phoneticPr fontId="2" type="noConversion"/>
  </si>
  <si>
    <t>가시설공사,자재대,계측관리비,운반비</t>
    <phoneticPr fontId="2" type="noConversion"/>
  </si>
  <si>
    <t>원/ m2</t>
    <phoneticPr fontId="2" type="noConversion"/>
  </si>
  <si>
    <t>도급자설치</t>
    <phoneticPr fontId="2" type="noConversion"/>
  </si>
  <si>
    <t>관급자설치</t>
    <phoneticPr fontId="2" type="noConversion"/>
  </si>
  <si>
    <t>도급자설치, 관급자설치</t>
    <phoneticPr fontId="2" type="noConversion"/>
  </si>
  <si>
    <t>관급자설치</t>
    <phoneticPr fontId="2" type="noConversion"/>
  </si>
  <si>
    <t>원 /평</t>
    <phoneticPr fontId="2" type="noConversion"/>
  </si>
  <si>
    <t>원 /평</t>
    <phoneticPr fontId="2" type="noConversion"/>
  </si>
  <si>
    <t>기계 소화배관공사, 전기 소방설비공사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</si>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</sst>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271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6038</v>
      </c>
      <c r="D7" s="36">
        <f>+C7/3.3058</f>
        <v>1826.4867808094864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272</v>
      </c>
    </row>
    <row r="19" spans="1:5" x14ac:dyDescent="0.3">
      <c r="A19" s="2">
        <v>9</v>
      </c>
      <c r="B19" s="2" t="s">
        <v>273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249</v>
      </c>
      <c r="E23" s="35" t="s">
        <v>266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502470</v>
      </c>
      <c r="E25" s="60">
        <f t="shared" si="0"/>
        <v>1661060</v>
      </c>
    </row>
    <row r="26" spans="1:5" x14ac:dyDescent="0.3">
      <c r="B26" s="2">
        <v>3</v>
      </c>
      <c r="C26" s="35" t="s">
        <v>95</v>
      </c>
      <c r="D26" s="45">
        <f>+D66</f>
        <v>36140</v>
      </c>
      <c r="E26" s="60">
        <f t="shared" si="0"/>
        <v>119470</v>
      </c>
    </row>
    <row r="27" spans="1:5" x14ac:dyDescent="0.3">
      <c r="B27" s="2">
        <v>4</v>
      </c>
      <c r="C27" s="35" t="s">
        <v>96</v>
      </c>
      <c r="D27" s="45">
        <f>+D95</f>
        <v>145560</v>
      </c>
      <c r="E27" s="60">
        <f t="shared" si="0"/>
        <v>481190</v>
      </c>
    </row>
    <row r="28" spans="1:5" x14ac:dyDescent="0.3">
      <c r="B28" s="2">
        <v>5</v>
      </c>
      <c r="C28" s="35" t="s">
        <v>97</v>
      </c>
      <c r="D28" s="45">
        <f>+D119</f>
        <v>75850</v>
      </c>
      <c r="E28" s="60">
        <f t="shared" si="0"/>
        <v>250740</v>
      </c>
    </row>
    <row r="29" spans="1:5" x14ac:dyDescent="0.3">
      <c r="B29" s="2">
        <v>6</v>
      </c>
      <c r="C29" s="35" t="s">
        <v>98</v>
      </c>
      <c r="D29" s="45">
        <f>+D133</f>
        <v>35400</v>
      </c>
      <c r="E29" s="60">
        <f t="shared" si="0"/>
        <v>117020</v>
      </c>
    </row>
    <row r="30" spans="1:5" x14ac:dyDescent="0.3">
      <c r="B30" s="2">
        <v>7</v>
      </c>
      <c r="C30" s="35" t="s">
        <v>99</v>
      </c>
      <c r="D30" s="45">
        <f>+D146</f>
        <v>31480</v>
      </c>
      <c r="E30" s="60">
        <f t="shared" si="0"/>
        <v>104060</v>
      </c>
    </row>
    <row r="31" spans="1:5" x14ac:dyDescent="0.3">
      <c r="B31" s="2">
        <v>8</v>
      </c>
      <c r="C31" s="35" t="s">
        <v>100</v>
      </c>
      <c r="D31" s="45">
        <f>+D154</f>
        <v>38030</v>
      </c>
      <c r="E31" s="60">
        <f t="shared" si="0"/>
        <v>125710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237850</v>
      </c>
      <c r="E33" s="61">
        <f t="shared" si="0"/>
        <v>786280</v>
      </c>
    </row>
    <row r="34" spans="1:7" x14ac:dyDescent="0.3">
      <c r="C34" s="35" t="s">
        <v>112</v>
      </c>
      <c r="D34" s="44">
        <f>SUM(D24:D33)</f>
        <v>1102780</v>
      </c>
      <c r="E34" s="44">
        <f>SUM(E24:E33)</f>
        <v>3645530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235</v>
      </c>
      <c r="D36" s="56" t="s">
        <v>261</v>
      </c>
      <c r="E36" s="56" t="s">
        <v>266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239</v>
      </c>
      <c r="D39" s="67" t="s">
        <v>269</v>
      </c>
      <c r="E39" s="67" t="s">
        <v>270</v>
      </c>
      <c r="G39" s="68"/>
    </row>
    <row r="40" spans="1:7" x14ac:dyDescent="0.3">
      <c r="A40" s="2">
        <v>1</v>
      </c>
      <c r="C40" s="38" t="s">
        <v>15</v>
      </c>
      <c r="D40" s="40">
        <f>TRUNC(30750.3608810865,-1)</f>
        <v>30750</v>
      </c>
      <c r="E40" s="63">
        <f t="shared" ref="E40:E59" si="1">TRUNC(+D40*3.3058,-1)</f>
        <v>101650</v>
      </c>
    </row>
    <row r="41" spans="1:7" x14ac:dyDescent="0.3">
      <c r="A41" s="2">
        <v>2</v>
      </c>
      <c r="C41" s="38" t="s">
        <v>13</v>
      </c>
      <c r="D41" s="42">
        <f>TRUNC(90268.8178204704,-1)</f>
        <v>90260</v>
      </c>
      <c r="E41" s="64">
        <f t="shared" si="1"/>
        <v>298380</v>
      </c>
    </row>
    <row r="42" spans="1:7" x14ac:dyDescent="0.3">
      <c r="A42" s="2">
        <v>3</v>
      </c>
      <c r="C42" s="38" t="s">
        <v>14</v>
      </c>
      <c r="D42" s="42">
        <v>0</v>
      </c>
      <c r="E42" s="64">
        <f t="shared" si="1"/>
        <v>0</v>
      </c>
    </row>
    <row r="43" spans="1:7" x14ac:dyDescent="0.3">
      <c r="A43" s="2">
        <v>4</v>
      </c>
      <c r="C43" s="38" t="s">
        <v>16</v>
      </c>
      <c r="D43" s="42">
        <f>TRUNC(33159.597052004,-1)</f>
        <v>33150</v>
      </c>
      <c r="E43" s="64">
        <f t="shared" si="1"/>
        <v>109580</v>
      </c>
    </row>
    <row r="44" spans="1:7" x14ac:dyDescent="0.3">
      <c r="A44" s="2">
        <v>5</v>
      </c>
      <c r="C44" s="38" t="s">
        <v>17</v>
      </c>
      <c r="D44" s="42">
        <f>TRUNC(19298.6949320967,-1)</f>
        <v>19290</v>
      </c>
      <c r="E44" s="64">
        <f t="shared" si="1"/>
        <v>63760</v>
      </c>
    </row>
    <row r="45" spans="1:7" x14ac:dyDescent="0.3">
      <c r="A45" s="2">
        <v>6</v>
      </c>
      <c r="C45" s="38" t="s">
        <v>18</v>
      </c>
      <c r="D45" s="42">
        <f>TRUNC(7634.25886054985,-1)</f>
        <v>7630</v>
      </c>
      <c r="E45" s="64">
        <f t="shared" si="1"/>
        <v>25220</v>
      </c>
    </row>
    <row r="46" spans="1:7" x14ac:dyDescent="0.3">
      <c r="A46" s="2">
        <v>7</v>
      </c>
      <c r="C46" s="38" t="s">
        <v>19</v>
      </c>
      <c r="D46" s="42">
        <f>TRUNC(34357.0561444187,-1)</f>
        <v>34350</v>
      </c>
      <c r="E46" s="64">
        <f t="shared" si="1"/>
        <v>113550</v>
      </c>
    </row>
    <row r="47" spans="1:7" x14ac:dyDescent="0.3">
      <c r="A47" s="2">
        <v>8</v>
      </c>
      <c r="C47" s="38" t="s">
        <v>20</v>
      </c>
      <c r="D47" s="42">
        <f>TRUNC(4891.70370983769,-1)</f>
        <v>4890</v>
      </c>
      <c r="E47" s="64">
        <f t="shared" si="1"/>
        <v>16160</v>
      </c>
    </row>
    <row r="48" spans="1:7" x14ac:dyDescent="0.3">
      <c r="A48" s="2">
        <v>9</v>
      </c>
      <c r="C48" s="38" t="s">
        <v>21</v>
      </c>
      <c r="D48" s="42">
        <f>TRUNC(30752.6628022524,-1)</f>
        <v>30750</v>
      </c>
      <c r="E48" s="64">
        <f t="shared" si="1"/>
        <v>101650</v>
      </c>
    </row>
    <row r="49" spans="1:7" x14ac:dyDescent="0.3">
      <c r="A49" s="2">
        <v>10</v>
      </c>
      <c r="C49" s="38" t="s">
        <v>22</v>
      </c>
      <c r="D49" s="42">
        <f>TRUNC(12622.6088108645,-1)</f>
        <v>12620</v>
      </c>
      <c r="E49" s="64">
        <f t="shared" si="1"/>
        <v>41710</v>
      </c>
    </row>
    <row r="50" spans="1:7" x14ac:dyDescent="0.3">
      <c r="A50" s="2">
        <v>11</v>
      </c>
      <c r="C50" s="38" t="s">
        <v>154</v>
      </c>
      <c r="D50" s="42">
        <f>TRUNC(52361.919841007,-1)</f>
        <v>52360</v>
      </c>
      <c r="E50" s="64">
        <f t="shared" si="1"/>
        <v>173090</v>
      </c>
    </row>
    <row r="51" spans="1:7" x14ac:dyDescent="0.3">
      <c r="A51" s="2">
        <v>12</v>
      </c>
      <c r="C51" s="38" t="s">
        <v>23</v>
      </c>
      <c r="D51" s="42">
        <f>TRUNC(6679.88804239815,-1)</f>
        <v>6670</v>
      </c>
      <c r="E51" s="64">
        <f t="shared" si="1"/>
        <v>22040</v>
      </c>
    </row>
    <row r="52" spans="1:7" x14ac:dyDescent="0.3">
      <c r="A52" s="2">
        <v>13</v>
      </c>
      <c r="C52" s="38" t="s">
        <v>24</v>
      </c>
      <c r="D52" s="42">
        <f>TRUNC(8320.39847631666,-1)</f>
        <v>8320</v>
      </c>
      <c r="E52" s="64">
        <f t="shared" si="1"/>
        <v>27500</v>
      </c>
    </row>
    <row r="53" spans="1:7" x14ac:dyDescent="0.3">
      <c r="A53" s="2">
        <v>14</v>
      </c>
      <c r="C53" s="38" t="s">
        <v>25</v>
      </c>
      <c r="D53" s="42">
        <f>TRUNC(34023.9768135144,-1)</f>
        <v>34020</v>
      </c>
      <c r="E53" s="64">
        <f t="shared" si="1"/>
        <v>112460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TRUNC(1779.88887048692,-1)</f>
        <v>1770</v>
      </c>
      <c r="E55" s="64">
        <f t="shared" si="1"/>
        <v>5850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
425.864524677045+18024.5554819477+19449.7923153362+
3597.87644915535
-273.393507784034,-1)</f>
        <v>41220</v>
      </c>
      <c r="E58" s="64">
        <f t="shared" si="1"/>
        <v>136260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TRUNC(94421.4971844982,-1)</f>
        <v>94420</v>
      </c>
      <c r="E59" s="65">
        <f t="shared" si="1"/>
        <v>312130</v>
      </c>
      <c r="F59" s="2" t="s">
        <v>262</v>
      </c>
    </row>
    <row r="60" spans="1:7" x14ac:dyDescent="0.3">
      <c r="A60" s="2">
        <v>21</v>
      </c>
      <c r="C60" s="27" t="s">
        <v>112</v>
      </c>
      <c r="D60" s="39">
        <f>SUM(D40:D59)</f>
        <v>502470</v>
      </c>
      <c r="E60" s="39">
        <f>SUM(E40:E59)</f>
        <v>1660990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236</v>
      </c>
      <c r="C62" s="55" t="s">
        <v>237</v>
      </c>
      <c r="D62" s="56" t="s">
        <v>234</v>
      </c>
      <c r="E62" s="56" t="s">
        <v>267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TRUNC(36141.018880424,-1)</f>
        <v>36140</v>
      </c>
      <c r="E63" s="63">
        <f>TRUNC(+D63*3.3058,-1)</f>
        <v>119470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36140</v>
      </c>
      <c r="E66" s="57">
        <f>SUM(E63:E65)</f>
        <v>119470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238</v>
      </c>
      <c r="C68" s="55" t="s">
        <v>239</v>
      </c>
      <c r="D68" s="56" t="s">
        <v>234</v>
      </c>
      <c r="E68" s="56" t="s">
        <v>267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TRUNC(7006.88075521696,-1)</f>
        <v>7000</v>
      </c>
      <c r="E69" s="63">
        <f>TRUNC(+D69*3.3058,-1)</f>
        <v>23140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>TRUNC(+D70*3.3058,-1)</f>
        <v>0</v>
      </c>
    </row>
    <row r="71" spans="1:7" x14ac:dyDescent="0.3">
      <c r="A71" s="2">
        <v>3</v>
      </c>
      <c r="C71" s="38" t="s">
        <v>32</v>
      </c>
      <c r="D71" s="42">
        <f>TRUNC(2995.01126200729,-1)</f>
        <v>2990</v>
      </c>
      <c r="E71" s="64">
        <f t="shared" ref="E71:E73" si="2">TRUNC(+D71*3.3058,-1)</f>
        <v>9880</v>
      </c>
    </row>
    <row r="72" spans="1:7" x14ac:dyDescent="0.3">
      <c r="A72" s="2">
        <v>4</v>
      </c>
      <c r="C72" s="38" t="s">
        <v>33</v>
      </c>
      <c r="D72" s="42">
        <f>TRUNC(5141.64739980126,-1)</f>
        <v>5140</v>
      </c>
      <c r="E72" s="64">
        <f t="shared" si="2"/>
        <v>16990</v>
      </c>
    </row>
    <row r="73" spans="1:7" x14ac:dyDescent="0.3">
      <c r="A73" s="2">
        <v>5</v>
      </c>
      <c r="C73" s="38" t="s">
        <v>34</v>
      </c>
      <c r="D73" s="42">
        <f>TRUNC(8174.45958926797,-1)</f>
        <v>8170</v>
      </c>
      <c r="E73" s="64">
        <f t="shared" si="2"/>
        <v>27000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TRUNC(130.40079496522,-1)</f>
        <v>130</v>
      </c>
      <c r="E75" s="64">
        <f>TRUNC(+D75*3.3058,-1)</f>
        <v>420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TRUNC(2858.80225240146+2867.05200397483,-1)</f>
        <v>5720</v>
      </c>
      <c r="E79" s="64">
        <f t="shared" si="3"/>
        <v>18900</v>
      </c>
      <c r="F79" s="2" t="s">
        <v>251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TRUNC(2678.68880423981,-1)</f>
        <v>2670</v>
      </c>
      <c r="E81" s="64">
        <f t="shared" si="3"/>
        <v>8820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f>TRUNC(3478.33338853925,-1)</f>
        <v>3470</v>
      </c>
      <c r="E84" s="64">
        <f>TRUNC(+D84*3.3058,-1)</f>
        <v>11470</v>
      </c>
      <c r="F84" s="2" t="s">
        <v>252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f>TRUNC(2638.67108314011,-1)</f>
        <v>2630</v>
      </c>
      <c r="E89" s="64">
        <f t="shared" si="3"/>
        <v>8690</v>
      </c>
      <c r="F89" s="2" t="s">
        <v>253</v>
      </c>
    </row>
    <row r="90" spans="1:7" x14ac:dyDescent="0.3">
      <c r="A90" s="2">
        <v>22</v>
      </c>
      <c r="C90" s="38" t="s">
        <v>36</v>
      </c>
      <c r="D90" s="42">
        <f>TRUNC(1907.81715799934,-1)</f>
        <v>1900</v>
      </c>
      <c r="E90" s="64">
        <f>TRUNC(+D90*3.3058,-1)</f>
        <v>6280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TRUNC(6777.84945346141,-1)</f>
        <v>6770</v>
      </c>
      <c r="E92" s="64">
        <f>TRUNC(+D92*3.3058,-1)</f>
        <v>22380</v>
      </c>
    </row>
    <row r="93" spans="1:7" x14ac:dyDescent="0.3">
      <c r="A93" s="2">
        <v>25</v>
      </c>
      <c r="C93" s="38" t="s">
        <v>148</v>
      </c>
      <c r="D93" s="42">
        <f>TRUNC(98977.6416031799,-1)</f>
        <v>98970</v>
      </c>
      <c r="E93" s="64">
        <f>TRUNC(+D93*3.3058,-1)</f>
        <v>327170</v>
      </c>
      <c r="F93" s="2" t="s">
        <v>263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5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145560</v>
      </c>
      <c r="E95" s="39">
        <f>SUM(E69:E94)</f>
        <v>481140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240</v>
      </c>
      <c r="C97" s="55" t="s">
        <v>239</v>
      </c>
      <c r="D97" s="56" t="s">
        <v>234</v>
      </c>
      <c r="E97" s="56" t="s">
        <v>267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3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f>TRUNC(385.425306392845+747.202550513415,-1)</f>
        <v>1130</v>
      </c>
      <c r="E99" s="64">
        <f t="shared" si="4"/>
        <v>3730</v>
      </c>
      <c r="F99" s="2" t="s">
        <v>255</v>
      </c>
    </row>
    <row r="100" spans="1:7" x14ac:dyDescent="0.3">
      <c r="A100" s="2">
        <v>3</v>
      </c>
      <c r="C100" s="38" t="s">
        <v>41</v>
      </c>
      <c r="D100" s="42">
        <f>TRUNC(17726.8615435575,-1)</f>
        <v>17720</v>
      </c>
      <c r="E100" s="64">
        <f t="shared" si="4"/>
        <v>58570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TRUNC(14730.7527326929,-1)</f>
        <v>14730</v>
      </c>
      <c r="E102" s="64">
        <f t="shared" si="4"/>
        <v>48690</v>
      </c>
      <c r="F102" s="2" t="s">
        <v>254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TRUNC(587.052500828089,-1)</f>
        <v>580</v>
      </c>
      <c r="E104" s="64">
        <f t="shared" si="4"/>
        <v>1910</v>
      </c>
    </row>
    <row r="105" spans="1:7" x14ac:dyDescent="0.3">
      <c r="A105" s="2">
        <v>8</v>
      </c>
      <c r="C105" s="38" t="s">
        <v>46</v>
      </c>
      <c r="D105" s="42">
        <f>TRUNC(875.834382245777,-1)</f>
        <v>870</v>
      </c>
      <c r="E105" s="64">
        <f t="shared" si="4"/>
        <v>2870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TRUNC(5042.7586949321,-1)</f>
        <v>5040</v>
      </c>
      <c r="E115" s="64">
        <f t="shared" si="4"/>
        <v>16660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TRUNC(11422.1596555151+24359.5561444187,-1)</f>
        <v>35780</v>
      </c>
      <c r="E117" s="64">
        <f t="shared" si="4"/>
        <v>118280</v>
      </c>
      <c r="F117" s="2" t="s">
        <v>264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5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75850</v>
      </c>
      <c r="E119" s="39">
        <f>SUM(E98:E118)</f>
        <v>250710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241</v>
      </c>
      <c r="C121" s="55" t="s">
        <v>239</v>
      </c>
      <c r="D121" s="56" t="s">
        <v>234</v>
      </c>
      <c r="E121" s="56" t="s">
        <v>267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TRUNC(2491.14342497516,-1)</f>
        <v>2490</v>
      </c>
      <c r="E122" s="63">
        <f t="shared" ref="E122:E132" si="5">TRUNC(+D122*3.3058,-1)</f>
        <v>8230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f>TRUNC(6002.64822789003,-1)</f>
        <v>6000</v>
      </c>
      <c r="E123" s="64">
        <f t="shared" si="5"/>
        <v>19830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TRUNC(4291.0155680689+137.962073534283,-1)</f>
        <v>4420</v>
      </c>
      <c r="E125" s="64">
        <f t="shared" si="5"/>
        <v>14610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TRUNC(4363.60185491885,-1)</f>
        <v>4360</v>
      </c>
      <c r="E128" s="64">
        <f t="shared" si="5"/>
        <v>14410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TRUNC(18062.2722755879,-1)</f>
        <v>18060</v>
      </c>
      <c r="E131" s="64">
        <f t="shared" si="5"/>
        <v>59700</v>
      </c>
      <c r="F131" s="2" t="s">
        <v>257</v>
      </c>
    </row>
    <row r="132" spans="1:7" ht="17.25" thickBot="1" x14ac:dyDescent="0.35">
      <c r="A132" s="2">
        <v>11</v>
      </c>
      <c r="C132" s="38" t="s">
        <v>47</v>
      </c>
      <c r="D132" s="43">
        <f>TRUNC(77.1480622722756,-1)</f>
        <v>70</v>
      </c>
      <c r="E132" s="65">
        <f t="shared" si="5"/>
        <v>230</v>
      </c>
      <c r="F132" s="2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35400</v>
      </c>
      <c r="E133" s="39">
        <f>SUM(E122:E132)</f>
        <v>117010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242</v>
      </c>
      <c r="C135" s="55" t="s">
        <v>239</v>
      </c>
      <c r="D135" s="56" t="s">
        <v>234</v>
      </c>
      <c r="E135" s="56" t="s">
        <v>267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f>TRUNC(7501.22076846638+5928.50049685326,-1)</f>
        <v>13420</v>
      </c>
      <c r="E137" s="64">
        <f t="shared" si="6"/>
        <v>44360</v>
      </c>
      <c r="F137" s="2" t="s">
        <v>268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f>TRUNC(18062.2722755879,-1)</f>
        <v>18060</v>
      </c>
      <c r="E145" s="65">
        <f t="shared" si="6"/>
        <v>59700</v>
      </c>
      <c r="F145" s="2" t="s">
        <v>265</v>
      </c>
    </row>
    <row r="146" spans="1:7" x14ac:dyDescent="0.3">
      <c r="A146" s="2">
        <v>11</v>
      </c>
      <c r="C146" s="27" t="s">
        <v>112</v>
      </c>
      <c r="D146" s="39">
        <f>SUM(D136:D145)</f>
        <v>31480</v>
      </c>
      <c r="E146" s="39">
        <f>SUM(E136:E145)</f>
        <v>104060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243</v>
      </c>
      <c r="C148" s="55" t="s">
        <v>239</v>
      </c>
      <c r="D148" s="56" t="s">
        <v>234</v>
      </c>
      <c r="E148" s="56" t="s">
        <v>267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TRUNC(5912.36800264988+3778.76416031799,-1)</f>
        <v>9690</v>
      </c>
      <c r="E149" s="63">
        <f>TRUNC(+D149*3.3058,-1)</f>
        <v>32030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TRUNC(6810.18184829414,-1)</f>
        <v>6810</v>
      </c>
      <c r="E150" s="64">
        <f>TRUNC(+D150*3.3058,-1)</f>
        <v>22510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TRUNC(17168.0665783372+3010.02649884068+795.286021861544+564.562437893342,-1)</f>
        <v>21530</v>
      </c>
      <c r="E152" s="64">
        <f>TRUNC(+D152*3.3058,-1)</f>
        <v>71170</v>
      </c>
      <c r="F152" s="58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38030</v>
      </c>
      <c r="E154" s="39">
        <f>SUM(E149:E153)</f>
        <v>125710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244</v>
      </c>
      <c r="C156" s="55" t="s">
        <v>239</v>
      </c>
      <c r="D156" s="56" t="s">
        <v>234</v>
      </c>
      <c r="E156" s="56" t="s">
        <v>267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2020-12-07T08:59:55Z</dcterms:modified>
</cp:coreProperties>
</file>