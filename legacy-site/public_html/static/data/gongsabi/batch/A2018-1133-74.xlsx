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52" i="4"/>
  <c r="D150" i="4"/>
  <c r="D149" i="4"/>
  <c r="D137" i="4"/>
  <c r="D144" i="4"/>
  <c r="D143" i="4"/>
  <c r="D139" i="4"/>
  <c r="D138" i="4"/>
  <c r="D141" i="4"/>
  <c r="D142" i="4"/>
  <c r="D140" i="4"/>
  <c r="D128" i="4"/>
  <c r="D125" i="4"/>
  <c r="D122" i="4"/>
  <c r="D130" i="4"/>
  <c r="D105" i="4"/>
  <c r="D104" i="4"/>
  <c r="D103" i="4"/>
  <c r="D102" i="4"/>
  <c r="D101" i="4"/>
  <c r="D100" i="4"/>
  <c r="D99" i="4"/>
  <c r="D98" i="4"/>
  <c r="D116" i="4"/>
  <c r="D75" i="4"/>
  <c r="D94" i="4"/>
  <c r="D92" i="4"/>
  <c r="D91" i="4"/>
  <c r="D90" i="4"/>
  <c r="D89" i="4"/>
  <c r="D73" i="4"/>
  <c r="D72" i="4"/>
  <c r="D71" i="4"/>
  <c r="D70" i="4"/>
  <c r="D69" i="4"/>
  <c r="D53" i="4"/>
  <c r="D58" i="4"/>
  <c r="D52" i="4"/>
  <c r="D50" i="4"/>
  <c r="D49" i="4"/>
  <c r="D48" i="4"/>
  <c r="D46" i="4"/>
  <c r="D45" i="4"/>
  <c r="D44" i="4"/>
  <c r="D43" i="4"/>
  <c r="D42" i="4"/>
  <c r="D41" i="4"/>
  <c r="D40" i="4"/>
  <c r="D65" i="4"/>
  <c r="D63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E66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D34" i="4"/>
  <c r="E34" i="4" l="1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<sst xmlns="http://schemas.openxmlformats.org/spreadsheetml/2006/main" count="391" uniqueCount="266">
  <si>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</si>
  <si>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</si>
  <si>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</si>
  <si>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</si>
  <si>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</si>
  <si>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</si>
  <si>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</si>
  <si>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</si>
  <si>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</si>
  <si>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</si>
  <si>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</si>
  <si>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</si>
  <si>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</si>
  <si>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</si>
  <si>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</si>
  <si>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</si>
  <si>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</si>
  <si>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</si>
  <si>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</si>
  <si>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</si>
  <si>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</si>
  <si>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</si>
  <si>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</si>
  <si>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</si>
  <si>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</si>
  <si>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</si>
  <si>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</si>
  <si>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</si>
  <si>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</si>
  <si>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</si>
  <si>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</si>
  <si>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</si>
  <si>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</si>
  <si>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</si>
  <si>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</si>
  <si>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</si>
  <si>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</si>
  <si>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</si>
  <si>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</si>
  <si>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</si>
  <si>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</si>
  <si>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</si>
  <si>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</si>
  <si>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</si>
  <si>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</si>
  <si>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</si>
  <si>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</si>
  <si>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</si>
  <si>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</si>
  <si>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</si>
  <si>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</si>
  <si>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</si>
  <si>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</si>
  <si>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</si>
  <si>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</si>
  <si>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</si>
  <si>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</si>
  <si>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</si>
  <si>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</si>
  <si>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</si>
  <si>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</si>
  <si>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</si>
  <si>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</si>
  <si>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</si>
  <si>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</si>
  <si>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</si>
  <si>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</si>
  <si>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</si>
  <si>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</si>
  <si>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</si>
  <si>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</si>
  <si>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</si>
  <si>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</si>
  <si>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</si>
  <si>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</si>
  <si>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</si>
  <si>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</si>
  <si>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</si>
  <si>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</si>
  <si>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</si>
  <si>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</si>
  <si>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</si>
  <si>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</si>
  <si>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</si>
  <si>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</si>
  <si>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</si>
  <si>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</si>
  <si>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</si>
  <si>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</si>
  <si>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</si>
  <si>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</si>
  <si>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</si>
  <si>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</si>
  <si>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</si>
  <si>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</si>
  <si>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</si>
  <si>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</si>
  <si>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</si>
  <si>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</si>
  <si>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</si>
  <si>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</si>
  <si>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</si>
  <si>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</si>
  <si>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</si>
  <si>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</si>
  <si>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</si>
  <si>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</si>
  <si>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</si>
  <si>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</si>
  <si>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</si>
  <si>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</si>
  <si>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</si>
  <si>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</si>
  <si>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</si>
  <si>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</si>
  <si>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</si>
  <si>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</si>
  <si>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</si>
  <si>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</si>
  <si>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</si>
  <si>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</si>
  <si>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</si>
  <si>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</si>
  <si>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</si>
  <si>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</si>
  <si>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</si>
  <si>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</si>
  <si>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</si>
  <si>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</si>
  <si>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</si>
  <si>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</si>
  <si>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</si>
  <si>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</si>
  <si>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</si>
  <si>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</si>
  <si>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</si>
  <si>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</si>
  <si>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</si>
  <si>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</si>
  <si>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</si>
  <si>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</si>
  <si>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</si>
  <si>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</si>
  <si>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</si>
  <si>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</si>
  <si>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</si>
  <si>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</si>
  <si>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</si>
  <si>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</si>
  <si>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</si>
  <si>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</si>
  <si>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</si>
  <si>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</si>
  <si>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</si>
  <si>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</si>
  <si>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</si>
  <si>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</si>
  <si>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</si>
  <si>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</si>
  <si>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</si>
  <si>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</si>
  <si>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</si>
  <si>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</si>
  <si>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</si>
  <si>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</si>
  <si>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</si>
  <si>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</si>
  <si>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</si>
  <si>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</si>
  <si>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</si>
  <si>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</si>
  <si>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</si>
  <si>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</si>
  <si>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</si>
  <si>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</si>
  <si>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</si>
  <si>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</si>
  <si>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</si>
  <si>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</si>
  <si>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</si>
  <si>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</si>
  <si>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</si>
  <si>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</si>
  <si>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</si>
  <si>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</si>
  <si>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</si>
  <si>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</si>
  <si>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</si>
  <si>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</si>
  <si>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</si>
  <si>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</si>
  <si>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</si>
  <si>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</si>
  <si>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</si>
  <si>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</si>
  <si>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</si>
  <si>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</si>
  <si>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</si>
  <si>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</si>
  <si>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</si>
  <si>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</si>
  <si>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</si>
  <si>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</si>
  <si>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</si>
  <si>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</si>
  <si>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</si>
  <si>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</si>
  <si>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</si>
  <si>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</si>
  <si>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</si>
  <si>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</si>
  <si>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</si>
  <si>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</si>
  <si>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</si>
  <si>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</si>
  <si>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</si>
  <si>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</si>
  <si>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</si>
  <si>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</si>
  <si>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</si>
  <si>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</si>
  <si>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</si>
  <si>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</si>
  <si>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</si>
  <si>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</si>
  <si>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</si>
  <si>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</si>
  <si>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</si>
  <si>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</si>
  <si>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</si>
  <si>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</si>
  <si>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</si>
  <si>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</si>
  <si>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</si>
  <si>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</si>
  <si>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</si>
  <si>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</si>
  <si>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</si>
  <si>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</si>
  <si>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</si>
  <si>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</si>
  <si>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</si>
  <si>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</si>
  <si>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</si>
  <si>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</si>
  <si>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</si>
  <si>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</si>
  <si>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</si>
  <si>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흡입독성시험시설 구축 공사</t>
    <phoneticPr fontId="2" type="noConversion"/>
  </si>
  <si>
    <t>교육연구</t>
  </si>
  <si>
    <t>인천시</t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</si>
  <si>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</si>
  <si>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</si>
  <si>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</si>
  <si>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기초공사,골재비및운반비,작업부산물,품질시험비,기타공사</t>
    <phoneticPr fontId="2" type="noConversion"/>
  </si>
  <si>
    <t>공조배관공사,난방배관공사,우수처리시설공사,기타공사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</si>
  <si>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</si>
  <si>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</si>
  <si>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펌프실배관공사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</si>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</sst>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7008.96</v>
      </c>
      <c r="D7" s="36">
        <f>+C7/3.3058</f>
        <v>2120.2008590961341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850500</v>
      </c>
      <c r="E25" s="59">
        <f t="shared" si="0"/>
        <v>2811580</v>
      </c>
    </row>
    <row r="26" spans="1:5" x14ac:dyDescent="0.3">
      <c r="B26" s="2">
        <v>3</v>
      </c>
      <c r="C26" s="35" t="s">
        <v>95</v>
      </c>
      <c r="D26" s="45">
        <f>+D66</f>
        <v>50830</v>
      </c>
      <c r="E26" s="59">
        <f t="shared" si="0"/>
        <v>168030</v>
      </c>
    </row>
    <row r="27" spans="1:5" x14ac:dyDescent="0.3">
      <c r="B27" s="2">
        <v>4</v>
      </c>
      <c r="C27" s="35" t="s">
        <v>96</v>
      </c>
      <c r="D27" s="45">
        <f>+D95</f>
        <v>645790</v>
      </c>
      <c r="E27" s="59">
        <f t="shared" si="0"/>
        <v>2134850</v>
      </c>
    </row>
    <row r="28" spans="1:5" x14ac:dyDescent="0.3">
      <c r="B28" s="2">
        <v>5</v>
      </c>
      <c r="C28" s="35" t="s">
        <v>97</v>
      </c>
      <c r="D28" s="45">
        <f>+D119</f>
        <v>286290</v>
      </c>
      <c r="E28" s="59">
        <f t="shared" si="0"/>
        <v>946410</v>
      </c>
    </row>
    <row r="29" spans="1:5" x14ac:dyDescent="0.3">
      <c r="B29" s="2">
        <v>6</v>
      </c>
      <c r="C29" s="35" t="s">
        <v>98</v>
      </c>
      <c r="D29" s="45">
        <f>+D133</f>
        <v>47550</v>
      </c>
      <c r="E29" s="59">
        <f t="shared" si="0"/>
        <v>157190</v>
      </c>
    </row>
    <row r="30" spans="1:5" x14ac:dyDescent="0.3">
      <c r="B30" s="2">
        <v>7</v>
      </c>
      <c r="C30" s="35" t="s">
        <v>99</v>
      </c>
      <c r="D30" s="45">
        <f>+D146</f>
        <v>82790</v>
      </c>
      <c r="E30" s="59">
        <f t="shared" si="0"/>
        <v>273680</v>
      </c>
    </row>
    <row r="31" spans="1:5" x14ac:dyDescent="0.3">
      <c r="B31" s="2">
        <v>8</v>
      </c>
      <c r="C31" s="35" t="s">
        <v>100</v>
      </c>
      <c r="D31" s="45">
        <f>+D154</f>
        <v>8630</v>
      </c>
      <c r="E31" s="59">
        <f t="shared" si="0"/>
        <v>28520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542400</v>
      </c>
      <c r="E33" s="60">
        <f t="shared" si="0"/>
        <v>1793060</v>
      </c>
    </row>
    <row r="34" spans="1:7" x14ac:dyDescent="0.3">
      <c r="C34" s="35" t="s">
        <v>112</v>
      </c>
      <c r="D34" s="44">
        <f>SUM(D24:D33)</f>
        <v>2514780</v>
      </c>
      <c r="E34" s="44">
        <f>SUM(E24:E33)</f>
        <v>8313320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TRUNC(36976,-1)</f>
        <v>36970</v>
      </c>
      <c r="E40" s="62">
        <f t="shared" ref="E40:E59" si="1">TRUNC(+D40*3.3058,-1)</f>
        <v>122210</v>
      </c>
    </row>
    <row r="41" spans="1:7" x14ac:dyDescent="0.3">
      <c r="A41" s="2">
        <v>2</v>
      </c>
      <c r="C41" s="38" t="s">
        <v>13</v>
      </c>
      <c r="D41" s="42">
        <f>TRUNC(69328,-1)</f>
        <v>69320</v>
      </c>
      <c r="E41" s="63">
        <f t="shared" si="1"/>
        <v>229150</v>
      </c>
    </row>
    <row r="42" spans="1:7" x14ac:dyDescent="0.3">
      <c r="A42" s="2">
        <v>3</v>
      </c>
      <c r="C42" s="38" t="s">
        <v>14</v>
      </c>
      <c r="D42" s="42">
        <f>TRUNC(120829,-1)</f>
        <v>120820</v>
      </c>
      <c r="E42" s="63">
        <f t="shared" si="1"/>
        <v>399400</v>
      </c>
    </row>
    <row r="43" spans="1:7" x14ac:dyDescent="0.3">
      <c r="A43" s="2">
        <v>4</v>
      </c>
      <c r="C43" s="38" t="s">
        <v>16</v>
      </c>
      <c r="D43" s="42">
        <f>TRUNC(8238,-1)</f>
        <v>8230</v>
      </c>
      <c r="E43" s="63">
        <f t="shared" si="1"/>
        <v>27200</v>
      </c>
    </row>
    <row r="44" spans="1:7" x14ac:dyDescent="0.3">
      <c r="A44" s="2">
        <v>5</v>
      </c>
      <c r="C44" s="38" t="s">
        <v>17</v>
      </c>
      <c r="D44" s="42">
        <f>TRUNC(41896,-1)</f>
        <v>41890</v>
      </c>
      <c r="E44" s="63">
        <f t="shared" si="1"/>
        <v>138470</v>
      </c>
    </row>
    <row r="45" spans="1:7" x14ac:dyDescent="0.3">
      <c r="A45" s="2">
        <v>6</v>
      </c>
      <c r="C45" s="38" t="s">
        <v>18</v>
      </c>
      <c r="D45" s="42">
        <f>TRUNC(3927,-1)</f>
        <v>3920</v>
      </c>
      <c r="E45" s="63">
        <f t="shared" si="1"/>
        <v>12950</v>
      </c>
    </row>
    <row r="46" spans="1:7" x14ac:dyDescent="0.3">
      <c r="A46" s="2">
        <v>7</v>
      </c>
      <c r="C46" s="38" t="s">
        <v>19</v>
      </c>
      <c r="D46" s="42">
        <f>TRUNC(21116,-1)</f>
        <v>21110</v>
      </c>
      <c r="E46" s="63">
        <f t="shared" si="1"/>
        <v>69780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TRUNC(152314,-1)</f>
        <v>152310</v>
      </c>
      <c r="E48" s="63">
        <f t="shared" si="1"/>
        <v>503500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TRUNC(8754,-1)</f>
        <v>8750</v>
      </c>
      <c r="E49" s="63">
        <f t="shared" si="1"/>
        <v>28920</v>
      </c>
    </row>
    <row r="50" spans="1:7" x14ac:dyDescent="0.3">
      <c r="A50" s="2">
        <v>11</v>
      </c>
      <c r="C50" s="38" t="s">
        <v>155</v>
      </c>
      <c r="D50" s="42">
        <f>TRUNC(25972,-1)</f>
        <v>25970</v>
      </c>
      <c r="E50" s="63">
        <f t="shared" si="1"/>
        <v>85850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TRUNC(21442,-1)</f>
        <v>21440</v>
      </c>
      <c r="E52" s="63">
        <f t="shared" si="1"/>
        <v>70870</v>
      </c>
    </row>
    <row r="53" spans="1:7" x14ac:dyDescent="0.3">
      <c r="A53" s="2">
        <v>14</v>
      </c>
      <c r="C53" s="38" t="s">
        <v>25</v>
      </c>
      <c r="D53" s="42">
        <f>TRUNC(84152,-1)</f>
        <v>84150</v>
      </c>
      <c r="E53" s="63">
        <f t="shared" si="1"/>
        <v>278180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TRUNC(16083+6917-1771+8079+6547,-1)</f>
        <v>35850</v>
      </c>
      <c r="E58" s="63">
        <f t="shared" si="1"/>
        <v>118510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TRUNC(219770,-1)</f>
        <v>219770</v>
      </c>
      <c r="E59" s="64">
        <f t="shared" si="1"/>
        <v>726510</v>
      </c>
    </row>
    <row r="60" spans="1:7" x14ac:dyDescent="0.3">
      <c r="A60" s="2">
        <v>21</v>
      </c>
      <c r="C60" s="27" t="s">
        <v>112</v>
      </c>
      <c r="D60" s="39">
        <f>SUM(D40:D59)</f>
        <v>850500</v>
      </c>
      <c r="E60" s="39">
        <f>SUM(E40:E59)</f>
        <v>2811500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TRUNC(353,-1)</f>
        <v>350</v>
      </c>
      <c r="E63" s="62">
        <f>TRUNC(+D63*3.3058,-1)</f>
        <v>1150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TRUNC(50486,-1)</f>
        <v>50480</v>
      </c>
      <c r="E65" s="64">
        <f>TRUNC(+D65*3.3058,-1)</f>
        <v>166870</v>
      </c>
    </row>
    <row r="66" spans="1:7" x14ac:dyDescent="0.3">
      <c r="A66" s="2">
        <v>4</v>
      </c>
      <c r="C66" s="27" t="s">
        <v>112</v>
      </c>
      <c r="D66" s="39">
        <f>SUM(D63:D65)</f>
        <v>50830</v>
      </c>
      <c r="E66" s="65">
        <f>SUM(E63:E65)</f>
        <v>168020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TRUNC(77885,-1)</f>
        <v>77880</v>
      </c>
      <c r="E69" s="62">
        <f t="shared" ref="E69:E94" si="2">TRUNC(+D69*3.3058,-1)</f>
        <v>257450</v>
      </c>
    </row>
    <row r="70" spans="1:7" ht="16.5" customHeight="1" x14ac:dyDescent="0.3">
      <c r="A70" s="2">
        <v>2</v>
      </c>
      <c r="C70" s="38" t="s">
        <v>31</v>
      </c>
      <c r="D70" s="42">
        <f>TRUNC(447,-1)</f>
        <v>440</v>
      </c>
      <c r="E70" s="63">
        <f t="shared" si="2"/>
        <v>1450</v>
      </c>
    </row>
    <row r="71" spans="1:7" x14ac:dyDescent="0.3">
      <c r="A71" s="2">
        <v>3</v>
      </c>
      <c r="C71" s="38" t="s">
        <v>32</v>
      </c>
      <c r="D71" s="42">
        <f>TRUNC(72276,-1)</f>
        <v>72270</v>
      </c>
      <c r="E71" s="63">
        <f t="shared" si="2"/>
        <v>238910</v>
      </c>
    </row>
    <row r="72" spans="1:7" x14ac:dyDescent="0.3">
      <c r="A72" s="2">
        <v>4</v>
      </c>
      <c r="C72" s="38" t="s">
        <v>33</v>
      </c>
      <c r="D72" s="42">
        <f>TRUNC(16393,-1)</f>
        <v>16390</v>
      </c>
      <c r="E72" s="63">
        <f t="shared" si="2"/>
        <v>54180</v>
      </c>
    </row>
    <row r="73" spans="1:7" x14ac:dyDescent="0.3">
      <c r="A73" s="2">
        <v>5</v>
      </c>
      <c r="C73" s="38" t="s">
        <v>34</v>
      </c>
      <c r="D73" s="42">
        <f>TRUNC(8257,-1)</f>
        <v>8250</v>
      </c>
      <c r="E73" s="63">
        <f t="shared" si="2"/>
        <v>27270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TRUNC(9077,-1)</f>
        <v>9070</v>
      </c>
      <c r="E75" s="63">
        <f t="shared" si="2"/>
        <v>29980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TRUNC(8589,-1)</f>
        <v>8580</v>
      </c>
      <c r="E89" s="63">
        <f t="shared" si="2"/>
        <v>28360</v>
      </c>
    </row>
    <row r="90" spans="1:7" x14ac:dyDescent="0.3">
      <c r="A90" s="2">
        <v>22</v>
      </c>
      <c r="C90" s="38" t="s">
        <v>36</v>
      </c>
      <c r="D90" s="42">
        <f>TRUNC(3052,-1)</f>
        <v>3050</v>
      </c>
      <c r="E90" s="63">
        <f t="shared" si="2"/>
        <v>10080</v>
      </c>
    </row>
    <row r="91" spans="1:7" x14ac:dyDescent="0.3">
      <c r="A91" s="2">
        <v>23</v>
      </c>
      <c r="C91" s="38" t="s">
        <v>37</v>
      </c>
      <c r="D91" s="42">
        <f>TRUNC(85464,-1)</f>
        <v>85460</v>
      </c>
      <c r="E91" s="63">
        <f t="shared" si="2"/>
        <v>282510</v>
      </c>
    </row>
    <row r="92" spans="1:7" x14ac:dyDescent="0.3">
      <c r="A92" s="2">
        <v>24</v>
      </c>
      <c r="C92" s="38" t="s">
        <v>38</v>
      </c>
      <c r="D92" s="42">
        <f>TRUNC(4261,-1)</f>
        <v>4260</v>
      </c>
      <c r="E92" s="63">
        <f t="shared" si="2"/>
        <v>14080</v>
      </c>
    </row>
    <row r="93" spans="1:7" x14ac:dyDescent="0.3">
      <c r="A93" s="2">
        <v>25</v>
      </c>
      <c r="C93" s="38" t="s">
        <v>148</v>
      </c>
      <c r="D93" s="42">
        <f>TRUNC(264165,-1)</f>
        <v>264160</v>
      </c>
      <c r="E93" s="63">
        <f t="shared" si="2"/>
        <v>873260</v>
      </c>
    </row>
    <row r="94" spans="1:7" ht="17.25" thickBot="1" x14ac:dyDescent="0.35">
      <c r="A94" s="2">
        <v>26</v>
      </c>
      <c r="C94" s="38" t="s">
        <v>47</v>
      </c>
      <c r="D94" s="43">
        <f>TRUNC(66114+1002+12370+16501,-1)</f>
        <v>95980</v>
      </c>
      <c r="E94" s="64">
        <f t="shared" si="2"/>
        <v>317290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645790</v>
      </c>
      <c r="E95" s="39">
        <f>SUM(E69:E94)</f>
        <v>2134820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TRUNC(14459,-1)</f>
        <v>14450</v>
      </c>
      <c r="E98" s="62">
        <f t="shared" ref="E98:E118" si="3">TRUNC(+D98*3.3058,-1)</f>
        <v>47760</v>
      </c>
    </row>
    <row r="99" spans="1:7" x14ac:dyDescent="0.3">
      <c r="A99" s="2">
        <v>2</v>
      </c>
      <c r="C99" s="38" t="s">
        <v>40</v>
      </c>
      <c r="D99" s="42">
        <f>TRUNC(14802,-1)</f>
        <v>14800</v>
      </c>
      <c r="E99" s="63">
        <f t="shared" si="3"/>
        <v>48920</v>
      </c>
    </row>
    <row r="100" spans="1:7" x14ac:dyDescent="0.3">
      <c r="A100" s="2">
        <v>3</v>
      </c>
      <c r="C100" s="38" t="s">
        <v>41</v>
      </c>
      <c r="D100" s="42">
        <f>TRUNC(36319,-1)</f>
        <v>36310</v>
      </c>
      <c r="E100" s="63">
        <f t="shared" si="3"/>
        <v>120030</v>
      </c>
    </row>
    <row r="101" spans="1:7" x14ac:dyDescent="0.3">
      <c r="A101" s="2">
        <v>4</v>
      </c>
      <c r="C101" s="38" t="s">
        <v>42</v>
      </c>
      <c r="D101" s="42">
        <f>TRUNC(4543,-1)</f>
        <v>4540</v>
      </c>
      <c r="E101" s="63">
        <f t="shared" si="3"/>
        <v>15000</v>
      </c>
    </row>
    <row r="102" spans="1:7" x14ac:dyDescent="0.3">
      <c r="A102" s="2">
        <v>5</v>
      </c>
      <c r="C102" s="38" t="s">
        <v>43</v>
      </c>
      <c r="D102" s="42">
        <f>TRUNC(14575,-1)</f>
        <v>14570</v>
      </c>
      <c r="E102" s="63">
        <f t="shared" si="3"/>
        <v>48160</v>
      </c>
    </row>
    <row r="103" spans="1:7" x14ac:dyDescent="0.3">
      <c r="A103" s="2">
        <v>6</v>
      </c>
      <c r="C103" s="38" t="s">
        <v>44</v>
      </c>
      <c r="D103" s="42">
        <f>TRUNC(5055,-1)</f>
        <v>5050</v>
      </c>
      <c r="E103" s="63">
        <f t="shared" si="3"/>
        <v>16690</v>
      </c>
    </row>
    <row r="104" spans="1:7" x14ac:dyDescent="0.3">
      <c r="A104" s="2">
        <v>7</v>
      </c>
      <c r="C104" s="38" t="s">
        <v>45</v>
      </c>
      <c r="D104" s="42">
        <f>TRUNC(3029,-1)</f>
        <v>3020</v>
      </c>
      <c r="E104" s="63">
        <f t="shared" si="3"/>
        <v>9980</v>
      </c>
    </row>
    <row r="105" spans="1:7" x14ac:dyDescent="0.3">
      <c r="A105" s="2">
        <v>8</v>
      </c>
      <c r="C105" s="38" t="s">
        <v>46</v>
      </c>
      <c r="D105" s="42">
        <f>TRUNC(6389,-1)</f>
        <v>6380</v>
      </c>
      <c r="E105" s="63">
        <f t="shared" si="3"/>
        <v>21090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TRUNC(8129,-1)</f>
        <v>8120</v>
      </c>
      <c r="E116" s="63">
        <f t="shared" si="3"/>
        <v>26840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TRUNC(179054,-1)</f>
        <v>179050</v>
      </c>
      <c r="E117" s="63">
        <f t="shared" si="3"/>
        <v>591900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286290</v>
      </c>
      <c r="E119" s="39">
        <f>SUM(E98:E118)</f>
        <v>946370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TRUNC(1499,-1)</f>
        <v>1490</v>
      </c>
      <c r="E122" s="62">
        <f t="shared" ref="E122:E132" si="4">TRUNC(+D122*3.3058,-1)</f>
        <v>4920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TRUNC(10507,-1)</f>
        <v>10500</v>
      </c>
      <c r="E125" s="63">
        <f t="shared" si="4"/>
        <v>34710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TRUNC(7059,-1)</f>
        <v>7050</v>
      </c>
      <c r="E128" s="63">
        <f t="shared" si="4"/>
        <v>23300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TRUNC(15244,-1)</f>
        <v>15240</v>
      </c>
      <c r="E130" s="63">
        <f t="shared" si="4"/>
        <v>50380</v>
      </c>
    </row>
    <row r="131" spans="1:7" x14ac:dyDescent="0.3">
      <c r="A131" s="2">
        <v>10</v>
      </c>
      <c r="C131" s="38" t="s">
        <v>148</v>
      </c>
      <c r="D131" s="42">
        <f>TRUNC(13277,-1)</f>
        <v>13270</v>
      </c>
      <c r="E131" s="63">
        <f t="shared" si="4"/>
        <v>43860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47550</v>
      </c>
      <c r="E133" s="39">
        <f>SUM(E122:E132)</f>
        <v>157170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TRUNC(3560,-1)</f>
        <v>3560</v>
      </c>
      <c r="E137" s="63">
        <f t="shared" si="5"/>
        <v>11760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TRUNC(9362,-1)</f>
        <v>9360</v>
      </c>
      <c r="E138" s="63">
        <f t="shared" si="5"/>
        <v>30940</v>
      </c>
    </row>
    <row r="139" spans="1:7" x14ac:dyDescent="0.3">
      <c r="A139" s="2">
        <v>4</v>
      </c>
      <c r="C139" s="38" t="s">
        <v>61</v>
      </c>
      <c r="D139" s="42">
        <f>TRUNC(1322,-1)</f>
        <v>1320</v>
      </c>
      <c r="E139" s="63">
        <f t="shared" si="5"/>
        <v>4360</v>
      </c>
    </row>
    <row r="140" spans="1:7" x14ac:dyDescent="0.3">
      <c r="A140" s="2">
        <v>5</v>
      </c>
      <c r="C140" s="38" t="s">
        <v>57</v>
      </c>
      <c r="D140" s="42">
        <f>TRUNC(1933,-1)</f>
        <v>1930</v>
      </c>
      <c r="E140" s="63">
        <f t="shared" si="5"/>
        <v>6380</v>
      </c>
    </row>
    <row r="141" spans="1:7" x14ac:dyDescent="0.3">
      <c r="A141" s="2">
        <v>6</v>
      </c>
      <c r="C141" s="38" t="s">
        <v>59</v>
      </c>
      <c r="D141" s="42">
        <f>TRUNC(32272,-1)</f>
        <v>32270</v>
      </c>
      <c r="E141" s="63">
        <f t="shared" si="5"/>
        <v>106670</v>
      </c>
    </row>
    <row r="142" spans="1:7" x14ac:dyDescent="0.3">
      <c r="A142" s="2">
        <v>7</v>
      </c>
      <c r="C142" s="38" t="s">
        <v>58</v>
      </c>
      <c r="D142" s="42">
        <f>TRUNC(6958,-1)</f>
        <v>6950</v>
      </c>
      <c r="E142" s="63">
        <f t="shared" si="5"/>
        <v>22970</v>
      </c>
    </row>
    <row r="143" spans="1:7" x14ac:dyDescent="0.3">
      <c r="A143" s="2">
        <v>8</v>
      </c>
      <c r="C143" s="38" t="s">
        <v>62</v>
      </c>
      <c r="D143" s="42">
        <f>TRUNC(10644,-1)</f>
        <v>10640</v>
      </c>
      <c r="E143" s="63">
        <f t="shared" si="5"/>
        <v>35170</v>
      </c>
    </row>
    <row r="144" spans="1:7" x14ac:dyDescent="0.3">
      <c r="A144" s="2">
        <v>9</v>
      </c>
      <c r="C144" s="38" t="s">
        <v>63</v>
      </c>
      <c r="D144" s="42">
        <f>TRUNC(16767,-1)</f>
        <v>16760</v>
      </c>
      <c r="E144" s="63">
        <f t="shared" si="5"/>
        <v>55400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82790</v>
      </c>
      <c r="E146" s="39">
        <f>SUM(E136:E145)</f>
        <v>273650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TRUNC(808+1348,-1)</f>
        <v>2150</v>
      </c>
      <c r="E149" s="62">
        <f>TRUNC(+D149*3.3058,-1)</f>
        <v>7100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TRUNC(261,-1)</f>
        <v>260</v>
      </c>
      <c r="E150" s="63">
        <f>TRUNC(+D150*3.3058,-1)</f>
        <v>850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TRUNC(40+3030+74+2905,-1)</f>
        <v>6040</v>
      </c>
      <c r="E152" s="63">
        <f>TRUNC(+D152*3.3058,-1)</f>
        <v>19960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TRUNC(189,-1)</f>
        <v>180</v>
      </c>
      <c r="E153" s="64">
        <f>TRUNC(+D153*3.3058,-1)</f>
        <v>590</v>
      </c>
    </row>
    <row r="154" spans="1:7" x14ac:dyDescent="0.3">
      <c r="A154" s="2">
        <v>6</v>
      </c>
      <c r="C154" s="27" t="s">
        <v>112</v>
      </c>
      <c r="D154" s="39">
        <f>SUM(D149:D153)</f>
        <v>8630</v>
      </c>
      <c r="E154" s="39">
        <f>SUM(E149:E153)</f>
        <v>28500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2020-12-08T02:16:27Z</dcterms:modified>
</cp:coreProperties>
</file>