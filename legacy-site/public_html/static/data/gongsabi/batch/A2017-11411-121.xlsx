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0" i="4"/>
  <c r="D137" i="4"/>
  <c r="D132" i="4"/>
  <c r="D131" i="4"/>
  <c r="D130" i="4"/>
  <c r="D128" i="4"/>
  <c r="D127" i="4"/>
  <c r="D126" i="4"/>
  <c r="D118" i="4"/>
  <c r="D105" i="4"/>
  <c r="D104" i="4"/>
  <c r="D103" i="4"/>
  <c r="D102" i="4"/>
  <c r="D100" i="4"/>
  <c r="D99" i="4"/>
  <c r="D98" i="4"/>
  <c r="D94" i="4"/>
  <c r="D93" i="4"/>
  <c r="D92" i="4"/>
  <c r="D91" i="4"/>
  <c r="D89" i="4"/>
  <c r="D76" i="4"/>
  <c r="D73" i="4"/>
  <c r="D72" i="4"/>
  <c r="D70" i="4"/>
  <c r="D69" i="4"/>
  <c r="D63" i="4"/>
  <c r="D59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<sst xmlns="http://schemas.openxmlformats.org/spreadsheetml/2006/main" count="389" uniqueCount="265">
  <si>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</si>
  <si>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</si>
  <si>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</si>
  <si>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</si>
  <si>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</si>
  <si>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</si>
  <si>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</si>
  <si>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</si>
  <si>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</si>
  <si>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</si>
  <si>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</si>
  <si>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</si>
  <si>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</si>
  <si>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</si>
  <si>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</si>
  <si>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</si>
  <si>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</si>
  <si>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</si>
  <si>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</si>
  <si>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</si>
  <si>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</si>
  <si>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</si>
  <si>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</si>
  <si>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</si>
  <si>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</si>
  <si>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</si>
  <si>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</si>
  <si>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</si>
  <si>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</si>
  <si>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</si>
  <si>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</si>
  <si>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</si>
  <si>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</si>
  <si>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</si>
  <si>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</si>
  <si>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</si>
  <si>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</si>
  <si>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</si>
  <si>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</si>
  <si>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</si>
  <si>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</si>
  <si>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</si>
  <si>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</si>
  <si>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</si>
  <si>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</si>
  <si>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</si>
  <si>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</si>
  <si>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</si>
  <si>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</si>
  <si>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</si>
  <si>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</si>
  <si>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</si>
  <si>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</si>
  <si>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</si>
  <si>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</si>
  <si>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</si>
  <si>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</si>
  <si>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</si>
  <si>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</si>
  <si>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</si>
  <si>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</si>
  <si>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</si>
  <si>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</si>
  <si>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</si>
  <si>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</si>
  <si>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</si>
  <si>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</si>
  <si>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</si>
  <si>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</si>
  <si>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</si>
  <si>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</si>
  <si>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</si>
  <si>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</si>
  <si>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</si>
  <si>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</si>
  <si>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</si>
  <si>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</si>
  <si>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</si>
  <si>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</si>
  <si>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</si>
  <si>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</si>
  <si>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</si>
  <si>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</si>
  <si>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</si>
  <si>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</si>
  <si>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</si>
  <si>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</si>
  <si>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</si>
  <si>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</si>
  <si>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</si>
  <si>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</si>
  <si>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</si>
  <si>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</si>
  <si>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</si>
  <si>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</si>
  <si>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</si>
  <si>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</si>
  <si>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</si>
  <si>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</si>
  <si>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</si>
  <si>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</si>
  <si>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</si>
  <si>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</si>
  <si>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</si>
  <si>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</si>
  <si>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</si>
  <si>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</si>
  <si>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</si>
  <si>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</si>
  <si>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</si>
  <si>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</si>
  <si>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</si>
  <si>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</si>
  <si>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</si>
  <si>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</si>
  <si>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</si>
  <si>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</si>
  <si>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</si>
  <si>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</si>
  <si>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</si>
  <si>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</si>
  <si>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</si>
  <si>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</si>
  <si>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</si>
  <si>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</si>
  <si>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</si>
  <si>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</si>
  <si>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</si>
  <si>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</si>
  <si>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</si>
  <si>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</si>
  <si>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</si>
  <si>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</si>
  <si>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</si>
  <si>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</si>
  <si>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</si>
  <si>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</si>
  <si>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</si>
  <si>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</si>
  <si>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</si>
  <si>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</si>
  <si>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</si>
  <si>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</si>
  <si>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</si>
  <si>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</si>
  <si>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</si>
  <si>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</si>
  <si>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</si>
  <si>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</si>
  <si>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</si>
  <si>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</si>
  <si>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</si>
  <si>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</si>
  <si>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</si>
  <si>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</si>
  <si>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</si>
  <si>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</si>
  <si>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</si>
  <si>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</si>
  <si>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</si>
  <si>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</si>
  <si>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</si>
  <si>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</si>
  <si>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</si>
  <si>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</si>
  <si>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</si>
  <si>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</si>
  <si>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</si>
  <si>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</si>
  <si>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</si>
  <si>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</si>
  <si>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</si>
  <si>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</si>
  <si>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</si>
  <si>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</si>
  <si>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</si>
  <si>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</si>
  <si>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</si>
  <si>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</si>
  <si>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</si>
  <si>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</si>
  <si>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</si>
  <si>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</si>
  <si>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</si>
  <si>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</si>
  <si>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</si>
  <si>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</si>
  <si>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</si>
  <si>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</si>
  <si>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</si>
  <si>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</si>
  <si>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</si>
  <si>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</si>
  <si>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</si>
  <si>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</si>
  <si>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</si>
  <si>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</si>
  <si>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</si>
  <si>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</si>
  <si>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</si>
  <si>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</si>
  <si>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</si>
  <si>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</si>
  <si>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</si>
  <si>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</si>
  <si>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</si>
  <si>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</si>
  <si>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</si>
  <si>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</si>
  <si>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</si>
  <si>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</si>
  <si>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</si>
  <si>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</si>
  <si>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</si>
  <si>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</si>
  <si>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</si>
  <si>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</si>
  <si>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</si>
  <si>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</si>
  <si>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</si>
  <si>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</si>
  <si>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</si>
  <si>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</si>
  <si>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</si>
  <si>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</si>
  <si>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</si>
  <si>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</si>
  <si>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</si>
  <si>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</si>
  <si>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</si>
  <si>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</si>
  <si>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</si>
  <si>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</si>
  <si>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</si>
  <si>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</si>
  <si>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</si>
  <si>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</si>
  <si>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</si>
  <si>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</si>
  <si>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</si>
  <si>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</si>
  <si>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</si>
  <si>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</si>
  <si>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</si>
  <si>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</si>
  <si>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</si>
  <si>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</si>
  <si>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</si>
  <si>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</si>
  <si>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</si>
  <si>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</si>
  <si>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</si>
  <si>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옥외소화배관공사, 펌프실배관공사, 기타공사</t>
    <phoneticPr fontId="2" type="noConversion"/>
  </si>
  <si>
    <t>교육연구</t>
  </si>
  <si>
    <t>(가칭)두촌초등학교 신축공사</t>
    <phoneticPr fontId="2" type="noConversion"/>
  </si>
  <si>
    <t>충청도</t>
  </si>
  <si>
    <t>기초공사, 골재비및운반비, 작업부산물, 품질시험비, 기타공사</t>
    <phoneticPr fontId="2" type="noConversion"/>
  </si>
  <si>
    <t>CCTV설비공사, 기타공사</t>
    <phoneticPr fontId="2" type="noConversion"/>
  </si>
  <si>
    <t>상수도공사, 사급자재비, 운반비,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</si>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</sst>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12671.65</v>
      </c>
      <c r="D7" s="36">
        <f>+C7/3.3058</f>
        <v>3833.1568757940586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856770</v>
      </c>
      <c r="E25" s="59">
        <f t="shared" si="0"/>
        <v>2832310</v>
      </c>
    </row>
    <row r="26" spans="1:5" x14ac:dyDescent="0.3">
      <c r="B26" s="2">
        <v>3</v>
      </c>
      <c r="C26" s="35" t="s">
        <v>95</v>
      </c>
      <c r="D26" s="45">
        <f>+D66</f>
        <v>4840</v>
      </c>
      <c r="E26" s="59">
        <f t="shared" si="0"/>
        <v>16000</v>
      </c>
    </row>
    <row r="27" spans="1:5" x14ac:dyDescent="0.3">
      <c r="B27" s="2">
        <v>4</v>
      </c>
      <c r="C27" s="35" t="s">
        <v>96</v>
      </c>
      <c r="D27" s="45">
        <f>+D95</f>
        <v>159010</v>
      </c>
      <c r="E27" s="59">
        <f t="shared" si="0"/>
        <v>525650</v>
      </c>
    </row>
    <row r="28" spans="1:5" x14ac:dyDescent="0.3">
      <c r="B28" s="2">
        <v>5</v>
      </c>
      <c r="C28" s="35" t="s">
        <v>97</v>
      </c>
      <c r="D28" s="45">
        <f>+D119</f>
        <v>147880</v>
      </c>
      <c r="E28" s="59">
        <f t="shared" si="0"/>
        <v>488860</v>
      </c>
    </row>
    <row r="29" spans="1:5" x14ac:dyDescent="0.3">
      <c r="B29" s="2">
        <v>6</v>
      </c>
      <c r="C29" s="35" t="s">
        <v>98</v>
      </c>
      <c r="D29" s="45">
        <f>+D133</f>
        <v>46840</v>
      </c>
      <c r="E29" s="59">
        <f t="shared" si="0"/>
        <v>154840</v>
      </c>
    </row>
    <row r="30" spans="1:5" x14ac:dyDescent="0.3">
      <c r="B30" s="2">
        <v>7</v>
      </c>
      <c r="C30" s="35" t="s">
        <v>99</v>
      </c>
      <c r="D30" s="45">
        <f>+D146</f>
        <v>43570</v>
      </c>
      <c r="E30" s="59">
        <f t="shared" si="0"/>
        <v>144030</v>
      </c>
    </row>
    <row r="31" spans="1:5" x14ac:dyDescent="0.3">
      <c r="B31" s="2">
        <v>8</v>
      </c>
      <c r="C31" s="35" t="s">
        <v>100</v>
      </c>
      <c r="D31" s="45">
        <f>+D154</f>
        <v>21750</v>
      </c>
      <c r="E31" s="59">
        <f t="shared" si="0"/>
        <v>71900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352180</v>
      </c>
      <c r="E33" s="60">
        <f t="shared" si="0"/>
        <v>1164230</v>
      </c>
    </row>
    <row r="34" spans="1:7" x14ac:dyDescent="0.3">
      <c r="C34" s="35" t="s">
        <v>112</v>
      </c>
      <c r="D34" s="44">
        <f>SUM(D24:D33)</f>
        <v>1632840</v>
      </c>
      <c r="E34" s="44">
        <f>SUM(E24:E33)</f>
        <v>5397820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259</v>
      </c>
      <c r="D39" s="57" t="s">
        <v>260</v>
      </c>
      <c r="E39" s="57" t="s">
        <v>261</v>
      </c>
      <c r="G39" s="55"/>
    </row>
    <row r="40" spans="1:7" x14ac:dyDescent="0.3">
      <c r="A40" s="2">
        <v>1</v>
      </c>
      <c r="C40" s="38" t="s">
        <v>15</v>
      </c>
      <c r="D40" s="40">
        <f>TRUNC(32012,-1)</f>
        <v>32010</v>
      </c>
      <c r="E40" s="62">
        <f t="shared" ref="E40:E59" si="1">TRUNC(+D40*3.3058,-1)</f>
        <v>105810</v>
      </c>
    </row>
    <row r="41" spans="1:7" x14ac:dyDescent="0.3">
      <c r="A41" s="2">
        <v>2</v>
      </c>
      <c r="C41" s="38" t="s">
        <v>13</v>
      </c>
      <c r="D41" s="42">
        <f>TRUNC(136518,-1)</f>
        <v>136510</v>
      </c>
      <c r="E41" s="63">
        <f t="shared" si="1"/>
        <v>451270</v>
      </c>
    </row>
    <row r="42" spans="1:7" x14ac:dyDescent="0.3">
      <c r="A42" s="2">
        <v>3</v>
      </c>
      <c r="C42" s="38" t="s">
        <v>14</v>
      </c>
      <c r="D42" s="42">
        <f>TRUNC(13406,-1)</f>
        <v>13400</v>
      </c>
      <c r="E42" s="63">
        <f t="shared" si="1"/>
        <v>44290</v>
      </c>
    </row>
    <row r="43" spans="1:7" x14ac:dyDescent="0.3">
      <c r="A43" s="2">
        <v>4</v>
      </c>
      <c r="C43" s="38" t="s">
        <v>16</v>
      </c>
      <c r="D43" s="42">
        <f>TRUNC(27132,-1)</f>
        <v>27130</v>
      </c>
      <c r="E43" s="63">
        <f t="shared" si="1"/>
        <v>89680</v>
      </c>
    </row>
    <row r="44" spans="1:7" x14ac:dyDescent="0.3">
      <c r="A44" s="2">
        <v>5</v>
      </c>
      <c r="C44" s="38" t="s">
        <v>17</v>
      </c>
      <c r="D44" s="42">
        <f>TRUNC(24183,-1)</f>
        <v>24180</v>
      </c>
      <c r="E44" s="63">
        <f t="shared" si="1"/>
        <v>79930</v>
      </c>
    </row>
    <row r="45" spans="1:7" x14ac:dyDescent="0.3">
      <c r="A45" s="2">
        <v>6</v>
      </c>
      <c r="C45" s="38" t="s">
        <v>18</v>
      </c>
      <c r="D45" s="42">
        <v>7880</v>
      </c>
      <c r="E45" s="63">
        <f t="shared" si="1"/>
        <v>26040</v>
      </c>
    </row>
    <row r="46" spans="1:7" x14ac:dyDescent="0.3">
      <c r="A46" s="2">
        <v>7</v>
      </c>
      <c r="C46" s="38" t="s">
        <v>19</v>
      </c>
      <c r="D46" s="42">
        <f>TRUNC(18944,-1)</f>
        <v>18940</v>
      </c>
      <c r="E46" s="63">
        <f t="shared" si="1"/>
        <v>62610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TRUNC(63641,-1)</f>
        <v>63640</v>
      </c>
      <c r="E48" s="63">
        <f t="shared" si="1"/>
        <v>210380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TRUNC(14245,-1)</f>
        <v>14240</v>
      </c>
      <c r="E49" s="63">
        <f t="shared" si="1"/>
        <v>47070</v>
      </c>
    </row>
    <row r="50" spans="1:7" x14ac:dyDescent="0.3">
      <c r="A50" s="2">
        <v>11</v>
      </c>
      <c r="C50" s="38" t="s">
        <v>155</v>
      </c>
      <c r="D50" s="42">
        <f>TRUNC(69436,-1)</f>
        <v>69430</v>
      </c>
      <c r="E50" s="63">
        <f t="shared" si="1"/>
        <v>229520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TRUNC(6608,-1)</f>
        <v>6600</v>
      </c>
      <c r="E52" s="63">
        <f t="shared" si="1"/>
        <v>21810</v>
      </c>
    </row>
    <row r="53" spans="1:7" x14ac:dyDescent="0.3">
      <c r="A53" s="2">
        <v>14</v>
      </c>
      <c r="C53" s="38" t="s">
        <v>25</v>
      </c>
      <c r="D53" s="42">
        <f>TRUNC(129283,-1)</f>
        <v>129280</v>
      </c>
      <c r="E53" s="63">
        <f t="shared" si="1"/>
        <v>427370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TRUNC(11497+3877-657+877+20198,-1)</f>
        <v>35790</v>
      </c>
      <c r="E58" s="63">
        <f t="shared" si="1"/>
        <v>118310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TRUNC(277743,-1)</f>
        <v>277740</v>
      </c>
      <c r="E59" s="64">
        <f t="shared" si="1"/>
        <v>918150</v>
      </c>
    </row>
    <row r="60" spans="1:7" x14ac:dyDescent="0.3">
      <c r="A60" s="2">
        <v>21</v>
      </c>
      <c r="C60" s="27" t="s">
        <v>112</v>
      </c>
      <c r="D60" s="39">
        <f>SUM(D40:D59)</f>
        <v>856770</v>
      </c>
      <c r="E60" s="39">
        <f>SUM(E40:E59)</f>
        <v>2832240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TRUNC(4845,-1)</f>
        <v>4840</v>
      </c>
      <c r="E63" s="62">
        <f>TRUNC(+D63*3.3058,-1)</f>
        <v>16000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4840</v>
      </c>
      <c r="E66" s="65">
        <f>SUM(E63:E65)</f>
        <v>16000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TRUNC(10859,-1)</f>
        <v>10850</v>
      </c>
      <c r="E69" s="62">
        <f t="shared" ref="E69:E94" si="2">TRUNC(+D69*3.3058,-1)</f>
        <v>35860</v>
      </c>
    </row>
    <row r="70" spans="1:7" ht="16.5" customHeight="1" x14ac:dyDescent="0.3">
      <c r="A70" s="2">
        <v>2</v>
      </c>
      <c r="C70" s="38" t="s">
        <v>31</v>
      </c>
      <c r="D70" s="42">
        <f>TRUNC(327,-1)</f>
        <v>320</v>
      </c>
      <c r="E70" s="63">
        <f t="shared" si="2"/>
        <v>1050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TRUNC(2562,-1)</f>
        <v>2560</v>
      </c>
      <c r="E72" s="63">
        <f t="shared" si="2"/>
        <v>8460</v>
      </c>
    </row>
    <row r="73" spans="1:7" x14ac:dyDescent="0.3">
      <c r="A73" s="2">
        <v>5</v>
      </c>
      <c r="C73" s="38" t="s">
        <v>34</v>
      </c>
      <c r="D73" s="42">
        <f>TRUNC(28771,-1)</f>
        <v>28770</v>
      </c>
      <c r="E73" s="63">
        <f t="shared" si="2"/>
        <v>95100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TRUNC(19035,-1)</f>
        <v>19030</v>
      </c>
      <c r="E76" s="63">
        <f t="shared" si="2"/>
        <v>62900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TRUNC(8071,-1)</f>
        <v>8070</v>
      </c>
      <c r="E89" s="63">
        <f t="shared" si="2"/>
        <v>26670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TRUNC(2033,-1)</f>
        <v>2030</v>
      </c>
      <c r="E91" s="63">
        <f t="shared" si="2"/>
        <v>6710</v>
      </c>
    </row>
    <row r="92" spans="1:7" x14ac:dyDescent="0.3">
      <c r="A92" s="2">
        <v>24</v>
      </c>
      <c r="C92" s="38" t="s">
        <v>38</v>
      </c>
      <c r="D92" s="42">
        <f>TRUNC(12007,-1)</f>
        <v>12000</v>
      </c>
      <c r="E92" s="63">
        <f t="shared" si="2"/>
        <v>39660</v>
      </c>
    </row>
    <row r="93" spans="1:7" x14ac:dyDescent="0.3">
      <c r="A93" s="2">
        <v>25</v>
      </c>
      <c r="C93" s="38" t="s">
        <v>148</v>
      </c>
      <c r="D93" s="42">
        <f>TRUNC(70096,-1)</f>
        <v>70090</v>
      </c>
      <c r="E93" s="63">
        <f t="shared" si="2"/>
        <v>231700</v>
      </c>
    </row>
    <row r="94" spans="1:7" ht="17.25" thickBot="1" x14ac:dyDescent="0.35">
      <c r="A94" s="2">
        <v>26</v>
      </c>
      <c r="C94" s="38" t="s">
        <v>47</v>
      </c>
      <c r="D94" s="43">
        <f>TRUNC(164+1172+3955,-1)</f>
        <v>5290</v>
      </c>
      <c r="E94" s="64">
        <f t="shared" si="2"/>
        <v>17480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159010</v>
      </c>
      <c r="E95" s="39">
        <f>SUM(E69:E94)</f>
        <v>525590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TRUNC(13112,-1)</f>
        <v>13110</v>
      </c>
      <c r="E98" s="62">
        <f t="shared" ref="E98:E118" si="3">TRUNC(+D98*3.3058,-1)</f>
        <v>43330</v>
      </c>
    </row>
    <row r="99" spans="1:7" x14ac:dyDescent="0.3">
      <c r="A99" s="2">
        <v>2</v>
      </c>
      <c r="C99" s="38" t="s">
        <v>40</v>
      </c>
      <c r="D99" s="42">
        <f>TRUNC(4844,-1)</f>
        <v>4840</v>
      </c>
      <c r="E99" s="63">
        <f t="shared" si="3"/>
        <v>16000</v>
      </c>
    </row>
    <row r="100" spans="1:7" x14ac:dyDescent="0.3">
      <c r="A100" s="2">
        <v>3</v>
      </c>
      <c r="C100" s="38" t="s">
        <v>41</v>
      </c>
      <c r="D100" s="42">
        <f>TRUNC(28004,-1)</f>
        <v>28000</v>
      </c>
      <c r="E100" s="63">
        <f t="shared" si="3"/>
        <v>92560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TRUNC(13402,-1)</f>
        <v>13400</v>
      </c>
      <c r="E102" s="63">
        <f t="shared" si="3"/>
        <v>44290</v>
      </c>
    </row>
    <row r="103" spans="1:7" x14ac:dyDescent="0.3">
      <c r="A103" s="2">
        <v>6</v>
      </c>
      <c r="C103" s="38" t="s">
        <v>44</v>
      </c>
      <c r="D103" s="42">
        <f>TRUNC(5124,-1)</f>
        <v>5120</v>
      </c>
      <c r="E103" s="63">
        <f t="shared" si="3"/>
        <v>16920</v>
      </c>
    </row>
    <row r="104" spans="1:7" x14ac:dyDescent="0.3">
      <c r="A104" s="2">
        <v>7</v>
      </c>
      <c r="C104" s="38" t="s">
        <v>45</v>
      </c>
      <c r="D104" s="42">
        <f>TRUNC(2275,-1)</f>
        <v>2270</v>
      </c>
      <c r="E104" s="63">
        <f t="shared" si="3"/>
        <v>7500</v>
      </c>
    </row>
    <row r="105" spans="1:7" x14ac:dyDescent="0.3">
      <c r="A105" s="2">
        <v>8</v>
      </c>
      <c r="C105" s="38" t="s">
        <v>46</v>
      </c>
      <c r="D105" s="42">
        <f>TRUNC(7457,-1)</f>
        <v>7450</v>
      </c>
      <c r="E105" s="63">
        <f t="shared" si="3"/>
        <v>24620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72770</v>
      </c>
      <c r="E117" s="63">
        <f t="shared" si="3"/>
        <v>240560</v>
      </c>
    </row>
    <row r="118" spans="1:7" ht="17.25" thickBot="1" x14ac:dyDescent="0.35">
      <c r="A118" s="2">
        <v>21</v>
      </c>
      <c r="C118" s="38" t="s">
        <v>47</v>
      </c>
      <c r="D118" s="43">
        <f>TRUNC(929,-1)</f>
        <v>920</v>
      </c>
      <c r="E118" s="64">
        <f t="shared" si="3"/>
        <v>3040</v>
      </c>
    </row>
    <row r="119" spans="1:7" x14ac:dyDescent="0.3">
      <c r="A119" s="2">
        <v>22</v>
      </c>
      <c r="C119" s="27" t="s">
        <v>112</v>
      </c>
      <c r="D119" s="39">
        <f>SUM(D98:D118)</f>
        <v>147880</v>
      </c>
      <c r="E119" s="39">
        <f>SUM(E98:E118)</f>
        <v>488820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7850</v>
      </c>
      <c r="E125" s="63">
        <f t="shared" si="4"/>
        <v>25950</v>
      </c>
    </row>
    <row r="126" spans="1:7" x14ac:dyDescent="0.3">
      <c r="A126" s="2">
        <v>5</v>
      </c>
      <c r="C126" s="38" t="s">
        <v>53</v>
      </c>
      <c r="D126" s="42">
        <f>TRUNC(481,-1)</f>
        <v>480</v>
      </c>
      <c r="E126" s="63">
        <f t="shared" si="4"/>
        <v>1580</v>
      </c>
    </row>
    <row r="127" spans="1:7" x14ac:dyDescent="0.3">
      <c r="A127" s="2">
        <v>6</v>
      </c>
      <c r="C127" s="38" t="s">
        <v>56</v>
      </c>
      <c r="D127" s="42">
        <f>TRUNC(2728,-1)</f>
        <v>2720</v>
      </c>
      <c r="E127" s="63">
        <f t="shared" si="4"/>
        <v>8990</v>
      </c>
    </row>
    <row r="128" spans="1:7" x14ac:dyDescent="0.3">
      <c r="A128" s="2">
        <v>7</v>
      </c>
      <c r="C128" s="38" t="s">
        <v>46</v>
      </c>
      <c r="D128" s="42">
        <f>TRUNC(4271,-1)</f>
        <v>4270</v>
      </c>
      <c r="E128" s="63">
        <f t="shared" si="4"/>
        <v>14110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TRUNC(18591,-1)</f>
        <v>18590</v>
      </c>
      <c r="E130" s="63">
        <f t="shared" si="4"/>
        <v>61450</v>
      </c>
    </row>
    <row r="131" spans="1:7" x14ac:dyDescent="0.3">
      <c r="A131" s="2">
        <v>10</v>
      </c>
      <c r="C131" s="38" t="s">
        <v>148</v>
      </c>
      <c r="D131" s="42">
        <f>TRUNC(10544,-1)</f>
        <v>10540</v>
      </c>
      <c r="E131" s="63">
        <f t="shared" si="4"/>
        <v>34840</v>
      </c>
    </row>
    <row r="132" spans="1:7" ht="18" thickBot="1" x14ac:dyDescent="0.35">
      <c r="A132" s="2">
        <v>11</v>
      </c>
      <c r="C132" s="38" t="s">
        <v>47</v>
      </c>
      <c r="D132" s="43">
        <f>TRUNC(2348+44,-1)</f>
        <v>2390</v>
      </c>
      <c r="E132" s="64">
        <f t="shared" si="4"/>
        <v>7900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46840</v>
      </c>
      <c r="E133" s="39">
        <f>SUM(E122:E132)</f>
        <v>154820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TRUNC(300+2176+8330,-1)</f>
        <v>10800</v>
      </c>
      <c r="E137" s="63">
        <f t="shared" si="5"/>
        <v>35700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TRUNC(1847,-1)</f>
        <v>1840</v>
      </c>
      <c r="E140" s="63">
        <f t="shared" si="5"/>
        <v>6080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TRUNC(14998,-1)</f>
        <v>14990</v>
      </c>
      <c r="E142" s="63">
        <f t="shared" si="5"/>
        <v>49550</v>
      </c>
    </row>
    <row r="143" spans="1:7" x14ac:dyDescent="0.3">
      <c r="A143" s="2">
        <v>8</v>
      </c>
      <c r="C143" s="38" t="s">
        <v>62</v>
      </c>
      <c r="D143" s="42">
        <f>TRUNC(6448,-1)</f>
        <v>6440</v>
      </c>
      <c r="E143" s="63">
        <f t="shared" si="5"/>
        <v>21280</v>
      </c>
    </row>
    <row r="144" spans="1:7" x14ac:dyDescent="0.3">
      <c r="A144" s="2">
        <v>9</v>
      </c>
      <c r="C144" s="38" t="s">
        <v>63</v>
      </c>
      <c r="D144" s="42">
        <f>TRUNC(9507,-1)</f>
        <v>9500</v>
      </c>
      <c r="E144" s="63">
        <f t="shared" si="5"/>
        <v>31400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43570</v>
      </c>
      <c r="E146" s="39">
        <f>SUM(E136:E145)</f>
        <v>144010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TRUNC(3791+1098,-1)</f>
        <v>4880</v>
      </c>
      <c r="E149" s="62">
        <f>TRUNC(+D149*3.3058,-1)</f>
        <v>16130</v>
      </c>
    </row>
    <row r="150" spans="1:7" x14ac:dyDescent="0.3">
      <c r="A150" s="2">
        <v>2</v>
      </c>
      <c r="C150" s="38" t="s">
        <v>49</v>
      </c>
      <c r="D150" s="42">
        <f>TRUNC(2285,-1)</f>
        <v>2280</v>
      </c>
      <c r="E150" s="63">
        <f>TRUNC(+D150*3.3058,-1)</f>
        <v>7530</v>
      </c>
    </row>
    <row r="151" spans="1:7" x14ac:dyDescent="0.3">
      <c r="A151" s="2">
        <v>3</v>
      </c>
      <c r="C151" s="38" t="s">
        <v>50</v>
      </c>
      <c r="D151" s="42">
        <f>TRUNC(3327,-1)</f>
        <v>3320</v>
      </c>
      <c r="E151" s="63">
        <f>TRUNC(+D151*3.3058,-1)</f>
        <v>10970</v>
      </c>
    </row>
    <row r="152" spans="1:7" x14ac:dyDescent="0.3">
      <c r="A152" s="2">
        <v>4</v>
      </c>
      <c r="C152" s="38" t="s">
        <v>47</v>
      </c>
      <c r="D152" s="42">
        <f>TRUNC(2446+8191+125+515,-1)</f>
        <v>11270</v>
      </c>
      <c r="E152" s="63">
        <f>TRUNC(+D152*3.3058,-1)</f>
        <v>37250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21750</v>
      </c>
      <c r="E154" s="39">
        <f>SUM(E149:E153)</f>
        <v>71880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2020-12-08T01:59:18Z</dcterms:modified>
</cp:coreProperties>
</file>