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2" i="4"/>
  <c r="D150" i="4"/>
  <c r="D149" i="4"/>
  <c r="D144" i="4"/>
  <c r="D143" i="4"/>
  <c r="D142" i="4"/>
  <c r="D141" i="4"/>
  <c r="D140" i="4"/>
  <c r="D139" i="4"/>
  <c r="D137" i="4"/>
  <c r="D132" i="4"/>
  <c r="D131" i="4"/>
  <c r="D130" i="4"/>
  <c r="D128" i="4"/>
  <c r="D125" i="4"/>
  <c r="D124" i="4"/>
  <c r="D122" i="4"/>
  <c r="D118" i="4"/>
  <c r="D117" i="4"/>
  <c r="D116" i="4"/>
  <c r="D105" i="4"/>
  <c r="D104" i="4"/>
  <c r="D103" i="4"/>
  <c r="D102" i="4"/>
  <c r="D101" i="4"/>
  <c r="D99" i="4"/>
  <c r="D94" i="4"/>
  <c r="D93" i="4"/>
  <c r="D91" i="4"/>
  <c r="D76" i="4"/>
  <c r="D75" i="4"/>
  <c r="D73" i="4"/>
  <c r="D72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<sst xmlns="http://schemas.openxmlformats.org/spreadsheetml/2006/main" count="393" uniqueCount="269">
  <si>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</si>
  <si>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</si>
  <si>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</si>
  <si>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</si>
  <si>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</si>
  <si>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</si>
  <si>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</si>
  <si>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</si>
  <si>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</si>
  <si>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</si>
  <si>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</si>
  <si>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</si>
  <si>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</si>
  <si>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</si>
  <si>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</si>
  <si>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</si>
  <si>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</si>
  <si>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</si>
  <si>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</si>
  <si>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</si>
  <si>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</si>
  <si>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</si>
  <si>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</si>
  <si>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</si>
  <si>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</si>
  <si>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</si>
  <si>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</si>
  <si>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</si>
  <si>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</si>
  <si>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</si>
  <si>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</si>
  <si>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</si>
  <si>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</si>
  <si>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</si>
  <si>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</si>
  <si>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</si>
  <si>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</si>
  <si>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</si>
  <si>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</si>
  <si>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</si>
  <si>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</si>
  <si>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</si>
  <si>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</si>
  <si>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</si>
  <si>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</si>
  <si>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</si>
  <si>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</si>
  <si>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</si>
  <si>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</si>
  <si>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</si>
  <si>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</si>
  <si>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</si>
  <si>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</si>
  <si>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</si>
  <si>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</si>
  <si>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</si>
  <si>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</si>
  <si>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</si>
  <si>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</si>
  <si>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</si>
  <si>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</si>
  <si>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</si>
  <si>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</si>
  <si>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</si>
  <si>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</si>
  <si>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</si>
  <si>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</si>
  <si>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</si>
  <si>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</si>
  <si>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</si>
  <si>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</si>
  <si>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</si>
  <si>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</si>
  <si>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</si>
  <si>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</si>
  <si>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</si>
  <si>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</si>
  <si>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</si>
  <si>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</si>
  <si>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</si>
  <si>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</si>
  <si>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</si>
  <si>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</si>
  <si>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</si>
  <si>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</si>
  <si>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</si>
  <si>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</si>
  <si>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</si>
  <si>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</si>
  <si>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</si>
  <si>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</si>
  <si>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</si>
  <si>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</si>
  <si>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</si>
  <si>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</si>
  <si>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</si>
  <si>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</si>
  <si>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</si>
  <si>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</si>
  <si>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</si>
  <si>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</si>
  <si>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</si>
  <si>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</si>
  <si>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</si>
  <si>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</si>
  <si>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</si>
  <si>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</si>
  <si>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</si>
  <si>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</si>
  <si>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</si>
  <si>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</si>
  <si>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</si>
  <si>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</si>
  <si>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</si>
  <si>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</si>
  <si>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</si>
  <si>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</si>
  <si>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</si>
  <si>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</si>
  <si>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</si>
  <si>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</si>
  <si>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</si>
  <si>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</si>
  <si>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</si>
  <si>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</si>
  <si>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</si>
  <si>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</si>
  <si>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</si>
  <si>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</si>
  <si>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</si>
  <si>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</si>
  <si>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</si>
  <si>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</si>
  <si>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</si>
  <si>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</si>
  <si>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</si>
  <si>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</si>
  <si>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</si>
  <si>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</si>
  <si>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</si>
  <si>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</si>
  <si>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</si>
  <si>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</si>
  <si>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</si>
  <si>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</si>
  <si>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</si>
  <si>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</si>
  <si>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</si>
  <si>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</si>
  <si>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</si>
  <si>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</si>
  <si>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</si>
  <si>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</si>
  <si>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</si>
  <si>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</si>
  <si>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</si>
  <si>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</si>
  <si>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</si>
  <si>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</si>
  <si>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</si>
  <si>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</si>
  <si>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</si>
  <si>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</si>
  <si>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</si>
  <si>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</si>
  <si>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</si>
  <si>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</si>
  <si>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</si>
  <si>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</si>
  <si>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</si>
  <si>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</si>
  <si>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</si>
  <si>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</si>
  <si>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</si>
  <si>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</si>
  <si>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</si>
  <si>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</si>
  <si>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</si>
  <si>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</si>
  <si>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</si>
  <si>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</si>
  <si>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</si>
  <si>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</si>
  <si>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</si>
  <si>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</si>
  <si>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</si>
  <si>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</si>
  <si>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</si>
  <si>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</si>
  <si>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</si>
  <si>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</si>
  <si>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</si>
  <si>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</si>
  <si>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</si>
  <si>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</si>
  <si>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</si>
  <si>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</si>
  <si>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</si>
  <si>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</si>
  <si>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</si>
  <si>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</si>
  <si>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</si>
  <si>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</si>
  <si>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</si>
  <si>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</si>
  <si>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</si>
  <si>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</si>
  <si>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</si>
  <si>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</si>
  <si>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</si>
  <si>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</si>
  <si>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</si>
  <si>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</si>
  <si>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</si>
  <si>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</si>
  <si>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</si>
  <si>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</si>
  <si>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</si>
  <si>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</si>
  <si>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</si>
  <si>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</si>
  <si>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</si>
  <si>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</si>
  <si>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</si>
  <si>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</si>
  <si>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</si>
  <si>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</si>
  <si>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</si>
  <si>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</si>
  <si>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</si>
  <si>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</si>
  <si>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</si>
  <si>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</si>
  <si>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</si>
  <si>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</si>
  <si>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</si>
  <si>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</si>
  <si>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</si>
  <si>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</si>
  <si>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</si>
  <si>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</si>
  <si>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</si>
  <si>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</si>
  <si>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</si>
  <si>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</si>
  <si>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</si>
  <si>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</si>
  <si>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</si>
  <si>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서울남부출입국관리사무소 신축공사</t>
    <phoneticPr fontId="2" type="noConversion"/>
  </si>
  <si>
    <t>업무</t>
  </si>
  <si>
    <t>서울</t>
  </si>
  <si>
    <t>목공사및수장공사(인테리어공사 포함)</t>
    <phoneticPr fontId="2" type="noConversion"/>
  </si>
  <si>
    <t>지붕및홈통공사 포함</t>
    <phoneticPr fontId="2" type="noConversion"/>
  </si>
  <si>
    <t>창호및유리공사</t>
    <phoneticPr fontId="2" type="noConversion"/>
  </si>
  <si>
    <t>기초공사, 골재비및운반비, 작업부산물, 기타공사</t>
    <phoneticPr fontId="2" type="noConversion"/>
  </si>
  <si>
    <t>공조배관공사, 기타공사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</si>
  <si>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</si>
  <si>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</si>
  <si>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</si>
  <si>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 주차관제설비공사,기타공사</t>
    <phoneticPr fontId="2" type="noConversion"/>
  </si>
  <si>
    <t>옥외소화배관공사, 펌프실배관공사</t>
    <phoneticPr fontId="2" type="noConversion"/>
  </si>
  <si>
    <t>상수도공사, 사급자재비, 운반비, 기타공사</t>
    <phoneticPr fontId="2" type="noConversion"/>
  </si>
  <si>
    <t>포장공사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</si>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</sst>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9917</v>
      </c>
      <c r="D7" s="36">
        <f>+C7/3.3058</f>
        <v>2999.8790005444976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754210</v>
      </c>
      <c r="E25" s="59">
        <f t="shared" si="0"/>
        <v>2493260</v>
      </c>
    </row>
    <row r="26" spans="1:5" x14ac:dyDescent="0.3">
      <c r="B26" s="2">
        <v>3</v>
      </c>
      <c r="C26" s="35" t="s">
        <v>95</v>
      </c>
      <c r="D26" s="45">
        <f>+D66</f>
        <v>10770</v>
      </c>
      <c r="E26" s="59">
        <f t="shared" si="0"/>
        <v>35600</v>
      </c>
    </row>
    <row r="27" spans="1:5" x14ac:dyDescent="0.3">
      <c r="B27" s="2">
        <v>4</v>
      </c>
      <c r="C27" s="35" t="s">
        <v>96</v>
      </c>
      <c r="D27" s="45">
        <f>+D95</f>
        <v>337580</v>
      </c>
      <c r="E27" s="59">
        <f t="shared" si="0"/>
        <v>1115970</v>
      </c>
    </row>
    <row r="28" spans="1:5" x14ac:dyDescent="0.3">
      <c r="B28" s="2">
        <v>5</v>
      </c>
      <c r="C28" s="35" t="s">
        <v>97</v>
      </c>
      <c r="D28" s="45">
        <f>+D119</f>
        <v>221690</v>
      </c>
      <c r="E28" s="59">
        <f t="shared" si="0"/>
        <v>732860</v>
      </c>
    </row>
    <row r="29" spans="1:5" x14ac:dyDescent="0.3">
      <c r="B29" s="2">
        <v>6</v>
      </c>
      <c r="C29" s="35" t="s">
        <v>98</v>
      </c>
      <c r="D29" s="45">
        <f>+D133</f>
        <v>109970</v>
      </c>
      <c r="E29" s="59">
        <f t="shared" si="0"/>
        <v>363530</v>
      </c>
    </row>
    <row r="30" spans="1:5" x14ac:dyDescent="0.3">
      <c r="B30" s="2">
        <v>7</v>
      </c>
      <c r="C30" s="35" t="s">
        <v>99</v>
      </c>
      <c r="D30" s="45">
        <f>+D146</f>
        <v>50210</v>
      </c>
      <c r="E30" s="59">
        <f t="shared" si="0"/>
        <v>165980</v>
      </c>
    </row>
    <row r="31" spans="1:5" x14ac:dyDescent="0.3">
      <c r="B31" s="2">
        <v>8</v>
      </c>
      <c r="C31" s="35" t="s">
        <v>100</v>
      </c>
      <c r="D31" s="45">
        <f>+D154</f>
        <v>21500</v>
      </c>
      <c r="E31" s="59">
        <f t="shared" si="0"/>
        <v>71070</v>
      </c>
    </row>
    <row r="32" spans="1:5" x14ac:dyDescent="0.3">
      <c r="B32" s="2">
        <v>9</v>
      </c>
      <c r="C32" s="35" t="s">
        <v>101</v>
      </c>
      <c r="D32" s="45">
        <f>+D161</f>
        <v>57330</v>
      </c>
      <c r="E32" s="59">
        <f t="shared" si="0"/>
        <v>189520</v>
      </c>
    </row>
    <row r="33" spans="1:7" x14ac:dyDescent="0.3">
      <c r="B33" s="2">
        <v>10</v>
      </c>
      <c r="C33" s="35" t="s">
        <v>154</v>
      </c>
      <c r="D33" s="53">
        <f>TRUNC(SUM(D24:D32)*0.275,-1)</f>
        <v>429890</v>
      </c>
      <c r="E33" s="60">
        <f t="shared" si="0"/>
        <v>1421130</v>
      </c>
    </row>
    <row r="34" spans="1:7" x14ac:dyDescent="0.3">
      <c r="C34" s="35" t="s">
        <v>112</v>
      </c>
      <c r="D34" s="44">
        <f>SUM(D24:D33)</f>
        <v>1993150</v>
      </c>
      <c r="E34" s="44">
        <f>SUM(E24:E33)</f>
        <v>6588920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f>TRUNC(41801,-1)</f>
        <v>41800</v>
      </c>
      <c r="E40" s="62">
        <f t="shared" ref="E40:E59" si="1">TRUNC(+D40*3.3058,-1)</f>
        <v>138180</v>
      </c>
    </row>
    <row r="41" spans="1:7" x14ac:dyDescent="0.3">
      <c r="A41" s="2">
        <v>2</v>
      </c>
      <c r="C41" s="38" t="s">
        <v>13</v>
      </c>
      <c r="D41" s="42">
        <f>TRUNC(107263,-1)</f>
        <v>107260</v>
      </c>
      <c r="E41" s="63">
        <f t="shared" si="1"/>
        <v>354580</v>
      </c>
    </row>
    <row r="42" spans="1:7" x14ac:dyDescent="0.3">
      <c r="A42" s="2">
        <v>3</v>
      </c>
      <c r="C42" s="38" t="s">
        <v>14</v>
      </c>
      <c r="D42" s="42">
        <f>TRUNC(7634,-1)</f>
        <v>7630</v>
      </c>
      <c r="E42" s="63">
        <f t="shared" si="1"/>
        <v>25220</v>
      </c>
    </row>
    <row r="43" spans="1:7" x14ac:dyDescent="0.3">
      <c r="A43" s="2">
        <v>4</v>
      </c>
      <c r="C43" s="38" t="s">
        <v>16</v>
      </c>
      <c r="D43" s="42">
        <f>TRUNC(14375,-1)</f>
        <v>14370</v>
      </c>
      <c r="E43" s="63">
        <f t="shared" si="1"/>
        <v>47500</v>
      </c>
    </row>
    <row r="44" spans="1:7" x14ac:dyDescent="0.3">
      <c r="A44" s="2">
        <v>5</v>
      </c>
      <c r="C44" s="38" t="s">
        <v>17</v>
      </c>
      <c r="D44" s="42">
        <f>TRUNC(19769,-1)</f>
        <v>19760</v>
      </c>
      <c r="E44" s="63">
        <f t="shared" si="1"/>
        <v>65320</v>
      </c>
    </row>
    <row r="45" spans="1:7" x14ac:dyDescent="0.3">
      <c r="A45" s="2">
        <v>6</v>
      </c>
      <c r="C45" s="38" t="s">
        <v>18</v>
      </c>
      <c r="D45" s="42">
        <f>TRUNC(3897,-1)</f>
        <v>3890</v>
      </c>
      <c r="E45" s="63">
        <f t="shared" si="1"/>
        <v>12850</v>
      </c>
    </row>
    <row r="46" spans="1:7" x14ac:dyDescent="0.3">
      <c r="A46" s="2">
        <v>7</v>
      </c>
      <c r="C46" s="38" t="s">
        <v>19</v>
      </c>
      <c r="D46" s="42">
        <f>TRUNC(66601,-1)</f>
        <v>66600</v>
      </c>
      <c r="E46" s="63">
        <f t="shared" si="1"/>
        <v>220160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TRUNC(35091,-1)</f>
        <v>35090</v>
      </c>
      <c r="E48" s="63">
        <f t="shared" si="1"/>
        <v>116000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TRUNC(8648,-1)</f>
        <v>8640</v>
      </c>
      <c r="E49" s="63">
        <f t="shared" si="1"/>
        <v>28560</v>
      </c>
    </row>
    <row r="50" spans="1:7" x14ac:dyDescent="0.3">
      <c r="A50" s="2">
        <v>11</v>
      </c>
      <c r="C50" s="38" t="s">
        <v>155</v>
      </c>
      <c r="D50" s="42">
        <f>TRUNC(54897,-1)</f>
        <v>54890</v>
      </c>
      <c r="E50" s="63">
        <f t="shared" si="1"/>
        <v>181450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TRUNC(12108,-1)</f>
        <v>12100</v>
      </c>
      <c r="E52" s="63">
        <f t="shared" si="1"/>
        <v>40000</v>
      </c>
    </row>
    <row r="53" spans="1:7" x14ac:dyDescent="0.3">
      <c r="A53" s="2">
        <v>14</v>
      </c>
      <c r="C53" s="38" t="s">
        <v>25</v>
      </c>
      <c r="D53" s="42">
        <f>TRUNC(77139,-1)</f>
        <v>77130</v>
      </c>
      <c r="E53" s="63">
        <f t="shared" si="1"/>
        <v>254970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TRUNC(8632+7680-526+8820,-1)</f>
        <v>24600</v>
      </c>
      <c r="E58" s="63">
        <f t="shared" si="1"/>
        <v>81320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TRUNC(280451,-1)</f>
        <v>280450</v>
      </c>
      <c r="E59" s="64">
        <f t="shared" si="1"/>
        <v>927110</v>
      </c>
    </row>
    <row r="60" spans="1:7" x14ac:dyDescent="0.3">
      <c r="A60" s="2">
        <v>21</v>
      </c>
      <c r="C60" s="27" t="s">
        <v>112</v>
      </c>
      <c r="D60" s="39">
        <f>SUM(D40:D59)</f>
        <v>754210</v>
      </c>
      <c r="E60" s="39">
        <f>SUM(E40:E59)</f>
        <v>2493220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TRUNC(7708,-1)</f>
        <v>7700</v>
      </c>
      <c r="E63" s="62">
        <f>TRUNC(+D63*3.3058,-1)</f>
        <v>25450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TRUNC(3071,-1)</f>
        <v>3070</v>
      </c>
      <c r="E65" s="64">
        <f>TRUNC(+D65*3.3058,-1)</f>
        <v>10140</v>
      </c>
    </row>
    <row r="66" spans="1:7" x14ac:dyDescent="0.3">
      <c r="A66" s="2">
        <v>4</v>
      </c>
      <c r="C66" s="27" t="s">
        <v>112</v>
      </c>
      <c r="D66" s="39">
        <f>SUM(D63:D65)</f>
        <v>10770</v>
      </c>
      <c r="E66" s="65">
        <f>SUM(E63:E65)</f>
        <v>35590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TRUNC(24553,-1)</f>
        <v>24550</v>
      </c>
      <c r="E69" s="62">
        <f t="shared" ref="E69:E94" si="2">TRUNC(+D69*3.3058,-1)</f>
        <v>81150</v>
      </c>
    </row>
    <row r="70" spans="1:7" ht="16.5" customHeight="1" x14ac:dyDescent="0.3">
      <c r="A70" s="2">
        <v>2</v>
      </c>
      <c r="C70" s="38" t="s">
        <v>31</v>
      </c>
      <c r="D70" s="42">
        <f>TRUNC(2685,-1)</f>
        <v>2680</v>
      </c>
      <c r="E70" s="63">
        <f t="shared" si="2"/>
        <v>8850</v>
      </c>
    </row>
    <row r="71" spans="1:7" x14ac:dyDescent="0.3">
      <c r="A71" s="2">
        <v>3</v>
      </c>
      <c r="C71" s="38" t="s">
        <v>32</v>
      </c>
      <c r="D71" s="42">
        <f>TRUNC(27632,-1)</f>
        <v>27630</v>
      </c>
      <c r="E71" s="63">
        <f t="shared" si="2"/>
        <v>91330</v>
      </c>
    </row>
    <row r="72" spans="1:7" x14ac:dyDescent="0.3">
      <c r="A72" s="2">
        <v>4</v>
      </c>
      <c r="C72" s="38" t="s">
        <v>33</v>
      </c>
      <c r="D72" s="42">
        <f>TRUNC(1129,-1)</f>
        <v>1120</v>
      </c>
      <c r="E72" s="63">
        <f t="shared" si="2"/>
        <v>3700</v>
      </c>
    </row>
    <row r="73" spans="1:7" x14ac:dyDescent="0.3">
      <c r="A73" s="2">
        <v>5</v>
      </c>
      <c r="C73" s="38" t="s">
        <v>34</v>
      </c>
      <c r="D73" s="42">
        <f>TRUNC(21652,-1)</f>
        <v>21650</v>
      </c>
      <c r="E73" s="63">
        <f t="shared" si="2"/>
        <v>71570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TRUNC(1467,-1)</f>
        <v>1460</v>
      </c>
      <c r="E75" s="63">
        <f t="shared" si="2"/>
        <v>4820</v>
      </c>
    </row>
    <row r="76" spans="1:7" x14ac:dyDescent="0.3">
      <c r="A76" s="2">
        <v>8</v>
      </c>
      <c r="C76" s="38" t="s">
        <v>119</v>
      </c>
      <c r="D76" s="42">
        <f>TRUNC(23119,-1)</f>
        <v>23110</v>
      </c>
      <c r="E76" s="63">
        <f t="shared" si="2"/>
        <v>76390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TRUNC(38394,-1)</f>
        <v>38390</v>
      </c>
      <c r="E91" s="63">
        <f t="shared" si="2"/>
        <v>126900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TRUNC(165092,-1)</f>
        <v>165090</v>
      </c>
      <c r="E93" s="63">
        <f t="shared" si="2"/>
        <v>545750</v>
      </c>
    </row>
    <row r="94" spans="1:7" ht="17.25" thickBot="1" x14ac:dyDescent="0.35">
      <c r="A94" s="2">
        <v>26</v>
      </c>
      <c r="C94" s="38" t="s">
        <v>47</v>
      </c>
      <c r="D94" s="43">
        <f>TRUNC(20776+11124,-1)</f>
        <v>31900</v>
      </c>
      <c r="E94" s="64">
        <f t="shared" si="2"/>
        <v>105450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337580</v>
      </c>
      <c r="E95" s="39">
        <f>SUM(E69:E94)</f>
        <v>1115910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13940</v>
      </c>
      <c r="E98" s="62">
        <f t="shared" ref="E98:E118" si="3">TRUNC(+D98*3.3058,-1)</f>
        <v>46080</v>
      </c>
    </row>
    <row r="99" spans="1:7" x14ac:dyDescent="0.3">
      <c r="A99" s="2">
        <v>2</v>
      </c>
      <c r="C99" s="38" t="s">
        <v>40</v>
      </c>
      <c r="D99" s="42">
        <f>TRUNC(12244,-1)</f>
        <v>12240</v>
      </c>
      <c r="E99" s="63">
        <f t="shared" si="3"/>
        <v>40460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f>TRUNC(2415,-1)</f>
        <v>2410</v>
      </c>
      <c r="E101" s="63">
        <f t="shared" si="3"/>
        <v>7960</v>
      </c>
    </row>
    <row r="102" spans="1:7" x14ac:dyDescent="0.3">
      <c r="A102" s="2">
        <v>5</v>
      </c>
      <c r="C102" s="38" t="s">
        <v>43</v>
      </c>
      <c r="D102" s="42">
        <f>TRUNC(15366,-1)</f>
        <v>15360</v>
      </c>
      <c r="E102" s="63">
        <f t="shared" si="3"/>
        <v>50770</v>
      </c>
    </row>
    <row r="103" spans="1:7" x14ac:dyDescent="0.3">
      <c r="A103" s="2">
        <v>6</v>
      </c>
      <c r="C103" s="38" t="s">
        <v>44</v>
      </c>
      <c r="D103" s="42">
        <f>TRUNC(2636,-1)</f>
        <v>2630</v>
      </c>
      <c r="E103" s="63">
        <f t="shared" si="3"/>
        <v>8690</v>
      </c>
    </row>
    <row r="104" spans="1:7" x14ac:dyDescent="0.3">
      <c r="A104" s="2">
        <v>7</v>
      </c>
      <c r="C104" s="38" t="s">
        <v>45</v>
      </c>
      <c r="D104" s="42">
        <f>TRUNC(2305,-1)</f>
        <v>2300</v>
      </c>
      <c r="E104" s="63">
        <f t="shared" si="3"/>
        <v>7600</v>
      </c>
    </row>
    <row r="105" spans="1:7" x14ac:dyDescent="0.3">
      <c r="A105" s="2">
        <v>8</v>
      </c>
      <c r="C105" s="38" t="s">
        <v>46</v>
      </c>
      <c r="D105" s="42">
        <f>TRUNC(5979,-1)</f>
        <v>5970</v>
      </c>
      <c r="E105" s="63">
        <f t="shared" si="3"/>
        <v>19730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32490</v>
      </c>
      <c r="E114" s="63">
        <f t="shared" si="3"/>
        <v>107400</v>
      </c>
      <c r="F114" s="2" t="s">
        <v>257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TRUNC(9453,-1)</f>
        <v>9450</v>
      </c>
      <c r="E116" s="63">
        <f t="shared" si="3"/>
        <v>31230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TRUNC(123502,-1)</f>
        <v>123500</v>
      </c>
      <c r="E117" s="63">
        <f t="shared" si="3"/>
        <v>408260</v>
      </c>
    </row>
    <row r="118" spans="1:7" ht="17.25" thickBot="1" x14ac:dyDescent="0.35">
      <c r="A118" s="2">
        <v>21</v>
      </c>
      <c r="C118" s="38" t="s">
        <v>47</v>
      </c>
      <c r="D118" s="43">
        <f>TRUNC(1404,-1)</f>
        <v>1400</v>
      </c>
      <c r="E118" s="64">
        <f t="shared" si="3"/>
        <v>4620</v>
      </c>
    </row>
    <row r="119" spans="1:7" x14ac:dyDescent="0.3">
      <c r="A119" s="2">
        <v>22</v>
      </c>
      <c r="C119" s="27" t="s">
        <v>112</v>
      </c>
      <c r="D119" s="39">
        <f>SUM(D98:D118)</f>
        <v>221690</v>
      </c>
      <c r="E119" s="39">
        <f>SUM(E98:E118)</f>
        <v>732800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TRUNC(8533,-1)</f>
        <v>8530</v>
      </c>
      <c r="E122" s="62">
        <f t="shared" ref="E122:E132" si="4">TRUNC(+D122*3.3058,-1)</f>
        <v>28190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TRUNC(1442,-1)</f>
        <v>1440</v>
      </c>
      <c r="E124" s="63">
        <f t="shared" si="4"/>
        <v>4760</v>
      </c>
    </row>
    <row r="125" spans="1:7" x14ac:dyDescent="0.3">
      <c r="A125" s="2">
        <v>4</v>
      </c>
      <c r="C125" s="38" t="s">
        <v>138</v>
      </c>
      <c r="D125" s="42">
        <f>TRUNC(7645,-1)</f>
        <v>7640</v>
      </c>
      <c r="E125" s="63">
        <f t="shared" si="4"/>
        <v>25250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5770</v>
      </c>
      <c r="E127" s="63">
        <f t="shared" si="4"/>
        <v>19070</v>
      </c>
    </row>
    <row r="128" spans="1:7" x14ac:dyDescent="0.3">
      <c r="A128" s="2">
        <v>7</v>
      </c>
      <c r="C128" s="38" t="s">
        <v>46</v>
      </c>
      <c r="D128" s="42">
        <f>TRUNC(2477,-1)</f>
        <v>2470</v>
      </c>
      <c r="E128" s="63">
        <f t="shared" si="4"/>
        <v>8160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TRUNC(22974,-1)</f>
        <v>22970</v>
      </c>
      <c r="E130" s="63">
        <f t="shared" si="4"/>
        <v>75930</v>
      </c>
    </row>
    <row r="131" spans="1:7" x14ac:dyDescent="0.3">
      <c r="A131" s="2">
        <v>10</v>
      </c>
      <c r="C131" s="38" t="s">
        <v>148</v>
      </c>
      <c r="D131" s="42">
        <f>TRUNC(52129,-1)</f>
        <v>52120</v>
      </c>
      <c r="E131" s="63">
        <f t="shared" si="4"/>
        <v>172290</v>
      </c>
    </row>
    <row r="132" spans="1:7" ht="18" thickBot="1" x14ac:dyDescent="0.35">
      <c r="A132" s="2">
        <v>11</v>
      </c>
      <c r="C132" s="38" t="s">
        <v>47</v>
      </c>
      <c r="D132" s="43">
        <f>TRUNC(4302+1057+3673,-1)</f>
        <v>9030</v>
      </c>
      <c r="E132" s="64">
        <f t="shared" si="4"/>
        <v>29850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109970</v>
      </c>
      <c r="E133" s="39">
        <f>SUM(E122:E132)</f>
        <v>363500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TRUNC(170+2556,-1)</f>
        <v>2720</v>
      </c>
      <c r="E137" s="63">
        <f t="shared" si="5"/>
        <v>8990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TRUNC(1343,-1)</f>
        <v>1340</v>
      </c>
      <c r="E139" s="63">
        <f t="shared" si="5"/>
        <v>4420</v>
      </c>
    </row>
    <row r="140" spans="1:7" x14ac:dyDescent="0.3">
      <c r="A140" s="2">
        <v>5</v>
      </c>
      <c r="C140" s="38" t="s">
        <v>57</v>
      </c>
      <c r="D140" s="42">
        <f>TRUNC(1988,-1)</f>
        <v>1980</v>
      </c>
      <c r="E140" s="63">
        <f t="shared" si="5"/>
        <v>6540</v>
      </c>
    </row>
    <row r="141" spans="1:7" x14ac:dyDescent="0.3">
      <c r="A141" s="2">
        <v>6</v>
      </c>
      <c r="C141" s="38" t="s">
        <v>59</v>
      </c>
      <c r="D141" s="42">
        <f>TRUNC(17987,-1)</f>
        <v>17980</v>
      </c>
      <c r="E141" s="63">
        <f t="shared" si="5"/>
        <v>59430</v>
      </c>
    </row>
    <row r="142" spans="1:7" x14ac:dyDescent="0.3">
      <c r="A142" s="2">
        <v>7</v>
      </c>
      <c r="C142" s="38" t="s">
        <v>58</v>
      </c>
      <c r="D142" s="42">
        <f>TRUNC(5827,-1)</f>
        <v>5820</v>
      </c>
      <c r="E142" s="63">
        <f t="shared" si="5"/>
        <v>19230</v>
      </c>
    </row>
    <row r="143" spans="1:7" x14ac:dyDescent="0.3">
      <c r="A143" s="2">
        <v>8</v>
      </c>
      <c r="C143" s="38" t="s">
        <v>62</v>
      </c>
      <c r="D143" s="42">
        <f>TRUNC(5148,-1)</f>
        <v>5140</v>
      </c>
      <c r="E143" s="63">
        <f t="shared" si="5"/>
        <v>16990</v>
      </c>
    </row>
    <row r="144" spans="1:7" x14ac:dyDescent="0.3">
      <c r="A144" s="2">
        <v>9</v>
      </c>
      <c r="C144" s="38" t="s">
        <v>63</v>
      </c>
      <c r="D144" s="42">
        <f>TRUNC(15236,-1)</f>
        <v>15230</v>
      </c>
      <c r="E144" s="63">
        <f t="shared" si="5"/>
        <v>50340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50210</v>
      </c>
      <c r="E146" s="39">
        <f>SUM(E136:E145)</f>
        <v>165940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TRUNC(7403+411,-1)</f>
        <v>7810</v>
      </c>
      <c r="E149" s="62">
        <f>TRUNC(+D149*3.3058,-1)</f>
        <v>25810</v>
      </c>
    </row>
    <row r="150" spans="1:7" x14ac:dyDescent="0.3">
      <c r="A150" s="2">
        <v>2</v>
      </c>
      <c r="C150" s="38" t="s">
        <v>49</v>
      </c>
      <c r="D150" s="42">
        <f>TRUNC(2443,-1)</f>
        <v>2440</v>
      </c>
      <c r="E150" s="63">
        <f>TRUNC(+D150*3.3058,-1)</f>
        <v>8060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TRUNC(235+9857+1032+133,-1)</f>
        <v>11250</v>
      </c>
      <c r="E152" s="63">
        <f>TRUNC(+D152*3.3058,-1)</f>
        <v>37190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21500</v>
      </c>
      <c r="E154" s="39">
        <f>SUM(E149:E153)</f>
        <v>71060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24010</v>
      </c>
      <c r="E157" s="62">
        <f>TRUNC(+D157*3.3058,-1)</f>
        <v>79370</v>
      </c>
    </row>
    <row r="158" spans="1:7" x14ac:dyDescent="0.3">
      <c r="A158" s="2">
        <v>2</v>
      </c>
      <c r="C158" s="38" t="s">
        <v>52</v>
      </c>
      <c r="D158" s="42">
        <f>TRUNC(6324,-1)</f>
        <v>6320</v>
      </c>
      <c r="E158" s="63">
        <f>TRUNC(+D158*3.3058,-1)</f>
        <v>20890</v>
      </c>
    </row>
    <row r="159" spans="1:7" x14ac:dyDescent="0.3">
      <c r="A159" s="2">
        <v>3</v>
      </c>
      <c r="C159" s="38" t="s">
        <v>47</v>
      </c>
      <c r="D159" s="42">
        <f>TRUNC(13336,-1)</f>
        <v>13330</v>
      </c>
      <c r="E159" s="63">
        <f>TRUNC(+D159*3.3058,-1)</f>
        <v>44060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TRUNC(13674,-1)</f>
        <v>13670</v>
      </c>
      <c r="E160" s="64">
        <f>TRUNC(+D160*3.3058,-1)</f>
        <v>45190</v>
      </c>
    </row>
    <row r="161" spans="1:5" x14ac:dyDescent="0.3">
      <c r="A161" s="2">
        <v>5</v>
      </c>
      <c r="C161" s="27" t="s">
        <v>112</v>
      </c>
      <c r="D161" s="39">
        <f>SUM(D157:D160)</f>
        <v>57330</v>
      </c>
      <c r="E161" s="39">
        <f>SUM(E157:E160)</f>
        <v>189510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2020-12-08T01:44:52Z</dcterms:modified>
</cp:coreProperties>
</file>