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1" i="4"/>
  <c r="D140" i="4"/>
  <c r="D139" i="4"/>
  <c r="D137" i="4"/>
  <c r="D132" i="4"/>
  <c r="D128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63" i="4"/>
  <c r="D59" i="4"/>
  <c r="D58" i="4"/>
  <c r="D53" i="4"/>
  <c r="D52" i="4"/>
  <c r="D50" i="4"/>
  <c r="D49" i="4"/>
  <c r="D48" i="4"/>
  <c r="D46" i="4"/>
  <c r="D40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E133" i="4"/>
  <c r="E119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<sst xmlns="http://schemas.openxmlformats.org/spreadsheetml/2006/main" count="391" uniqueCount="268">
  <si>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</si>
  <si>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</si>
  <si>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</si>
  <si>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</si>
  <si>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</si>
  <si>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</si>
  <si>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</si>
  <si>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</si>
  <si>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</si>
  <si>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</si>
  <si>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</si>
  <si>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</si>
  <si>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</si>
  <si>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</si>
  <si>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</si>
  <si>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</si>
  <si>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</si>
  <si>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</si>
  <si>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</si>
  <si>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</si>
  <si>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</si>
  <si>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</si>
  <si>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</si>
  <si>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</si>
  <si>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</si>
  <si>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</si>
  <si>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</si>
  <si>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</si>
  <si>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</si>
  <si>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</si>
  <si>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</si>
  <si>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</si>
  <si>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</si>
  <si>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</si>
  <si>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</si>
  <si>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</si>
  <si>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</si>
  <si>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</si>
  <si>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</si>
  <si>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</si>
  <si>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</si>
  <si>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</si>
  <si>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</si>
  <si>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</si>
  <si>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</si>
  <si>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</si>
  <si>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</si>
  <si>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</si>
  <si>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</si>
  <si>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</si>
  <si>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</si>
  <si>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</si>
  <si>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</si>
  <si>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</si>
  <si>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</si>
  <si>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</si>
  <si>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</si>
  <si>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</si>
  <si>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</si>
  <si>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</si>
  <si>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</si>
  <si>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</si>
  <si>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</si>
  <si>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</si>
  <si>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</si>
  <si>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</si>
  <si>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</si>
  <si>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</si>
  <si>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</si>
  <si>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</si>
  <si>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</si>
  <si>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</si>
  <si>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</si>
  <si>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</si>
  <si>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</si>
  <si>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</si>
  <si>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</si>
  <si>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</si>
  <si>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</si>
  <si>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</si>
  <si>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</si>
  <si>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</si>
  <si>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</si>
  <si>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</si>
  <si>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</si>
  <si>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</si>
  <si>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</si>
  <si>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</si>
  <si>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</si>
  <si>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</si>
  <si>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</si>
  <si>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</si>
  <si>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</si>
  <si>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</si>
  <si>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</si>
  <si>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</si>
  <si>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</si>
  <si>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</si>
  <si>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</si>
  <si>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</si>
  <si>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</si>
  <si>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</si>
  <si>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</si>
  <si>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</si>
  <si>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</si>
  <si>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</si>
  <si>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</si>
  <si>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</si>
  <si>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</si>
  <si>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</si>
  <si>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</si>
  <si>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</si>
  <si>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</si>
  <si>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</si>
  <si>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</si>
  <si>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</si>
  <si>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</si>
  <si>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</si>
  <si>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</si>
  <si>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</si>
  <si>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</si>
  <si>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</si>
  <si>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</si>
  <si>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</si>
  <si>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</si>
  <si>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</si>
  <si>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</si>
  <si>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</si>
  <si>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</si>
  <si>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</si>
  <si>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</si>
  <si>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</si>
  <si>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</si>
  <si>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</si>
  <si>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</si>
  <si>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</si>
  <si>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</si>
  <si>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</si>
  <si>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</si>
  <si>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</si>
  <si>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</si>
  <si>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</si>
  <si>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</si>
  <si>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</si>
  <si>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</si>
  <si>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</si>
  <si>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</si>
  <si>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</si>
  <si>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</si>
  <si>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</si>
  <si>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</si>
  <si>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</si>
  <si>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</si>
  <si>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</si>
  <si>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</si>
  <si>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</si>
  <si>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</si>
  <si>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</si>
  <si>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</si>
  <si>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</si>
  <si>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</si>
  <si>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</si>
  <si>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</si>
  <si>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</si>
  <si>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</si>
  <si>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</si>
  <si>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</si>
  <si>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</si>
  <si>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</si>
  <si>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</si>
  <si>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</si>
  <si>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</si>
  <si>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</si>
  <si>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</si>
  <si>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</si>
  <si>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</si>
  <si>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</si>
  <si>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</si>
  <si>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</si>
  <si>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</si>
  <si>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</si>
  <si>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</si>
  <si>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</si>
  <si>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</si>
  <si>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</si>
  <si>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</si>
  <si>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</si>
  <si>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</si>
  <si>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</si>
  <si>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</si>
  <si>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</si>
  <si>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</si>
  <si>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</si>
  <si>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</si>
  <si>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</si>
  <si>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</si>
  <si>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</si>
  <si>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</si>
  <si>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</si>
  <si>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</si>
  <si>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</si>
  <si>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</si>
  <si>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</si>
  <si>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</si>
  <si>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</si>
  <si>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</si>
  <si>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</si>
  <si>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</si>
  <si>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</si>
  <si>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</si>
  <si>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</si>
  <si>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</si>
  <si>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</si>
  <si>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</si>
  <si>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</si>
  <si>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</si>
  <si>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</si>
  <si>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</si>
  <si>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</si>
  <si>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</si>
  <si>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</si>
  <si>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</si>
  <si>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</si>
  <si>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</si>
  <si>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</si>
  <si>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</si>
  <si>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</si>
  <si>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</si>
  <si>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</si>
  <si>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</si>
  <si>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</si>
  <si>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</si>
  <si>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</si>
  <si>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</si>
  <si>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</si>
  <si>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</si>
  <si>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</si>
  <si>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</si>
  <si>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</si>
  <si>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</si>
  <si>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</si>
  <si>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</si>
  <si>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</si>
  <si>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</si>
  <si>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</si>
  <si>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</si>
  <si>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</si>
  <si>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</si>
  <si>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</si>
  <si>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</si>
  <si>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</si>
  <si>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</si>
  <si>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</si>
  <si>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</si>
  <si>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</si>
  <si>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 xml:space="preserve"> (가칭)양청초등학교 신축공사</t>
    <phoneticPr fontId="2" type="noConversion"/>
  </si>
  <si>
    <t>충청도</t>
  </si>
  <si>
    <t>기초공사, 골재비및운반비, 작업부산물, 품질시험비, 기타공사</t>
    <phoneticPr fontId="2" type="noConversion"/>
  </si>
  <si>
    <t>CCTV설비공사</t>
    <phoneticPr fontId="2" type="noConversion"/>
  </si>
  <si>
    <t>옥외소화배관공사, 기타공사</t>
    <phoneticPr fontId="2" type="noConversion"/>
  </si>
  <si>
    <t>상수도공사,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</si>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</sst>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9164.74</v>
      </c>
      <c r="D7" s="36">
        <f>+C7/3.3058</f>
        <v>2772.3213745538142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894760</v>
      </c>
      <c r="E25" s="59">
        <f t="shared" si="0"/>
        <v>2957890</v>
      </c>
    </row>
    <row r="26" spans="1:5" x14ac:dyDescent="0.3">
      <c r="B26" s="2">
        <v>3</v>
      </c>
      <c r="C26" s="35" t="s">
        <v>95</v>
      </c>
      <c r="D26" s="45">
        <f>+D66</f>
        <v>6700</v>
      </c>
      <c r="E26" s="59">
        <f t="shared" si="0"/>
        <v>22140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194710</v>
      </c>
      <c r="E28" s="59">
        <f t="shared" si="0"/>
        <v>643670</v>
      </c>
    </row>
    <row r="29" spans="1:5" x14ac:dyDescent="0.3">
      <c r="B29" s="2">
        <v>6</v>
      </c>
      <c r="C29" s="35" t="s">
        <v>98</v>
      </c>
      <c r="D29" s="45">
        <f>+D133</f>
        <v>65170</v>
      </c>
      <c r="E29" s="59">
        <f t="shared" si="0"/>
        <v>215430</v>
      </c>
    </row>
    <row r="30" spans="1:5" x14ac:dyDescent="0.3">
      <c r="B30" s="2">
        <v>7</v>
      </c>
      <c r="C30" s="35" t="s">
        <v>99</v>
      </c>
      <c r="D30" s="45">
        <f>+D146</f>
        <v>43550</v>
      </c>
      <c r="E30" s="59">
        <f t="shared" si="0"/>
        <v>143960</v>
      </c>
    </row>
    <row r="31" spans="1:5" x14ac:dyDescent="0.3">
      <c r="B31" s="2">
        <v>8</v>
      </c>
      <c r="C31" s="35" t="s">
        <v>100</v>
      </c>
      <c r="D31" s="45">
        <f>+D154</f>
        <v>39950</v>
      </c>
      <c r="E31" s="59">
        <f t="shared" si="0"/>
        <v>132060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342330</v>
      </c>
      <c r="E33" s="60">
        <f t="shared" si="0"/>
        <v>1131670</v>
      </c>
    </row>
    <row r="34" spans="1:7" x14ac:dyDescent="0.3">
      <c r="C34" s="35" t="s">
        <v>112</v>
      </c>
      <c r="D34" s="44">
        <f>SUM(D24:D33)</f>
        <v>1587170</v>
      </c>
      <c r="E34" s="44">
        <f>SUM(E24:E33)</f>
        <v>5246820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TRUNC(50466,-1)</f>
        <v>50460</v>
      </c>
      <c r="E40" s="62">
        <f t="shared" ref="E40:E59" si="1">TRUNC(+D40*3.3058,-1)</f>
        <v>166810</v>
      </c>
    </row>
    <row r="41" spans="1:7" x14ac:dyDescent="0.3">
      <c r="A41" s="2">
        <v>2</v>
      </c>
      <c r="C41" s="38" t="s">
        <v>13</v>
      </c>
      <c r="D41" s="42">
        <f>TRUNC(159458,-1)</f>
        <v>159450</v>
      </c>
      <c r="E41" s="63">
        <f t="shared" si="1"/>
        <v>527100</v>
      </c>
    </row>
    <row r="42" spans="1:7" x14ac:dyDescent="0.3">
      <c r="A42" s="2">
        <v>3</v>
      </c>
      <c r="C42" s="38" t="s">
        <v>14</v>
      </c>
      <c r="D42" s="42">
        <f>TRUNC(9793,-1)</f>
        <v>9790</v>
      </c>
      <c r="E42" s="63">
        <f t="shared" si="1"/>
        <v>32360</v>
      </c>
    </row>
    <row r="43" spans="1:7" x14ac:dyDescent="0.3">
      <c r="A43" s="2">
        <v>4</v>
      </c>
      <c r="C43" s="38" t="s">
        <v>16</v>
      </c>
      <c r="D43" s="42">
        <f>TRUNC(32506,-1)</f>
        <v>32500</v>
      </c>
      <c r="E43" s="63">
        <f t="shared" si="1"/>
        <v>107430</v>
      </c>
    </row>
    <row r="44" spans="1:7" x14ac:dyDescent="0.3">
      <c r="A44" s="2">
        <v>5</v>
      </c>
      <c r="C44" s="38" t="s">
        <v>17</v>
      </c>
      <c r="D44" s="42">
        <f>TRUNC(19751,-1)</f>
        <v>19750</v>
      </c>
      <c r="E44" s="63">
        <f t="shared" si="1"/>
        <v>65280</v>
      </c>
    </row>
    <row r="45" spans="1:7" x14ac:dyDescent="0.3">
      <c r="A45" s="2">
        <v>6</v>
      </c>
      <c r="C45" s="38" t="s">
        <v>18</v>
      </c>
      <c r="D45" s="42">
        <f>TRUNC(9611,-1)</f>
        <v>9610</v>
      </c>
      <c r="E45" s="63">
        <f t="shared" si="1"/>
        <v>31760</v>
      </c>
    </row>
    <row r="46" spans="1:7" x14ac:dyDescent="0.3">
      <c r="A46" s="2">
        <v>7</v>
      </c>
      <c r="C46" s="38" t="s">
        <v>19</v>
      </c>
      <c r="D46" s="42">
        <f>TRUNC(18988,-1)</f>
        <v>18980</v>
      </c>
      <c r="E46" s="63">
        <f t="shared" si="1"/>
        <v>62740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TRUNC(41531,-1)</f>
        <v>41530</v>
      </c>
      <c r="E48" s="63">
        <f t="shared" si="1"/>
        <v>137280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TRUNC(17379,-1)</f>
        <v>17370</v>
      </c>
      <c r="E49" s="63">
        <f t="shared" si="1"/>
        <v>57420</v>
      </c>
    </row>
    <row r="50" spans="1:7" x14ac:dyDescent="0.3">
      <c r="A50" s="2">
        <v>11</v>
      </c>
      <c r="C50" s="38" t="s">
        <v>155</v>
      </c>
      <c r="D50" s="42">
        <f>TRUNC(44546,-1)</f>
        <v>44540</v>
      </c>
      <c r="E50" s="63">
        <f t="shared" si="1"/>
        <v>147240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TRUNC(8036,-1)</f>
        <v>8030</v>
      </c>
      <c r="E52" s="63">
        <f t="shared" si="1"/>
        <v>26540</v>
      </c>
    </row>
    <row r="53" spans="1:7" x14ac:dyDescent="0.3">
      <c r="A53" s="2">
        <v>14</v>
      </c>
      <c r="C53" s="38" t="s">
        <v>25</v>
      </c>
      <c r="D53" s="42">
        <f>TRUNC(107412,-1)</f>
        <v>107410</v>
      </c>
      <c r="E53" s="63">
        <f t="shared" si="1"/>
        <v>355070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TRUNC(9020+2162-555+1306+8672,-1)</f>
        <v>20600</v>
      </c>
      <c r="E58" s="63">
        <f t="shared" si="1"/>
        <v>68090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TRUNC(354748,-1)</f>
        <v>354740</v>
      </c>
      <c r="E59" s="64">
        <f t="shared" si="1"/>
        <v>1172690</v>
      </c>
    </row>
    <row r="60" spans="1:7" x14ac:dyDescent="0.3">
      <c r="A60" s="2">
        <v>21</v>
      </c>
      <c r="C60" s="27" t="s">
        <v>112</v>
      </c>
      <c r="D60" s="39">
        <f>SUM(D40:D59)</f>
        <v>894760</v>
      </c>
      <c r="E60" s="39">
        <f>SUM(E40:E59)</f>
        <v>2957810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TRUNC(6705,-1)</f>
        <v>6700</v>
      </c>
      <c r="E63" s="62">
        <f>TRUNC(+D63*3.3058,-1)</f>
        <v>22140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6700</v>
      </c>
      <c r="E66" s="65">
        <f>SUM(E63:E65)</f>
        <v>22140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TRUNC(12132,-1)</f>
        <v>12130</v>
      </c>
      <c r="E98" s="62">
        <f t="shared" ref="E98:E118" si="3">TRUNC(+D98*3.3058,-1)</f>
        <v>40090</v>
      </c>
    </row>
    <row r="99" spans="1:7" x14ac:dyDescent="0.3">
      <c r="A99" s="2">
        <v>2</v>
      </c>
      <c r="C99" s="38" t="s">
        <v>40</v>
      </c>
      <c r="D99" s="42">
        <f>TRUNC(2978,-1)</f>
        <v>2970</v>
      </c>
      <c r="E99" s="63">
        <f t="shared" si="3"/>
        <v>9810</v>
      </c>
    </row>
    <row r="100" spans="1:7" x14ac:dyDescent="0.3">
      <c r="A100" s="2">
        <v>3</v>
      </c>
      <c r="C100" s="38" t="s">
        <v>41</v>
      </c>
      <c r="D100" s="42">
        <f>TRUNC(28027,-1)</f>
        <v>28020</v>
      </c>
      <c r="E100" s="63">
        <f t="shared" si="3"/>
        <v>92620</v>
      </c>
    </row>
    <row r="101" spans="1:7" x14ac:dyDescent="0.3">
      <c r="A101" s="2">
        <v>4</v>
      </c>
      <c r="C101" s="38" t="s">
        <v>42</v>
      </c>
      <c r="D101" s="42">
        <f>TRUNC(2935,-1)</f>
        <v>2930</v>
      </c>
      <c r="E101" s="63">
        <f t="shared" si="3"/>
        <v>9680</v>
      </c>
    </row>
    <row r="102" spans="1:7" x14ac:dyDescent="0.3">
      <c r="A102" s="2">
        <v>5</v>
      </c>
      <c r="C102" s="38" t="s">
        <v>43</v>
      </c>
      <c r="D102" s="42">
        <f>TRUNC(17123,-1)</f>
        <v>17120</v>
      </c>
      <c r="E102" s="63">
        <f t="shared" si="3"/>
        <v>56590</v>
      </c>
    </row>
    <row r="103" spans="1:7" x14ac:dyDescent="0.3">
      <c r="A103" s="2">
        <v>6</v>
      </c>
      <c r="C103" s="38" t="s">
        <v>44</v>
      </c>
      <c r="D103" s="42">
        <f>TRUNC(4981,-1)</f>
        <v>4980</v>
      </c>
      <c r="E103" s="63">
        <f t="shared" si="3"/>
        <v>16460</v>
      </c>
    </row>
    <row r="104" spans="1:7" x14ac:dyDescent="0.3">
      <c r="A104" s="2">
        <v>7</v>
      </c>
      <c r="C104" s="38" t="s">
        <v>45</v>
      </c>
      <c r="D104" s="42">
        <f>TRUNC(2631,-1)</f>
        <v>2630</v>
      </c>
      <c r="E104" s="63">
        <f t="shared" si="3"/>
        <v>8690</v>
      </c>
    </row>
    <row r="105" spans="1:7" x14ac:dyDescent="0.3">
      <c r="A105" s="2">
        <v>8</v>
      </c>
      <c r="C105" s="38" t="s">
        <v>46</v>
      </c>
      <c r="D105" s="42">
        <f>TRUNC(8753,-1)</f>
        <v>8750</v>
      </c>
      <c r="E105" s="63">
        <f t="shared" si="3"/>
        <v>28920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TRUNC(3719,-1)</f>
        <v>3710</v>
      </c>
      <c r="E114" s="63">
        <f t="shared" si="3"/>
        <v>12260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TRUNC(2738,-1)</f>
        <v>2730</v>
      </c>
      <c r="E116" s="63">
        <f t="shared" si="3"/>
        <v>9020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TRUNC(106076,-1)</f>
        <v>106070</v>
      </c>
      <c r="E117" s="63">
        <f t="shared" si="3"/>
        <v>350640</v>
      </c>
    </row>
    <row r="118" spans="1:7" ht="17.25" thickBot="1" x14ac:dyDescent="0.35">
      <c r="A118" s="2">
        <v>21</v>
      </c>
      <c r="C118" s="38" t="s">
        <v>47</v>
      </c>
      <c r="D118" s="43">
        <f>TRUNC(2671,-1)</f>
        <v>2670</v>
      </c>
      <c r="E118" s="64">
        <f t="shared" si="3"/>
        <v>8820</v>
      </c>
    </row>
    <row r="119" spans="1:7" x14ac:dyDescent="0.3">
      <c r="A119" s="2">
        <v>22</v>
      </c>
      <c r="C119" s="27" t="s">
        <v>112</v>
      </c>
      <c r="D119" s="39">
        <f>SUM(D98:D118)</f>
        <v>194710</v>
      </c>
      <c r="E119" s="39">
        <f>SUM(E98:E118)</f>
        <v>643600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TRUNC(16452,-1)</f>
        <v>16450</v>
      </c>
      <c r="E122" s="62">
        <f t="shared" ref="E122:E132" si="4">TRUNC(+D122*3.3058,-1)</f>
        <v>54380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TRUNC(1914,-1)</f>
        <v>1910</v>
      </c>
      <c r="E124" s="63">
        <f t="shared" si="4"/>
        <v>6310</v>
      </c>
    </row>
    <row r="125" spans="1:7" x14ac:dyDescent="0.3">
      <c r="A125" s="2">
        <v>4</v>
      </c>
      <c r="C125" s="38" t="s">
        <v>138</v>
      </c>
      <c r="D125" s="42">
        <f>TRUNC(7814,-1)</f>
        <v>7810</v>
      </c>
      <c r="E125" s="63">
        <f t="shared" si="4"/>
        <v>25810</v>
      </c>
    </row>
    <row r="126" spans="1:7" x14ac:dyDescent="0.3">
      <c r="A126" s="2">
        <v>5</v>
      </c>
      <c r="C126" s="38" t="s">
        <v>53</v>
      </c>
      <c r="D126" s="42">
        <f>TRUNC(1742,-1)</f>
        <v>1740</v>
      </c>
      <c r="E126" s="63">
        <f t="shared" si="4"/>
        <v>5750</v>
      </c>
    </row>
    <row r="127" spans="1:7" x14ac:dyDescent="0.3">
      <c r="A127" s="2">
        <v>6</v>
      </c>
      <c r="C127" s="38" t="s">
        <v>56</v>
      </c>
      <c r="D127" s="42">
        <v>6490</v>
      </c>
      <c r="E127" s="63">
        <f t="shared" si="4"/>
        <v>21450</v>
      </c>
    </row>
    <row r="128" spans="1:7" x14ac:dyDescent="0.3">
      <c r="A128" s="2">
        <v>7</v>
      </c>
      <c r="C128" s="38" t="s">
        <v>46</v>
      </c>
      <c r="D128" s="42">
        <f>TRUNC(6549,-1)</f>
        <v>6540</v>
      </c>
      <c r="E128" s="63">
        <f t="shared" si="4"/>
        <v>21610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19510</v>
      </c>
      <c r="E131" s="63">
        <f t="shared" si="4"/>
        <v>64490</v>
      </c>
    </row>
    <row r="132" spans="1:7" ht="18" thickBot="1" x14ac:dyDescent="0.35">
      <c r="A132" s="2">
        <v>11</v>
      </c>
      <c r="C132" s="38" t="s">
        <v>47</v>
      </c>
      <c r="D132" s="43">
        <f>TRUNC(4265+458,-1)</f>
        <v>4720</v>
      </c>
      <c r="E132" s="64">
        <f t="shared" si="4"/>
        <v>15600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65170</v>
      </c>
      <c r="E133" s="39">
        <f>SUM(E122:E132)</f>
        <v>215400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TRUNC(5601+9981,-1)</f>
        <v>15580</v>
      </c>
      <c r="E137" s="63">
        <f t="shared" si="5"/>
        <v>51500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TRUNC(2325,-1)</f>
        <v>2320</v>
      </c>
      <c r="E139" s="63">
        <f t="shared" si="5"/>
        <v>7660</v>
      </c>
    </row>
    <row r="140" spans="1:7" x14ac:dyDescent="0.3">
      <c r="A140" s="2">
        <v>5</v>
      </c>
      <c r="C140" s="38" t="s">
        <v>57</v>
      </c>
      <c r="D140" s="42">
        <f>TRUNC(6426,-1)</f>
        <v>6420</v>
      </c>
      <c r="E140" s="63">
        <f t="shared" si="5"/>
        <v>21220</v>
      </c>
    </row>
    <row r="141" spans="1:7" x14ac:dyDescent="0.3">
      <c r="A141" s="2">
        <v>6</v>
      </c>
      <c r="C141" s="38" t="s">
        <v>59</v>
      </c>
      <c r="D141" s="42">
        <f>TRUNC(1616,-1)</f>
        <v>1610</v>
      </c>
      <c r="E141" s="63">
        <f t="shared" si="5"/>
        <v>5320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TRUNC(5752,-1)</f>
        <v>5750</v>
      </c>
      <c r="E143" s="63">
        <f t="shared" si="5"/>
        <v>19000</v>
      </c>
    </row>
    <row r="144" spans="1:7" x14ac:dyDescent="0.3">
      <c r="A144" s="2">
        <v>9</v>
      </c>
      <c r="C144" s="38" t="s">
        <v>63</v>
      </c>
      <c r="D144" s="42">
        <f>TRUNC(11871,-1)</f>
        <v>11870</v>
      </c>
      <c r="E144" s="63">
        <f t="shared" si="5"/>
        <v>39230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43550</v>
      </c>
      <c r="E146" s="39">
        <f>SUM(E136:E145)</f>
        <v>143930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TRUNC(7773+1685,-1)</f>
        <v>9450</v>
      </c>
      <c r="E149" s="62">
        <f>TRUNC(+D149*3.3058,-1)</f>
        <v>31230</v>
      </c>
    </row>
    <row r="150" spans="1:7" x14ac:dyDescent="0.3">
      <c r="A150" s="2">
        <v>2</v>
      </c>
      <c r="C150" s="38" t="s">
        <v>49</v>
      </c>
      <c r="D150" s="42">
        <f>TRUNC(8104,-1)</f>
        <v>8100</v>
      </c>
      <c r="E150" s="63">
        <f>TRUNC(+D150*3.3058,-1)</f>
        <v>26770</v>
      </c>
    </row>
    <row r="151" spans="1:7" x14ac:dyDescent="0.3">
      <c r="A151" s="2">
        <v>3</v>
      </c>
      <c r="C151" s="38" t="s">
        <v>50</v>
      </c>
      <c r="D151" s="42">
        <f>TRUNC(14387,-1)</f>
        <v>14380</v>
      </c>
      <c r="E151" s="63">
        <f>TRUNC(+D151*3.3058,-1)</f>
        <v>47530</v>
      </c>
    </row>
    <row r="152" spans="1:7" x14ac:dyDescent="0.3">
      <c r="A152" s="2">
        <v>4</v>
      </c>
      <c r="C152" s="38" t="s">
        <v>47</v>
      </c>
      <c r="D152" s="42">
        <f>TRUNC(3905+129+3992,-1)</f>
        <v>8020</v>
      </c>
      <c r="E152" s="63">
        <f>TRUNC(+D152*3.3058,-1)</f>
        <v>26510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39950</v>
      </c>
      <c r="E154" s="39">
        <f>SUM(E149:E153)</f>
        <v>132040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2020-12-08T02:00:24Z</dcterms:modified>
</cp:coreProperties>
</file>