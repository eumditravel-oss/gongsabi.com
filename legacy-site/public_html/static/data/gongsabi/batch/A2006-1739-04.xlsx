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1" i="4" l="1"/>
  <c r="E149" i="4"/>
  <c r="E144" i="4"/>
  <c r="E143" i="4"/>
  <c r="E141" i="4"/>
  <c r="E139" i="4"/>
  <c r="E138" i="4"/>
  <c r="E136" i="4"/>
  <c r="E129" i="4"/>
  <c r="E128" i="4"/>
  <c r="E127" i="4"/>
  <c r="E126" i="4"/>
  <c r="E124" i="4"/>
  <c r="E123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88" i="4"/>
  <c r="E87" i="4"/>
  <c r="E86" i="4"/>
  <c r="E84" i="4"/>
  <c r="E83" i="4"/>
  <c r="E82" i="4"/>
  <c r="E80" i="4"/>
  <c r="E79" i="4"/>
  <c r="E76" i="4"/>
  <c r="E74" i="4"/>
  <c r="E73" i="4"/>
  <c r="E72" i="4"/>
  <c r="E70" i="4"/>
  <c r="E65" i="4"/>
  <c r="E64" i="4"/>
  <c r="E57" i="4"/>
  <c r="E56" i="4"/>
  <c r="E54" i="4"/>
  <c r="D59" i="4" l="1"/>
  <c r="E59" i="4" s="1"/>
  <c r="D132" i="4" l="1"/>
  <c r="E132" i="4" s="1"/>
  <c r="D117" i="4"/>
  <c r="E117" i="4" s="1"/>
  <c r="D58" i="4"/>
  <c r="E58" i="4" s="1"/>
  <c r="D77" i="4"/>
  <c r="E77" i="4" s="1"/>
  <c r="D105" i="4"/>
  <c r="E105" i="4" s="1"/>
  <c r="D118" i="4"/>
  <c r="E118" i="4" s="1"/>
  <c r="D157" i="4"/>
  <c r="E157" i="4" s="1"/>
  <c r="D158" i="4"/>
  <c r="E158" i="4" s="1"/>
  <c r="D159" i="4"/>
  <c r="E159" i="4" s="1"/>
  <c r="D160" i="4"/>
  <c r="E160" i="4" s="1"/>
  <c r="D150" i="4"/>
  <c r="E150" i="4" s="1"/>
  <c r="E154" i="4" s="1"/>
  <c r="D152" i="4"/>
  <c r="E152" i="4" s="1"/>
  <c r="D153" i="4"/>
  <c r="E153" i="4" s="1"/>
  <c r="D137" i="4"/>
  <c r="E137" i="4" s="1"/>
  <c r="E146" i="4" s="1"/>
  <c r="D140" i="4"/>
  <c r="E140" i="4" s="1"/>
  <c r="D142" i="4"/>
  <c r="E142" i="4" s="1"/>
  <c r="D145" i="4"/>
  <c r="E145" i="4" s="1"/>
  <c r="D146" i="4"/>
  <c r="D30" i="4" s="1"/>
  <c r="E30" i="4" s="1"/>
  <c r="D122" i="4"/>
  <c r="E122" i="4" s="1"/>
  <c r="D125" i="4"/>
  <c r="E125" i="4" s="1"/>
  <c r="D130" i="4"/>
  <c r="E130" i="4" s="1"/>
  <c r="D131" i="4"/>
  <c r="E131" i="4" s="1"/>
  <c r="D98" i="4"/>
  <c r="E98" i="4" s="1"/>
  <c r="D99" i="4"/>
  <c r="E99" i="4" s="1"/>
  <c r="D100" i="4"/>
  <c r="E100" i="4" s="1"/>
  <c r="D102" i="4"/>
  <c r="E102" i="4" s="1"/>
  <c r="D104" i="4"/>
  <c r="E104" i="4" s="1"/>
  <c r="D114" i="4"/>
  <c r="E114" i="4" s="1"/>
  <c r="D115" i="4"/>
  <c r="E115" i="4" s="1"/>
  <c r="D116" i="4"/>
  <c r="E116" i="4" s="1"/>
  <c r="D69" i="4"/>
  <c r="E69" i="4" s="1"/>
  <c r="D71" i="4"/>
  <c r="E71" i="4" s="1"/>
  <c r="D75" i="4"/>
  <c r="E75" i="4" s="1"/>
  <c r="D78" i="4"/>
  <c r="E78" i="4" s="1"/>
  <c r="D81" i="4"/>
  <c r="E81" i="4" s="1"/>
  <c r="D85" i="4"/>
  <c r="E85" i="4" s="1"/>
  <c r="D89" i="4"/>
  <c r="E89" i="4" s="1"/>
  <c r="D90" i="4"/>
  <c r="E90" i="4" s="1"/>
  <c r="D93" i="4"/>
  <c r="E93" i="4" s="1"/>
  <c r="D94" i="4"/>
  <c r="E94" i="4" s="1"/>
  <c r="D63" i="4"/>
  <c r="E63" i="4" s="1"/>
  <c r="E66" i="4" s="1"/>
  <c r="D66" i="4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1" i="4"/>
  <c r="E51" i="4" s="1"/>
  <c r="D52" i="4"/>
  <c r="E52" i="4" s="1"/>
  <c r="D53" i="4"/>
  <c r="E53" i="4" s="1"/>
  <c r="D55" i="4"/>
  <c r="E55" i="4" s="1"/>
  <c r="D37" i="4"/>
  <c r="E37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60" i="4" l="1"/>
  <c r="D25" i="4" s="1"/>
  <c r="E161" i="4"/>
  <c r="E60" i="4"/>
  <c r="E95" i="4"/>
  <c r="D154" i="4"/>
  <c r="D31" i="4" s="1"/>
  <c r="E31" i="4" s="1"/>
  <c r="D161" i="4"/>
  <c r="D32" i="4" s="1"/>
  <c r="E32" i="4" s="1"/>
  <c r="D119" i="4"/>
  <c r="D28" i="4" s="1"/>
  <c r="E28" i="4" s="1"/>
  <c r="E119" i="4"/>
  <c r="D24" i="4"/>
  <c r="D95" i="4"/>
  <c r="D27" i="4" s="1"/>
  <c r="E27" i="4" s="1"/>
  <c r="D133" i="4"/>
  <c r="D29" i="4" s="1"/>
  <c r="E29" i="4" s="1"/>
  <c r="E133" i="4"/>
  <c r="E24" i="4" l="1"/>
  <c r="D33" i="4"/>
  <c r="E33" i="4" s="1"/>
  <c r="E25" i="4"/>
  <c r="E34" i="4" l="1"/>
  <c r="D34" i="4"/>
</calcChain>
</file>

<file path=xl/sharedStrings.xml><?xml version="1.0" encoding="utf-8"?>
<sst xmlns="http://schemas.openxmlformats.org/spreadsheetml/2006/main" count="396" uniqueCount="270">
  <si>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</si>
  <si>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</si>
  <si>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</si>
  <si>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</si>
  <si>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</si>
  <si>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</si>
  <si>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</si>
  <si>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</si>
  <si>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</si>
  <si>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</si>
  <si>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</si>
  <si>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</si>
  <si>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</si>
  <si>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</si>
  <si>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</si>
  <si>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</si>
  <si>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</si>
  <si>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</si>
  <si>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</si>
  <si>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</si>
  <si>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</si>
  <si>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</si>
  <si>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</si>
  <si>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</si>
  <si>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</si>
  <si>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</si>
  <si>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</si>
  <si>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</si>
  <si>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</si>
  <si>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</si>
  <si>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</si>
  <si>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</si>
  <si>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</si>
  <si>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</si>
  <si>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</si>
  <si>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</si>
  <si>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</si>
  <si>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</si>
  <si>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</si>
  <si>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</si>
  <si>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</si>
  <si>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</si>
  <si>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</si>
  <si>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</si>
  <si>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</si>
  <si>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</si>
  <si>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</si>
  <si>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</si>
  <si>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</si>
  <si>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</si>
  <si>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</si>
  <si>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</si>
  <si>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</si>
  <si>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</si>
  <si>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</si>
  <si>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</si>
  <si>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</si>
  <si>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</si>
  <si>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</si>
  <si>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</si>
  <si>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</si>
  <si>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</si>
  <si>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</si>
  <si>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</si>
  <si>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</si>
  <si>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</si>
  <si>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</si>
  <si>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</si>
  <si>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</si>
  <si>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</si>
  <si>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</si>
  <si>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</si>
  <si>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</si>
  <si>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</si>
  <si>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</si>
  <si>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</si>
  <si>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</si>
  <si>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</si>
  <si>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</si>
  <si>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</si>
  <si>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</si>
  <si>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</si>
  <si>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</si>
  <si>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</si>
  <si>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</si>
  <si>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</si>
  <si>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</si>
  <si>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</si>
  <si>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</si>
  <si>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</si>
  <si>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</si>
  <si>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</si>
  <si>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</si>
  <si>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</si>
  <si>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</si>
  <si>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</si>
  <si>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</si>
  <si>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</si>
  <si>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</si>
  <si>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</si>
  <si>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</si>
  <si>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</si>
  <si>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</si>
  <si>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</si>
  <si>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</si>
  <si>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</si>
  <si>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</si>
  <si>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</si>
  <si>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</si>
  <si>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</si>
  <si>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</si>
  <si>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</si>
  <si>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</si>
  <si>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</si>
  <si>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</si>
  <si>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</si>
  <si>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</si>
  <si>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</si>
  <si>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</si>
  <si>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</si>
  <si>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</si>
  <si>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</si>
  <si>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</si>
  <si>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</si>
  <si>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</si>
  <si>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</si>
  <si>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</si>
  <si>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</si>
  <si>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</si>
  <si>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</si>
  <si>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</si>
  <si>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</si>
  <si>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</si>
  <si>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</si>
  <si>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</si>
  <si>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</si>
  <si>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</si>
  <si>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</si>
  <si>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</si>
  <si>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</si>
  <si>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</si>
  <si>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</si>
  <si>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</si>
  <si>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</si>
  <si>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</si>
  <si>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</si>
  <si>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</si>
  <si>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</si>
  <si>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</si>
  <si>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</si>
  <si>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</si>
  <si>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</si>
  <si>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</si>
  <si>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</si>
  <si>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</si>
  <si>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</si>
  <si>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</si>
  <si>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</si>
  <si>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</si>
  <si>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</si>
  <si>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</si>
  <si>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</si>
  <si>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</si>
  <si>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</si>
  <si>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</si>
  <si>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</si>
  <si>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</si>
  <si>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</si>
  <si>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</si>
  <si>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</si>
  <si>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</si>
  <si>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</si>
  <si>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</si>
  <si>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</si>
  <si>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</si>
  <si>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</si>
  <si>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</si>
  <si>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</si>
  <si>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</si>
  <si>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</si>
  <si>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</si>
  <si>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</si>
  <si>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</si>
  <si>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</si>
  <si>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</si>
  <si>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</si>
  <si>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</si>
  <si>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</si>
  <si>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</si>
  <si>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</si>
  <si>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</si>
  <si>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</si>
  <si>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</si>
  <si>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</si>
  <si>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</si>
  <si>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</si>
  <si>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</si>
  <si>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</si>
  <si>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</si>
  <si>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</si>
  <si>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</si>
  <si>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</si>
  <si>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</si>
  <si>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</si>
  <si>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</si>
  <si>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</si>
  <si>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</si>
  <si>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</si>
  <si>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</si>
  <si>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</si>
  <si>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</si>
  <si>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</si>
  <si>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</si>
  <si>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</si>
  <si>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</si>
  <si>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</si>
  <si>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</si>
  <si>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</si>
  <si>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</si>
  <si>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</si>
  <si>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</si>
  <si>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</si>
  <si>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</si>
  <si>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</si>
  <si>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</si>
  <si>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</si>
  <si>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</si>
  <si>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</si>
  <si>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</si>
  <si>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</si>
  <si>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</si>
  <si>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</si>
  <si>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</si>
  <si>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</si>
  <si>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난방배관공사</t>
    <phoneticPr fontId="2" type="noConversion"/>
  </si>
  <si>
    <t>환기덕트설치공사</t>
  </si>
  <si>
    <t>토목 배수공, 상수공, 시설물공, 철거공,자재공</t>
    <phoneticPr fontId="2" type="noConversion"/>
  </si>
  <si>
    <t>도급자설치관급</t>
  </si>
  <si>
    <t>수목이식공사, 조경구조물공사</t>
    <phoneticPr fontId="2" type="noConversion"/>
  </si>
  <si>
    <t>공조배관공사,위생배관공사,지열히트펌프설치공사,주방기구설치공사</t>
    <phoneticPr fontId="2" type="noConversion"/>
  </si>
  <si>
    <t>피뢰침설비공사</t>
  </si>
  <si>
    <t>전기소방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</si>
  <si>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</si>
  <si>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</si>
  <si>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</si>
  <si>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</si>
  <si>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</si>
  <si>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</si>
  <si>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</si>
  <si>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</si>
  <si>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</si>
  <si>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</si>
  <si>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</si>
  <si>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원/ m2</t>
    <phoneticPr fontId="2" type="noConversion"/>
  </si>
  <si>
    <t>광주시</t>
  </si>
  <si>
    <t>평</t>
    <phoneticPr fontId="2" type="noConversion"/>
  </si>
  <si>
    <t>원/ m2</t>
    <phoneticPr fontId="2" type="noConversion"/>
  </si>
  <si>
    <t>00국가유공자 노인요양시설 신축공사</t>
    <phoneticPr fontId="2" type="noConversion"/>
  </si>
  <si>
    <t>전기실설비공사</t>
    <phoneticPr fontId="2" type="noConversion"/>
  </si>
  <si>
    <t>케이블트레이 ,강전트레이설비공사</t>
    <phoneticPr fontId="2" type="noConversion"/>
  </si>
  <si>
    <t>도급자설치</t>
    <phoneticPr fontId="2" type="noConversion"/>
  </si>
  <si>
    <t>운반 및 골재, 부산물공제, 토및지정</t>
    <phoneticPr fontId="2" type="noConversion"/>
  </si>
  <si>
    <t>도급자설치관급,관급자설치관급</t>
    <phoneticPr fontId="2" type="noConversion"/>
  </si>
  <si>
    <t>인입공사, 옥외방송설비공사, CCTV 설비공사, 방범설비공사, 비상호출설비공사, 주차관제설비공사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</si>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</sst>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252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255</v>
      </c>
    </row>
    <row r="7" spans="1:4" ht="17.25" thickBot="1" x14ac:dyDescent="0.35">
      <c r="C7" s="37">
        <v>7934</v>
      </c>
      <c r="D7" s="36">
        <f>+C7/3.3058</f>
        <v>2400.0241998911006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256</v>
      </c>
      <c r="E23" s="35" t="s">
        <v>264</v>
      </c>
    </row>
    <row r="24" spans="1:5" x14ac:dyDescent="0.3">
      <c r="B24" s="2">
        <v>1</v>
      </c>
      <c r="C24" s="35" t="s">
        <v>110</v>
      </c>
      <c r="D24" s="41">
        <f>D37</f>
        <v>5890</v>
      </c>
      <c r="E24" s="59">
        <f t="shared" ref="E24:E33" si="0">TRUNC(+D24*3.3058,-1)</f>
        <v>19470</v>
      </c>
    </row>
    <row r="25" spans="1:5" x14ac:dyDescent="0.3">
      <c r="B25" s="2">
        <v>2</v>
      </c>
      <c r="C25" s="35" t="s">
        <v>111</v>
      </c>
      <c r="D25" s="45">
        <f>+D60</f>
        <v>648590</v>
      </c>
      <c r="E25" s="60">
        <f t="shared" si="0"/>
        <v>2144100</v>
      </c>
    </row>
    <row r="26" spans="1:5" x14ac:dyDescent="0.3">
      <c r="B26" s="2">
        <v>3</v>
      </c>
      <c r="C26" s="35" t="s">
        <v>95</v>
      </c>
      <c r="D26" s="45">
        <f>+D66</f>
        <v>1460</v>
      </c>
      <c r="E26" s="60">
        <f t="shared" si="0"/>
        <v>4820</v>
      </c>
    </row>
    <row r="27" spans="1:5" x14ac:dyDescent="0.3">
      <c r="B27" s="2">
        <v>4</v>
      </c>
      <c r="C27" s="35" t="s">
        <v>96</v>
      </c>
      <c r="D27" s="45">
        <f>+D95</f>
        <v>289740</v>
      </c>
      <c r="E27" s="60">
        <f t="shared" si="0"/>
        <v>957820</v>
      </c>
    </row>
    <row r="28" spans="1:5" x14ac:dyDescent="0.3">
      <c r="B28" s="2">
        <v>5</v>
      </c>
      <c r="C28" s="35" t="s">
        <v>97</v>
      </c>
      <c r="D28" s="45">
        <f>+D119</f>
        <v>113810</v>
      </c>
      <c r="E28" s="60">
        <f t="shared" si="0"/>
        <v>376230</v>
      </c>
    </row>
    <row r="29" spans="1:5" x14ac:dyDescent="0.3">
      <c r="B29" s="2">
        <v>6</v>
      </c>
      <c r="C29" s="35" t="s">
        <v>98</v>
      </c>
      <c r="D29" s="45">
        <f>+D133</f>
        <v>68200</v>
      </c>
      <c r="E29" s="60">
        <f t="shared" si="0"/>
        <v>225450</v>
      </c>
    </row>
    <row r="30" spans="1:5" x14ac:dyDescent="0.3">
      <c r="B30" s="2">
        <v>7</v>
      </c>
      <c r="C30" s="35" t="s">
        <v>99</v>
      </c>
      <c r="D30" s="45">
        <f>+D146</f>
        <v>38710</v>
      </c>
      <c r="E30" s="60">
        <f t="shared" si="0"/>
        <v>127960</v>
      </c>
    </row>
    <row r="31" spans="1:5" x14ac:dyDescent="0.3">
      <c r="B31" s="2">
        <v>8</v>
      </c>
      <c r="C31" s="35" t="s">
        <v>100</v>
      </c>
      <c r="D31" s="45">
        <f>+D154</f>
        <v>10170</v>
      </c>
      <c r="E31" s="60">
        <f t="shared" si="0"/>
        <v>33610</v>
      </c>
    </row>
    <row r="32" spans="1:5" x14ac:dyDescent="0.3">
      <c r="B32" s="2">
        <v>9</v>
      </c>
      <c r="C32" s="35" t="s">
        <v>101</v>
      </c>
      <c r="D32" s="45">
        <f>+D161</f>
        <v>39160</v>
      </c>
      <c r="E32" s="60">
        <f t="shared" si="0"/>
        <v>129450</v>
      </c>
    </row>
    <row r="33" spans="1:7" x14ac:dyDescent="0.3">
      <c r="B33" s="2">
        <v>10</v>
      </c>
      <c r="C33" s="35" t="s">
        <v>153</v>
      </c>
      <c r="D33" s="53">
        <f>TRUNC(SUM(D24:D32)*0.275,-1)</f>
        <v>334320</v>
      </c>
      <c r="E33" s="61">
        <f t="shared" si="0"/>
        <v>1105190</v>
      </c>
    </row>
    <row r="34" spans="1:7" x14ac:dyDescent="0.3">
      <c r="C34" s="35" t="s">
        <v>112</v>
      </c>
      <c r="D34" s="44">
        <f>SUM(D24:D33)</f>
        <v>1550050</v>
      </c>
      <c r="E34" s="44">
        <f>SUM(E24:E33)</f>
        <v>5124100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242</v>
      </c>
      <c r="D36" s="57" t="s">
        <v>253</v>
      </c>
      <c r="E36" s="57" t="s">
        <v>264</v>
      </c>
      <c r="G36" s="55"/>
    </row>
    <row r="37" spans="1:7" ht="17.25" thickBot="1" x14ac:dyDescent="0.35">
      <c r="C37" s="38" t="s">
        <v>143</v>
      </c>
      <c r="D37" s="52">
        <f>TRUNC(5894.69,-1)</f>
        <v>5890</v>
      </c>
      <c r="E37" s="62">
        <f>TRUNC(+D37*3.3058,-1)</f>
        <v>19470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246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TRUNC(30979.54,-1)</f>
        <v>30970</v>
      </c>
      <c r="E40" s="63">
        <f t="shared" ref="E40:E59" si="1">TRUNC(+D40*3.3058,-1)</f>
        <v>102380</v>
      </c>
    </row>
    <row r="41" spans="1:7" x14ac:dyDescent="0.3">
      <c r="A41" s="2">
        <v>2</v>
      </c>
      <c r="C41" s="38" t="s">
        <v>13</v>
      </c>
      <c r="D41" s="42">
        <f>TRUNC(109666.14,-1)</f>
        <v>109660</v>
      </c>
      <c r="E41" s="64">
        <f t="shared" si="1"/>
        <v>362510</v>
      </c>
    </row>
    <row r="42" spans="1:7" x14ac:dyDescent="0.3">
      <c r="A42" s="2">
        <v>3</v>
      </c>
      <c r="C42" s="38" t="s">
        <v>14</v>
      </c>
      <c r="D42" s="42">
        <f>TRUNC(1244.72,-1)</f>
        <v>1240</v>
      </c>
      <c r="E42" s="64">
        <f t="shared" si="1"/>
        <v>4090</v>
      </c>
    </row>
    <row r="43" spans="1:7" x14ac:dyDescent="0.3">
      <c r="A43" s="2">
        <v>4</v>
      </c>
      <c r="C43" s="38" t="s">
        <v>16</v>
      </c>
      <c r="D43" s="42">
        <f>TRUNC(47684.74,-1)</f>
        <v>47680</v>
      </c>
      <c r="E43" s="64">
        <f t="shared" si="1"/>
        <v>157620</v>
      </c>
    </row>
    <row r="44" spans="1:7" x14ac:dyDescent="0.3">
      <c r="A44" s="2">
        <v>5</v>
      </c>
      <c r="C44" s="38" t="s">
        <v>17</v>
      </c>
      <c r="D44" s="42">
        <f>TRUNC(20170.64,-1)</f>
        <v>20170</v>
      </c>
      <c r="E44" s="64">
        <f t="shared" si="1"/>
        <v>66670</v>
      </c>
    </row>
    <row r="45" spans="1:7" x14ac:dyDescent="0.3">
      <c r="A45" s="2">
        <v>6</v>
      </c>
      <c r="C45" s="38" t="s">
        <v>18</v>
      </c>
      <c r="D45" s="42">
        <f>TRUNC(11524.78,-1)</f>
        <v>11520</v>
      </c>
      <c r="E45" s="64">
        <f t="shared" si="1"/>
        <v>38080</v>
      </c>
    </row>
    <row r="46" spans="1:7" x14ac:dyDescent="0.3">
      <c r="A46" s="2">
        <v>7</v>
      </c>
      <c r="C46" s="38" t="s">
        <v>19</v>
      </c>
      <c r="D46" s="42">
        <f>TRUNC(17320.76,-1)</f>
        <v>17320</v>
      </c>
      <c r="E46" s="64">
        <f t="shared" si="1"/>
        <v>57250</v>
      </c>
    </row>
    <row r="47" spans="1:7" x14ac:dyDescent="0.3">
      <c r="A47" s="2">
        <v>8</v>
      </c>
      <c r="C47" s="38" t="s">
        <v>20</v>
      </c>
      <c r="D47" s="42">
        <f>TRUNC(20749.47,-1)</f>
        <v>20740</v>
      </c>
      <c r="E47" s="64">
        <f t="shared" si="1"/>
        <v>68560</v>
      </c>
    </row>
    <row r="48" spans="1:7" x14ac:dyDescent="0.3">
      <c r="A48" s="2">
        <v>9</v>
      </c>
      <c r="C48" s="38" t="s">
        <v>21</v>
      </c>
      <c r="D48" s="42">
        <f>TRUNC(63286.72,-1)</f>
        <v>63280</v>
      </c>
      <c r="E48" s="64">
        <f t="shared" si="1"/>
        <v>209190</v>
      </c>
    </row>
    <row r="49" spans="1:7" x14ac:dyDescent="0.3">
      <c r="A49" s="2">
        <v>10</v>
      </c>
      <c r="C49" s="38" t="s">
        <v>22</v>
      </c>
      <c r="D49" s="42">
        <f>TRUNC(19421.21,-1)</f>
        <v>19420</v>
      </c>
      <c r="E49" s="64">
        <f t="shared" si="1"/>
        <v>64190</v>
      </c>
    </row>
    <row r="50" spans="1:7" x14ac:dyDescent="0.3">
      <c r="A50" s="2">
        <v>11</v>
      </c>
      <c r="C50" s="38" t="s">
        <v>154</v>
      </c>
      <c r="D50" s="42">
        <f>TRUNC(59962.33,-1)</f>
        <v>59960</v>
      </c>
      <c r="E50" s="64">
        <f t="shared" si="1"/>
        <v>198210</v>
      </c>
    </row>
    <row r="51" spans="1:7" x14ac:dyDescent="0.3">
      <c r="A51" s="2">
        <v>12</v>
      </c>
      <c r="C51" s="38" t="s">
        <v>23</v>
      </c>
      <c r="D51" s="42">
        <f>TRUNC(9679.72,-1)</f>
        <v>9670</v>
      </c>
      <c r="E51" s="64">
        <f t="shared" si="1"/>
        <v>31960</v>
      </c>
    </row>
    <row r="52" spans="1:7" x14ac:dyDescent="0.3">
      <c r="A52" s="2">
        <v>13</v>
      </c>
      <c r="C52" s="38" t="s">
        <v>24</v>
      </c>
      <c r="D52" s="42">
        <f>TRUNC(6829.35,-1)</f>
        <v>6820</v>
      </c>
      <c r="E52" s="64">
        <f t="shared" si="1"/>
        <v>22540</v>
      </c>
    </row>
    <row r="53" spans="1:7" x14ac:dyDescent="0.3">
      <c r="A53" s="2">
        <v>14</v>
      </c>
      <c r="C53" s="38" t="s">
        <v>25</v>
      </c>
      <c r="D53" s="42">
        <f>TRUNC(72154.41,-1)</f>
        <v>72150</v>
      </c>
      <c r="E53" s="64">
        <f t="shared" si="1"/>
        <v>238510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TRUNC(2088.04,-1)</f>
        <v>2080</v>
      </c>
      <c r="E55" s="64">
        <f t="shared" si="1"/>
        <v>6870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TRUNC(4456.53-458.21+38774.1090244517,-1)</f>
        <v>42770</v>
      </c>
      <c r="E58" s="64">
        <f t="shared" si="1"/>
        <v>141380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TRUNC(113140.912528359,-1)</f>
        <v>113140</v>
      </c>
      <c r="E59" s="65">
        <f t="shared" si="1"/>
        <v>374010</v>
      </c>
      <c r="F59" s="2" t="s">
        <v>260</v>
      </c>
    </row>
    <row r="60" spans="1:7" x14ac:dyDescent="0.3">
      <c r="A60" s="2">
        <v>21</v>
      </c>
      <c r="C60" s="27" t="s">
        <v>112</v>
      </c>
      <c r="D60" s="39">
        <f>SUM(D40:D59)</f>
        <v>648590</v>
      </c>
      <c r="E60" s="39">
        <f>SUM(E40:E59)</f>
        <v>2144020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243</v>
      </c>
      <c r="C62" s="56" t="s">
        <v>244</v>
      </c>
      <c r="D62" s="57" t="s">
        <v>256</v>
      </c>
      <c r="E62" s="57" t="s">
        <v>264</v>
      </c>
      <c r="G62" s="55"/>
    </row>
    <row r="63" spans="1:7" x14ac:dyDescent="0.3">
      <c r="A63" s="2">
        <v>1</v>
      </c>
      <c r="C63" s="38" t="s">
        <v>27</v>
      </c>
      <c r="D63" s="40">
        <f>TRUNC(1467.29,-1)</f>
        <v>1460</v>
      </c>
      <c r="E63" s="63">
        <f>TRUNC(+D63*3.3058,-1)</f>
        <v>4820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1460</v>
      </c>
      <c r="E66" s="58">
        <f>SUM(E63:E65)</f>
        <v>4820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245</v>
      </c>
      <c r="C68" s="56" t="s">
        <v>246</v>
      </c>
      <c r="D68" s="57" t="s">
        <v>256</v>
      </c>
      <c r="E68" s="57" t="s">
        <v>264</v>
      </c>
      <c r="G68" s="55"/>
    </row>
    <row r="69" spans="1:7" x14ac:dyDescent="0.3">
      <c r="A69" s="2">
        <v>1</v>
      </c>
      <c r="C69" s="38" t="s">
        <v>30</v>
      </c>
      <c r="D69" s="40">
        <f>TRUNC(11395.94,-1)</f>
        <v>11390</v>
      </c>
      <c r="E69" s="63">
        <f>TRUNC(+D69*3.3058,-1)</f>
        <v>37650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TRUNC(9882.14,-1)</f>
        <v>9880</v>
      </c>
      <c r="E71" s="64">
        <f t="shared" ref="E71:E73" si="2">TRUNC(+D71*3.3058,-1)</f>
        <v>32660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TRUNC(4286.69,-1)</f>
        <v>4280</v>
      </c>
      <c r="E75" s="64">
        <f>TRUNC(+D75*3.3058,-1)</f>
        <v>14140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f>TRUNC(18619.49,-1)</f>
        <v>18610</v>
      </c>
      <c r="E77" s="64">
        <f t="shared" si="3"/>
        <v>61520</v>
      </c>
    </row>
    <row r="78" spans="1:7" x14ac:dyDescent="0.3">
      <c r="A78" s="2">
        <v>10</v>
      </c>
      <c r="C78" s="38" t="s">
        <v>137</v>
      </c>
      <c r="D78" s="42">
        <f>TRUNC(17900.84,-1)</f>
        <v>17900</v>
      </c>
      <c r="E78" s="64">
        <f t="shared" si="3"/>
        <v>59170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  <c r="F79" s="2" t="s">
        <v>235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TRUNC(13002.35,-1)</f>
        <v>13000</v>
      </c>
      <c r="E81" s="64">
        <f t="shared" si="3"/>
        <v>42970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  <c r="F84" s="2" t="s">
        <v>234</v>
      </c>
    </row>
    <row r="85" spans="1:7" x14ac:dyDescent="0.3">
      <c r="A85" s="2">
        <v>17</v>
      </c>
      <c r="C85" s="38" t="s">
        <v>123</v>
      </c>
      <c r="D85" s="42">
        <f>TRUNC(773.29,-1)</f>
        <v>770</v>
      </c>
      <c r="E85" s="64">
        <f t="shared" si="3"/>
        <v>2540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f>TRUNC(31508.87,-1)</f>
        <v>31500</v>
      </c>
      <c r="E89" s="64">
        <f t="shared" si="3"/>
        <v>104130</v>
      </c>
    </row>
    <row r="90" spans="1:7" x14ac:dyDescent="0.3">
      <c r="A90" s="2">
        <v>22</v>
      </c>
      <c r="C90" s="38" t="s">
        <v>36</v>
      </c>
      <c r="D90" s="42">
        <f>TRUNC(1752.98,-1)</f>
        <v>1750</v>
      </c>
      <c r="E90" s="64">
        <f>TRUNC(+D90*3.3058,-1)</f>
        <v>5780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TRUNC(125096.42,-1)</f>
        <v>125090</v>
      </c>
      <c r="E93" s="64">
        <f>TRUNC(+D93*3.3058,-1)</f>
        <v>413520</v>
      </c>
    </row>
    <row r="94" spans="1:7" ht="17.25" thickBot="1" x14ac:dyDescent="0.35">
      <c r="A94" s="2">
        <v>26</v>
      </c>
      <c r="C94" s="38" t="s">
        <v>47</v>
      </c>
      <c r="D94" s="43">
        <f>TRUNC(20068.1+21437.12+4827.52+4559.05+4682.78,-1)</f>
        <v>55570</v>
      </c>
      <c r="E94" s="65">
        <f>TRUNC(+D94*3.3058,-1)</f>
        <v>183700</v>
      </c>
      <c r="F94" s="2" t="s">
        <v>239</v>
      </c>
    </row>
    <row r="95" spans="1:7" x14ac:dyDescent="0.3">
      <c r="A95" s="2">
        <v>27</v>
      </c>
      <c r="C95" s="27" t="s">
        <v>112</v>
      </c>
      <c r="D95" s="39">
        <f>SUM(D69:D94)</f>
        <v>289740</v>
      </c>
      <c r="E95" s="39">
        <f>SUM(E69:E94)</f>
        <v>957780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247</v>
      </c>
      <c r="C97" s="56" t="s">
        <v>246</v>
      </c>
      <c r="D97" s="57" t="s">
        <v>256</v>
      </c>
      <c r="E97" s="57" t="s">
        <v>264</v>
      </c>
      <c r="G97" s="55"/>
    </row>
    <row r="98" spans="1:7" x14ac:dyDescent="0.3">
      <c r="A98" s="2">
        <v>1</v>
      </c>
      <c r="C98" s="38" t="s">
        <v>39</v>
      </c>
      <c r="D98" s="40">
        <f>TRUNC(13711.41,-1)</f>
        <v>13710</v>
      </c>
      <c r="E98" s="63">
        <f t="shared" ref="E98:E118" si="4">TRUNC(+D98*3.3058,-1)</f>
        <v>45320</v>
      </c>
    </row>
    <row r="99" spans="1:7" x14ac:dyDescent="0.3">
      <c r="A99" s="2">
        <v>2</v>
      </c>
      <c r="C99" s="38" t="s">
        <v>40</v>
      </c>
      <c r="D99" s="42">
        <f>TRUNC(4018.27,-1)</f>
        <v>4010</v>
      </c>
      <c r="E99" s="64">
        <f t="shared" si="4"/>
        <v>13250</v>
      </c>
    </row>
    <row r="100" spans="1:7" x14ac:dyDescent="0.3">
      <c r="A100" s="2">
        <v>3</v>
      </c>
      <c r="C100" s="38" t="s">
        <v>41</v>
      </c>
      <c r="D100" s="42">
        <f>TRUNC(23818.05,-1)</f>
        <v>23810</v>
      </c>
      <c r="E100" s="64">
        <f t="shared" si="4"/>
        <v>78710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TRUNC(5370.94,-1)</f>
        <v>5370</v>
      </c>
      <c r="E102" s="64">
        <f t="shared" si="4"/>
        <v>17750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TRUNC(3343.49,-1)</f>
        <v>3340</v>
      </c>
      <c r="E104" s="64">
        <f t="shared" si="4"/>
        <v>11040</v>
      </c>
      <c r="F104" s="2" t="s">
        <v>240</v>
      </c>
    </row>
    <row r="105" spans="1:7" x14ac:dyDescent="0.3">
      <c r="A105" s="2">
        <v>8</v>
      </c>
      <c r="C105" s="38" t="s">
        <v>46</v>
      </c>
      <c r="D105" s="42">
        <f>TRUNC(2361.73+2530.48,-1)</f>
        <v>4890</v>
      </c>
      <c r="E105" s="64">
        <f t="shared" si="4"/>
        <v>16160</v>
      </c>
      <c r="F105" s="2" t="s">
        <v>259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TRUNC(1512.28,-1)</f>
        <v>1510</v>
      </c>
      <c r="E114" s="64">
        <f t="shared" si="4"/>
        <v>4990</v>
      </c>
    </row>
    <row r="115" spans="1:7" x14ac:dyDescent="0.3">
      <c r="A115" s="2">
        <v>18</v>
      </c>
      <c r="C115" s="38" t="s">
        <v>116</v>
      </c>
      <c r="D115" s="42">
        <f>TRUNC(1858.1,-1)</f>
        <v>1850</v>
      </c>
      <c r="E115" s="64">
        <f t="shared" si="4"/>
        <v>6110</v>
      </c>
    </row>
    <row r="116" spans="1:7" x14ac:dyDescent="0.3">
      <c r="A116" s="2">
        <v>19</v>
      </c>
      <c r="C116" s="38" t="s">
        <v>115</v>
      </c>
      <c r="D116" s="42">
        <f>TRUNC(1760.15,-1)</f>
        <v>1760</v>
      </c>
      <c r="E116" s="64">
        <f t="shared" si="4"/>
        <v>5810</v>
      </c>
    </row>
    <row r="117" spans="1:7" x14ac:dyDescent="0.3">
      <c r="A117" s="2">
        <v>20</v>
      </c>
      <c r="C117" s="38" t="s">
        <v>148</v>
      </c>
      <c r="D117" s="42">
        <f>TRUNC(15200.4915553315+35128.65439879,-1)</f>
        <v>50320</v>
      </c>
      <c r="E117" s="64">
        <f t="shared" si="4"/>
        <v>166340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f>TRUNC(3248.98,-1)</f>
        <v>3240</v>
      </c>
      <c r="E118" s="65">
        <f t="shared" si="4"/>
        <v>10710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113810</v>
      </c>
      <c r="E119" s="39">
        <f>SUM(E98:E118)</f>
        <v>376190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248</v>
      </c>
      <c r="C121" s="56" t="s">
        <v>246</v>
      </c>
      <c r="D121" s="57" t="s">
        <v>256</v>
      </c>
      <c r="E121" s="57" t="s">
        <v>264</v>
      </c>
      <c r="G121" s="55"/>
    </row>
    <row r="122" spans="1:7" x14ac:dyDescent="0.3">
      <c r="A122" s="2">
        <v>1</v>
      </c>
      <c r="C122" s="38" t="s">
        <v>55</v>
      </c>
      <c r="D122" s="40">
        <f>TRUNC(6797.42,-1)</f>
        <v>6790</v>
      </c>
      <c r="E122" s="63">
        <f t="shared" ref="E122:E132" si="5">TRUNC(+D122*3.3058,-1)</f>
        <v>22440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TRUNC(5075.1,-1)</f>
        <v>5070</v>
      </c>
      <c r="E125" s="64">
        <f t="shared" si="5"/>
        <v>16760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TRUNC(18288.8,-1)</f>
        <v>18280</v>
      </c>
      <c r="E130" s="64">
        <f t="shared" si="5"/>
        <v>60430</v>
      </c>
    </row>
    <row r="131" spans="1:7" x14ac:dyDescent="0.3">
      <c r="A131" s="2">
        <v>10</v>
      </c>
      <c r="C131" s="38" t="s">
        <v>148</v>
      </c>
      <c r="D131" s="42">
        <f>TRUNC(13161.42,-1)</f>
        <v>13160</v>
      </c>
      <c r="E131" s="64">
        <f t="shared" si="5"/>
        <v>43500</v>
      </c>
    </row>
    <row r="132" spans="1:7" ht="18" thickBot="1" x14ac:dyDescent="0.35">
      <c r="A132" s="2">
        <v>11</v>
      </c>
      <c r="C132" s="38" t="s">
        <v>47</v>
      </c>
      <c r="D132" s="43">
        <f>TRUNC(2547.95+423.67+13651.08+1579.97+6367.9+330.19,-1)</f>
        <v>24900</v>
      </c>
      <c r="E132" s="65">
        <f t="shared" si="5"/>
        <v>82310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68200</v>
      </c>
      <c r="E133" s="39">
        <f>SUM(E122:E132)</f>
        <v>225440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249</v>
      </c>
      <c r="C135" s="56" t="s">
        <v>246</v>
      </c>
      <c r="D135" s="57" t="s">
        <v>256</v>
      </c>
      <c r="E135" s="57" t="s">
        <v>264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TRUNC(136.86+1384.03+2185.48+8376.96,-1)</f>
        <v>12080</v>
      </c>
      <c r="E137" s="64">
        <f t="shared" si="6"/>
        <v>39930</v>
      </c>
      <c r="F137" s="2" t="s">
        <v>241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f>TRUNC(2263.33,-1)</f>
        <v>2260</v>
      </c>
      <c r="E140" s="64">
        <f t="shared" si="6"/>
        <v>7470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f>TRUNC(19597.92,-1)</f>
        <v>19590</v>
      </c>
      <c r="E142" s="64">
        <f t="shared" si="6"/>
        <v>64760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TRUNC(4784.46,-1)</f>
        <v>4780</v>
      </c>
      <c r="E145" s="65">
        <f t="shared" si="6"/>
        <v>15800</v>
      </c>
      <c r="F145" s="2" t="s">
        <v>260</v>
      </c>
    </row>
    <row r="146" spans="1:7" x14ac:dyDescent="0.3">
      <c r="A146" s="2">
        <v>11</v>
      </c>
      <c r="C146" s="27" t="s">
        <v>112</v>
      </c>
      <c r="D146" s="39">
        <f>SUM(D136:D145)</f>
        <v>38710</v>
      </c>
      <c r="E146" s="39">
        <f>SUM(E136:E145)</f>
        <v>127960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250</v>
      </c>
      <c r="C148" s="56" t="s">
        <v>246</v>
      </c>
      <c r="D148" s="57" t="s">
        <v>256</v>
      </c>
      <c r="E148" s="57" t="s">
        <v>264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TRUNC(3559.23,-1)</f>
        <v>3550</v>
      </c>
      <c r="E150" s="64">
        <f>TRUNC(+D150*3.3058,-1)</f>
        <v>11730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TRUNC(3996.67+13.65+57.1,-1)</f>
        <v>4060</v>
      </c>
      <c r="E152" s="64">
        <f>TRUNC(+D152*3.3058,-1)</f>
        <v>13420</v>
      </c>
      <c r="F152" s="2" t="s">
        <v>236</v>
      </c>
    </row>
    <row r="153" spans="1:7" ht="17.25" thickBot="1" x14ac:dyDescent="0.35">
      <c r="A153" s="2">
        <v>5</v>
      </c>
      <c r="C153" s="38" t="s">
        <v>148</v>
      </c>
      <c r="D153" s="43">
        <f>TRUNC(2565.47,-1)</f>
        <v>2560</v>
      </c>
      <c r="E153" s="65">
        <f>TRUNC(+D153*3.3058,-1)</f>
        <v>8460</v>
      </c>
      <c r="F153" s="2" t="s">
        <v>237</v>
      </c>
    </row>
    <row r="154" spans="1:7" x14ac:dyDescent="0.3">
      <c r="A154" s="2">
        <v>6</v>
      </c>
      <c r="C154" s="27" t="s">
        <v>112</v>
      </c>
      <c r="D154" s="39">
        <f>SUM(D149:D153)</f>
        <v>10170</v>
      </c>
      <c r="E154" s="39">
        <f>SUM(E149:E153)</f>
        <v>33610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251</v>
      </c>
      <c r="C156" s="56" t="s">
        <v>246</v>
      </c>
      <c r="D156" s="57" t="s">
        <v>256</v>
      </c>
      <c r="E156" s="57" t="s">
        <v>264</v>
      </c>
      <c r="G156" s="55"/>
    </row>
    <row r="157" spans="1:7" x14ac:dyDescent="0.3">
      <c r="A157" s="2">
        <v>1</v>
      </c>
      <c r="C157" s="38" t="s">
        <v>51</v>
      </c>
      <c r="D157" s="40">
        <f>TRUNC(25546.54,-1)</f>
        <v>25540</v>
      </c>
      <c r="E157" s="63">
        <f>TRUNC(+D157*3.3058,-1)</f>
        <v>84430</v>
      </c>
    </row>
    <row r="158" spans="1:7" x14ac:dyDescent="0.3">
      <c r="A158" s="2">
        <v>2</v>
      </c>
      <c r="C158" s="38" t="s">
        <v>52</v>
      </c>
      <c r="D158" s="42">
        <f>TRUNC(8903.43,-1)</f>
        <v>8900</v>
      </c>
      <c r="E158" s="64">
        <f>TRUNC(+D158*3.3058,-1)</f>
        <v>29420</v>
      </c>
    </row>
    <row r="159" spans="1:7" x14ac:dyDescent="0.3">
      <c r="A159" s="2">
        <v>3</v>
      </c>
      <c r="C159" s="38" t="s">
        <v>47</v>
      </c>
      <c r="D159" s="42">
        <f>TRUNC(4439.81,-1)</f>
        <v>4430</v>
      </c>
      <c r="E159" s="64">
        <f>TRUNC(+D159*3.3058,-1)</f>
        <v>14640</v>
      </c>
      <c r="F159" s="2" t="s">
        <v>238</v>
      </c>
    </row>
    <row r="160" spans="1:7" ht="17.25" thickBot="1" x14ac:dyDescent="0.35">
      <c r="A160" s="2">
        <v>4</v>
      </c>
      <c r="C160" s="38" t="s">
        <v>148</v>
      </c>
      <c r="D160" s="43">
        <f>TRUNC(294.81,-1)</f>
        <v>290</v>
      </c>
      <c r="E160" s="65">
        <f>TRUNC(+D160*3.3058,-1)</f>
        <v>950</v>
      </c>
    </row>
    <row r="161" spans="1:5" x14ac:dyDescent="0.3">
      <c r="A161" s="2">
        <v>5</v>
      </c>
      <c r="C161" s="27" t="s">
        <v>112</v>
      </c>
      <c r="D161" s="39">
        <f>SUM(D157:D160)</f>
        <v>39160</v>
      </c>
      <c r="E161" s="39">
        <f>SUM(E157:E160)</f>
        <v>129440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2020-12-07T09:10:51Z</dcterms:modified>
</cp:coreProperties>
</file>