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2" i="4"/>
  <c r="D150" i="4"/>
  <c r="D149" i="4"/>
  <c r="D144" i="4"/>
  <c r="D143" i="4"/>
  <c r="D140" i="4"/>
  <c r="D132" i="4"/>
  <c r="D131" i="4"/>
  <c r="D128" i="4"/>
  <c r="D125" i="4"/>
  <c r="D124" i="4"/>
  <c r="D122" i="4"/>
  <c r="D118" i="4"/>
  <c r="D117" i="4"/>
  <c r="D114" i="4"/>
  <c r="D102" i="4"/>
  <c r="D100" i="4"/>
  <c r="D99" i="4"/>
  <c r="D98" i="4"/>
  <c r="D94" i="4"/>
  <c r="D92" i="4"/>
  <c r="D91" i="4"/>
  <c r="D89" i="4"/>
  <c r="D73" i="4"/>
  <c r="D71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<sst xmlns="http://schemas.openxmlformats.org/spreadsheetml/2006/main" count="390" uniqueCount="264">
  <si>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</si>
  <si>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</si>
  <si>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</si>
  <si>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</si>
  <si>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</si>
  <si>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</si>
  <si>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</si>
  <si>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</si>
  <si>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</si>
  <si>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</si>
  <si>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</si>
  <si>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</si>
  <si>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</si>
  <si>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</si>
  <si>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</si>
  <si>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</si>
  <si>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</si>
  <si>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</si>
  <si>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</si>
  <si>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</si>
  <si>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</si>
  <si>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</si>
  <si>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</si>
  <si>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</si>
  <si>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</si>
  <si>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</si>
  <si>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</si>
  <si>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</si>
  <si>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</si>
  <si>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</si>
  <si>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</si>
  <si>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</si>
  <si>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</si>
  <si>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</si>
  <si>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</si>
  <si>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</si>
  <si>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</si>
  <si>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</si>
  <si>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</si>
  <si>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</si>
  <si>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</si>
  <si>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</si>
  <si>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</si>
  <si>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</si>
  <si>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</si>
  <si>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</si>
  <si>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</si>
  <si>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</si>
  <si>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</si>
  <si>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</si>
  <si>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</si>
  <si>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</si>
  <si>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</si>
  <si>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</si>
  <si>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</si>
  <si>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</si>
  <si>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</si>
  <si>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</si>
  <si>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</si>
  <si>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</si>
  <si>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</si>
  <si>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</si>
  <si>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</si>
  <si>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</si>
  <si>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</si>
  <si>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</si>
  <si>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</si>
  <si>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</si>
  <si>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</si>
  <si>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</si>
  <si>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</si>
  <si>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</si>
  <si>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</si>
  <si>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</si>
  <si>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</si>
  <si>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</si>
  <si>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</si>
  <si>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</si>
  <si>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</si>
  <si>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</si>
  <si>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</si>
  <si>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</si>
  <si>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</si>
  <si>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</si>
  <si>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</si>
  <si>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</si>
  <si>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</si>
  <si>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</si>
  <si>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</si>
  <si>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</si>
  <si>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</si>
  <si>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</si>
  <si>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</si>
  <si>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</si>
  <si>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</si>
  <si>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</si>
  <si>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</si>
  <si>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</si>
  <si>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</si>
  <si>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</si>
  <si>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</si>
  <si>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</si>
  <si>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</si>
  <si>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</si>
  <si>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</si>
  <si>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</si>
  <si>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</si>
  <si>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</si>
  <si>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</si>
  <si>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</si>
  <si>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</si>
  <si>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</si>
  <si>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</si>
  <si>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</si>
  <si>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</si>
  <si>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</si>
  <si>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</si>
  <si>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</si>
  <si>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</si>
  <si>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</si>
  <si>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</si>
  <si>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</si>
  <si>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</si>
  <si>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</si>
  <si>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</si>
  <si>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</si>
  <si>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</si>
  <si>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</si>
  <si>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</si>
  <si>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</si>
  <si>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</si>
  <si>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</si>
  <si>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</si>
  <si>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</si>
  <si>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</si>
  <si>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</si>
  <si>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</si>
  <si>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</si>
  <si>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</si>
  <si>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</si>
  <si>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</si>
  <si>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</si>
  <si>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</si>
  <si>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</si>
  <si>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</si>
  <si>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</si>
  <si>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</si>
  <si>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</si>
  <si>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</si>
  <si>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</si>
  <si>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</si>
  <si>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</si>
  <si>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</si>
  <si>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</si>
  <si>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</si>
  <si>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</si>
  <si>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</si>
  <si>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</si>
  <si>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</si>
  <si>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</si>
  <si>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</si>
  <si>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</si>
  <si>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</si>
  <si>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</si>
  <si>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</si>
  <si>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</si>
  <si>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</si>
  <si>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</si>
  <si>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</si>
  <si>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</si>
  <si>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</si>
  <si>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</si>
  <si>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</si>
  <si>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</si>
  <si>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</si>
  <si>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</si>
  <si>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</si>
  <si>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</si>
  <si>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</si>
  <si>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</si>
  <si>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</si>
  <si>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</si>
  <si>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</si>
  <si>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</si>
  <si>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</si>
  <si>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</si>
  <si>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</si>
  <si>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</si>
  <si>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</si>
  <si>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</si>
  <si>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</si>
  <si>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</si>
  <si>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</si>
  <si>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</si>
  <si>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</si>
  <si>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</si>
  <si>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</si>
  <si>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</si>
  <si>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</si>
  <si>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</si>
  <si>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</si>
  <si>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</si>
  <si>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</si>
  <si>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</si>
  <si>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</si>
  <si>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</si>
  <si>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</si>
  <si>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</si>
  <si>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</si>
  <si>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</si>
  <si>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</si>
  <si>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</si>
  <si>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</si>
  <si>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</si>
  <si>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</si>
  <si>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</si>
  <si>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</si>
  <si>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</si>
  <si>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</si>
  <si>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</si>
  <si>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</si>
  <si>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</si>
  <si>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</si>
  <si>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</si>
  <si>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</si>
  <si>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</si>
  <si>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</si>
  <si>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</si>
  <si>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</si>
  <si>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</si>
  <si>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</si>
  <si>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</si>
  <si>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</si>
  <si>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</si>
  <si>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</si>
  <si>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</si>
  <si>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</si>
  <si>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</si>
  <si>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</si>
  <si>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</si>
  <si>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</si>
  <si>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</si>
  <si>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</si>
  <si>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</si>
  <si>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</si>
  <si>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</si>
  <si>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</si>
  <si>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</si>
  <si>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</si>
  <si>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</si>
  <si>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</si>
  <si>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</si>
  <si>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</si>
  <si>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CATV 및 TV 설비공사</t>
    <phoneticPr fontId="2" type="noConversion"/>
  </si>
  <si>
    <t>사급자재비, 운반비, 기타공사</t>
    <phoneticPr fontId="2" type="noConversion"/>
  </si>
  <si>
    <t>업무</t>
  </si>
  <si>
    <t>영덕준법지원센터 신축공사</t>
    <phoneticPr fontId="2" type="noConversion"/>
  </si>
  <si>
    <t>경상도</t>
  </si>
  <si>
    <t>기초공사, 골재비및운반비, 기타공사</t>
    <phoneticPr fontId="2" type="noConversion"/>
  </si>
  <si>
    <t>바닥난방공사, 기타공사</t>
    <phoneticPr fontId="2" type="noConversion"/>
  </si>
  <si>
    <t>CCTV설비공사,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</si>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</sst>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1265.7</v>
      </c>
      <c r="D7" s="36">
        <f>+C7/3.3058</f>
        <v>382.87252707362819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965740</v>
      </c>
      <c r="E25" s="59">
        <f t="shared" si="0"/>
        <v>3192540</v>
      </c>
    </row>
    <row r="26" spans="1:5" x14ac:dyDescent="0.3">
      <c r="B26" s="2">
        <v>3</v>
      </c>
      <c r="C26" s="35" t="s">
        <v>95</v>
      </c>
      <c r="D26" s="45">
        <f>+D66</f>
        <v>16900</v>
      </c>
      <c r="E26" s="59">
        <f t="shared" si="0"/>
        <v>55860</v>
      </c>
    </row>
    <row r="27" spans="1:5" x14ac:dyDescent="0.3">
      <c r="B27" s="2">
        <v>4</v>
      </c>
      <c r="C27" s="35" t="s">
        <v>96</v>
      </c>
      <c r="D27" s="45">
        <f>+D95</f>
        <v>67560</v>
      </c>
      <c r="E27" s="59">
        <f t="shared" si="0"/>
        <v>223330</v>
      </c>
    </row>
    <row r="28" spans="1:5" x14ac:dyDescent="0.3">
      <c r="B28" s="2">
        <v>5</v>
      </c>
      <c r="C28" s="35" t="s">
        <v>97</v>
      </c>
      <c r="D28" s="45">
        <f>+D119</f>
        <v>210620</v>
      </c>
      <c r="E28" s="59">
        <f t="shared" si="0"/>
        <v>696260</v>
      </c>
    </row>
    <row r="29" spans="1:5" x14ac:dyDescent="0.3">
      <c r="B29" s="2">
        <v>6</v>
      </c>
      <c r="C29" s="35" t="s">
        <v>98</v>
      </c>
      <c r="D29" s="45">
        <f>+D133</f>
        <v>117690</v>
      </c>
      <c r="E29" s="59">
        <f t="shared" si="0"/>
        <v>389050</v>
      </c>
    </row>
    <row r="30" spans="1:5" x14ac:dyDescent="0.3">
      <c r="B30" s="2">
        <v>7</v>
      </c>
      <c r="C30" s="35" t="s">
        <v>99</v>
      </c>
      <c r="D30" s="45">
        <f>+D146</f>
        <v>18290</v>
      </c>
      <c r="E30" s="59">
        <f t="shared" si="0"/>
        <v>60460</v>
      </c>
    </row>
    <row r="31" spans="1:5" x14ac:dyDescent="0.3">
      <c r="B31" s="2">
        <v>8</v>
      </c>
      <c r="C31" s="35" t="s">
        <v>100</v>
      </c>
      <c r="D31" s="45">
        <f>+D154</f>
        <v>24430</v>
      </c>
      <c r="E31" s="59">
        <f t="shared" si="0"/>
        <v>80760</v>
      </c>
    </row>
    <row r="32" spans="1:5" x14ac:dyDescent="0.3">
      <c r="B32" s="2">
        <v>9</v>
      </c>
      <c r="C32" s="35" t="s">
        <v>101</v>
      </c>
      <c r="D32" s="45">
        <f>+D161</f>
        <v>17720</v>
      </c>
      <c r="E32" s="59">
        <f t="shared" si="0"/>
        <v>58570</v>
      </c>
    </row>
    <row r="33" spans="1:7" x14ac:dyDescent="0.3">
      <c r="B33" s="2">
        <v>10</v>
      </c>
      <c r="C33" s="35" t="s">
        <v>155</v>
      </c>
      <c r="D33" s="53">
        <f>TRUNC(SUM(D24:D32)*0.275,-1)</f>
        <v>395710</v>
      </c>
      <c r="E33" s="60">
        <f t="shared" si="0"/>
        <v>1308130</v>
      </c>
    </row>
    <row r="34" spans="1:7" x14ac:dyDescent="0.3">
      <c r="C34" s="35" t="s">
        <v>112</v>
      </c>
      <c r="D34" s="44">
        <f>SUM(D24:D33)</f>
        <v>1834660</v>
      </c>
      <c r="E34" s="44">
        <f>SUM(E24:E33)</f>
        <v>6064960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TRUNC(46515,-1)</f>
        <v>46510</v>
      </c>
      <c r="E40" s="62">
        <f t="shared" ref="E40:E59" si="1">TRUNC(+D40*3.3058,-1)</f>
        <v>153750</v>
      </c>
    </row>
    <row r="41" spans="1:7" x14ac:dyDescent="0.3">
      <c r="A41" s="2">
        <v>2</v>
      </c>
      <c r="C41" s="38" t="s">
        <v>13</v>
      </c>
      <c r="D41" s="42">
        <f>TRUNC(160364,-1)</f>
        <v>160360</v>
      </c>
      <c r="E41" s="63">
        <f t="shared" si="1"/>
        <v>530110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TRUNC(34836,-1)</f>
        <v>34830</v>
      </c>
      <c r="E43" s="63">
        <f t="shared" si="1"/>
        <v>115140</v>
      </c>
    </row>
    <row r="44" spans="1:7" x14ac:dyDescent="0.3">
      <c r="A44" s="2">
        <v>5</v>
      </c>
      <c r="C44" s="38" t="s">
        <v>17</v>
      </c>
      <c r="D44" s="42">
        <f>TRUNC(24026,-1)</f>
        <v>24020</v>
      </c>
      <c r="E44" s="63">
        <f t="shared" si="1"/>
        <v>79400</v>
      </c>
    </row>
    <row r="45" spans="1:7" x14ac:dyDescent="0.3">
      <c r="A45" s="2">
        <v>6</v>
      </c>
      <c r="C45" s="38" t="s">
        <v>18</v>
      </c>
      <c r="D45" s="42">
        <f>TRUNC(20137,-1)</f>
        <v>20130</v>
      </c>
      <c r="E45" s="63">
        <f t="shared" si="1"/>
        <v>66540</v>
      </c>
    </row>
    <row r="46" spans="1:7" x14ac:dyDescent="0.3">
      <c r="A46" s="2">
        <v>7</v>
      </c>
      <c r="C46" s="38" t="s">
        <v>19</v>
      </c>
      <c r="D46" s="42">
        <f>TRUNC(90176,-1)</f>
        <v>90170</v>
      </c>
      <c r="E46" s="63">
        <f t="shared" si="1"/>
        <v>298080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TRUNC(91542,-1)</f>
        <v>91540</v>
      </c>
      <c r="E48" s="63">
        <f t="shared" si="1"/>
        <v>302610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TRUNC(20054,-1)</f>
        <v>20050</v>
      </c>
      <c r="E49" s="63">
        <f t="shared" si="1"/>
        <v>66280</v>
      </c>
    </row>
    <row r="50" spans="1:7" x14ac:dyDescent="0.3">
      <c r="A50" s="2">
        <v>11</v>
      </c>
      <c r="C50" s="38" t="s">
        <v>156</v>
      </c>
      <c r="D50" s="42">
        <f>TRUNC(38243,-1)</f>
        <v>38240</v>
      </c>
      <c r="E50" s="63">
        <f t="shared" si="1"/>
        <v>126410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TRUNC(11623,-1)</f>
        <v>11620</v>
      </c>
      <c r="E52" s="63">
        <f t="shared" si="1"/>
        <v>38410</v>
      </c>
    </row>
    <row r="53" spans="1:7" x14ac:dyDescent="0.3">
      <c r="A53" s="2">
        <v>14</v>
      </c>
      <c r="C53" s="38" t="s">
        <v>25</v>
      </c>
      <c r="D53" s="42">
        <f>TRUNC(97517,-1)</f>
        <v>97510</v>
      </c>
      <c r="E53" s="63">
        <f t="shared" si="1"/>
        <v>322340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TRUNC(28606+6985+5861,-1)</f>
        <v>41450</v>
      </c>
      <c r="E58" s="63">
        <f t="shared" si="1"/>
        <v>137020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TRUNC(289317,-1)</f>
        <v>289310</v>
      </c>
      <c r="E59" s="64">
        <f t="shared" si="1"/>
        <v>956400</v>
      </c>
    </row>
    <row r="60" spans="1:7" x14ac:dyDescent="0.3">
      <c r="A60" s="2">
        <v>21</v>
      </c>
      <c r="C60" s="27" t="s">
        <v>112</v>
      </c>
      <c r="D60" s="39">
        <f>SUM(D40:D59)</f>
        <v>965740</v>
      </c>
      <c r="E60" s="39">
        <f>SUM(E40:E59)</f>
        <v>3192490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TRUNC(16908,-1)</f>
        <v>16900</v>
      </c>
      <c r="E63" s="62">
        <f>TRUNC(+D63*3.3058,-1)</f>
        <v>55860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16900</v>
      </c>
      <c r="E66" s="65">
        <f>SUM(E63:E65)</f>
        <v>55860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TRUNC(22816,-1)</f>
        <v>22810</v>
      </c>
      <c r="E69" s="62">
        <f t="shared" ref="E69:E94" si="2">TRUNC(+D69*3.3058,-1)</f>
        <v>75400</v>
      </c>
    </row>
    <row r="70" spans="1:7" ht="16.5" customHeight="1" x14ac:dyDescent="0.3">
      <c r="A70" s="2">
        <v>2</v>
      </c>
      <c r="C70" s="38" t="s">
        <v>31</v>
      </c>
      <c r="D70" s="42">
        <v>370</v>
      </c>
      <c r="E70" s="63">
        <f t="shared" si="2"/>
        <v>1220</v>
      </c>
    </row>
    <row r="71" spans="1:7" x14ac:dyDescent="0.3">
      <c r="A71" s="2">
        <v>3</v>
      </c>
      <c r="C71" s="38" t="s">
        <v>32</v>
      </c>
      <c r="D71" s="42">
        <f>TRUNC(11608,-1)</f>
        <v>11600</v>
      </c>
      <c r="E71" s="63">
        <f t="shared" si="2"/>
        <v>38340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TRUNC(7278,-1)</f>
        <v>7270</v>
      </c>
      <c r="E73" s="63">
        <f t="shared" si="2"/>
        <v>24030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TRUNC(7428,-1)</f>
        <v>7420</v>
      </c>
      <c r="E89" s="63">
        <f t="shared" si="2"/>
        <v>24520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TRUNC(2242,-1)</f>
        <v>2240</v>
      </c>
      <c r="E91" s="63">
        <f t="shared" si="2"/>
        <v>7400</v>
      </c>
    </row>
    <row r="92" spans="1:7" x14ac:dyDescent="0.3">
      <c r="A92" s="2">
        <v>24</v>
      </c>
      <c r="C92" s="38" t="s">
        <v>38</v>
      </c>
      <c r="D92" s="42">
        <f>TRUNC(9649,-1)</f>
        <v>9640</v>
      </c>
      <c r="E92" s="63">
        <f t="shared" si="2"/>
        <v>31860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TRUNC(441+5777,-1)</f>
        <v>6210</v>
      </c>
      <c r="E94" s="64">
        <f t="shared" si="2"/>
        <v>20520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67560</v>
      </c>
      <c r="E95" s="39">
        <f>SUM(E69:E94)</f>
        <v>223290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TRUNC(41183,-1)</f>
        <v>41180</v>
      </c>
      <c r="E98" s="62">
        <f t="shared" ref="E98:E118" si="3">TRUNC(+D98*3.3058,-1)</f>
        <v>136130</v>
      </c>
    </row>
    <row r="99" spans="1:7" x14ac:dyDescent="0.3">
      <c r="A99" s="2">
        <v>2</v>
      </c>
      <c r="C99" s="38" t="s">
        <v>40</v>
      </c>
      <c r="D99" s="42">
        <f>TRUNC(2076,-1)</f>
        <v>2070</v>
      </c>
      <c r="E99" s="63">
        <f t="shared" si="3"/>
        <v>6840</v>
      </c>
    </row>
    <row r="100" spans="1:7" x14ac:dyDescent="0.3">
      <c r="A100" s="2">
        <v>3</v>
      </c>
      <c r="C100" s="38" t="s">
        <v>41</v>
      </c>
      <c r="D100" s="42">
        <f>TRUNC(30649,-1)</f>
        <v>30640</v>
      </c>
      <c r="E100" s="63">
        <f t="shared" si="3"/>
        <v>101280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TRUNC(22846,-1)</f>
        <v>22840</v>
      </c>
      <c r="E102" s="63">
        <f t="shared" si="3"/>
        <v>75500</v>
      </c>
    </row>
    <row r="103" spans="1:7" x14ac:dyDescent="0.3">
      <c r="A103" s="2">
        <v>6</v>
      </c>
      <c r="C103" s="38" t="s">
        <v>44</v>
      </c>
      <c r="D103" s="42">
        <v>5010</v>
      </c>
      <c r="E103" s="63">
        <f t="shared" si="3"/>
        <v>16560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TRUNC(3573,-1)</f>
        <v>3570</v>
      </c>
      <c r="E114" s="63">
        <f t="shared" si="3"/>
        <v>11800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TRUNC(104879,-1)</f>
        <v>104870</v>
      </c>
      <c r="E117" s="63">
        <f t="shared" si="3"/>
        <v>346670</v>
      </c>
    </row>
    <row r="118" spans="1:7" ht="17.25" thickBot="1" x14ac:dyDescent="0.35">
      <c r="A118" s="2">
        <v>21</v>
      </c>
      <c r="C118" s="38" t="s">
        <v>47</v>
      </c>
      <c r="D118" s="43">
        <f>TRUNC(447,-1)</f>
        <v>440</v>
      </c>
      <c r="E118" s="64">
        <f t="shared" si="3"/>
        <v>1450</v>
      </c>
    </row>
    <row r="119" spans="1:7" x14ac:dyDescent="0.3">
      <c r="A119" s="2">
        <v>22</v>
      </c>
      <c r="C119" s="27" t="s">
        <v>112</v>
      </c>
      <c r="D119" s="39">
        <f>SUM(D98:D118)</f>
        <v>210620</v>
      </c>
      <c r="E119" s="39">
        <f>SUM(E98:E118)</f>
        <v>696230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TRUNC(13353,-1)</f>
        <v>13350</v>
      </c>
      <c r="E122" s="62">
        <f t="shared" ref="E122:E132" si="4">TRUNC(+D122*3.3058,-1)</f>
        <v>44130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TRUNC(2588,-1)</f>
        <v>2580</v>
      </c>
      <c r="E124" s="63">
        <f t="shared" si="4"/>
        <v>8520</v>
      </c>
    </row>
    <row r="125" spans="1:7" x14ac:dyDescent="0.3">
      <c r="A125" s="2">
        <v>4</v>
      </c>
      <c r="C125" s="38" t="s">
        <v>138</v>
      </c>
      <c r="D125" s="42">
        <f>TRUNC(10304,-1)</f>
        <v>10300</v>
      </c>
      <c r="E125" s="63">
        <f t="shared" si="4"/>
        <v>34040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TRUNC(7987,-1)</f>
        <v>7980</v>
      </c>
      <c r="E128" s="63">
        <f t="shared" si="4"/>
        <v>26380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41270</v>
      </c>
      <c r="E130" s="63">
        <f t="shared" si="4"/>
        <v>136430</v>
      </c>
    </row>
    <row r="131" spans="1:7" x14ac:dyDescent="0.3">
      <c r="A131" s="2">
        <v>10</v>
      </c>
      <c r="C131" s="38" t="s">
        <v>149</v>
      </c>
      <c r="D131" s="42">
        <f>TRUNC(34986,-1)</f>
        <v>34980</v>
      </c>
      <c r="E131" s="63">
        <f t="shared" si="4"/>
        <v>115630</v>
      </c>
    </row>
    <row r="132" spans="1:7" ht="18" thickBot="1" x14ac:dyDescent="0.35">
      <c r="A132" s="2">
        <v>11</v>
      </c>
      <c r="C132" s="38" t="s">
        <v>47</v>
      </c>
      <c r="D132" s="43">
        <f>TRUNC(5122+2116,-1)</f>
        <v>7230</v>
      </c>
      <c r="E132" s="64">
        <f t="shared" si="4"/>
        <v>23900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117690</v>
      </c>
      <c r="E133" s="39">
        <f>SUM(E122:E132)</f>
        <v>389030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TRUNC(719,-1)</f>
        <v>710</v>
      </c>
      <c r="E140" s="63">
        <f t="shared" si="5"/>
        <v>2340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TRUNC(4269,-1)</f>
        <v>4260</v>
      </c>
      <c r="E143" s="63">
        <f t="shared" si="5"/>
        <v>14080</v>
      </c>
    </row>
    <row r="144" spans="1:7" x14ac:dyDescent="0.3">
      <c r="A144" s="2">
        <v>9</v>
      </c>
      <c r="C144" s="38" t="s">
        <v>63</v>
      </c>
      <c r="D144" s="42">
        <f>TRUNC(13321,-1)</f>
        <v>13320</v>
      </c>
      <c r="E144" s="63">
        <f t="shared" si="5"/>
        <v>44030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18290</v>
      </c>
      <c r="E146" s="39">
        <f>SUM(E136:E145)</f>
        <v>60450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TRUNC(6110+705,-1)</f>
        <v>6810</v>
      </c>
      <c r="E149" s="62">
        <f>TRUNC(+D149*3.3058,-1)</f>
        <v>22510</v>
      </c>
    </row>
    <row r="150" spans="1:7" x14ac:dyDescent="0.3">
      <c r="A150" s="2">
        <v>2</v>
      </c>
      <c r="C150" s="38" t="s">
        <v>49</v>
      </c>
      <c r="D150" s="42">
        <f>TRUNC(12587,-1)</f>
        <v>12580</v>
      </c>
      <c r="E150" s="63">
        <f>TRUNC(+D150*3.3058,-1)</f>
        <v>41580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TRUNC(4049+649+348,-1)</f>
        <v>5040</v>
      </c>
      <c r="E152" s="63">
        <f>TRUNC(+D152*3.3058,-1)</f>
        <v>16660</v>
      </c>
      <c r="F152" s="2" t="s">
        <v>254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24430</v>
      </c>
      <c r="E154" s="39">
        <f>SUM(E149:E153)</f>
        <v>80750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TRUNC(17722,-1)</f>
        <v>17720</v>
      </c>
      <c r="E157" s="62">
        <f>TRUNC(+D157*3.3058,-1)</f>
        <v>58570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17720</v>
      </c>
      <c r="E161" s="39">
        <f>SUM(E157:E160)</f>
        <v>58570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2020-12-08T01:29:49Z</dcterms:modified>
</cp:coreProperties>
</file>