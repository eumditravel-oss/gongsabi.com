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58" i="4"/>
  <c r="D143" i="4"/>
  <c r="D142" i="4"/>
  <c r="D125" i="4"/>
  <c r="D126" i="4"/>
  <c r="D105" i="4"/>
  <c r="D103" i="4"/>
  <c r="D102" i="4"/>
  <c r="D100" i="4"/>
  <c r="D98" i="4"/>
  <c r="D94" i="4"/>
  <c r="D92" i="4"/>
  <c r="D91" i="4"/>
  <c r="D89" i="4"/>
  <c r="D73" i="4"/>
  <c r="D70" i="4"/>
  <c r="D69" i="4"/>
  <c r="D53" i="4"/>
  <c r="D52" i="4"/>
  <c r="D50" i="4"/>
  <c r="D49" i="4"/>
  <c r="D48" i="4"/>
  <c r="D46" i="4"/>
  <c r="D45" i="4"/>
  <c r="D44" i="4"/>
  <c r="D43" i="4"/>
  <c r="D42" i="4"/>
  <c r="D41" i="4"/>
  <c r="D40" i="4"/>
  <c r="D145" i="4"/>
  <c r="D117" i="4"/>
  <c r="D93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95" i="4"/>
  <c r="E60" i="4"/>
  <c r="E119" i="4"/>
  <c r="D161" i="4"/>
  <c r="D154" i="4"/>
  <c r="D146" i="4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0" i="4"/>
  <c r="E30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<sst xmlns="http://schemas.openxmlformats.org/spreadsheetml/2006/main" count="386" uniqueCount="261">
  <si>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</si>
  <si>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</si>
  <si>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</si>
  <si>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</si>
  <si>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</si>
  <si>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</si>
  <si>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</si>
  <si>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</si>
  <si>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</si>
  <si>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</si>
  <si>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</si>
  <si>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</si>
  <si>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</si>
  <si>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</si>
  <si>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</si>
  <si>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</si>
  <si>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</si>
  <si>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</si>
  <si>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</si>
  <si>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</si>
  <si>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</si>
  <si>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</si>
  <si>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</si>
  <si>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</si>
  <si>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</si>
  <si>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</si>
  <si>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</si>
  <si>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</si>
  <si>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</si>
  <si>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</si>
  <si>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</si>
  <si>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</si>
  <si>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</si>
  <si>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</si>
  <si>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</si>
  <si>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</si>
  <si>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</si>
  <si>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</si>
  <si>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</si>
  <si>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</si>
  <si>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</si>
  <si>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</si>
  <si>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</si>
  <si>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</si>
  <si>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</si>
  <si>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</si>
  <si>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</si>
  <si>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</si>
  <si>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</si>
  <si>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</si>
  <si>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</si>
  <si>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</si>
  <si>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</si>
  <si>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</si>
  <si>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</si>
  <si>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</si>
  <si>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</si>
  <si>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</si>
  <si>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</si>
  <si>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</si>
  <si>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</si>
  <si>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</si>
  <si>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</si>
  <si>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</si>
  <si>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</si>
  <si>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</si>
  <si>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</si>
  <si>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</si>
  <si>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</si>
  <si>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</si>
  <si>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</si>
  <si>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</si>
  <si>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</si>
  <si>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</si>
  <si>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</si>
  <si>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</si>
  <si>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</si>
  <si>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</si>
  <si>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</si>
  <si>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</si>
  <si>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</si>
  <si>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</si>
  <si>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</si>
  <si>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</si>
  <si>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</si>
  <si>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</si>
  <si>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</si>
  <si>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</si>
  <si>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</si>
  <si>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</si>
  <si>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</si>
  <si>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</si>
  <si>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</si>
  <si>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</si>
  <si>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</si>
  <si>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</si>
  <si>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</si>
  <si>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</si>
  <si>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</si>
  <si>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</si>
  <si>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</si>
  <si>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</si>
  <si>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</si>
  <si>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</si>
  <si>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</si>
  <si>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</si>
  <si>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</si>
  <si>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</si>
  <si>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</si>
  <si>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</si>
  <si>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</si>
  <si>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</si>
  <si>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</si>
  <si>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</si>
  <si>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</si>
  <si>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</si>
  <si>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</si>
  <si>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</si>
  <si>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</si>
  <si>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</si>
  <si>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</si>
  <si>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</si>
  <si>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</si>
  <si>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</si>
  <si>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</si>
  <si>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</si>
  <si>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</si>
  <si>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</si>
  <si>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</si>
  <si>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</si>
  <si>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</si>
  <si>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</si>
  <si>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</si>
  <si>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</si>
  <si>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</si>
  <si>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</si>
  <si>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</si>
  <si>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</si>
  <si>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</si>
  <si>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</si>
  <si>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</si>
  <si>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</si>
  <si>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</si>
  <si>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</si>
  <si>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</si>
  <si>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</si>
  <si>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</si>
  <si>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</si>
  <si>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</si>
  <si>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</si>
  <si>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</si>
  <si>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</si>
  <si>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</si>
  <si>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</si>
  <si>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</si>
  <si>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</si>
  <si>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</si>
  <si>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</si>
  <si>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</si>
  <si>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</si>
  <si>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</si>
  <si>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</si>
  <si>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</si>
  <si>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</si>
  <si>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</si>
  <si>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</si>
  <si>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</si>
  <si>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</si>
  <si>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</si>
  <si>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</si>
  <si>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</si>
  <si>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</si>
  <si>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</si>
  <si>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</si>
  <si>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</si>
  <si>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</si>
  <si>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</si>
  <si>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</si>
  <si>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</si>
  <si>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</si>
  <si>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</si>
  <si>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</si>
  <si>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</si>
  <si>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</si>
  <si>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</si>
  <si>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</si>
  <si>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</si>
  <si>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</si>
  <si>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</si>
  <si>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</si>
  <si>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</si>
  <si>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</si>
  <si>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</si>
  <si>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</si>
  <si>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</si>
  <si>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</si>
  <si>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</si>
  <si>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</si>
  <si>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</si>
  <si>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</si>
  <si>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</si>
  <si>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</si>
  <si>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</si>
  <si>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</si>
  <si>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</si>
  <si>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</si>
  <si>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</si>
  <si>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</si>
  <si>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</si>
  <si>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</si>
  <si>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</si>
  <si>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</si>
  <si>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</si>
  <si>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</si>
  <si>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</si>
  <si>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</si>
  <si>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</si>
  <si>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</si>
  <si>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</si>
  <si>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</si>
  <si>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</si>
  <si>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</si>
  <si>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</si>
  <si>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</si>
  <si>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</si>
  <si>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</si>
  <si>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</si>
  <si>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</si>
  <si>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</si>
  <si>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</si>
  <si>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</si>
  <si>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</si>
  <si>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</si>
  <si>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</si>
  <si>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</si>
  <si>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</si>
  <si>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</si>
  <si>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</si>
  <si>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</si>
  <si>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</si>
  <si>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</si>
  <si>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</si>
  <si>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</si>
  <si>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</si>
  <si>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</si>
  <si>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</si>
  <si>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</si>
  <si>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</si>
  <si>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천연물조직배양상용화시설 건립공사</t>
    <phoneticPr fontId="2" type="noConversion"/>
  </si>
  <si>
    <t>공장</t>
  </si>
  <si>
    <t>충청도</t>
  </si>
  <si>
    <t>기초공사,해체및철거공사,폐기물처리비,골재비및운반비,작업부산물,기타공사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</si>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</sst>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2522.38</v>
      </c>
      <c r="D7" s="36">
        <f>+C7/3.3058</f>
        <v>763.01651642567606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936660</v>
      </c>
      <c r="E25" s="59">
        <f t="shared" si="0"/>
        <v>3096410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65920</v>
      </c>
      <c r="E27" s="59">
        <f t="shared" si="0"/>
        <v>217910</v>
      </c>
    </row>
    <row r="28" spans="1:5" x14ac:dyDescent="0.3">
      <c r="B28" s="2">
        <v>5</v>
      </c>
      <c r="C28" s="35" t="s">
        <v>97</v>
      </c>
      <c r="D28" s="45">
        <f>+D119</f>
        <v>240660</v>
      </c>
      <c r="E28" s="59">
        <f t="shared" si="0"/>
        <v>795570</v>
      </c>
    </row>
    <row r="29" spans="1:5" x14ac:dyDescent="0.3">
      <c r="B29" s="2">
        <v>6</v>
      </c>
      <c r="C29" s="35" t="s">
        <v>98</v>
      </c>
      <c r="D29" s="45">
        <f>+D133</f>
        <v>16410</v>
      </c>
      <c r="E29" s="59">
        <f t="shared" si="0"/>
        <v>54240</v>
      </c>
    </row>
    <row r="30" spans="1:5" x14ac:dyDescent="0.3">
      <c r="B30" s="2">
        <v>7</v>
      </c>
      <c r="C30" s="35" t="s">
        <v>99</v>
      </c>
      <c r="D30" s="45">
        <f>+D146</f>
        <v>30460</v>
      </c>
      <c r="E30" s="59">
        <f t="shared" si="0"/>
        <v>100690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354780</v>
      </c>
      <c r="E33" s="60">
        <f t="shared" si="0"/>
        <v>1172830</v>
      </c>
    </row>
    <row r="34" spans="1:7" x14ac:dyDescent="0.3">
      <c r="C34" s="35" t="s">
        <v>112</v>
      </c>
      <c r="D34" s="44">
        <f>SUM(D24:D33)</f>
        <v>1644890</v>
      </c>
      <c r="E34" s="44">
        <f>SUM(E24:E33)</f>
        <v>5437650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256</v>
      </c>
      <c r="E39" s="67" t="s">
        <v>257</v>
      </c>
      <c r="G39" s="68"/>
    </row>
    <row r="40" spans="1:7" x14ac:dyDescent="0.3">
      <c r="A40" s="2">
        <v>1</v>
      </c>
      <c r="C40" s="38" t="s">
        <v>15</v>
      </c>
      <c r="D40" s="40">
        <f>TRUNC(34001,-1)</f>
        <v>34000</v>
      </c>
      <c r="E40" s="62">
        <f t="shared" ref="E40:E59" si="1">TRUNC(+D40*3.3058,-1)</f>
        <v>112390</v>
      </c>
    </row>
    <row r="41" spans="1:7" x14ac:dyDescent="0.3">
      <c r="A41" s="2">
        <v>2</v>
      </c>
      <c r="C41" s="38" t="s">
        <v>13</v>
      </c>
      <c r="D41" s="42">
        <f>TRUNC(47356,-1)</f>
        <v>47350</v>
      </c>
      <c r="E41" s="63">
        <f t="shared" si="1"/>
        <v>156520</v>
      </c>
    </row>
    <row r="42" spans="1:7" x14ac:dyDescent="0.3">
      <c r="A42" s="2">
        <v>3</v>
      </c>
      <c r="C42" s="38" t="s">
        <v>14</v>
      </c>
      <c r="D42" s="42">
        <f>TRUNC(196540,-1)</f>
        <v>196540</v>
      </c>
      <c r="E42" s="63">
        <f t="shared" si="1"/>
        <v>649720</v>
      </c>
    </row>
    <row r="43" spans="1:7" x14ac:dyDescent="0.3">
      <c r="A43" s="2">
        <v>4</v>
      </c>
      <c r="C43" s="38" t="s">
        <v>16</v>
      </c>
      <c r="D43" s="42">
        <f>TRUNC(4819,-1)</f>
        <v>4810</v>
      </c>
      <c r="E43" s="63">
        <f t="shared" si="1"/>
        <v>15900</v>
      </c>
    </row>
    <row r="44" spans="1:7" x14ac:dyDescent="0.3">
      <c r="A44" s="2">
        <v>5</v>
      </c>
      <c r="C44" s="38" t="s">
        <v>17</v>
      </c>
      <c r="D44" s="42">
        <f>TRUNC(27616,-1)</f>
        <v>27610</v>
      </c>
      <c r="E44" s="63">
        <f t="shared" si="1"/>
        <v>91270</v>
      </c>
    </row>
    <row r="45" spans="1:7" x14ac:dyDescent="0.3">
      <c r="A45" s="2">
        <v>6</v>
      </c>
      <c r="C45" s="38" t="s">
        <v>18</v>
      </c>
      <c r="D45" s="42">
        <f>TRUNC(5434,-1)</f>
        <v>5430</v>
      </c>
      <c r="E45" s="63">
        <f t="shared" si="1"/>
        <v>17950</v>
      </c>
    </row>
    <row r="46" spans="1:7" x14ac:dyDescent="0.3">
      <c r="A46" s="2">
        <v>7</v>
      </c>
      <c r="C46" s="38" t="s">
        <v>19</v>
      </c>
      <c r="D46" s="42">
        <f>TRUNC(8709,-1)</f>
        <v>8700</v>
      </c>
      <c r="E46" s="63">
        <f t="shared" si="1"/>
        <v>28760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TRUNC(74183,-1)</f>
        <v>74180</v>
      </c>
      <c r="E48" s="63">
        <f t="shared" si="1"/>
        <v>245220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TRUNC(11565,-1)</f>
        <v>11560</v>
      </c>
      <c r="E49" s="63">
        <f t="shared" si="1"/>
        <v>38210</v>
      </c>
    </row>
    <row r="50" spans="1:7" x14ac:dyDescent="0.3">
      <c r="A50" s="2">
        <v>11</v>
      </c>
      <c r="C50" s="38" t="s">
        <v>155</v>
      </c>
      <c r="D50" s="42">
        <f>TRUNC(32856,-1)</f>
        <v>32850</v>
      </c>
      <c r="E50" s="63">
        <f t="shared" si="1"/>
        <v>108590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TRUNC(483,-1)</f>
        <v>480</v>
      </c>
      <c r="E52" s="63">
        <f t="shared" si="1"/>
        <v>1580</v>
      </c>
    </row>
    <row r="53" spans="1:7" x14ac:dyDescent="0.3">
      <c r="A53" s="2">
        <v>14</v>
      </c>
      <c r="C53" s="38" t="s">
        <v>25</v>
      </c>
      <c r="D53" s="42">
        <f>TRUNC(75861,-1)</f>
        <v>75860</v>
      </c>
      <c r="E53" s="63">
        <f t="shared" si="1"/>
        <v>250770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TRUNC(101288+312+392+4302-1579+19822,-1)</f>
        <v>124530</v>
      </c>
      <c r="E58" s="63">
        <f t="shared" si="1"/>
        <v>411670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TRUNC(292764,-1)</f>
        <v>292760</v>
      </c>
      <c r="E59" s="64">
        <f t="shared" si="1"/>
        <v>967800</v>
      </c>
    </row>
    <row r="60" spans="1:7" x14ac:dyDescent="0.3">
      <c r="A60" s="2">
        <v>21</v>
      </c>
      <c r="C60" s="27" t="s">
        <v>112</v>
      </c>
      <c r="D60" s="39">
        <f>SUM(D40:D59)</f>
        <v>936660</v>
      </c>
      <c r="E60" s="39">
        <f>SUM(E40:E59)</f>
        <v>3096350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TRUNC(4579,-1)</f>
        <v>4570</v>
      </c>
      <c r="E69" s="62">
        <f t="shared" ref="E69:E94" si="2">TRUNC(+D69*3.3058,-1)</f>
        <v>15100</v>
      </c>
    </row>
    <row r="70" spans="1:7" ht="16.5" customHeight="1" x14ac:dyDescent="0.3">
      <c r="A70" s="2">
        <v>2</v>
      </c>
      <c r="C70" s="38" t="s">
        <v>31</v>
      </c>
      <c r="D70" s="42">
        <f>TRUNC(906,-1)</f>
        <v>900</v>
      </c>
      <c r="E70" s="63">
        <f t="shared" si="2"/>
        <v>2970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TRUNC(18734,-1)</f>
        <v>18730</v>
      </c>
      <c r="E73" s="63">
        <f t="shared" si="2"/>
        <v>61910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TRUNC(7260,-1)</f>
        <v>7260</v>
      </c>
      <c r="E89" s="63">
        <f t="shared" si="2"/>
        <v>24000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TRUNC(359,-1)</f>
        <v>350</v>
      </c>
      <c r="E91" s="63">
        <f t="shared" si="2"/>
        <v>1150</v>
      </c>
    </row>
    <row r="92" spans="1:7" x14ac:dyDescent="0.3">
      <c r="A92" s="2">
        <v>24</v>
      </c>
      <c r="C92" s="38" t="s">
        <v>38</v>
      </c>
      <c r="D92" s="42">
        <f>TRUNC(4050,-1)</f>
        <v>4050</v>
      </c>
      <c r="E92" s="63">
        <f t="shared" si="2"/>
        <v>13380</v>
      </c>
    </row>
    <row r="93" spans="1:7" x14ac:dyDescent="0.3">
      <c r="A93" s="2">
        <v>25</v>
      </c>
      <c r="C93" s="38" t="s">
        <v>148</v>
      </c>
      <c r="D93" s="42">
        <f>TRUNC(29990,-1)</f>
        <v>29990</v>
      </c>
      <c r="E93" s="63">
        <f t="shared" si="2"/>
        <v>99140</v>
      </c>
    </row>
    <row r="94" spans="1:7" ht="17.25" thickBot="1" x14ac:dyDescent="0.35">
      <c r="A94" s="2">
        <v>26</v>
      </c>
      <c r="C94" s="38" t="s">
        <v>47</v>
      </c>
      <c r="D94" s="43">
        <f>TRUNC(75,-1)</f>
        <v>70</v>
      </c>
      <c r="E94" s="64">
        <f t="shared" si="2"/>
        <v>230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65920</v>
      </c>
      <c r="E95" s="39">
        <f>SUM(E69:E94)</f>
        <v>217880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TRUNC(50637,-1)</f>
        <v>50630</v>
      </c>
      <c r="E98" s="62">
        <f t="shared" ref="E98:E118" si="3">TRUNC(+D98*3.3058,-1)</f>
        <v>167370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TRUNC(24914,-1)</f>
        <v>24910</v>
      </c>
      <c r="E100" s="63">
        <f t="shared" si="3"/>
        <v>82340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TRUNC(15200,-1)</f>
        <v>15200</v>
      </c>
      <c r="E102" s="63">
        <f t="shared" si="3"/>
        <v>50240</v>
      </c>
    </row>
    <row r="103" spans="1:7" x14ac:dyDescent="0.3">
      <c r="A103" s="2">
        <v>6</v>
      </c>
      <c r="C103" s="38" t="s">
        <v>44</v>
      </c>
      <c r="D103" s="42">
        <f>TRUNC(5415,-1)</f>
        <v>5410</v>
      </c>
      <c r="E103" s="63">
        <f t="shared" si="3"/>
        <v>17880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TRUNC(12471,-1)</f>
        <v>12470</v>
      </c>
      <c r="E105" s="63">
        <f t="shared" si="3"/>
        <v>41220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TRUNC(132049,-1)</f>
        <v>132040</v>
      </c>
      <c r="E117" s="63">
        <f t="shared" si="3"/>
        <v>436490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240660</v>
      </c>
      <c r="E119" s="39">
        <f>SUM(E98:E118)</f>
        <v>795540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TRUNC(4612,-1)</f>
        <v>4610</v>
      </c>
      <c r="E125" s="63">
        <f t="shared" si="4"/>
        <v>15230</v>
      </c>
    </row>
    <row r="126" spans="1:7" x14ac:dyDescent="0.3">
      <c r="A126" s="2">
        <v>5</v>
      </c>
      <c r="C126" s="38" t="s">
        <v>53</v>
      </c>
      <c r="D126" s="42">
        <f>TRUNC(11801,-1)</f>
        <v>11800</v>
      </c>
      <c r="E126" s="63">
        <f t="shared" si="4"/>
        <v>39000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16410</v>
      </c>
      <c r="E133" s="39">
        <f>SUM(E122:E132)</f>
        <v>54230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TRUNC(11524,-1)</f>
        <v>11520</v>
      </c>
      <c r="E142" s="63">
        <f t="shared" si="5"/>
        <v>38080</v>
      </c>
    </row>
    <row r="143" spans="1:7" x14ac:dyDescent="0.3">
      <c r="A143" s="2">
        <v>8</v>
      </c>
      <c r="C143" s="38" t="s">
        <v>62</v>
      </c>
      <c r="D143" s="42">
        <f>TRUNC(16494,-1)</f>
        <v>16490</v>
      </c>
      <c r="E143" s="63">
        <f t="shared" si="5"/>
        <v>54510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f>TRUNC(2457,-1)</f>
        <v>2450</v>
      </c>
      <c r="E145" s="64">
        <f t="shared" si="5"/>
        <v>8090</v>
      </c>
    </row>
    <row r="146" spans="1:7" x14ac:dyDescent="0.3">
      <c r="A146" s="2">
        <v>11</v>
      </c>
      <c r="C146" s="27" t="s">
        <v>112</v>
      </c>
      <c r="D146" s="39">
        <f>SUM(D136:D145)</f>
        <v>30460</v>
      </c>
      <c r="E146" s="39">
        <f>SUM(E136:E145)</f>
        <v>100680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2020-12-08T04:01:23Z</dcterms:modified>
</cp:coreProperties>
</file>