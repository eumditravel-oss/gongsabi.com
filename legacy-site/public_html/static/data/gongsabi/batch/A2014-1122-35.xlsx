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1" i="4" l="1"/>
  <c r="D128" i="4"/>
  <c r="D127" i="4"/>
  <c r="D124" i="4"/>
  <c r="D125" i="4"/>
  <c r="D122" i="4"/>
  <c r="D130" i="4"/>
  <c r="D132" i="4"/>
  <c r="D118" i="4"/>
  <c r="D102" i="4"/>
  <c r="D100" i="4"/>
  <c r="D105" i="4"/>
  <c r="D104" i="4"/>
  <c r="D101" i="4"/>
  <c r="D99" i="4"/>
  <c r="D98" i="4"/>
  <c r="D115" i="4"/>
  <c r="D114" i="4"/>
  <c r="D116" i="4"/>
  <c r="D94" i="4"/>
  <c r="D78" i="4"/>
  <c r="D71" i="4"/>
  <c r="D70" i="4"/>
  <c r="D69" i="4"/>
  <c r="D58" i="4"/>
  <c r="D137" i="4"/>
  <c r="D136" i="4"/>
  <c r="D159" i="4"/>
  <c r="D152" i="4"/>
  <c r="D41" i="4"/>
  <c r="D42" i="4"/>
  <c r="D50" i="4"/>
  <c r="D55" i="4"/>
  <c r="D43" i="4"/>
  <c r="D51" i="4"/>
  <c r="D53" i="4"/>
  <c r="D46" i="4"/>
  <c r="D44" i="4"/>
  <c r="D49" i="4"/>
  <c r="D47" i="4"/>
  <c r="D52" i="4"/>
  <c r="D48" i="4"/>
  <c r="D37" i="4"/>
  <c r="D40" i="4"/>
  <c r="D117" i="4"/>
  <c r="D93" i="4"/>
  <c r="D5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19" i="4"/>
  <c r="E95" i="4"/>
  <c r="E146" i="4"/>
  <c r="E154" i="4"/>
  <c r="E60" i="4"/>
  <c r="E133" i="4"/>
  <c r="D161" i="4"/>
  <c r="D32" i="4" s="1"/>
  <c r="E32" i="4" s="1"/>
  <c r="D154" i="4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D24" i="4"/>
  <c r="E24" i="4" s="1"/>
  <c r="D26" i="4"/>
  <c r="E26" i="4" s="1"/>
  <c r="D30" i="4"/>
  <c r="E30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<sst xmlns="http://schemas.openxmlformats.org/spreadsheetml/2006/main" count="392" uniqueCount="267">
  <si>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</si>
  <si>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</si>
  <si>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</si>
  <si>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</si>
  <si>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</si>
  <si>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</si>
  <si>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</si>
  <si>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</si>
  <si>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</si>
  <si>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</si>
  <si>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</si>
  <si>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</si>
  <si>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</si>
  <si>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</si>
  <si>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</si>
  <si>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</si>
  <si>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</si>
  <si>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</si>
  <si>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</si>
  <si>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</si>
  <si>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</si>
  <si>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</si>
  <si>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</si>
  <si>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</si>
  <si>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</si>
  <si>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</si>
  <si>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</si>
  <si>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</si>
  <si>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</si>
  <si>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</si>
  <si>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</si>
  <si>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</si>
  <si>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</si>
  <si>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</si>
  <si>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</si>
  <si>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</si>
  <si>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</si>
  <si>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</si>
  <si>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</si>
  <si>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</si>
  <si>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</si>
  <si>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</si>
  <si>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</si>
  <si>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</si>
  <si>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</si>
  <si>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</si>
  <si>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</si>
  <si>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</si>
  <si>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</si>
  <si>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</si>
  <si>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</si>
  <si>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</si>
  <si>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</si>
  <si>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</si>
  <si>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</si>
  <si>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</si>
  <si>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</si>
  <si>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</si>
  <si>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</si>
  <si>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</si>
  <si>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</si>
  <si>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</si>
  <si>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</si>
  <si>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</si>
  <si>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</si>
  <si>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</si>
  <si>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</si>
  <si>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</si>
  <si>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</si>
  <si>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</si>
  <si>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</si>
  <si>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</si>
  <si>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</si>
  <si>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</si>
  <si>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</si>
  <si>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</si>
  <si>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</si>
  <si>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</si>
  <si>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</si>
  <si>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</si>
  <si>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</si>
  <si>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</si>
  <si>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</si>
  <si>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</si>
  <si>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</si>
  <si>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</si>
  <si>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</si>
  <si>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</si>
  <si>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</si>
  <si>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</si>
  <si>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</si>
  <si>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</si>
  <si>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</si>
  <si>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</si>
  <si>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</si>
  <si>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</si>
  <si>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</si>
  <si>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</si>
  <si>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</si>
  <si>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</si>
  <si>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</si>
  <si>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</si>
  <si>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</si>
  <si>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</si>
  <si>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</si>
  <si>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</si>
  <si>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</si>
  <si>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</si>
  <si>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</si>
  <si>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</si>
  <si>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</si>
  <si>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</si>
  <si>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</si>
  <si>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</si>
  <si>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</si>
  <si>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</si>
  <si>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</si>
  <si>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</si>
  <si>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</si>
  <si>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</si>
  <si>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</si>
  <si>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</si>
  <si>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</si>
  <si>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</si>
  <si>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</si>
  <si>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</si>
  <si>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</si>
  <si>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</si>
  <si>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</si>
  <si>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</si>
  <si>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</si>
  <si>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</si>
  <si>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</si>
  <si>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</si>
  <si>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</si>
  <si>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</si>
  <si>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</si>
  <si>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</si>
  <si>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</si>
  <si>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</si>
  <si>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</si>
  <si>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</si>
  <si>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</si>
  <si>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</si>
  <si>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</si>
  <si>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</si>
  <si>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</si>
  <si>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</si>
  <si>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</si>
  <si>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</si>
  <si>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</si>
  <si>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</si>
  <si>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</si>
  <si>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</si>
  <si>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</si>
  <si>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</si>
  <si>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</si>
  <si>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</si>
  <si>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</si>
  <si>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</si>
  <si>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</si>
  <si>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</si>
  <si>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</si>
  <si>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</si>
  <si>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</si>
  <si>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</si>
  <si>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</si>
  <si>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</si>
  <si>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</si>
  <si>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</si>
  <si>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</si>
  <si>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</si>
  <si>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</si>
  <si>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</si>
  <si>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</si>
  <si>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</si>
  <si>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</si>
  <si>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</si>
  <si>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</si>
  <si>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</si>
  <si>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</si>
  <si>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</si>
  <si>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</si>
  <si>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</si>
  <si>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</si>
  <si>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</si>
  <si>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</si>
  <si>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</si>
  <si>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</si>
  <si>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</si>
  <si>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</si>
  <si>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</si>
  <si>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</si>
  <si>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</si>
  <si>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</si>
  <si>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</si>
  <si>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</si>
  <si>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</si>
  <si>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</si>
  <si>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</si>
  <si>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</si>
  <si>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</si>
  <si>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</si>
  <si>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</si>
  <si>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</si>
  <si>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</si>
  <si>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</si>
  <si>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</si>
  <si>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</si>
  <si>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</si>
  <si>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</si>
  <si>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</si>
  <si>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</si>
  <si>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</si>
  <si>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</si>
  <si>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</si>
  <si>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</si>
  <si>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</si>
  <si>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</si>
  <si>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</si>
  <si>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</si>
  <si>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</si>
  <si>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</si>
  <si>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</si>
  <si>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</si>
  <si>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</si>
  <si>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</si>
  <si>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</si>
  <si>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</si>
  <si>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</si>
  <si>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</si>
  <si>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</si>
  <si>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</si>
  <si>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</si>
  <si>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</si>
  <si>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</si>
  <si>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</si>
  <si>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</si>
  <si>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</si>
  <si>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</si>
  <si>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</si>
  <si>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</si>
  <si>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</si>
  <si>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</si>
  <si>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</si>
  <si>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</si>
  <si>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</si>
  <si>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</si>
  <si>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0000000 종합연구동 신축공사</t>
    <phoneticPr fontId="2" type="noConversion"/>
  </si>
  <si>
    <t>교육연구</t>
  </si>
  <si>
    <t>경기도</t>
  </si>
  <si>
    <t>부대조경공사</t>
    <phoneticPr fontId="2" type="noConversion"/>
  </si>
  <si>
    <t>부대토목공사(흙막이공사 포함)</t>
    <phoneticPr fontId="2" type="noConversion"/>
  </si>
  <si>
    <t>기계 소화설비공사</t>
    <phoneticPr fontId="2" type="noConversion"/>
  </si>
  <si>
    <t>전기 소방공사</t>
    <phoneticPr fontId="2" type="noConversion"/>
  </si>
  <si>
    <t>골재및운반비,기타공사,작업부산물,철거공사,토및지정공사,판넬공사</t>
    <phoneticPr fontId="2" type="noConversion"/>
  </si>
  <si>
    <t>위생배관공사,우수처리시설공사,오수처리시설공사,폐수처리시설공사,철거공사</t>
    <phoneticPr fontId="2" type="noConversion"/>
  </si>
  <si>
    <t>옥외전력인입설비공사</t>
    <phoneticPr fontId="2" type="noConversion"/>
  </si>
  <si>
    <t>CABLE TRAY설비공사,CABLE DUCT설비공사</t>
    <phoneticPr fontId="2" type="noConversion"/>
  </si>
  <si>
    <t>위험물저장소공사</t>
    <phoneticPr fontId="2" type="noConversion"/>
  </si>
  <si>
    <t>통신인입설비공사</t>
    <phoneticPr fontId="2" type="noConversion"/>
  </si>
  <si>
    <t>CATV설비공사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</si>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</sst>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4525</v>
      </c>
      <c r="D7" s="36">
        <f>+C7/3.3058</f>
        <v>1368.8063403714682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540</v>
      </c>
      <c r="E24" s="58">
        <f t="shared" ref="E24:E33" si="0">TRUNC(+D24*3.3058,-1)</f>
        <v>1780</v>
      </c>
    </row>
    <row r="25" spans="1:5" x14ac:dyDescent="0.3">
      <c r="B25" s="2">
        <v>2</v>
      </c>
      <c r="C25" s="35" t="s">
        <v>111</v>
      </c>
      <c r="D25" s="45">
        <f>+D60</f>
        <v>773630</v>
      </c>
      <c r="E25" s="59">
        <f t="shared" si="0"/>
        <v>2557460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269150</v>
      </c>
      <c r="E27" s="59">
        <f t="shared" si="0"/>
        <v>889750</v>
      </c>
    </row>
    <row r="28" spans="1:5" x14ac:dyDescent="0.3">
      <c r="B28" s="2">
        <v>5</v>
      </c>
      <c r="C28" s="35" t="s">
        <v>97</v>
      </c>
      <c r="D28" s="45">
        <f>+D119</f>
        <v>263510</v>
      </c>
      <c r="E28" s="59">
        <f t="shared" si="0"/>
        <v>871110</v>
      </c>
    </row>
    <row r="29" spans="1:5" x14ac:dyDescent="0.3">
      <c r="B29" s="2">
        <v>6</v>
      </c>
      <c r="C29" s="35" t="s">
        <v>98</v>
      </c>
      <c r="D29" s="45">
        <f>+D133</f>
        <v>112390</v>
      </c>
      <c r="E29" s="59">
        <f t="shared" si="0"/>
        <v>371530</v>
      </c>
    </row>
    <row r="30" spans="1:5" x14ac:dyDescent="0.3">
      <c r="B30" s="2">
        <v>7</v>
      </c>
      <c r="C30" s="35" t="s">
        <v>99</v>
      </c>
      <c r="D30" s="45">
        <f>+D146</f>
        <v>37390</v>
      </c>
      <c r="E30" s="59">
        <f t="shared" si="0"/>
        <v>123600</v>
      </c>
    </row>
    <row r="31" spans="1:5" x14ac:dyDescent="0.3">
      <c r="B31" s="2">
        <v>8</v>
      </c>
      <c r="C31" s="35" t="s">
        <v>100</v>
      </c>
      <c r="D31" s="45">
        <f>+D154</f>
        <v>114290</v>
      </c>
      <c r="E31" s="59">
        <f t="shared" si="0"/>
        <v>377810</v>
      </c>
    </row>
    <row r="32" spans="1:5" x14ac:dyDescent="0.3">
      <c r="B32" s="2">
        <v>9</v>
      </c>
      <c r="C32" s="35" t="s">
        <v>101</v>
      </c>
      <c r="D32" s="45">
        <f>+D161</f>
        <v>6960</v>
      </c>
      <c r="E32" s="59">
        <f t="shared" si="0"/>
        <v>23000</v>
      </c>
    </row>
    <row r="33" spans="1:7" x14ac:dyDescent="0.3">
      <c r="B33" s="2">
        <v>10</v>
      </c>
      <c r="C33" s="35" t="s">
        <v>154</v>
      </c>
      <c r="D33" s="53">
        <f>TRUNC(SUM(D24:D32)*0.275,-1)</f>
        <v>433910</v>
      </c>
      <c r="E33" s="60">
        <f t="shared" si="0"/>
        <v>1434410</v>
      </c>
    </row>
    <row r="34" spans="1:7" x14ac:dyDescent="0.3">
      <c r="C34" s="35" t="s">
        <v>112</v>
      </c>
      <c r="D34" s="44">
        <f>SUM(D24:D33)</f>
        <v>2011770</v>
      </c>
      <c r="E34" s="44">
        <f>SUM(E24:E33)</f>
        <v>6650450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TRUNC(548,-1)</f>
        <v>540</v>
      </c>
      <c r="E37" s="61">
        <f>TRUNC(+D37*3.3058,-1)</f>
        <v>1780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f>TRUNC(32524,-1)</f>
        <v>32520</v>
      </c>
      <c r="E40" s="62">
        <f t="shared" ref="E40:E59" si="1">TRUNC(+D40*3.3058,-1)</f>
        <v>107500</v>
      </c>
    </row>
    <row r="41" spans="1:7" x14ac:dyDescent="0.3">
      <c r="A41" s="2">
        <v>2</v>
      </c>
      <c r="C41" s="38" t="s">
        <v>13</v>
      </c>
      <c r="D41" s="42">
        <f>TRUNC(72871,-1)</f>
        <v>72870</v>
      </c>
      <c r="E41" s="63">
        <f t="shared" si="1"/>
        <v>240890</v>
      </c>
    </row>
    <row r="42" spans="1:7" x14ac:dyDescent="0.3">
      <c r="A42" s="2">
        <v>3</v>
      </c>
      <c r="C42" s="38" t="s">
        <v>14</v>
      </c>
      <c r="D42" s="42">
        <f>TRUNC(5588,-1)</f>
        <v>5580</v>
      </c>
      <c r="E42" s="63">
        <f t="shared" si="1"/>
        <v>18440</v>
      </c>
    </row>
    <row r="43" spans="1:7" x14ac:dyDescent="0.3">
      <c r="A43" s="2">
        <v>4</v>
      </c>
      <c r="C43" s="38" t="s">
        <v>16</v>
      </c>
      <c r="D43" s="42">
        <f>TRUNC(12542,-1)</f>
        <v>12540</v>
      </c>
      <c r="E43" s="63">
        <f t="shared" si="1"/>
        <v>41450</v>
      </c>
    </row>
    <row r="44" spans="1:7" x14ac:dyDescent="0.3">
      <c r="A44" s="2">
        <v>5</v>
      </c>
      <c r="C44" s="38" t="s">
        <v>17</v>
      </c>
      <c r="D44" s="42">
        <f>TRUNC(20290,-1)</f>
        <v>20290</v>
      </c>
      <c r="E44" s="63">
        <f t="shared" si="1"/>
        <v>67070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f>TRUNC(12595,-1)</f>
        <v>12590</v>
      </c>
      <c r="E46" s="63">
        <f t="shared" si="1"/>
        <v>41620</v>
      </c>
    </row>
    <row r="47" spans="1:7" x14ac:dyDescent="0.3">
      <c r="A47" s="2">
        <v>8</v>
      </c>
      <c r="C47" s="38" t="s">
        <v>20</v>
      </c>
      <c r="D47" s="42">
        <f>TRUNC(92129,-1)</f>
        <v>92120</v>
      </c>
      <c r="E47" s="63">
        <f t="shared" si="1"/>
        <v>304530</v>
      </c>
    </row>
    <row r="48" spans="1:7" x14ac:dyDescent="0.3">
      <c r="A48" s="2">
        <v>9</v>
      </c>
      <c r="C48" s="38" t="s">
        <v>21</v>
      </c>
      <c r="D48" s="42">
        <f>TRUNC(34807,-1)</f>
        <v>34800</v>
      </c>
      <c r="E48" s="63">
        <f t="shared" si="1"/>
        <v>115040</v>
      </c>
    </row>
    <row r="49" spans="1:7" x14ac:dyDescent="0.3">
      <c r="A49" s="2">
        <v>10</v>
      </c>
      <c r="C49" s="38" t="s">
        <v>22</v>
      </c>
      <c r="D49" s="42">
        <f>TRUNC(19550,-1)</f>
        <v>19550</v>
      </c>
      <c r="E49" s="63">
        <f t="shared" si="1"/>
        <v>64620</v>
      </c>
    </row>
    <row r="50" spans="1:7" x14ac:dyDescent="0.3">
      <c r="A50" s="2">
        <v>11</v>
      </c>
      <c r="C50" s="38" t="s">
        <v>155</v>
      </c>
      <c r="D50" s="42">
        <f>TRUNC(12830,1)</f>
        <v>12830</v>
      </c>
      <c r="E50" s="63">
        <f t="shared" si="1"/>
        <v>42410</v>
      </c>
    </row>
    <row r="51" spans="1:7" x14ac:dyDescent="0.3">
      <c r="A51" s="2">
        <v>12</v>
      </c>
      <c r="C51" s="38" t="s">
        <v>23</v>
      </c>
      <c r="D51" s="42">
        <f>TRUNC(19878,-1)</f>
        <v>19870</v>
      </c>
      <c r="E51" s="63">
        <f t="shared" si="1"/>
        <v>65680</v>
      </c>
    </row>
    <row r="52" spans="1:7" x14ac:dyDescent="0.3">
      <c r="A52" s="2">
        <v>13</v>
      </c>
      <c r="C52" s="38" t="s">
        <v>24</v>
      </c>
      <c r="D52" s="42">
        <f>TRUNC(16062,-1)</f>
        <v>16060</v>
      </c>
      <c r="E52" s="63">
        <f t="shared" si="1"/>
        <v>53090</v>
      </c>
    </row>
    <row r="53" spans="1:7" x14ac:dyDescent="0.3">
      <c r="A53" s="2">
        <v>14</v>
      </c>
      <c r="C53" s="38" t="s">
        <v>25</v>
      </c>
      <c r="D53" s="42">
        <f>TRUNC(63966,-1)</f>
        <v>63960</v>
      </c>
      <c r="E53" s="63">
        <f t="shared" si="1"/>
        <v>211430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TRUNC(64692,-1)</f>
        <v>64690</v>
      </c>
      <c r="E55" s="63">
        <f t="shared" si="1"/>
        <v>213850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TRUNC(2631+860-581+28900+6610+49162,-1)</f>
        <v>87580</v>
      </c>
      <c r="E58" s="63">
        <f t="shared" si="1"/>
        <v>289520</v>
      </c>
      <c r="F58" s="2" t="s">
        <v>255</v>
      </c>
    </row>
    <row r="59" spans="1:7" ht="17.25" thickBot="1" x14ac:dyDescent="0.35">
      <c r="A59" s="2">
        <v>20</v>
      </c>
      <c r="C59" s="38" t="s">
        <v>148</v>
      </c>
      <c r="D59" s="43">
        <f>TRUNC(205785,-1)</f>
        <v>205780</v>
      </c>
      <c r="E59" s="64">
        <f t="shared" si="1"/>
        <v>680260</v>
      </c>
    </row>
    <row r="60" spans="1:7" x14ac:dyDescent="0.3">
      <c r="A60" s="2">
        <v>21</v>
      </c>
      <c r="C60" s="27" t="s">
        <v>112</v>
      </c>
      <c r="D60" s="39">
        <f>SUM(D40:D59)</f>
        <v>773630</v>
      </c>
      <c r="E60" s="39">
        <f>SUM(E40:E59)</f>
        <v>2557400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TRUNC(8713,-1)</f>
        <v>8710</v>
      </c>
      <c r="E69" s="62">
        <f t="shared" ref="E69:E94" si="2">TRUNC(+D69*3.3058,-1)</f>
        <v>28790</v>
      </c>
    </row>
    <row r="70" spans="1:7" ht="16.5" customHeight="1" x14ac:dyDescent="0.3">
      <c r="A70" s="2">
        <v>2</v>
      </c>
      <c r="C70" s="38" t="s">
        <v>31</v>
      </c>
      <c r="D70" s="42">
        <f>TRUNC(5152,-1)</f>
        <v>5150</v>
      </c>
      <c r="E70" s="63">
        <f t="shared" si="2"/>
        <v>17020</v>
      </c>
    </row>
    <row r="71" spans="1:7" x14ac:dyDescent="0.3">
      <c r="A71" s="2">
        <v>3</v>
      </c>
      <c r="C71" s="38" t="s">
        <v>32</v>
      </c>
      <c r="D71" s="42">
        <f>TRUNC(8644,-1)</f>
        <v>8640</v>
      </c>
      <c r="E71" s="63">
        <f t="shared" si="2"/>
        <v>28560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f>TRUNC(12175,-1)</f>
        <v>12170</v>
      </c>
      <c r="E78" s="63">
        <f t="shared" si="2"/>
        <v>40230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TRUNC(165857,-1)</f>
        <v>165850</v>
      </c>
      <c r="E93" s="63">
        <f t="shared" si="2"/>
        <v>548260</v>
      </c>
    </row>
    <row r="94" spans="1:7" ht="17.25" thickBot="1" x14ac:dyDescent="0.35">
      <c r="A94" s="2">
        <v>26</v>
      </c>
      <c r="C94" s="38" t="s">
        <v>47</v>
      </c>
      <c r="D94" s="43">
        <f>TRUNC(21519+10244+20176+15257+1437,-1)</f>
        <v>68630</v>
      </c>
      <c r="E94" s="64">
        <f t="shared" si="2"/>
        <v>226870</v>
      </c>
      <c r="F94" s="2" t="s">
        <v>256</v>
      </c>
    </row>
    <row r="95" spans="1:7" x14ac:dyDescent="0.3">
      <c r="A95" s="2">
        <v>27</v>
      </c>
      <c r="C95" s="27" t="s">
        <v>112</v>
      </c>
      <c r="D95" s="39">
        <f>SUM(D69:D94)</f>
        <v>269150</v>
      </c>
      <c r="E95" s="39">
        <f>SUM(E69:E94)</f>
        <v>889730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TRUNC(20518,-1)</f>
        <v>20510</v>
      </c>
      <c r="E98" s="62">
        <f t="shared" ref="E98:E118" si="3">TRUNC(+D98*3.3058,-1)</f>
        <v>67800</v>
      </c>
    </row>
    <row r="99" spans="1:7" x14ac:dyDescent="0.3">
      <c r="A99" s="2">
        <v>2</v>
      </c>
      <c r="C99" s="38" t="s">
        <v>40</v>
      </c>
      <c r="D99" s="42">
        <f>TRUNC(10255,-1)</f>
        <v>10250</v>
      </c>
      <c r="E99" s="63">
        <f t="shared" si="3"/>
        <v>33880</v>
      </c>
    </row>
    <row r="100" spans="1:7" x14ac:dyDescent="0.3">
      <c r="A100" s="2">
        <v>3</v>
      </c>
      <c r="C100" s="38" t="s">
        <v>41</v>
      </c>
      <c r="D100" s="42">
        <f>TRUNC(30156+443,-1)</f>
        <v>30590</v>
      </c>
      <c r="E100" s="63">
        <f t="shared" si="3"/>
        <v>101120</v>
      </c>
    </row>
    <row r="101" spans="1:7" x14ac:dyDescent="0.3">
      <c r="A101" s="2">
        <v>4</v>
      </c>
      <c r="C101" s="38" t="s">
        <v>42</v>
      </c>
      <c r="D101" s="42">
        <f>TRUNC(12739,-1)</f>
        <v>12730</v>
      </c>
      <c r="E101" s="63">
        <f t="shared" si="3"/>
        <v>42080</v>
      </c>
    </row>
    <row r="102" spans="1:7" x14ac:dyDescent="0.3">
      <c r="A102" s="2">
        <v>5</v>
      </c>
      <c r="C102" s="38" t="s">
        <v>43</v>
      </c>
      <c r="D102" s="42">
        <f>TRUNC(23235+347,-1)</f>
        <v>23580</v>
      </c>
      <c r="E102" s="63">
        <f t="shared" si="3"/>
        <v>77950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TRUNC(5170,-1)</f>
        <v>5170</v>
      </c>
      <c r="E104" s="63">
        <f t="shared" si="3"/>
        <v>17090</v>
      </c>
    </row>
    <row r="105" spans="1:7" x14ac:dyDescent="0.3">
      <c r="A105" s="2">
        <v>8</v>
      </c>
      <c r="C105" s="38" t="s">
        <v>46</v>
      </c>
      <c r="D105" s="42">
        <f>TRUNC(5568+496,-1)</f>
        <v>6060</v>
      </c>
      <c r="E105" s="63">
        <f t="shared" si="3"/>
        <v>20030</v>
      </c>
      <c r="F105" s="2" t="s">
        <v>258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TRUNC(1921,-1)</f>
        <v>1920</v>
      </c>
      <c r="E114" s="63">
        <f t="shared" si="3"/>
        <v>6340</v>
      </c>
    </row>
    <row r="115" spans="1:7" x14ac:dyDescent="0.3">
      <c r="A115" s="2">
        <v>18</v>
      </c>
      <c r="C115" s="38" t="s">
        <v>116</v>
      </c>
      <c r="D115" s="42">
        <f>TRUNC(4285,-1)</f>
        <v>4280</v>
      </c>
      <c r="E115" s="63">
        <f t="shared" si="3"/>
        <v>14140</v>
      </c>
    </row>
    <row r="116" spans="1:7" x14ac:dyDescent="0.3">
      <c r="A116" s="2">
        <v>19</v>
      </c>
      <c r="C116" s="38" t="s">
        <v>115</v>
      </c>
      <c r="D116" s="42">
        <f>TRUNC(3655,-1)</f>
        <v>3650</v>
      </c>
      <c r="E116" s="63">
        <f t="shared" si="3"/>
        <v>12060</v>
      </c>
      <c r="F116" s="2" t="s">
        <v>257</v>
      </c>
    </row>
    <row r="117" spans="1:7" x14ac:dyDescent="0.3">
      <c r="A117" s="2">
        <v>20</v>
      </c>
      <c r="C117" s="38" t="s">
        <v>148</v>
      </c>
      <c r="D117" s="42">
        <f>TRUNC(143989,-1)</f>
        <v>143980</v>
      </c>
      <c r="E117" s="63">
        <f t="shared" si="3"/>
        <v>475960</v>
      </c>
    </row>
    <row r="118" spans="1:7" ht="17.25" thickBot="1" x14ac:dyDescent="0.35">
      <c r="A118" s="2">
        <v>21</v>
      </c>
      <c r="C118" s="38" t="s">
        <v>47</v>
      </c>
      <c r="D118" s="43">
        <f>TRUNC(790,-1)</f>
        <v>790</v>
      </c>
      <c r="E118" s="64">
        <f t="shared" si="3"/>
        <v>2610</v>
      </c>
      <c r="F118" s="2" t="s">
        <v>259</v>
      </c>
    </row>
    <row r="119" spans="1:7" x14ac:dyDescent="0.3">
      <c r="A119" s="2">
        <v>22</v>
      </c>
      <c r="C119" s="27" t="s">
        <v>112</v>
      </c>
      <c r="D119" s="39">
        <f>SUM(D98:D118)</f>
        <v>263510</v>
      </c>
      <c r="E119" s="39">
        <f>SUM(E98:E118)</f>
        <v>871060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TRUNC(2583,-1)</f>
        <v>2580</v>
      </c>
      <c r="E122" s="62">
        <f t="shared" ref="E122:E132" si="4">TRUNC(+D122*3.3058,-1)</f>
        <v>8520</v>
      </c>
      <c r="F122" s="2" t="s">
        <v>261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TRUNC(1528,-1)</f>
        <v>1520</v>
      </c>
      <c r="E124" s="63">
        <f t="shared" si="4"/>
        <v>5020</v>
      </c>
    </row>
    <row r="125" spans="1:7" x14ac:dyDescent="0.3">
      <c r="A125" s="2">
        <v>4</v>
      </c>
      <c r="C125" s="38" t="s">
        <v>138</v>
      </c>
      <c r="D125" s="42">
        <f>TRUNC(5098,-1)</f>
        <v>5090</v>
      </c>
      <c r="E125" s="63">
        <f t="shared" si="4"/>
        <v>16820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TRUNC(7566,-1)</f>
        <v>7560</v>
      </c>
      <c r="E127" s="63">
        <f t="shared" si="4"/>
        <v>24990</v>
      </c>
    </row>
    <row r="128" spans="1:7" x14ac:dyDescent="0.3">
      <c r="A128" s="2">
        <v>7</v>
      </c>
      <c r="C128" s="38" t="s">
        <v>46</v>
      </c>
      <c r="D128" s="42">
        <f>TRUNC(2673,-1)</f>
        <v>2670</v>
      </c>
      <c r="E128" s="63">
        <f t="shared" si="4"/>
        <v>8820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TRUNC(14448,-1)</f>
        <v>14440</v>
      </c>
      <c r="E130" s="63">
        <f t="shared" si="4"/>
        <v>47730</v>
      </c>
    </row>
    <row r="131" spans="1:7" x14ac:dyDescent="0.3">
      <c r="A131" s="2">
        <v>10</v>
      </c>
      <c r="C131" s="38" t="s">
        <v>148</v>
      </c>
      <c r="D131" s="42">
        <f>TRUNC(75888,-1)</f>
        <v>75880</v>
      </c>
      <c r="E131" s="63">
        <f t="shared" si="4"/>
        <v>250840</v>
      </c>
    </row>
    <row r="132" spans="1:7" ht="18" thickBot="1" x14ac:dyDescent="0.35">
      <c r="A132" s="2">
        <v>11</v>
      </c>
      <c r="C132" s="38" t="s">
        <v>47</v>
      </c>
      <c r="D132" s="43">
        <f>TRUNC(2651,-1)</f>
        <v>2650</v>
      </c>
      <c r="E132" s="64">
        <f t="shared" si="4"/>
        <v>8760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112390</v>
      </c>
      <c r="E133" s="39">
        <f>SUM(E122:E132)</f>
        <v>371500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TRUNC(27040,-1)</f>
        <v>27040</v>
      </c>
      <c r="E136" s="62">
        <f t="shared" ref="E136:E145" si="5">TRUNC(+D136*3.3058,-1)</f>
        <v>89380</v>
      </c>
      <c r="F136" s="2" t="s">
        <v>253</v>
      </c>
    </row>
    <row r="137" spans="1:7" x14ac:dyDescent="0.3">
      <c r="A137" s="2">
        <v>2</v>
      </c>
      <c r="C137" s="38" t="s">
        <v>47</v>
      </c>
      <c r="D137" s="42">
        <f>TRUNC(10353,-1)</f>
        <v>10350</v>
      </c>
      <c r="E137" s="63">
        <f t="shared" si="5"/>
        <v>34210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37390</v>
      </c>
      <c r="E146" s="39">
        <f>SUM(E136:E145)</f>
        <v>123590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TRUNC(114298,-1)</f>
        <v>114290</v>
      </c>
      <c r="E152" s="63">
        <f>TRUNC(+D152*3.3058,-1)</f>
        <v>377810</v>
      </c>
      <c r="F152" s="2" t="s">
        <v>252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114290</v>
      </c>
      <c r="E154" s="39">
        <f>SUM(E149:E153)</f>
        <v>377810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TRUNC(6964,-1)</f>
        <v>6960</v>
      </c>
      <c r="E159" s="63">
        <f>TRUNC(+D159*3.3058,-1)</f>
        <v>23000</v>
      </c>
      <c r="F159" s="2" t="s">
        <v>251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6960</v>
      </c>
      <c r="E161" s="39">
        <f>SUM(E157:E160)</f>
        <v>23000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2020-12-07T09:40:59Z</dcterms:modified>
</cp:coreProperties>
</file>