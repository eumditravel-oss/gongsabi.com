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2" i="4"/>
  <c r="D150" i="4"/>
  <c r="D149" i="4"/>
  <c r="D144" i="4"/>
  <c r="D143" i="4"/>
  <c r="D142" i="4"/>
  <c r="D140" i="4"/>
  <c r="D139" i="4"/>
  <c r="D132" i="4"/>
  <c r="D131" i="4"/>
  <c r="D130" i="4"/>
  <c r="D125" i="4"/>
  <c r="D122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92" i="4"/>
  <c r="D91" i="4"/>
  <c r="D89" i="4"/>
  <c r="D73" i="4"/>
  <c r="D71" i="4"/>
  <c r="D69" i="4"/>
  <c r="D63" i="4"/>
  <c r="D59" i="4"/>
  <c r="D58" i="4"/>
  <c r="D53" i="4"/>
  <c r="D52" i="4"/>
  <c r="D50" i="4"/>
  <c r="D49" i="4"/>
  <c r="D48" i="4"/>
  <c r="D45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<sst xmlns="http://schemas.openxmlformats.org/spreadsheetml/2006/main" count="390" uniqueCount="264">
  <si>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</si>
  <si>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</si>
  <si>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</si>
  <si>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</si>
  <si>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</si>
  <si>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</si>
  <si>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</si>
  <si>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</si>
  <si>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</si>
  <si>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</si>
  <si>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</si>
  <si>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</si>
  <si>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</si>
  <si>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</si>
  <si>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</si>
  <si>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</si>
  <si>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</si>
  <si>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</si>
  <si>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</si>
  <si>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</si>
  <si>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</si>
  <si>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</si>
  <si>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</si>
  <si>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</si>
  <si>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</si>
  <si>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</si>
  <si>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</si>
  <si>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</si>
  <si>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</si>
  <si>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</si>
  <si>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</si>
  <si>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</si>
  <si>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</si>
  <si>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</si>
  <si>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</si>
  <si>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</si>
  <si>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</si>
  <si>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</si>
  <si>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</si>
  <si>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</si>
  <si>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</si>
  <si>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</si>
  <si>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</si>
  <si>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</si>
  <si>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</si>
  <si>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</si>
  <si>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</si>
  <si>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</si>
  <si>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</si>
  <si>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</si>
  <si>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</si>
  <si>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</si>
  <si>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</si>
  <si>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</si>
  <si>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</si>
  <si>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</si>
  <si>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</si>
  <si>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</si>
  <si>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</si>
  <si>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</si>
  <si>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</si>
  <si>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</si>
  <si>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</si>
  <si>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</si>
  <si>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</si>
  <si>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</si>
  <si>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</si>
  <si>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</si>
  <si>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</si>
  <si>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</si>
  <si>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</si>
  <si>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</si>
  <si>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</si>
  <si>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</si>
  <si>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</si>
  <si>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</si>
  <si>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</si>
  <si>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</si>
  <si>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</si>
  <si>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</si>
  <si>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</si>
  <si>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</si>
  <si>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</si>
  <si>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</si>
  <si>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</si>
  <si>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</si>
  <si>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</si>
  <si>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</si>
  <si>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</si>
  <si>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</si>
  <si>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</si>
  <si>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</si>
  <si>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</si>
  <si>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</si>
  <si>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</si>
  <si>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</si>
  <si>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</si>
  <si>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</si>
  <si>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</si>
  <si>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</si>
  <si>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</si>
  <si>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</si>
  <si>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</si>
  <si>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</si>
  <si>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</si>
  <si>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</si>
  <si>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</si>
  <si>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</si>
  <si>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</si>
  <si>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</si>
  <si>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</si>
  <si>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</si>
  <si>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</si>
  <si>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</si>
  <si>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</si>
  <si>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</si>
  <si>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</si>
  <si>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</si>
  <si>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</si>
  <si>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</si>
  <si>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</si>
  <si>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</si>
  <si>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</si>
  <si>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</si>
  <si>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</si>
  <si>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</si>
  <si>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</si>
  <si>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</si>
  <si>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</si>
  <si>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</si>
  <si>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</si>
  <si>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</si>
  <si>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</si>
  <si>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</si>
  <si>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</si>
  <si>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</si>
  <si>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</si>
  <si>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</si>
  <si>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</si>
  <si>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</si>
  <si>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</si>
  <si>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</si>
  <si>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</si>
  <si>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</si>
  <si>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</si>
  <si>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</si>
  <si>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</si>
  <si>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</si>
  <si>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</si>
  <si>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</si>
  <si>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</si>
  <si>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</si>
  <si>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</si>
  <si>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</si>
  <si>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</si>
  <si>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</si>
  <si>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</si>
  <si>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</si>
  <si>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</si>
  <si>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</si>
  <si>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</si>
  <si>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</si>
  <si>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</si>
  <si>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</si>
  <si>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</si>
  <si>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</si>
  <si>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</si>
  <si>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</si>
  <si>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</si>
  <si>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</si>
  <si>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</si>
  <si>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</si>
  <si>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</si>
  <si>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</si>
  <si>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</si>
  <si>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</si>
  <si>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</si>
  <si>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</si>
  <si>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</si>
  <si>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</si>
  <si>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</si>
  <si>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</si>
  <si>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</si>
  <si>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</si>
  <si>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</si>
  <si>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</si>
  <si>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</si>
  <si>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</si>
  <si>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</si>
  <si>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</si>
  <si>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</si>
  <si>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</si>
  <si>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</si>
  <si>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</si>
  <si>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</si>
  <si>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</si>
  <si>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</si>
  <si>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</si>
  <si>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</si>
  <si>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</si>
  <si>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</si>
  <si>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</si>
  <si>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</si>
  <si>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</si>
  <si>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</si>
  <si>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</si>
  <si>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</si>
  <si>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</si>
  <si>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</si>
  <si>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</si>
  <si>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</si>
  <si>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</si>
  <si>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</si>
  <si>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</si>
  <si>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</si>
  <si>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</si>
  <si>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</si>
  <si>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</si>
  <si>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</si>
  <si>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</si>
  <si>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</si>
  <si>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</si>
  <si>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</si>
  <si>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</si>
  <si>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</si>
  <si>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</si>
  <si>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</si>
  <si>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</si>
  <si>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</si>
  <si>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</si>
  <si>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</si>
  <si>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</si>
  <si>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</si>
  <si>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</si>
  <si>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</si>
  <si>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</si>
  <si>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</si>
  <si>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</si>
  <si>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</si>
  <si>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</si>
  <si>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</si>
  <si>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</si>
  <si>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</si>
  <si>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</si>
  <si>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</si>
  <si>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</si>
  <si>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</si>
  <si>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</si>
  <si>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</si>
  <si>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</si>
  <si>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</si>
  <si>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</si>
  <si>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</si>
  <si>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</si>
  <si>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</si>
  <si>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기타</t>
  </si>
  <si>
    <t>호남권 종자종합처리센터 신축공사 요청</t>
    <phoneticPr fontId="2" type="noConversion"/>
  </si>
  <si>
    <t>전라도</t>
  </si>
  <si>
    <t>기초공사, 골재비및운반비, 작업부산물, 품질시험비, 기타공사</t>
    <phoneticPr fontId="2" type="noConversion"/>
  </si>
  <si>
    <t>CCTV설비공사</t>
    <phoneticPr fontId="2" type="noConversion"/>
  </si>
  <si>
    <t>상수도공사, 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</si>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</sst>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4943.1400000000003</v>
      </c>
      <c r="D7" s="36">
        <f>+C7/3.3058</f>
        <v>1495.2931211809548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749130</v>
      </c>
      <c r="E25" s="59">
        <f t="shared" si="0"/>
        <v>2476470</v>
      </c>
    </row>
    <row r="26" spans="1:5" x14ac:dyDescent="0.3">
      <c r="B26" s="2">
        <v>3</v>
      </c>
      <c r="C26" s="35" t="s">
        <v>95</v>
      </c>
      <c r="D26" s="45">
        <f>+D66</f>
        <v>7260</v>
      </c>
      <c r="E26" s="59">
        <f t="shared" si="0"/>
        <v>24000</v>
      </c>
    </row>
    <row r="27" spans="1:5" x14ac:dyDescent="0.3">
      <c r="B27" s="2">
        <v>4</v>
      </c>
      <c r="C27" s="35" t="s">
        <v>96</v>
      </c>
      <c r="D27" s="45">
        <f>+D95</f>
        <v>178460</v>
      </c>
      <c r="E27" s="59">
        <f t="shared" si="0"/>
        <v>589950</v>
      </c>
    </row>
    <row r="28" spans="1:5" x14ac:dyDescent="0.3">
      <c r="B28" s="2">
        <v>5</v>
      </c>
      <c r="C28" s="35" t="s">
        <v>97</v>
      </c>
      <c r="D28" s="45">
        <f>+D119</f>
        <v>145900</v>
      </c>
      <c r="E28" s="59">
        <f t="shared" si="0"/>
        <v>482310</v>
      </c>
    </row>
    <row r="29" spans="1:5" x14ac:dyDescent="0.3">
      <c r="B29" s="2">
        <v>6</v>
      </c>
      <c r="C29" s="35" t="s">
        <v>98</v>
      </c>
      <c r="D29" s="45">
        <f>+D133</f>
        <v>20570</v>
      </c>
      <c r="E29" s="59">
        <f t="shared" si="0"/>
        <v>68000</v>
      </c>
    </row>
    <row r="30" spans="1:5" x14ac:dyDescent="0.3">
      <c r="B30" s="2">
        <v>7</v>
      </c>
      <c r="C30" s="35" t="s">
        <v>99</v>
      </c>
      <c r="D30" s="45">
        <f>+D146</f>
        <v>66000</v>
      </c>
      <c r="E30" s="59">
        <f t="shared" si="0"/>
        <v>218180</v>
      </c>
    </row>
    <row r="31" spans="1:5" x14ac:dyDescent="0.3">
      <c r="B31" s="2">
        <v>8</v>
      </c>
      <c r="C31" s="35" t="s">
        <v>100</v>
      </c>
      <c r="D31" s="45">
        <f>+D154</f>
        <v>32870</v>
      </c>
      <c r="E31" s="59">
        <f t="shared" si="0"/>
        <v>108660</v>
      </c>
    </row>
    <row r="32" spans="1:5" x14ac:dyDescent="0.3">
      <c r="B32" s="2">
        <v>9</v>
      </c>
      <c r="C32" s="35" t="s">
        <v>101</v>
      </c>
      <c r="D32" s="45">
        <f>+D161</f>
        <v>12080</v>
      </c>
      <c r="E32" s="59">
        <f t="shared" si="0"/>
        <v>39930</v>
      </c>
    </row>
    <row r="33" spans="1:7" x14ac:dyDescent="0.3">
      <c r="B33" s="2">
        <v>10</v>
      </c>
      <c r="C33" s="35" t="s">
        <v>155</v>
      </c>
      <c r="D33" s="53">
        <f>TRUNC(SUM(D24:D32)*0.275,-1)</f>
        <v>333370</v>
      </c>
      <c r="E33" s="60">
        <f t="shared" si="0"/>
        <v>1102050</v>
      </c>
    </row>
    <row r="34" spans="1:7" x14ac:dyDescent="0.3">
      <c r="C34" s="35" t="s">
        <v>112</v>
      </c>
      <c r="D34" s="44">
        <f>SUM(D24:D33)</f>
        <v>1545640</v>
      </c>
      <c r="E34" s="44">
        <f>SUM(E24:E33)</f>
        <v>5109550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TRUNC(64764,-1)</f>
        <v>64760</v>
      </c>
      <c r="E40" s="62">
        <f t="shared" ref="E40:E59" si="1">TRUNC(+D40*3.3058,-1)</f>
        <v>214080</v>
      </c>
    </row>
    <row r="41" spans="1:7" x14ac:dyDescent="0.3">
      <c r="A41" s="2">
        <v>2</v>
      </c>
      <c r="C41" s="38" t="s">
        <v>13</v>
      </c>
      <c r="D41" s="42">
        <f>TRUNC(40123,-1)</f>
        <v>40120</v>
      </c>
      <c r="E41" s="63">
        <f t="shared" si="1"/>
        <v>132620</v>
      </c>
    </row>
    <row r="42" spans="1:7" x14ac:dyDescent="0.3">
      <c r="A42" s="2">
        <v>3</v>
      </c>
      <c r="C42" s="38" t="s">
        <v>14</v>
      </c>
      <c r="D42" s="42">
        <f>TRUNC(192195,-1)</f>
        <v>192190</v>
      </c>
      <c r="E42" s="63">
        <f t="shared" si="1"/>
        <v>635340</v>
      </c>
    </row>
    <row r="43" spans="1:7" x14ac:dyDescent="0.3">
      <c r="A43" s="2">
        <v>4</v>
      </c>
      <c r="C43" s="38" t="s">
        <v>16</v>
      </c>
      <c r="D43" s="42">
        <f>TRUNC(53,-1)</f>
        <v>50</v>
      </c>
      <c r="E43" s="63">
        <f t="shared" si="1"/>
        <v>160</v>
      </c>
    </row>
    <row r="44" spans="1:7" x14ac:dyDescent="0.3">
      <c r="A44" s="2">
        <v>5</v>
      </c>
      <c r="C44" s="38" t="s">
        <v>17</v>
      </c>
      <c r="D44" s="42">
        <v>2140</v>
      </c>
      <c r="E44" s="63">
        <f t="shared" si="1"/>
        <v>7070</v>
      </c>
    </row>
    <row r="45" spans="1:7" x14ac:dyDescent="0.3">
      <c r="A45" s="2">
        <v>6</v>
      </c>
      <c r="C45" s="38" t="s">
        <v>18</v>
      </c>
      <c r="D45" s="42">
        <f>TRUNC(3013,-1)</f>
        <v>3010</v>
      </c>
      <c r="E45" s="63">
        <f t="shared" si="1"/>
        <v>9950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TRUNC(170867,-1)</f>
        <v>170860</v>
      </c>
      <c r="E48" s="63">
        <f t="shared" si="1"/>
        <v>564820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TRUNC(35998,-1)</f>
        <v>35990</v>
      </c>
      <c r="E49" s="63">
        <f t="shared" si="1"/>
        <v>118970</v>
      </c>
    </row>
    <row r="50" spans="1:7" x14ac:dyDescent="0.3">
      <c r="A50" s="2">
        <v>11</v>
      </c>
      <c r="C50" s="38" t="s">
        <v>156</v>
      </c>
      <c r="D50" s="42">
        <f>TRUNC(22543,-1)</f>
        <v>22540</v>
      </c>
      <c r="E50" s="63">
        <f t="shared" si="1"/>
        <v>74510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TRUNC(2943,-1)</f>
        <v>2940</v>
      </c>
      <c r="E52" s="63">
        <f t="shared" si="1"/>
        <v>9710</v>
      </c>
    </row>
    <row r="53" spans="1:7" x14ac:dyDescent="0.3">
      <c r="A53" s="2">
        <v>14</v>
      </c>
      <c r="C53" s="38" t="s">
        <v>25</v>
      </c>
      <c r="D53" s="42">
        <f>TRUNC(18424,-1)</f>
        <v>18420</v>
      </c>
      <c r="E53" s="63">
        <f t="shared" si="1"/>
        <v>60890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TRUNC(26328+347-99+428+23292,-1)</f>
        <v>50290</v>
      </c>
      <c r="E58" s="63">
        <f t="shared" si="1"/>
        <v>166240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TRUNC(145827,-1)</f>
        <v>145820</v>
      </c>
      <c r="E59" s="64">
        <f t="shared" si="1"/>
        <v>482050</v>
      </c>
    </row>
    <row r="60" spans="1:7" x14ac:dyDescent="0.3">
      <c r="A60" s="2">
        <v>21</v>
      </c>
      <c r="C60" s="27" t="s">
        <v>112</v>
      </c>
      <c r="D60" s="39">
        <f>SUM(D40:D59)</f>
        <v>749130</v>
      </c>
      <c r="E60" s="39">
        <f>SUM(E40:E59)</f>
        <v>2476410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TRUNC(7268,-1)</f>
        <v>7260</v>
      </c>
      <c r="E63" s="62">
        <f>TRUNC(+D63*3.3058,-1)</f>
        <v>24000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7260</v>
      </c>
      <c r="E66" s="65">
        <f>SUM(E63:E65)</f>
        <v>24000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TRUNC(1749,-1)</f>
        <v>1740</v>
      </c>
      <c r="E69" s="62">
        <f t="shared" ref="E69:E94" si="2">TRUNC(+D69*3.3058,-1)</f>
        <v>5750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TRUNC(739,-1)</f>
        <v>730</v>
      </c>
      <c r="E71" s="63">
        <f t="shared" si="2"/>
        <v>2410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TRUNC(1205,-1)</f>
        <v>1200</v>
      </c>
      <c r="E73" s="63">
        <f t="shared" si="2"/>
        <v>3960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TRUNC(1726,-1)</f>
        <v>1720</v>
      </c>
      <c r="E89" s="63">
        <f t="shared" si="2"/>
        <v>5680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TRUNC(4623,-1)</f>
        <v>4620</v>
      </c>
      <c r="E91" s="63">
        <f t="shared" si="2"/>
        <v>15270</v>
      </c>
    </row>
    <row r="92" spans="1:7" x14ac:dyDescent="0.3">
      <c r="A92" s="2">
        <v>24</v>
      </c>
      <c r="C92" s="38" t="s">
        <v>38</v>
      </c>
      <c r="D92" s="42">
        <f>TRUNC(729,-1)</f>
        <v>720</v>
      </c>
      <c r="E92" s="63">
        <f t="shared" si="2"/>
        <v>2380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TRUNC(167732,-1)</f>
        <v>167730</v>
      </c>
      <c r="E94" s="64">
        <f t="shared" si="2"/>
        <v>554480</v>
      </c>
    </row>
    <row r="95" spans="1:7" x14ac:dyDescent="0.3">
      <c r="A95" s="2">
        <v>27</v>
      </c>
      <c r="C95" s="27" t="s">
        <v>112</v>
      </c>
      <c r="D95" s="39">
        <f>SUM(D69:D94)</f>
        <v>178460</v>
      </c>
      <c r="E95" s="39">
        <f>SUM(E69:E94)</f>
        <v>589930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TRUNC(22562,-1)</f>
        <v>22560</v>
      </c>
      <c r="E98" s="62">
        <f t="shared" ref="E98:E118" si="3">TRUNC(+D98*3.3058,-1)</f>
        <v>74570</v>
      </c>
    </row>
    <row r="99" spans="1:7" x14ac:dyDescent="0.3">
      <c r="A99" s="2">
        <v>2</v>
      </c>
      <c r="C99" s="38" t="s">
        <v>40</v>
      </c>
      <c r="D99" s="42">
        <f>TRUNC(14566,-1)</f>
        <v>14560</v>
      </c>
      <c r="E99" s="63">
        <f t="shared" si="3"/>
        <v>48130</v>
      </c>
    </row>
    <row r="100" spans="1:7" x14ac:dyDescent="0.3">
      <c r="A100" s="2">
        <v>3</v>
      </c>
      <c r="C100" s="38" t="s">
        <v>41</v>
      </c>
      <c r="D100" s="42">
        <f>TRUNC(13338,-1)</f>
        <v>13330</v>
      </c>
      <c r="E100" s="63">
        <f t="shared" si="3"/>
        <v>44060</v>
      </c>
    </row>
    <row r="101" spans="1:7" x14ac:dyDescent="0.3">
      <c r="A101" s="2">
        <v>4</v>
      </c>
      <c r="C101" s="38" t="s">
        <v>42</v>
      </c>
      <c r="D101" s="42">
        <f>TRUNC(1542,-1)</f>
        <v>1540</v>
      </c>
      <c r="E101" s="63">
        <f t="shared" si="3"/>
        <v>5090</v>
      </c>
    </row>
    <row r="102" spans="1:7" x14ac:dyDescent="0.3">
      <c r="A102" s="2">
        <v>5</v>
      </c>
      <c r="C102" s="38" t="s">
        <v>43</v>
      </c>
      <c r="D102" s="42">
        <f>TRUNC(6511,-1)</f>
        <v>6510</v>
      </c>
      <c r="E102" s="63">
        <f t="shared" si="3"/>
        <v>21520</v>
      </c>
    </row>
    <row r="103" spans="1:7" x14ac:dyDescent="0.3">
      <c r="A103" s="2">
        <v>6</v>
      </c>
      <c r="C103" s="38" t="s">
        <v>44</v>
      </c>
      <c r="D103" s="42">
        <f>TRUNC(2051,-1)</f>
        <v>2050</v>
      </c>
      <c r="E103" s="63">
        <f t="shared" si="3"/>
        <v>6770</v>
      </c>
    </row>
    <row r="104" spans="1:7" x14ac:dyDescent="0.3">
      <c r="A104" s="2">
        <v>7</v>
      </c>
      <c r="C104" s="38" t="s">
        <v>45</v>
      </c>
      <c r="D104" s="42">
        <f>TRUNC(4107,-1)</f>
        <v>4100</v>
      </c>
      <c r="E104" s="63">
        <f t="shared" si="3"/>
        <v>13550</v>
      </c>
    </row>
    <row r="105" spans="1:7" x14ac:dyDescent="0.3">
      <c r="A105" s="2">
        <v>8</v>
      </c>
      <c r="C105" s="38" t="s">
        <v>46</v>
      </c>
      <c r="D105" s="42">
        <f>TRUNC(6542,-1)</f>
        <v>6540</v>
      </c>
      <c r="E105" s="63">
        <f t="shared" si="3"/>
        <v>21610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TRUNC(3439,-1)</f>
        <v>3430</v>
      </c>
      <c r="E114" s="63">
        <f t="shared" si="3"/>
        <v>11330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TRUNC(4161,-1)</f>
        <v>4160</v>
      </c>
      <c r="E116" s="63">
        <f t="shared" si="3"/>
        <v>13750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TRUNC(67121,-1)</f>
        <v>67120</v>
      </c>
      <c r="E117" s="63">
        <f t="shared" si="3"/>
        <v>221880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145900</v>
      </c>
      <c r="E119" s="39">
        <f>SUM(E98:E118)</f>
        <v>482260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TRUNC(621,-1)</f>
        <v>620</v>
      </c>
      <c r="E122" s="62">
        <f t="shared" ref="E122:E132" si="4">TRUNC(+D122*3.3058,-1)</f>
        <v>2040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TRUNC(2173,-1)</f>
        <v>2170</v>
      </c>
      <c r="E125" s="63">
        <f t="shared" si="4"/>
        <v>7170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TRUNC(7206,-1)</f>
        <v>7200</v>
      </c>
      <c r="E130" s="63">
        <f t="shared" si="4"/>
        <v>23800</v>
      </c>
    </row>
    <row r="131" spans="1:7" x14ac:dyDescent="0.3">
      <c r="A131" s="2">
        <v>10</v>
      </c>
      <c r="C131" s="38" t="s">
        <v>149</v>
      </c>
      <c r="D131" s="42">
        <f>TRUNC(9448,-1)</f>
        <v>9440</v>
      </c>
      <c r="E131" s="63">
        <f t="shared" si="4"/>
        <v>31200</v>
      </c>
    </row>
    <row r="132" spans="1:7" ht="18" thickBot="1" x14ac:dyDescent="0.35">
      <c r="A132" s="2">
        <v>11</v>
      </c>
      <c r="C132" s="38" t="s">
        <v>47</v>
      </c>
      <c r="D132" s="43">
        <f>TRUNC(1145,-1)</f>
        <v>1140</v>
      </c>
      <c r="E132" s="64">
        <f t="shared" si="4"/>
        <v>3760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20570</v>
      </c>
      <c r="E133" s="39">
        <f>SUM(E122:E132)</f>
        <v>67970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TRUNC(13048,-1)</f>
        <v>13040</v>
      </c>
      <c r="E139" s="63">
        <f t="shared" si="5"/>
        <v>43100</v>
      </c>
    </row>
    <row r="140" spans="1:7" x14ac:dyDescent="0.3">
      <c r="A140" s="2">
        <v>5</v>
      </c>
      <c r="C140" s="38" t="s">
        <v>57</v>
      </c>
      <c r="D140" s="42">
        <f>TRUNC(7881,-1)</f>
        <v>7880</v>
      </c>
      <c r="E140" s="63">
        <f t="shared" si="5"/>
        <v>26040</v>
      </c>
    </row>
    <row r="141" spans="1:7" x14ac:dyDescent="0.3">
      <c r="A141" s="2">
        <v>6</v>
      </c>
      <c r="C141" s="38" t="s">
        <v>59</v>
      </c>
      <c r="D141" s="42">
        <v>16810</v>
      </c>
      <c r="E141" s="63">
        <f t="shared" si="5"/>
        <v>55570</v>
      </c>
    </row>
    <row r="142" spans="1:7" x14ac:dyDescent="0.3">
      <c r="A142" s="2">
        <v>7</v>
      </c>
      <c r="C142" s="38" t="s">
        <v>58</v>
      </c>
      <c r="D142" s="42">
        <f>TRUNC(2589,-1)</f>
        <v>2580</v>
      </c>
      <c r="E142" s="63">
        <f t="shared" si="5"/>
        <v>8520</v>
      </c>
    </row>
    <row r="143" spans="1:7" x14ac:dyDescent="0.3">
      <c r="A143" s="2">
        <v>8</v>
      </c>
      <c r="C143" s="38" t="s">
        <v>62</v>
      </c>
      <c r="D143" s="42">
        <f>TRUNC(2715,-1)</f>
        <v>2710</v>
      </c>
      <c r="E143" s="63">
        <f t="shared" si="5"/>
        <v>8950</v>
      </c>
    </row>
    <row r="144" spans="1:7" x14ac:dyDescent="0.3">
      <c r="A144" s="2">
        <v>9</v>
      </c>
      <c r="C144" s="38" t="s">
        <v>63</v>
      </c>
      <c r="D144" s="42">
        <f>TRUNC(22985,-1)</f>
        <v>22980</v>
      </c>
      <c r="E144" s="63">
        <f t="shared" si="5"/>
        <v>75960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66000</v>
      </c>
      <c r="E146" s="39">
        <f>SUM(E136:E145)</f>
        <v>218140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TRUNC(1814,-1)</f>
        <v>1810</v>
      </c>
      <c r="E149" s="62">
        <f>TRUNC(+D149*3.3058,-1)</f>
        <v>5980</v>
      </c>
    </row>
    <row r="150" spans="1:7" x14ac:dyDescent="0.3">
      <c r="A150" s="2">
        <v>2</v>
      </c>
      <c r="C150" s="38" t="s">
        <v>49</v>
      </c>
      <c r="D150" s="42">
        <f>TRUNC(6168,-1)</f>
        <v>6160</v>
      </c>
      <c r="E150" s="63">
        <f>TRUNC(+D150*3.3058,-1)</f>
        <v>20360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TRUNC(114+18516+6275,-1)</f>
        <v>24900</v>
      </c>
      <c r="E152" s="63">
        <f>TRUNC(+D152*3.3058,-1)</f>
        <v>82310</v>
      </c>
      <c r="F152" s="2" t="s">
        <v>260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32870</v>
      </c>
      <c r="E154" s="39">
        <f>SUM(E149:E153)</f>
        <v>108650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TRUNC(12085,-1)</f>
        <v>12080</v>
      </c>
      <c r="E157" s="62">
        <f>TRUNC(+D157*3.3058,-1)</f>
        <v>39930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12080</v>
      </c>
      <c r="E161" s="39">
        <f>SUM(E157:E160)</f>
        <v>39930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2020-12-08T01:33:37Z</dcterms:modified>
</cp:coreProperties>
</file>