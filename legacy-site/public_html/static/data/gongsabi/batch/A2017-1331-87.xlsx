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59" i="4"/>
  <c r="D158" i="4"/>
  <c r="D157" i="4"/>
  <c r="D152" i="4"/>
  <c r="D150" i="4"/>
  <c r="D149" i="4"/>
  <c r="D145" i="4"/>
  <c r="D144" i="4"/>
  <c r="D143" i="4"/>
  <c r="D142" i="4"/>
  <c r="D141" i="4"/>
  <c r="D139" i="4"/>
  <c r="D138" i="4"/>
  <c r="D137" i="4"/>
  <c r="D128" i="4"/>
  <c r="D127" i="4"/>
  <c r="D125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3" i="4"/>
  <c r="D92" i="4"/>
  <c r="D91" i="4"/>
  <c r="D89" i="4"/>
  <c r="D75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3" i="4"/>
  <c r="D46" i="4"/>
  <c r="D44" i="4"/>
  <c r="D42" i="4"/>
  <c r="D41" i="4"/>
  <c r="D132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<sst xmlns="http://schemas.openxmlformats.org/spreadsheetml/2006/main" count="393" uniqueCount="270">
  <si>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</si>
  <si>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</si>
  <si>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</si>
  <si>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</si>
  <si>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</si>
  <si>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</si>
  <si>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</si>
  <si>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</si>
  <si>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</si>
  <si>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</si>
  <si>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</si>
  <si>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</si>
  <si>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</si>
  <si>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</si>
  <si>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</si>
  <si>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</si>
  <si>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</si>
  <si>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</si>
  <si>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</si>
  <si>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</si>
  <si>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</si>
  <si>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</si>
  <si>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</si>
  <si>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</si>
  <si>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</si>
  <si>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</si>
  <si>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</si>
  <si>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</si>
  <si>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</si>
  <si>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</si>
  <si>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</si>
  <si>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</si>
  <si>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</si>
  <si>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</si>
  <si>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</si>
  <si>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</si>
  <si>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</si>
  <si>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</si>
  <si>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</si>
  <si>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</si>
  <si>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</si>
  <si>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</si>
  <si>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</si>
  <si>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</si>
  <si>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</si>
  <si>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</si>
  <si>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</si>
  <si>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</si>
  <si>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</si>
  <si>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</si>
  <si>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</si>
  <si>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</si>
  <si>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</si>
  <si>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</si>
  <si>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</si>
  <si>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</si>
  <si>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</si>
  <si>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</si>
  <si>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</si>
  <si>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</si>
  <si>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</si>
  <si>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</si>
  <si>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</si>
  <si>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</si>
  <si>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</si>
  <si>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</si>
  <si>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</si>
  <si>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</si>
  <si>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</si>
  <si>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</si>
  <si>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</si>
  <si>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</si>
  <si>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</si>
  <si>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</si>
  <si>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</si>
  <si>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</si>
  <si>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</si>
  <si>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</si>
  <si>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</si>
  <si>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</si>
  <si>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</si>
  <si>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</si>
  <si>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</si>
  <si>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</si>
  <si>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</si>
  <si>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</si>
  <si>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</si>
  <si>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</si>
  <si>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</si>
  <si>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</si>
  <si>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</si>
  <si>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</si>
  <si>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</si>
  <si>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</si>
  <si>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</si>
  <si>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</si>
  <si>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</si>
  <si>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</si>
  <si>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</si>
  <si>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</si>
  <si>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</si>
  <si>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</si>
  <si>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</si>
  <si>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</si>
  <si>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</si>
  <si>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</si>
  <si>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</si>
  <si>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</si>
  <si>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</si>
  <si>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</si>
  <si>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</si>
  <si>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</si>
  <si>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</si>
  <si>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</si>
  <si>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</si>
  <si>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</si>
  <si>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</si>
  <si>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</si>
  <si>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</si>
  <si>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</si>
  <si>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</si>
  <si>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</si>
  <si>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</si>
  <si>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</si>
  <si>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</si>
  <si>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</si>
  <si>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</si>
  <si>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</si>
  <si>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</si>
  <si>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</si>
  <si>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</si>
  <si>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</si>
  <si>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</si>
  <si>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</si>
  <si>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</si>
  <si>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</si>
  <si>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</si>
  <si>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</si>
  <si>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</si>
  <si>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</si>
  <si>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</si>
  <si>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</si>
  <si>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</si>
  <si>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</si>
  <si>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</si>
  <si>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</si>
  <si>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</si>
  <si>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</si>
  <si>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</si>
  <si>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</si>
  <si>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</si>
  <si>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</si>
  <si>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</si>
  <si>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</si>
  <si>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</si>
  <si>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</si>
  <si>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</si>
  <si>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</si>
  <si>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</si>
  <si>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</si>
  <si>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</si>
  <si>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</si>
  <si>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</si>
  <si>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</si>
  <si>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</si>
  <si>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</si>
  <si>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</si>
  <si>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</si>
  <si>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</si>
  <si>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</si>
  <si>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</si>
  <si>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</si>
  <si>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</si>
  <si>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</si>
  <si>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</si>
  <si>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</si>
  <si>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</si>
  <si>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</si>
  <si>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</si>
  <si>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</si>
  <si>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</si>
  <si>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</si>
  <si>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</si>
  <si>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</si>
  <si>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</si>
  <si>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</si>
  <si>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</si>
  <si>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</si>
  <si>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</si>
  <si>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</si>
  <si>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</si>
  <si>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</si>
  <si>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</si>
  <si>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</si>
  <si>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</si>
  <si>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</si>
  <si>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</si>
  <si>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</si>
  <si>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</si>
  <si>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</si>
  <si>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</si>
  <si>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</si>
  <si>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</si>
  <si>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</si>
  <si>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</si>
  <si>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</si>
  <si>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</si>
  <si>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</si>
  <si>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</si>
  <si>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</si>
  <si>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</si>
  <si>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</si>
  <si>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</si>
  <si>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</si>
  <si>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</si>
  <si>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</si>
  <si>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</si>
  <si>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</si>
  <si>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</si>
  <si>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</si>
  <si>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</si>
  <si>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</si>
  <si>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</si>
  <si>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</si>
  <si>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</si>
  <si>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</si>
  <si>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</si>
  <si>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</si>
  <si>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</si>
  <si>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</si>
  <si>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</si>
  <si>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</si>
  <si>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</si>
  <si>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</si>
  <si>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</si>
  <si>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</si>
  <si>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</si>
  <si>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</si>
  <si>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</si>
  <si>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</si>
  <si>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</si>
  <si>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</si>
  <si>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</si>
  <si>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</si>
  <si>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</si>
  <si>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</si>
  <si>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</si>
  <si>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</si>
  <si>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</si>
  <si>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</si>
  <si>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</si>
  <si>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</si>
  <si>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</si>
  <si>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</si>
  <si>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</si>
  <si>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</si>
  <si>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서울남부지방검찰청 별관 증축공사</t>
    <phoneticPr fontId="2" type="noConversion"/>
  </si>
  <si>
    <t>서울</t>
  </si>
  <si>
    <t>기초공사, 해체및철거공사, 골재비및운반비, 기타공사</t>
    <phoneticPr fontId="2" type="noConversion"/>
  </si>
  <si>
    <t>공조배관공사, 난방배관공사, 우수처리시설공사,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</si>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</sst>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8374.15</v>
      </c>
      <c r="D7" s="36">
        <f>+C7/3.3058</f>
        <v>2533.1689757396089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747500</v>
      </c>
      <c r="E25" s="59">
        <f t="shared" si="0"/>
        <v>2471080</v>
      </c>
    </row>
    <row r="26" spans="1:5" x14ac:dyDescent="0.3">
      <c r="B26" s="2">
        <v>3</v>
      </c>
      <c r="C26" s="35" t="s">
        <v>95</v>
      </c>
      <c r="D26" s="45">
        <f>+D66</f>
        <v>142780</v>
      </c>
      <c r="E26" s="59">
        <f t="shared" si="0"/>
        <v>472000</v>
      </c>
    </row>
    <row r="27" spans="1:5" x14ac:dyDescent="0.3">
      <c r="B27" s="2">
        <v>4</v>
      </c>
      <c r="C27" s="35" t="s">
        <v>96</v>
      </c>
      <c r="D27" s="45">
        <f>+D95</f>
        <v>311450</v>
      </c>
      <c r="E27" s="59">
        <f t="shared" si="0"/>
        <v>1029590</v>
      </c>
    </row>
    <row r="28" spans="1:5" x14ac:dyDescent="0.3">
      <c r="B28" s="2">
        <v>5</v>
      </c>
      <c r="C28" s="35" t="s">
        <v>97</v>
      </c>
      <c r="D28" s="45">
        <f>+D119</f>
        <v>229820</v>
      </c>
      <c r="E28" s="59">
        <f t="shared" si="0"/>
        <v>759730</v>
      </c>
    </row>
    <row r="29" spans="1:5" x14ac:dyDescent="0.3">
      <c r="B29" s="2">
        <v>6</v>
      </c>
      <c r="C29" s="35" t="s">
        <v>98</v>
      </c>
      <c r="D29" s="45">
        <f>+D133</f>
        <v>96160</v>
      </c>
      <c r="E29" s="59">
        <f t="shared" si="0"/>
        <v>317880</v>
      </c>
    </row>
    <row r="30" spans="1:5" x14ac:dyDescent="0.3">
      <c r="B30" s="2">
        <v>7</v>
      </c>
      <c r="C30" s="35" t="s">
        <v>99</v>
      </c>
      <c r="D30" s="45">
        <f>+D146</f>
        <v>37350</v>
      </c>
      <c r="E30" s="59">
        <f t="shared" si="0"/>
        <v>123470</v>
      </c>
    </row>
    <row r="31" spans="1:5" x14ac:dyDescent="0.3">
      <c r="B31" s="2">
        <v>8</v>
      </c>
      <c r="C31" s="35" t="s">
        <v>100</v>
      </c>
      <c r="D31" s="45">
        <f>+D154</f>
        <v>47780</v>
      </c>
      <c r="E31" s="59">
        <f t="shared" si="0"/>
        <v>157950</v>
      </c>
    </row>
    <row r="32" spans="1:5" x14ac:dyDescent="0.3">
      <c r="B32" s="2">
        <v>9</v>
      </c>
      <c r="C32" s="35" t="s">
        <v>101</v>
      </c>
      <c r="D32" s="45">
        <f>+D161</f>
        <v>13240</v>
      </c>
      <c r="E32" s="59">
        <f t="shared" si="0"/>
        <v>43760</v>
      </c>
    </row>
    <row r="33" spans="1:7" x14ac:dyDescent="0.3">
      <c r="B33" s="2">
        <v>10</v>
      </c>
      <c r="C33" s="35" t="s">
        <v>154</v>
      </c>
      <c r="D33" s="53">
        <f>TRUNC(SUM(D24:D32)*0.275,-1)</f>
        <v>447170</v>
      </c>
      <c r="E33" s="60">
        <f t="shared" si="0"/>
        <v>1478250</v>
      </c>
    </row>
    <row r="34" spans="1:7" x14ac:dyDescent="0.3">
      <c r="C34" s="35" t="s">
        <v>112</v>
      </c>
      <c r="D34" s="44">
        <f>SUM(D24:D33)</f>
        <v>2073250</v>
      </c>
      <c r="E34" s="44">
        <f>SUM(E24:E33)</f>
        <v>6853710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v>40100</v>
      </c>
      <c r="E40" s="62">
        <f t="shared" ref="E40:E59" si="1">TRUNC(+D40*3.3058,-1)</f>
        <v>132560</v>
      </c>
    </row>
    <row r="41" spans="1:7" x14ac:dyDescent="0.3">
      <c r="A41" s="2">
        <v>2</v>
      </c>
      <c r="C41" s="38" t="s">
        <v>13</v>
      </c>
      <c r="D41" s="42">
        <f>TRUNC(143904,-1)</f>
        <v>143900</v>
      </c>
      <c r="E41" s="63">
        <f t="shared" si="1"/>
        <v>475700</v>
      </c>
    </row>
    <row r="42" spans="1:7" x14ac:dyDescent="0.3">
      <c r="A42" s="2">
        <v>3</v>
      </c>
      <c r="C42" s="38" t="s">
        <v>14</v>
      </c>
      <c r="D42" s="42">
        <f>TRUNC(4826,-1)</f>
        <v>4820</v>
      </c>
      <c r="E42" s="63">
        <f t="shared" si="1"/>
        <v>15930</v>
      </c>
    </row>
    <row r="43" spans="1:7" x14ac:dyDescent="0.3">
      <c r="A43" s="2">
        <v>4</v>
      </c>
      <c r="C43" s="38" t="s">
        <v>16</v>
      </c>
      <c r="D43" s="42">
        <f>TRUNC(8296,-1)</f>
        <v>8290</v>
      </c>
      <c r="E43" s="63">
        <f t="shared" si="1"/>
        <v>27400</v>
      </c>
    </row>
    <row r="44" spans="1:7" x14ac:dyDescent="0.3">
      <c r="A44" s="2">
        <v>5</v>
      </c>
      <c r="C44" s="38" t="s">
        <v>17</v>
      </c>
      <c r="D44" s="42">
        <f>TRUNC(22048,-1)</f>
        <v>22040</v>
      </c>
      <c r="E44" s="63">
        <f t="shared" si="1"/>
        <v>72850</v>
      </c>
    </row>
    <row r="45" spans="1:7" x14ac:dyDescent="0.3">
      <c r="A45" s="2">
        <v>6</v>
      </c>
      <c r="C45" s="38" t="s">
        <v>18</v>
      </c>
      <c r="D45" s="42">
        <v>4670</v>
      </c>
      <c r="E45" s="63">
        <f t="shared" si="1"/>
        <v>15430</v>
      </c>
    </row>
    <row r="46" spans="1:7" x14ac:dyDescent="0.3">
      <c r="A46" s="2">
        <v>7</v>
      </c>
      <c r="C46" s="38" t="s">
        <v>19</v>
      </c>
      <c r="D46" s="42">
        <f>TRUNC(51379,-1)</f>
        <v>51370</v>
      </c>
      <c r="E46" s="63">
        <f t="shared" si="1"/>
        <v>169810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TRUNC(32283,-1)</f>
        <v>32280</v>
      </c>
      <c r="E48" s="63">
        <f t="shared" si="1"/>
        <v>106710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TRUNC(11684,-1)</f>
        <v>11680</v>
      </c>
      <c r="E49" s="63">
        <f t="shared" si="1"/>
        <v>38610</v>
      </c>
    </row>
    <row r="50" spans="1:7" x14ac:dyDescent="0.3">
      <c r="A50" s="2">
        <v>11</v>
      </c>
      <c r="C50" s="38" t="s">
        <v>155</v>
      </c>
      <c r="D50" s="42">
        <f>TRUNC(32794,-1)</f>
        <v>32790</v>
      </c>
      <c r="E50" s="63">
        <f t="shared" si="1"/>
        <v>108390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TRUNC(7976,-1)</f>
        <v>7970</v>
      </c>
      <c r="E52" s="63">
        <f t="shared" si="1"/>
        <v>26340</v>
      </c>
    </row>
    <row r="53" spans="1:7" x14ac:dyDescent="0.3">
      <c r="A53" s="2">
        <v>14</v>
      </c>
      <c r="C53" s="38" t="s">
        <v>25</v>
      </c>
      <c r="D53" s="42">
        <f>TRUNC(103882,-1)</f>
        <v>103880</v>
      </c>
      <c r="E53" s="63">
        <f t="shared" si="1"/>
        <v>343400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TRUNC(38263+3152+4613+4609,-1)</f>
        <v>50630</v>
      </c>
      <c r="E58" s="63">
        <f t="shared" si="1"/>
        <v>167370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TRUNC(233087,-1)</f>
        <v>233080</v>
      </c>
      <c r="E59" s="64">
        <f t="shared" si="1"/>
        <v>770510</v>
      </c>
    </row>
    <row r="60" spans="1:7" x14ac:dyDescent="0.3">
      <c r="A60" s="2">
        <v>21</v>
      </c>
      <c r="C60" s="27" t="s">
        <v>112</v>
      </c>
      <c r="D60" s="39">
        <f>SUM(D40:D59)</f>
        <v>747500</v>
      </c>
      <c r="E60" s="39">
        <f>SUM(E40:E59)</f>
        <v>2471010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TRUNC(1958,-1)</f>
        <v>1950</v>
      </c>
      <c r="E63" s="62">
        <f>TRUNC(+D63*3.3058,-1)</f>
        <v>6440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TRUNC(140836,-1)</f>
        <v>140830</v>
      </c>
      <c r="E65" s="64">
        <f>TRUNC(+D65*3.3058,-1)</f>
        <v>465550</v>
      </c>
    </row>
    <row r="66" spans="1:7" x14ac:dyDescent="0.3">
      <c r="A66" s="2">
        <v>4</v>
      </c>
      <c r="C66" s="27" t="s">
        <v>112</v>
      </c>
      <c r="D66" s="39">
        <f>SUM(D63:D65)</f>
        <v>142780</v>
      </c>
      <c r="E66" s="65">
        <f>SUM(E63:E65)</f>
        <v>471990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TRUNC(17274,-1)</f>
        <v>17270</v>
      </c>
      <c r="E69" s="62">
        <f t="shared" ref="E69:E94" si="2">TRUNC(+D69*3.3058,-1)</f>
        <v>57090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TRUNC(18324,-1)</f>
        <v>18320</v>
      </c>
      <c r="E71" s="63">
        <f t="shared" si="2"/>
        <v>60560</v>
      </c>
    </row>
    <row r="72" spans="1:7" x14ac:dyDescent="0.3">
      <c r="A72" s="2">
        <v>4</v>
      </c>
      <c r="C72" s="38" t="s">
        <v>33</v>
      </c>
      <c r="D72" s="42">
        <f>TRUNC(1274,-1)</f>
        <v>1270</v>
      </c>
      <c r="E72" s="63">
        <f t="shared" si="2"/>
        <v>4190</v>
      </c>
    </row>
    <row r="73" spans="1:7" x14ac:dyDescent="0.3">
      <c r="A73" s="2">
        <v>5</v>
      </c>
      <c r="C73" s="38" t="s">
        <v>34</v>
      </c>
      <c r="D73" s="42">
        <f>TRUNC(4546,-1)</f>
        <v>4540</v>
      </c>
      <c r="E73" s="63">
        <f t="shared" si="2"/>
        <v>15000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TRUNC(3151,-1)</f>
        <v>3150</v>
      </c>
      <c r="E75" s="63">
        <f t="shared" si="2"/>
        <v>10410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TRUNC(7181,-1)</f>
        <v>7180</v>
      </c>
      <c r="E89" s="63">
        <f t="shared" si="2"/>
        <v>23730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TRUNC(45356,-1)</f>
        <v>45350</v>
      </c>
      <c r="E91" s="63">
        <f t="shared" si="2"/>
        <v>149910</v>
      </c>
    </row>
    <row r="92" spans="1:7" x14ac:dyDescent="0.3">
      <c r="A92" s="2">
        <v>24</v>
      </c>
      <c r="C92" s="38" t="s">
        <v>38</v>
      </c>
      <c r="D92" s="42">
        <f>TRUNC(3178,-1)</f>
        <v>3170</v>
      </c>
      <c r="E92" s="63">
        <f t="shared" si="2"/>
        <v>10470</v>
      </c>
    </row>
    <row r="93" spans="1:7" x14ac:dyDescent="0.3">
      <c r="A93" s="2">
        <v>25</v>
      </c>
      <c r="C93" s="38" t="s">
        <v>148</v>
      </c>
      <c r="D93" s="42">
        <f>TRUNC(82776,-1)</f>
        <v>82770</v>
      </c>
      <c r="E93" s="63">
        <f t="shared" si="2"/>
        <v>273620</v>
      </c>
    </row>
    <row r="94" spans="1:7" ht="17.25" thickBot="1" x14ac:dyDescent="0.35">
      <c r="A94" s="2">
        <v>26</v>
      </c>
      <c r="C94" s="38" t="s">
        <v>47</v>
      </c>
      <c r="D94" s="43">
        <f>57441+12246+2890+55853</f>
        <v>128430</v>
      </c>
      <c r="E94" s="64">
        <f t="shared" si="2"/>
        <v>424560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311450</v>
      </c>
      <c r="E95" s="39">
        <f>SUM(E69:E94)</f>
        <v>1029540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TRUNC(19562,-1)</f>
        <v>19560</v>
      </c>
      <c r="E98" s="62">
        <f t="shared" ref="E98:E118" si="3">TRUNC(+D98*3.3058,-1)</f>
        <v>64660</v>
      </c>
    </row>
    <row r="99" spans="1:7" x14ac:dyDescent="0.3">
      <c r="A99" s="2">
        <v>2</v>
      </c>
      <c r="C99" s="38" t="s">
        <v>40</v>
      </c>
      <c r="D99" s="42">
        <f>TRUNC(13128,-1)</f>
        <v>13120</v>
      </c>
      <c r="E99" s="63">
        <f t="shared" si="3"/>
        <v>43370</v>
      </c>
    </row>
    <row r="100" spans="1:7" x14ac:dyDescent="0.3">
      <c r="A100" s="2">
        <v>3</v>
      </c>
      <c r="C100" s="38" t="s">
        <v>41</v>
      </c>
      <c r="D100" s="42">
        <f>TRUNC(30121,-1)</f>
        <v>30120</v>
      </c>
      <c r="E100" s="63">
        <f t="shared" si="3"/>
        <v>99570</v>
      </c>
    </row>
    <row r="101" spans="1:7" x14ac:dyDescent="0.3">
      <c r="A101" s="2">
        <v>4</v>
      </c>
      <c r="C101" s="38" t="s">
        <v>42</v>
      </c>
      <c r="D101" s="42">
        <f>TRUNC(388,-1)</f>
        <v>380</v>
      </c>
      <c r="E101" s="63">
        <f t="shared" si="3"/>
        <v>1250</v>
      </c>
    </row>
    <row r="102" spans="1:7" x14ac:dyDescent="0.3">
      <c r="A102" s="2">
        <v>5</v>
      </c>
      <c r="C102" s="38" t="s">
        <v>43</v>
      </c>
      <c r="D102" s="42">
        <f>TRUNC(25756,-1)</f>
        <v>25750</v>
      </c>
      <c r="E102" s="63">
        <f t="shared" si="3"/>
        <v>85120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TRUNC(3524,-1)</f>
        <v>3520</v>
      </c>
      <c r="E104" s="63">
        <f t="shared" si="3"/>
        <v>11630</v>
      </c>
    </row>
    <row r="105" spans="1:7" x14ac:dyDescent="0.3">
      <c r="A105" s="2">
        <v>8</v>
      </c>
      <c r="C105" s="38" t="s">
        <v>46</v>
      </c>
      <c r="D105" s="42">
        <f>TRUNC(8532,-1)</f>
        <v>8530</v>
      </c>
      <c r="E105" s="63">
        <f t="shared" si="3"/>
        <v>28190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TRUNC(2718,-1)</f>
        <v>2710</v>
      </c>
      <c r="E114" s="63">
        <f t="shared" si="3"/>
        <v>8950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TRUNC(26753,-1)</f>
        <v>26750</v>
      </c>
      <c r="E116" s="63">
        <f t="shared" si="3"/>
        <v>88430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TRUNC(95925,-1)</f>
        <v>95920</v>
      </c>
      <c r="E117" s="63">
        <f t="shared" si="3"/>
        <v>317090</v>
      </c>
    </row>
    <row r="118" spans="1:7" ht="17.25" thickBot="1" x14ac:dyDescent="0.35">
      <c r="A118" s="2">
        <v>21</v>
      </c>
      <c r="C118" s="38" t="s">
        <v>47</v>
      </c>
      <c r="D118" s="43">
        <f>TRUNC(3465,-1)</f>
        <v>3460</v>
      </c>
      <c r="E118" s="64">
        <f t="shared" si="3"/>
        <v>11430</v>
      </c>
    </row>
    <row r="119" spans="1:7" x14ac:dyDescent="0.3">
      <c r="A119" s="2">
        <v>22</v>
      </c>
      <c r="C119" s="27" t="s">
        <v>112</v>
      </c>
      <c r="D119" s="39">
        <f>SUM(D98:D118)</f>
        <v>229820</v>
      </c>
      <c r="E119" s="39">
        <f>SUM(E98:E118)</f>
        <v>759690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TRUNC(6139,-1)</f>
        <v>6130</v>
      </c>
      <c r="E122" s="62">
        <f t="shared" ref="E122:E132" si="4">TRUNC(+D122*3.3058,-1)</f>
        <v>20260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TRUNC(7679,-1)</f>
        <v>7670</v>
      </c>
      <c r="E125" s="63">
        <f t="shared" si="4"/>
        <v>25350</v>
      </c>
    </row>
    <row r="126" spans="1:7" x14ac:dyDescent="0.3">
      <c r="A126" s="2">
        <v>5</v>
      </c>
      <c r="C126" s="38" t="s">
        <v>53</v>
      </c>
      <c r="D126" s="42">
        <v>360</v>
      </c>
      <c r="E126" s="63">
        <f t="shared" si="4"/>
        <v>1190</v>
      </c>
    </row>
    <row r="127" spans="1:7" x14ac:dyDescent="0.3">
      <c r="A127" s="2">
        <v>6</v>
      </c>
      <c r="C127" s="38" t="s">
        <v>56</v>
      </c>
      <c r="D127" s="42">
        <f>TRUNC(2762,-1)</f>
        <v>2760</v>
      </c>
      <c r="E127" s="63">
        <f t="shared" si="4"/>
        <v>9120</v>
      </c>
    </row>
    <row r="128" spans="1:7" x14ac:dyDescent="0.3">
      <c r="A128" s="2">
        <v>7</v>
      </c>
      <c r="C128" s="38" t="s">
        <v>46</v>
      </c>
      <c r="D128" s="42">
        <f>TRUNC(5465,-1)</f>
        <v>5460</v>
      </c>
      <c r="E128" s="63">
        <f t="shared" si="4"/>
        <v>18040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36750</v>
      </c>
      <c r="E130" s="63">
        <f t="shared" si="4"/>
        <v>121480</v>
      </c>
    </row>
    <row r="131" spans="1:7" x14ac:dyDescent="0.3">
      <c r="A131" s="2">
        <v>10</v>
      </c>
      <c r="C131" s="38" t="s">
        <v>148</v>
      </c>
      <c r="D131" s="42">
        <f>TRUNC(36105,-1)</f>
        <v>36100</v>
      </c>
      <c r="E131" s="63">
        <f t="shared" si="4"/>
        <v>119330</v>
      </c>
    </row>
    <row r="132" spans="1:7" ht="18" thickBot="1" x14ac:dyDescent="0.35">
      <c r="A132" s="2">
        <v>11</v>
      </c>
      <c r="C132" s="38" t="s">
        <v>47</v>
      </c>
      <c r="D132" s="43">
        <f>806+124</f>
        <v>930</v>
      </c>
      <c r="E132" s="64">
        <f t="shared" si="4"/>
        <v>3070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96160</v>
      </c>
      <c r="E133" s="39">
        <f>SUM(E122:E132)</f>
        <v>317840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TRUNC(1427,-1)</f>
        <v>1420</v>
      </c>
      <c r="E137" s="63">
        <f t="shared" si="5"/>
        <v>4690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TRUNC(506,-1)</f>
        <v>500</v>
      </c>
      <c r="E138" s="63">
        <f t="shared" si="5"/>
        <v>1650</v>
      </c>
    </row>
    <row r="139" spans="1:7" x14ac:dyDescent="0.3">
      <c r="A139" s="2">
        <v>4</v>
      </c>
      <c r="C139" s="38" t="s">
        <v>61</v>
      </c>
      <c r="D139" s="42">
        <f>TRUNC(1463,-1)</f>
        <v>1460</v>
      </c>
      <c r="E139" s="63">
        <f t="shared" si="5"/>
        <v>4820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TRUNC(6479,-1)</f>
        <v>6470</v>
      </c>
      <c r="E141" s="63">
        <f t="shared" si="5"/>
        <v>21380</v>
      </c>
    </row>
    <row r="142" spans="1:7" x14ac:dyDescent="0.3">
      <c r="A142" s="2">
        <v>7</v>
      </c>
      <c r="C142" s="38" t="s">
        <v>58</v>
      </c>
      <c r="D142" s="42">
        <f>TRUNC(5651,-1)</f>
        <v>5650</v>
      </c>
      <c r="E142" s="63">
        <f t="shared" si="5"/>
        <v>18670</v>
      </c>
    </row>
    <row r="143" spans="1:7" x14ac:dyDescent="0.3">
      <c r="A143" s="2">
        <v>8</v>
      </c>
      <c r="C143" s="38" t="s">
        <v>62</v>
      </c>
      <c r="D143" s="42">
        <f>TRUNC(6178,-1)</f>
        <v>6170</v>
      </c>
      <c r="E143" s="63">
        <f t="shared" si="5"/>
        <v>20390</v>
      </c>
    </row>
    <row r="144" spans="1:7" x14ac:dyDescent="0.3">
      <c r="A144" s="2">
        <v>9</v>
      </c>
      <c r="C144" s="38" t="s">
        <v>63</v>
      </c>
      <c r="D144" s="42">
        <f>TRUNC(14853,-1)</f>
        <v>14850</v>
      </c>
      <c r="E144" s="63">
        <f t="shared" si="5"/>
        <v>49090</v>
      </c>
    </row>
    <row r="145" spans="1:7" ht="17.25" thickBot="1" x14ac:dyDescent="0.35">
      <c r="A145" s="2">
        <v>10</v>
      </c>
      <c r="C145" s="38" t="s">
        <v>148</v>
      </c>
      <c r="D145" s="43">
        <f>TRUNC(832,-1)</f>
        <v>830</v>
      </c>
      <c r="E145" s="64">
        <f t="shared" si="5"/>
        <v>2740</v>
      </c>
    </row>
    <row r="146" spans="1:7" x14ac:dyDescent="0.3">
      <c r="A146" s="2">
        <v>11</v>
      </c>
      <c r="C146" s="27" t="s">
        <v>112</v>
      </c>
      <c r="D146" s="39">
        <f>SUM(D136:D145)</f>
        <v>37350</v>
      </c>
      <c r="E146" s="39">
        <f>SUM(E136:E145)</f>
        <v>123430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TRUNC(3778+3933,-1)</f>
        <v>7710</v>
      </c>
      <c r="E149" s="62">
        <f>TRUNC(+D149*3.3058,-1)</f>
        <v>25480</v>
      </c>
    </row>
    <row r="150" spans="1:7" x14ac:dyDescent="0.3">
      <c r="A150" s="2">
        <v>2</v>
      </c>
      <c r="C150" s="38" t="s">
        <v>49</v>
      </c>
      <c r="D150" s="42">
        <f>TRUNC(3957,-1)</f>
        <v>3950</v>
      </c>
      <c r="E150" s="63">
        <f>TRUNC(+D150*3.3058,-1)</f>
        <v>13050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TRUNC(1686+6180,-1)</f>
        <v>7860</v>
      </c>
      <c r="E152" s="63">
        <f>TRUNC(+D152*3.3058,-1)</f>
        <v>25980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28260</v>
      </c>
      <c r="E153" s="64">
        <f>TRUNC(+D153*3.3058,-1)</f>
        <v>93420</v>
      </c>
    </row>
    <row r="154" spans="1:7" x14ac:dyDescent="0.3">
      <c r="A154" s="2">
        <v>6</v>
      </c>
      <c r="C154" s="27" t="s">
        <v>112</v>
      </c>
      <c r="D154" s="39">
        <f>SUM(D149:D153)</f>
        <v>47780</v>
      </c>
      <c r="E154" s="39">
        <f>SUM(E149:E153)</f>
        <v>157930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TRUNC(7863,-1)</f>
        <v>7860</v>
      </c>
      <c r="E157" s="62">
        <f>TRUNC(+D157*3.3058,-1)</f>
        <v>25980</v>
      </c>
    </row>
    <row r="158" spans="1:7" x14ac:dyDescent="0.3">
      <c r="A158" s="2">
        <v>2</v>
      </c>
      <c r="C158" s="38" t="s">
        <v>52</v>
      </c>
      <c r="D158" s="42">
        <f>TRUNC(3215,-1)</f>
        <v>3210</v>
      </c>
      <c r="E158" s="63">
        <f>TRUNC(+D158*3.3058,-1)</f>
        <v>10610</v>
      </c>
    </row>
    <row r="159" spans="1:7" x14ac:dyDescent="0.3">
      <c r="A159" s="2">
        <v>3</v>
      </c>
      <c r="C159" s="38" t="s">
        <v>47</v>
      </c>
      <c r="D159" s="42">
        <f>TRUNC(2168+6,-1)</f>
        <v>2170</v>
      </c>
      <c r="E159" s="63">
        <f>TRUNC(+D159*3.3058,-1)</f>
        <v>7170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13240</v>
      </c>
      <c r="E161" s="39">
        <f>SUM(E157:E160)</f>
        <v>43760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2020-12-08T01:44:27Z</dcterms:modified>
</cp:coreProperties>
</file>