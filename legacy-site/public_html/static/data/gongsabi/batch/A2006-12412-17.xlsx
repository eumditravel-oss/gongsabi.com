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1" i="4"/>
  <c r="E145" i="4"/>
  <c r="E142" i="4"/>
  <c r="E140" i="4"/>
  <c r="E139" i="4"/>
  <c r="E138" i="4"/>
  <c r="E130" i="4"/>
  <c r="E129" i="4"/>
  <c r="E127" i="4"/>
  <c r="E124" i="4"/>
  <c r="E123" i="4"/>
  <c r="E122" i="4"/>
  <c r="E117" i="4"/>
  <c r="E116" i="4"/>
  <c r="E114" i="4"/>
  <c r="E113" i="4"/>
  <c r="E112" i="4"/>
  <c r="E111" i="4"/>
  <c r="E110" i="4"/>
  <c r="E109" i="4"/>
  <c r="E107" i="4"/>
  <c r="E106" i="4"/>
  <c r="E103" i="4"/>
  <c r="E101" i="4"/>
  <c r="E89" i="4"/>
  <c r="E88" i="4"/>
  <c r="E87" i="4"/>
  <c r="E86" i="4"/>
  <c r="E85" i="4"/>
  <c r="E84" i="4"/>
  <c r="E82" i="4"/>
  <c r="E80" i="4"/>
  <c r="E77" i="4"/>
  <c r="E75" i="4"/>
  <c r="E74" i="4"/>
  <c r="E73" i="4"/>
  <c r="E70" i="4"/>
  <c r="E64" i="4"/>
  <c r="E57" i="4"/>
  <c r="E56" i="4"/>
  <c r="E54" i="4"/>
  <c r="D159" i="4" l="1"/>
  <c r="E159" i="4" s="1"/>
  <c r="E161" i="4" s="1"/>
  <c r="D153" i="4"/>
  <c r="E153" i="4" s="1"/>
  <c r="D152" i="4"/>
  <c r="E152" i="4" s="1"/>
  <c r="D150" i="4"/>
  <c r="E150" i="4" s="1"/>
  <c r="D149" i="4"/>
  <c r="E149" i="4" s="1"/>
  <c r="D144" i="4"/>
  <c r="E144" i="4" s="1"/>
  <c r="D143" i="4"/>
  <c r="E143" i="4" s="1"/>
  <c r="D141" i="4"/>
  <c r="E141" i="4" s="1"/>
  <c r="D137" i="4"/>
  <c r="E137" i="4" s="1"/>
  <c r="D136" i="4"/>
  <c r="E136" i="4" s="1"/>
  <c r="D132" i="4"/>
  <c r="E132" i="4" s="1"/>
  <c r="D131" i="4"/>
  <c r="E131" i="4" s="1"/>
  <c r="D128" i="4"/>
  <c r="E128" i="4" s="1"/>
  <c r="D126" i="4"/>
  <c r="E126" i="4" s="1"/>
  <c r="D125" i="4"/>
  <c r="E125" i="4" s="1"/>
  <c r="E133" i="4" s="1"/>
  <c r="D118" i="4"/>
  <c r="E118" i="4" s="1"/>
  <c r="D115" i="4"/>
  <c r="E115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3" i="4"/>
  <c r="E83" i="4" s="1"/>
  <c r="D81" i="4"/>
  <c r="E81" i="4" s="1"/>
  <c r="D79" i="4"/>
  <c r="E79" i="4" s="1"/>
  <c r="D78" i="4"/>
  <c r="E78" i="4" s="1"/>
  <c r="D76" i="4"/>
  <c r="E76" i="4" s="1"/>
  <c r="D72" i="4"/>
  <c r="E72" i="4" s="1"/>
  <c r="D71" i="4"/>
  <c r="E71" i="4" s="1"/>
  <c r="D69" i="4"/>
  <c r="E69" i="4" s="1"/>
  <c r="E95" i="4" s="1"/>
  <c r="D65" i="4"/>
  <c r="E65" i="4" s="1"/>
  <c r="D63" i="4"/>
  <c r="E63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33" i="4"/>
  <c r="D29" i="4" s="1"/>
  <c r="E29" i="4" s="1"/>
  <c r="D66" i="4"/>
  <c r="D60" i="4"/>
  <c r="D25" i="4" s="1"/>
  <c r="E25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4" i="4" l="1"/>
  <c r="D119" i="4"/>
  <c r="D28" i="4" s="1"/>
  <c r="E28" i="4" s="1"/>
  <c r="D161" i="4"/>
  <c r="D32" i="4" s="1"/>
  <c r="E32" i="4" s="1"/>
  <c r="E146" i="4"/>
  <c r="D146" i="4"/>
  <c r="D30" i="4" s="1"/>
  <c r="E30" i="4" s="1"/>
  <c r="E60" i="4"/>
  <c r="E119" i="4"/>
  <c r="E154" i="4"/>
  <c r="D95" i="4"/>
  <c r="D27" i="4" s="1"/>
  <c r="E27" i="4" s="1"/>
  <c r="D154" i="4"/>
  <c r="D31" i="4" s="1"/>
  <c r="E31" i="4" s="1"/>
  <c r="E66" i="4"/>
  <c r="E24" i="4" l="1"/>
  <c r="D33" i="4"/>
  <c r="E33" i="4" s="1"/>
  <c r="D34" i="4"/>
  <c r="E34" i="4" l="1"/>
</calcChain>
</file>

<file path=xl/sharedStrings.xml><?xml version="1.0" encoding="utf-8"?>
<sst xmlns="http://schemas.openxmlformats.org/spreadsheetml/2006/main" count="403" uniqueCount="277">
  <si>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</si>
  <si>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</si>
  <si>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</si>
  <si>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</si>
  <si>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</si>
  <si>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</si>
  <si>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</si>
  <si>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</si>
  <si>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</si>
  <si>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</si>
  <si>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</si>
  <si>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</si>
  <si>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</si>
  <si>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</si>
  <si>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</si>
  <si>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</si>
  <si>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</si>
  <si>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</si>
  <si>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</si>
  <si>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</si>
  <si>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</si>
  <si>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</si>
  <si>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</si>
  <si>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</si>
  <si>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</si>
  <si>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</si>
  <si>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</si>
  <si>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</si>
  <si>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</si>
  <si>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</si>
  <si>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</si>
  <si>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</si>
  <si>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</si>
  <si>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</si>
  <si>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</si>
  <si>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</si>
  <si>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</si>
  <si>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</si>
  <si>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</si>
  <si>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</si>
  <si>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</si>
  <si>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</si>
  <si>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</si>
  <si>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</si>
  <si>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</si>
  <si>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</si>
  <si>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</si>
  <si>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</si>
  <si>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</si>
  <si>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</si>
  <si>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</si>
  <si>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</si>
  <si>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</si>
  <si>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</si>
  <si>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</si>
  <si>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</si>
  <si>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</si>
  <si>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</si>
  <si>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</si>
  <si>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</si>
  <si>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</si>
  <si>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</si>
  <si>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</si>
  <si>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</si>
  <si>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</si>
  <si>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</si>
  <si>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</si>
  <si>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</si>
  <si>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</si>
  <si>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</si>
  <si>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</si>
  <si>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</si>
  <si>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</si>
  <si>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</si>
  <si>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</si>
  <si>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</si>
  <si>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</si>
  <si>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</si>
  <si>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</si>
  <si>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</si>
  <si>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</si>
  <si>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</si>
  <si>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</si>
  <si>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</si>
  <si>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</si>
  <si>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</si>
  <si>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</si>
  <si>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</si>
  <si>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</si>
  <si>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</si>
  <si>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</si>
  <si>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</si>
  <si>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</si>
  <si>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</si>
  <si>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</si>
  <si>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</si>
  <si>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</si>
  <si>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</si>
  <si>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</si>
  <si>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</si>
  <si>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</si>
  <si>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</si>
  <si>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</si>
  <si>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</si>
  <si>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</si>
  <si>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</si>
  <si>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</si>
  <si>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</si>
  <si>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</si>
  <si>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</si>
  <si>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</si>
  <si>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</si>
  <si>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</si>
  <si>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</si>
  <si>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</si>
  <si>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</si>
  <si>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</si>
  <si>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</si>
  <si>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</si>
  <si>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</si>
  <si>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</si>
  <si>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</si>
  <si>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</si>
  <si>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</si>
  <si>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</si>
  <si>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</si>
  <si>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</si>
  <si>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</si>
  <si>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</si>
  <si>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</si>
  <si>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</si>
  <si>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</si>
  <si>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</si>
  <si>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</si>
  <si>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</si>
  <si>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</si>
  <si>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</si>
  <si>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</si>
  <si>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</si>
  <si>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</si>
  <si>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</si>
  <si>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</si>
  <si>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</si>
  <si>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</si>
  <si>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</si>
  <si>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</si>
  <si>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</si>
  <si>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</si>
  <si>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</si>
  <si>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</si>
  <si>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</si>
  <si>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</si>
  <si>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</si>
  <si>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</si>
  <si>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</si>
  <si>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</si>
  <si>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</si>
  <si>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</si>
  <si>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</si>
  <si>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</si>
  <si>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</si>
  <si>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</si>
  <si>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</si>
  <si>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</si>
  <si>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</si>
  <si>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</si>
  <si>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</si>
  <si>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</si>
  <si>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</si>
  <si>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</si>
  <si>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</si>
  <si>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</si>
  <si>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</si>
  <si>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</si>
  <si>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</si>
  <si>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</si>
  <si>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</si>
  <si>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</si>
  <si>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</si>
  <si>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</si>
  <si>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</si>
  <si>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</si>
  <si>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</si>
  <si>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</si>
  <si>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</si>
  <si>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</si>
  <si>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</si>
  <si>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</si>
  <si>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</si>
  <si>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</si>
  <si>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</si>
  <si>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</si>
  <si>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</si>
  <si>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</si>
  <si>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</si>
  <si>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</si>
  <si>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</si>
  <si>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</si>
  <si>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</si>
  <si>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</si>
  <si>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</si>
  <si>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</si>
  <si>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</si>
  <si>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</si>
  <si>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</si>
  <si>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</si>
  <si>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</si>
  <si>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</si>
  <si>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</si>
  <si>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</si>
  <si>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</si>
  <si>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</si>
  <si>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</si>
  <si>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</si>
  <si>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</si>
  <si>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</si>
  <si>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</si>
  <si>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</si>
  <si>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</si>
  <si>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</si>
  <si>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</si>
  <si>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</si>
  <si>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</si>
  <si>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</si>
  <si>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</si>
  <si>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</si>
  <si>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</si>
  <si>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</si>
  <si>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</si>
  <si>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</si>
  <si>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</si>
  <si>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</si>
  <si>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</si>
  <si>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</si>
  <si>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</si>
  <si>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</si>
  <si>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</si>
  <si>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</si>
  <si>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</si>
  <si>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</si>
  <si>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</si>
  <si>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</si>
  <si>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</si>
  <si>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</si>
  <si>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</si>
  <si>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</si>
  <si>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</si>
  <si>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운동</t>
  </si>
  <si>
    <t>00 스포츠센터 건립공사</t>
  </si>
  <si>
    <t>경상도</t>
  </si>
  <si>
    <t>부대및잡공사, 주요자재및운반비, 사급자재대</t>
    <phoneticPr fontId="2" type="noConversion"/>
  </si>
  <si>
    <t>도급자설치관급</t>
  </si>
  <si>
    <t>전기배선공, 부대공, 사급자재대</t>
    <phoneticPr fontId="2" type="noConversion"/>
  </si>
  <si>
    <t>주방닥트공사</t>
  </si>
  <si>
    <t>빙상장공조닥트공사,수영장공조닥트공사</t>
    <phoneticPr fontId="2" type="noConversion"/>
  </si>
  <si>
    <t>시스템환기공사</t>
  </si>
  <si>
    <t>조립식연도공사</t>
  </si>
  <si>
    <t>지열수축열공사</t>
  </si>
  <si>
    <t>냉/난방배관공사, 스팀배관공사, 환기배관공사, 위생배관공사, 장비기초공사, 수영장배관공사, 빙상장공사</t>
    <phoneticPr fontId="2" type="noConversion"/>
  </si>
  <si>
    <t>옥외인입및 수변전설비공사</t>
  </si>
  <si>
    <t>기계실 동력공사, 동력설비공사</t>
    <phoneticPr fontId="2" type="noConversion"/>
  </si>
  <si>
    <t>냉난방 전원공사</t>
  </si>
  <si>
    <t>도급자설치관급자재, 관급자설치관급자재</t>
    <phoneticPr fontId="2" type="noConversion"/>
  </si>
  <si>
    <t>스프링클러 간선공사, 스프링클러설비공사</t>
    <phoneticPr fontId="2" type="noConversion"/>
  </si>
  <si>
    <t>소방간선공사, 방화셔터 간선공사, 방화셔터 설비공사, 무선통신보조설비공사</t>
    <phoneticPr fontId="2" type="noConversion"/>
  </si>
  <si>
    <t>옥외 통신 인입공사</t>
  </si>
  <si>
    <t>CABLE TRAY공사</t>
  </si>
  <si>
    <t>전관방송설비공사</t>
  </si>
  <si>
    <t>통신 설비공사, 전송설비공사, 인터폰설비공사, CCTV 설비공사, 주차관제 설비공사</t>
    <phoneticPr fontId="2" type="noConversion"/>
  </si>
  <si>
    <t>관급자설치관급자재</t>
  </si>
  <si>
    <t>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</si>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</sst>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12011</v>
      </c>
      <c r="D7" s="36">
        <f>+C7/3.3058</f>
        <v>3633.3111500998243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275</v>
      </c>
    </row>
    <row r="19" spans="1:5" x14ac:dyDescent="0.3">
      <c r="A19" s="2">
        <v>9</v>
      </c>
      <c r="B19" s="2" t="s">
        <v>276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271</v>
      </c>
    </row>
    <row r="24" spans="1:5" x14ac:dyDescent="0.3">
      <c r="B24" s="2">
        <v>1</v>
      </c>
      <c r="C24" s="35" t="s">
        <v>110</v>
      </c>
      <c r="D24" s="41">
        <f>+D37</f>
        <v>1310</v>
      </c>
      <c r="E24" s="58">
        <f t="shared" ref="E24:E33" si="0">TRUNC(+D24*3.3058,-1)</f>
        <v>4330</v>
      </c>
    </row>
    <row r="25" spans="1:5" x14ac:dyDescent="0.3">
      <c r="B25" s="2">
        <v>2</v>
      </c>
      <c r="C25" s="35" t="s">
        <v>111</v>
      </c>
      <c r="D25" s="45">
        <f>+D60</f>
        <v>874430</v>
      </c>
      <c r="E25" s="59">
        <f t="shared" si="0"/>
        <v>2890690</v>
      </c>
    </row>
    <row r="26" spans="1:5" x14ac:dyDescent="0.3">
      <c r="B26" s="2">
        <v>3</v>
      </c>
      <c r="C26" s="35" t="s">
        <v>95</v>
      </c>
      <c r="D26" s="45">
        <f>+D66</f>
        <v>125110</v>
      </c>
      <c r="E26" s="59">
        <f t="shared" si="0"/>
        <v>413580</v>
      </c>
    </row>
    <row r="27" spans="1:5" x14ac:dyDescent="0.3">
      <c r="B27" s="2">
        <v>4</v>
      </c>
      <c r="C27" s="35" t="s">
        <v>96</v>
      </c>
      <c r="D27" s="45">
        <f>+D95</f>
        <v>262120</v>
      </c>
      <c r="E27" s="59">
        <f t="shared" si="0"/>
        <v>866510</v>
      </c>
    </row>
    <row r="28" spans="1:5" x14ac:dyDescent="0.3">
      <c r="B28" s="2">
        <v>5</v>
      </c>
      <c r="C28" s="35" t="s">
        <v>97</v>
      </c>
      <c r="D28" s="45">
        <f>+D119</f>
        <v>72460</v>
      </c>
      <c r="E28" s="59">
        <f t="shared" si="0"/>
        <v>239530</v>
      </c>
    </row>
    <row r="29" spans="1:5" x14ac:dyDescent="0.3">
      <c r="B29" s="2">
        <v>6</v>
      </c>
      <c r="C29" s="35" t="s">
        <v>98</v>
      </c>
      <c r="D29" s="45">
        <f>+D133</f>
        <v>66630</v>
      </c>
      <c r="E29" s="59">
        <f t="shared" si="0"/>
        <v>220260</v>
      </c>
    </row>
    <row r="30" spans="1:5" x14ac:dyDescent="0.3">
      <c r="B30" s="2">
        <v>7</v>
      </c>
      <c r="C30" s="35" t="s">
        <v>99</v>
      </c>
      <c r="D30" s="45">
        <f>+D146</f>
        <v>40140</v>
      </c>
      <c r="E30" s="59">
        <f t="shared" si="0"/>
        <v>132690</v>
      </c>
    </row>
    <row r="31" spans="1:5" x14ac:dyDescent="0.3">
      <c r="B31" s="2">
        <v>8</v>
      </c>
      <c r="C31" s="35" t="s">
        <v>100</v>
      </c>
      <c r="D31" s="45">
        <f>+D154</f>
        <v>10930</v>
      </c>
      <c r="E31" s="59">
        <f t="shared" si="0"/>
        <v>36130</v>
      </c>
    </row>
    <row r="32" spans="1:5" x14ac:dyDescent="0.3">
      <c r="B32" s="2">
        <v>9</v>
      </c>
      <c r="C32" s="35" t="s">
        <v>101</v>
      </c>
      <c r="D32" s="45">
        <f>+D161</f>
        <v>69260</v>
      </c>
      <c r="E32" s="59">
        <f t="shared" si="0"/>
        <v>228950</v>
      </c>
    </row>
    <row r="33" spans="1:7" x14ac:dyDescent="0.3">
      <c r="B33" s="2">
        <v>10</v>
      </c>
      <c r="C33" s="35" t="s">
        <v>153</v>
      </c>
      <c r="D33" s="53">
        <f>TRUNC(SUM(D24:D32)*0.275,-1)</f>
        <v>418650</v>
      </c>
      <c r="E33" s="60">
        <f t="shared" si="0"/>
        <v>1383970</v>
      </c>
    </row>
    <row r="34" spans="1:7" x14ac:dyDescent="0.3">
      <c r="C34" s="35" t="s">
        <v>112</v>
      </c>
      <c r="D34" s="44">
        <f>SUM(D24:D33)</f>
        <v>1941040</v>
      </c>
      <c r="E34" s="44">
        <f>SUM(E24:E33)</f>
        <v>6416640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271</v>
      </c>
      <c r="G36" s="55"/>
    </row>
    <row r="37" spans="1:7" ht="17.25" thickBot="1" x14ac:dyDescent="0.35">
      <c r="C37" s="38" t="s">
        <v>143</v>
      </c>
      <c r="D37" s="52">
        <f>TRUNC(1313.34718175006,-1)</f>
        <v>1310</v>
      </c>
      <c r="E37" s="61">
        <f>TRUNC(+D37*3.3058,-1)</f>
        <v>4330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272</v>
      </c>
      <c r="E39" s="67" t="s">
        <v>273</v>
      </c>
      <c r="G39" s="68"/>
    </row>
    <row r="40" spans="1:7" x14ac:dyDescent="0.3">
      <c r="A40" s="2">
        <v>1</v>
      </c>
      <c r="C40" s="38" t="s">
        <v>15</v>
      </c>
      <c r="D40" s="40">
        <f>TRUNC(55052.3391890767,-1)</f>
        <v>55050</v>
      </c>
      <c r="E40" s="62">
        <f t="shared" ref="E40:E59" si="1">TRUNC(+D40*3.3058,-1)</f>
        <v>181980</v>
      </c>
    </row>
    <row r="41" spans="1:7" x14ac:dyDescent="0.3">
      <c r="A41" s="2">
        <v>2</v>
      </c>
      <c r="C41" s="38" t="s">
        <v>13</v>
      </c>
      <c r="D41" s="42">
        <f>TRUNC(113799.270585297,-1)</f>
        <v>113790</v>
      </c>
      <c r="E41" s="63">
        <f t="shared" si="1"/>
        <v>376160</v>
      </c>
    </row>
    <row r="42" spans="1:7" x14ac:dyDescent="0.3">
      <c r="A42" s="2">
        <v>3</v>
      </c>
      <c r="C42" s="38" t="s">
        <v>14</v>
      </c>
      <c r="D42" s="42">
        <f>TRUNC(132733.133627508,-1)</f>
        <v>132730</v>
      </c>
      <c r="E42" s="63">
        <f t="shared" si="1"/>
        <v>438770</v>
      </c>
    </row>
    <row r="43" spans="1:7" x14ac:dyDescent="0.3">
      <c r="A43" s="2">
        <v>4</v>
      </c>
      <c r="C43" s="38" t="s">
        <v>16</v>
      </c>
      <c r="D43" s="42">
        <f>TRUNC(23049.0856714678,-1)</f>
        <v>23040</v>
      </c>
      <c r="E43" s="63">
        <f t="shared" si="1"/>
        <v>76160</v>
      </c>
    </row>
    <row r="44" spans="1:7" x14ac:dyDescent="0.3">
      <c r="A44" s="2">
        <v>5</v>
      </c>
      <c r="C44" s="38" t="s">
        <v>17</v>
      </c>
      <c r="D44" s="42">
        <f>TRUNC(32397.8893514279,-1)</f>
        <v>32390</v>
      </c>
      <c r="E44" s="63">
        <f t="shared" si="1"/>
        <v>107070</v>
      </c>
    </row>
    <row r="45" spans="1:7" x14ac:dyDescent="0.3">
      <c r="A45" s="2">
        <v>6</v>
      </c>
      <c r="C45" s="38" t="s">
        <v>18</v>
      </c>
      <c r="D45" s="42">
        <f>TRUNC(17167.4715677296,-1)</f>
        <v>17160</v>
      </c>
      <c r="E45" s="63">
        <f t="shared" si="1"/>
        <v>56720</v>
      </c>
    </row>
    <row r="46" spans="1:7" x14ac:dyDescent="0.3">
      <c r="A46" s="2">
        <v>7</v>
      </c>
      <c r="C46" s="38" t="s">
        <v>19</v>
      </c>
      <c r="D46" s="42">
        <f>TRUNC(9365.97618849388,-1)</f>
        <v>9360</v>
      </c>
      <c r="E46" s="63">
        <f t="shared" si="1"/>
        <v>30940</v>
      </c>
    </row>
    <row r="47" spans="1:7" x14ac:dyDescent="0.3">
      <c r="A47" s="2">
        <v>8</v>
      </c>
      <c r="C47" s="38" t="s">
        <v>20</v>
      </c>
      <c r="D47" s="42">
        <f>TRUNC(12442.6512363667,-1)</f>
        <v>12440</v>
      </c>
      <c r="E47" s="63">
        <f t="shared" si="1"/>
        <v>41120</v>
      </c>
    </row>
    <row r="48" spans="1:7" x14ac:dyDescent="0.3">
      <c r="A48" s="2">
        <v>9</v>
      </c>
      <c r="C48" s="38" t="s">
        <v>21</v>
      </c>
      <c r="D48" s="42">
        <f>TRUNC(74071.3106319207,-1)</f>
        <v>74070</v>
      </c>
      <c r="E48" s="63">
        <f t="shared" si="1"/>
        <v>244860</v>
      </c>
    </row>
    <row r="49" spans="1:7" x14ac:dyDescent="0.3">
      <c r="A49" s="2">
        <v>10</v>
      </c>
      <c r="C49" s="38" t="s">
        <v>22</v>
      </c>
      <c r="D49" s="42">
        <f>TRUNC(17666.1432020648,-1)</f>
        <v>17660</v>
      </c>
      <c r="E49" s="63">
        <f t="shared" si="1"/>
        <v>58380</v>
      </c>
    </row>
    <row r="50" spans="1:7" x14ac:dyDescent="0.3">
      <c r="A50" s="2">
        <v>11</v>
      </c>
      <c r="C50" s="38" t="s">
        <v>154</v>
      </c>
      <c r="D50" s="42">
        <f>TRUNC(1656.32794937974,-1)</f>
        <v>1650</v>
      </c>
      <c r="E50" s="63">
        <f t="shared" si="1"/>
        <v>5450</v>
      </c>
    </row>
    <row r="51" spans="1:7" x14ac:dyDescent="0.3">
      <c r="A51" s="2">
        <v>12</v>
      </c>
      <c r="C51" s="38" t="s">
        <v>23</v>
      </c>
      <c r="D51" s="42">
        <f>TRUNC(8806.1531929065,-1)</f>
        <v>8800</v>
      </c>
      <c r="E51" s="63">
        <f t="shared" si="1"/>
        <v>29090</v>
      </c>
    </row>
    <row r="52" spans="1:7" x14ac:dyDescent="0.3">
      <c r="A52" s="2">
        <v>13</v>
      </c>
      <c r="C52" s="38" t="s">
        <v>24</v>
      </c>
      <c r="D52" s="42">
        <f>TRUNC(34583.2608442261,-1)</f>
        <v>34580</v>
      </c>
      <c r="E52" s="63">
        <f t="shared" si="1"/>
        <v>114310</v>
      </c>
    </row>
    <row r="53" spans="1:7" x14ac:dyDescent="0.3">
      <c r="A53" s="2">
        <v>14</v>
      </c>
      <c r="C53" s="38" t="s">
        <v>25</v>
      </c>
      <c r="D53" s="42">
        <f>TRUNC(46029.3630005828,-1)</f>
        <v>46020</v>
      </c>
      <c r="E53" s="63">
        <f t="shared" si="1"/>
        <v>152130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TRUNC(564.427774540005,-1)</f>
        <v>560</v>
      </c>
      <c r="E55" s="63">
        <f t="shared" si="1"/>
        <v>1850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TRUNC(27220.1254683207+6615.17100990758+136203.327366581,-1)</f>
        <v>170030</v>
      </c>
      <c r="E58" s="63">
        <f t="shared" si="1"/>
        <v>562080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TRUNC(125105.653151278,-1)</f>
        <v>125100</v>
      </c>
      <c r="E59" s="64">
        <f t="shared" si="1"/>
        <v>413550</v>
      </c>
      <c r="F59" s="2" t="s">
        <v>251</v>
      </c>
    </row>
    <row r="60" spans="1:7" x14ac:dyDescent="0.3">
      <c r="A60" s="2">
        <v>21</v>
      </c>
      <c r="C60" s="27" t="s">
        <v>112</v>
      </c>
      <c r="D60" s="39">
        <f>SUM(D40:D59)</f>
        <v>874430</v>
      </c>
      <c r="E60" s="39">
        <f>SUM(E40:E59)</f>
        <v>2890620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271</v>
      </c>
      <c r="G62" s="55"/>
    </row>
    <row r="63" spans="1:7" x14ac:dyDescent="0.3">
      <c r="A63" s="2">
        <v>1</v>
      </c>
      <c r="C63" s="38" t="s">
        <v>27</v>
      </c>
      <c r="D63" s="40">
        <f>TRUNC(49322.4724835567,-1)</f>
        <v>49320</v>
      </c>
      <c r="E63" s="62">
        <f>TRUNC(+D63*3.3058,-1)</f>
        <v>163040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TRUNC(75798.763133794,-1)</f>
        <v>75790</v>
      </c>
      <c r="E65" s="64">
        <f>TRUNC(+D65*3.3058,-1)</f>
        <v>250540</v>
      </c>
    </row>
    <row r="66" spans="1:7" x14ac:dyDescent="0.3">
      <c r="A66" s="2">
        <v>4</v>
      </c>
      <c r="C66" s="27" t="s">
        <v>112</v>
      </c>
      <c r="D66" s="39">
        <f>SUM(D63:D65)</f>
        <v>125110</v>
      </c>
      <c r="E66" s="65">
        <f>SUM(E63:E65)</f>
        <v>413580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271</v>
      </c>
      <c r="G68" s="55"/>
    </row>
    <row r="69" spans="1:7" x14ac:dyDescent="0.3">
      <c r="A69" s="2">
        <v>1</v>
      </c>
      <c r="C69" s="38" t="s">
        <v>30</v>
      </c>
      <c r="D69" s="40">
        <f>TRUNC(10273.5612355341,-1)</f>
        <v>10270</v>
      </c>
      <c r="E69" s="62">
        <f>TRUNC(+D69*3.3058,-1)</f>
        <v>33950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TRUNC(5517.15019565398,-1)</f>
        <v>5510</v>
      </c>
      <c r="E71" s="63">
        <f t="shared" ref="E71:E73" si="2">TRUNC(+D71*3.3058,-1)</f>
        <v>18210</v>
      </c>
    </row>
    <row r="72" spans="1:7" x14ac:dyDescent="0.3">
      <c r="A72" s="2">
        <v>4</v>
      </c>
      <c r="C72" s="38" t="s">
        <v>33</v>
      </c>
      <c r="D72" s="42">
        <f>TRUNC(1484.93564232787,-1)</f>
        <v>1480</v>
      </c>
      <c r="E72" s="63">
        <f t="shared" si="2"/>
        <v>4890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f>TRUNC(9907.58471401216,-1)</f>
        <v>9900</v>
      </c>
      <c r="E76" s="63">
        <f t="shared" ref="E76:E89" si="3">TRUNC(+D76*3.3058,-1)</f>
        <v>32720</v>
      </c>
      <c r="F76" s="2" t="s">
        <v>257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TRUNC(9217.62725834652+3870.04787278328,-1)</f>
        <v>13080</v>
      </c>
      <c r="E78" s="63">
        <f t="shared" si="3"/>
        <v>43230</v>
      </c>
      <c r="F78" s="2" t="s">
        <v>254</v>
      </c>
    </row>
    <row r="79" spans="1:7" x14ac:dyDescent="0.3">
      <c r="A79" s="2">
        <v>11</v>
      </c>
      <c r="C79" s="38" t="s">
        <v>133</v>
      </c>
      <c r="D79" s="42">
        <f>TRUNC(12686.6402464408,-1)</f>
        <v>12680</v>
      </c>
      <c r="E79" s="63">
        <f t="shared" si="3"/>
        <v>41910</v>
      </c>
      <c r="F79" s="2" t="s">
        <v>255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TRUNC(12289.7914411789,-1)</f>
        <v>12280</v>
      </c>
      <c r="E81" s="63">
        <f t="shared" si="3"/>
        <v>40590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f>TRUNC(1872.54733161269,-1)</f>
        <v>1870</v>
      </c>
      <c r="E83" s="63">
        <f t="shared" si="3"/>
        <v>6180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TRUNC(1494.46290900008,-1)</f>
        <v>1490</v>
      </c>
      <c r="E90" s="63">
        <f>TRUNC(+D90*3.3058,-1)</f>
        <v>4920</v>
      </c>
      <c r="F90" s="2" t="s">
        <v>256</v>
      </c>
    </row>
    <row r="91" spans="1:7" x14ac:dyDescent="0.3">
      <c r="A91" s="2">
        <v>23</v>
      </c>
      <c r="C91" s="38" t="s">
        <v>37</v>
      </c>
      <c r="D91" s="42">
        <f>TRUNC(136.403047206727,-1)</f>
        <v>130</v>
      </c>
      <c r="E91" s="63">
        <f>TRUNC(+D91*3.3058,-1)</f>
        <v>420</v>
      </c>
      <c r="F91" s="2" t="s">
        <v>253</v>
      </c>
    </row>
    <row r="92" spans="1:7" x14ac:dyDescent="0.3">
      <c r="A92" s="2">
        <v>24</v>
      </c>
      <c r="C92" s="38" t="s">
        <v>38</v>
      </c>
      <c r="D92" s="42">
        <f>TRUNC(4715.79035883773,-1)</f>
        <v>4710</v>
      </c>
      <c r="E92" s="63">
        <f>TRUNC(+D92*3.3058,-1)</f>
        <v>15570</v>
      </c>
    </row>
    <row r="93" spans="1:7" x14ac:dyDescent="0.3">
      <c r="A93" s="2">
        <v>25</v>
      </c>
      <c r="C93" s="38" t="s">
        <v>148</v>
      </c>
      <c r="D93" s="42">
        <f>TRUNC(92909.2498543002,-1)</f>
        <v>92900</v>
      </c>
      <c r="E93" s="63">
        <f>TRUNC(+D93*3.3058,-1)</f>
        <v>307100</v>
      </c>
      <c r="F93" s="2" t="s">
        <v>270</v>
      </c>
    </row>
    <row r="94" spans="1:7" ht="17.25" thickBot="1" x14ac:dyDescent="0.35">
      <c r="A94" s="2">
        <v>26</v>
      </c>
      <c r="C94" s="38" t="s">
        <v>47</v>
      </c>
      <c r="D94" s="43">
        <f>TRUNC(14414.4952959787+578.448255765548+770.698359836816+10826.1479477146+641.436016984431+3358.83431854134+65231.092498543,-1)</f>
        <v>95820</v>
      </c>
      <c r="E94" s="64">
        <f>TRUNC(+D94*3.3058,-1)</f>
        <v>316760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262120</v>
      </c>
      <c r="E95" s="39">
        <f>SUM(E69:E94)</f>
        <v>866450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271</v>
      </c>
      <c r="G97" s="55"/>
    </row>
    <row r="98" spans="1:7" x14ac:dyDescent="0.3">
      <c r="A98" s="2">
        <v>1</v>
      </c>
      <c r="C98" s="38" t="s">
        <v>39</v>
      </c>
      <c r="D98" s="40">
        <f>TRUNC(5457.00482890684,-1)</f>
        <v>5450</v>
      </c>
      <c r="E98" s="62">
        <f t="shared" ref="E98:E118" si="4">TRUNC(+D98*3.3058,-1)</f>
        <v>18010</v>
      </c>
    </row>
    <row r="99" spans="1:7" x14ac:dyDescent="0.3">
      <c r="A99" s="2">
        <v>2</v>
      </c>
      <c r="C99" s="38" t="s">
        <v>40</v>
      </c>
      <c r="D99" s="42">
        <f>TRUNC(2079.61635167763+1528.49071684289,-1)</f>
        <v>3600</v>
      </c>
      <c r="E99" s="63">
        <f t="shared" si="4"/>
        <v>11900</v>
      </c>
      <c r="F99" s="2" t="s">
        <v>260</v>
      </c>
    </row>
    <row r="100" spans="1:7" x14ac:dyDescent="0.3">
      <c r="A100" s="2">
        <v>3</v>
      </c>
      <c r="C100" s="38" t="s">
        <v>41</v>
      </c>
      <c r="D100" s="42">
        <f>TRUNC(18232.034634918,-1)</f>
        <v>18230</v>
      </c>
      <c r="E100" s="63">
        <f t="shared" si="4"/>
        <v>60260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TRUNC(3142.58121721755,-1)</f>
        <v>3140</v>
      </c>
      <c r="E102" s="63">
        <f t="shared" si="4"/>
        <v>10380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TRUNC(2196.11139788527,-1)</f>
        <v>2190</v>
      </c>
      <c r="E104" s="63">
        <f t="shared" si="4"/>
        <v>7230</v>
      </c>
    </row>
    <row r="105" spans="1:7" x14ac:dyDescent="0.3">
      <c r="A105" s="2">
        <v>8</v>
      </c>
      <c r="C105" s="38" t="s">
        <v>46</v>
      </c>
      <c r="D105" s="42">
        <f>TRUNC(1659.18882690867,-1)</f>
        <v>1650</v>
      </c>
      <c r="E105" s="63">
        <f t="shared" si="4"/>
        <v>5450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TRUNC(1147.68720339689,-1)</f>
        <v>1140</v>
      </c>
      <c r="E108" s="63">
        <f t="shared" si="4"/>
        <v>3760</v>
      </c>
      <c r="F108" s="2" t="s">
        <v>261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TRUNC(2590.59437182583,-1)</f>
        <v>2590</v>
      </c>
      <c r="E115" s="63">
        <f t="shared" si="4"/>
        <v>8560</v>
      </c>
      <c r="F115" s="2" t="s">
        <v>259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TRUNC(6793.29781034052+27678.0451253018,-1)</f>
        <v>34470</v>
      </c>
      <c r="E118" s="64">
        <f t="shared" si="4"/>
        <v>113950</v>
      </c>
      <c r="F118" s="2" t="s">
        <v>262</v>
      </c>
    </row>
    <row r="119" spans="1:7" x14ac:dyDescent="0.3">
      <c r="A119" s="2">
        <v>22</v>
      </c>
      <c r="C119" s="27" t="s">
        <v>112</v>
      </c>
      <c r="D119" s="39">
        <f>SUM(D98:D118)</f>
        <v>72460</v>
      </c>
      <c r="E119" s="39">
        <f>SUM(E98:E118)</f>
        <v>239500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271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TRUNC(3907.95937057697,-1)</f>
        <v>3900</v>
      </c>
      <c r="E125" s="63">
        <f t="shared" si="5"/>
        <v>12890</v>
      </c>
      <c r="F125" s="2" t="s">
        <v>267</v>
      </c>
    </row>
    <row r="126" spans="1:7" x14ac:dyDescent="0.3">
      <c r="A126" s="2">
        <v>5</v>
      </c>
      <c r="C126" s="38" t="s">
        <v>53</v>
      </c>
      <c r="D126" s="42">
        <f>TRUNC(649.287403213721,-1)</f>
        <v>640</v>
      </c>
      <c r="E126" s="63">
        <f t="shared" si="5"/>
        <v>2110</v>
      </c>
      <c r="F126" s="2" t="s">
        <v>265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TRUNC(6462.53376071934,-1)</f>
        <v>6460</v>
      </c>
      <c r="E128" s="63">
        <f t="shared" si="5"/>
        <v>21350</v>
      </c>
      <c r="F128" s="2" t="s">
        <v>266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TRUNC(47752.3936391641,-1)</f>
        <v>47750</v>
      </c>
      <c r="E131" s="63">
        <f t="shared" si="5"/>
        <v>157850</v>
      </c>
      <c r="F131" s="2" t="s">
        <v>269</v>
      </c>
    </row>
    <row r="132" spans="1:7" ht="18" thickBot="1" x14ac:dyDescent="0.35">
      <c r="A132" s="2">
        <v>11</v>
      </c>
      <c r="C132" s="38" t="s">
        <v>47</v>
      </c>
      <c r="D132" s="43">
        <f>TRUNC(4330.09616185164+1835.03213720756+75.273416035301+1185.74756473232+462.056364998751,-1)</f>
        <v>7880</v>
      </c>
      <c r="E132" s="64">
        <f t="shared" si="5"/>
        <v>26040</v>
      </c>
      <c r="F132" s="54" t="s">
        <v>268</v>
      </c>
    </row>
    <row r="133" spans="1:7" x14ac:dyDescent="0.3">
      <c r="A133" s="2">
        <v>12</v>
      </c>
      <c r="C133" s="27" t="s">
        <v>112</v>
      </c>
      <c r="D133" s="39">
        <f>SUM(D122:D132)</f>
        <v>66630</v>
      </c>
      <c r="E133" s="39">
        <f>SUM(E122:E132)</f>
        <v>220240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271</v>
      </c>
      <c r="G135" s="55"/>
    </row>
    <row r="136" spans="1:7" x14ac:dyDescent="0.3">
      <c r="A136" s="2">
        <v>1</v>
      </c>
      <c r="C136" s="38" t="s">
        <v>131</v>
      </c>
      <c r="D136" s="40">
        <f>TRUNC(29637.2073932229,-1)</f>
        <v>29630</v>
      </c>
      <c r="E136" s="62">
        <f t="shared" ref="E136:E145" si="6">TRUNC(+D136*3.3058,-1)</f>
        <v>97950</v>
      </c>
    </row>
    <row r="137" spans="1:7" x14ac:dyDescent="0.3">
      <c r="A137" s="2">
        <v>2</v>
      </c>
      <c r="C137" s="38" t="s">
        <v>47</v>
      </c>
      <c r="D137" s="42">
        <f>TRUNC(3639.07451502789+304.261093997169+234.130380484556+1179.70818416452,-1)</f>
        <v>5350</v>
      </c>
      <c r="E137" s="63">
        <f t="shared" si="6"/>
        <v>17680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f>TRUNC(204.877029389726+560.264590791774,-1)</f>
        <v>760</v>
      </c>
      <c r="E141" s="63">
        <f t="shared" si="6"/>
        <v>2510</v>
      </c>
      <c r="F141" s="2" t="s">
        <v>263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TRUNC(2258.30188993423,-1)</f>
        <v>2250</v>
      </c>
      <c r="E143" s="63">
        <f t="shared" si="6"/>
        <v>7430</v>
      </c>
    </row>
    <row r="144" spans="1:7" x14ac:dyDescent="0.3">
      <c r="A144" s="2">
        <v>9</v>
      </c>
      <c r="C144" s="38" t="s">
        <v>63</v>
      </c>
      <c r="D144" s="42">
        <f>TRUNC(2152.5421696778,-1)</f>
        <v>2150</v>
      </c>
      <c r="E144" s="63">
        <f t="shared" si="6"/>
        <v>7100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40140</v>
      </c>
      <c r="E146" s="39">
        <f>SUM(E136:E145)</f>
        <v>132670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271</v>
      </c>
      <c r="G148" s="55"/>
    </row>
    <row r="149" spans="1:7" x14ac:dyDescent="0.3">
      <c r="A149" s="2">
        <v>1</v>
      </c>
      <c r="C149" s="38" t="s">
        <v>48</v>
      </c>
      <c r="D149" s="40">
        <f>TRUNC(841.358587961036+94.4077928565482,-1)</f>
        <v>930</v>
      </c>
      <c r="E149" s="62">
        <f>TRUNC(+D149*3.3058,-1)</f>
        <v>3070</v>
      </c>
    </row>
    <row r="150" spans="1:7" x14ac:dyDescent="0.3">
      <c r="A150" s="2">
        <v>2</v>
      </c>
      <c r="C150" s="38" t="s">
        <v>49</v>
      </c>
      <c r="D150" s="42">
        <f>TRUNC(481.81433685788,-1)</f>
        <v>480</v>
      </c>
      <c r="E150" s="63">
        <f>TRUNC(+D150*3.3058,-1)</f>
        <v>1580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TRUNC(941.84780617767+2545.90600283074+3430.51086504038,-1)</f>
        <v>6910</v>
      </c>
      <c r="E152" s="63">
        <f>TRUNC(+D152*3.3058,-1)</f>
        <v>22840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TRUNC(2619.84847223379,-1)</f>
        <v>2610</v>
      </c>
      <c r="E153" s="64">
        <f>TRUNC(+D153*3.3058,-1)</f>
        <v>8620</v>
      </c>
      <c r="F153" s="2" t="s">
        <v>251</v>
      </c>
    </row>
    <row r="154" spans="1:7" x14ac:dyDescent="0.3">
      <c r="A154" s="2">
        <v>6</v>
      </c>
      <c r="C154" s="27" t="s">
        <v>112</v>
      </c>
      <c r="D154" s="39">
        <f>SUM(D149:D153)</f>
        <v>10930</v>
      </c>
      <c r="E154" s="39">
        <f>SUM(E149:E153)</f>
        <v>36110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271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TRUNC(69265.3993006411,-1)</f>
        <v>69260</v>
      </c>
      <c r="E159" s="63">
        <f>TRUNC(+D159*3.3058,-1)</f>
        <v>228950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69260</v>
      </c>
      <c r="E161" s="39">
        <f>SUM(E157:E160)</f>
        <v>228950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2020-12-07T09:13:49Z</dcterms:modified>
</cp:coreProperties>
</file>