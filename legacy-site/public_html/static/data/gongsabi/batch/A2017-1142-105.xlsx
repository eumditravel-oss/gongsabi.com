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8" i="4" l="1"/>
  <c r="D131" i="4"/>
  <c r="D117" i="4"/>
  <c r="D9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D94" i="4"/>
  <c r="D84" i="4"/>
  <c r="D92" i="4"/>
  <c r="D91" i="4"/>
  <c r="D89" i="4"/>
  <c r="D72" i="4"/>
  <c r="D71" i="4"/>
  <c r="D69" i="4"/>
  <c r="D118" i="4"/>
  <c r="D105" i="4"/>
  <c r="D104" i="4"/>
  <c r="D103" i="4"/>
  <c r="D102" i="4"/>
  <c r="D101" i="4"/>
  <c r="D100" i="4"/>
  <c r="D99" i="4"/>
  <c r="D116" i="4"/>
  <c r="D132" i="4"/>
  <c r="D128" i="4"/>
  <c r="D125" i="4"/>
  <c r="D130" i="4"/>
  <c r="D126" i="4"/>
  <c r="D137" i="4"/>
  <c r="D143" i="4"/>
  <c r="D139" i="4"/>
  <c r="D141" i="4"/>
  <c r="D142" i="4"/>
  <c r="D140" i="4"/>
  <c r="D63" i="4"/>
  <c r="D152" i="4"/>
  <c r="D151" i="4"/>
  <c r="D150" i="4"/>
  <c r="D149" i="4"/>
  <c r="D158" i="4"/>
  <c r="D157" i="4"/>
  <c r="E160" i="4" l="1"/>
  <c r="E159" i="4"/>
  <c r="E158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60" i="4"/>
  <c r="E119" i="4"/>
  <c r="E133" i="4"/>
  <c r="E146" i="4"/>
  <c r="E154" i="4"/>
  <c r="E157" i="4"/>
  <c r="E161" i="4" s="1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<sst xmlns="http://schemas.openxmlformats.org/spreadsheetml/2006/main" count="392" uniqueCount="269">
  <si>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</si>
  <si>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</si>
  <si>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</si>
  <si>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</si>
  <si>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</si>
  <si>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</si>
  <si>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</si>
  <si>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</si>
  <si>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</si>
  <si>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</si>
  <si>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</si>
  <si>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</si>
  <si>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</si>
  <si>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</si>
  <si>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</si>
  <si>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</si>
  <si>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</si>
  <si>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</si>
  <si>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</si>
  <si>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</si>
  <si>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</si>
  <si>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</si>
  <si>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</si>
  <si>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</si>
  <si>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</si>
  <si>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</si>
  <si>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</si>
  <si>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</si>
  <si>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</si>
  <si>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</si>
  <si>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</si>
  <si>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</si>
  <si>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</si>
  <si>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</si>
  <si>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</si>
  <si>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</si>
  <si>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</si>
  <si>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</si>
  <si>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</si>
  <si>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</si>
  <si>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</si>
  <si>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</si>
  <si>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</si>
  <si>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</si>
  <si>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</si>
  <si>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</si>
  <si>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</si>
  <si>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</si>
  <si>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</si>
  <si>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</si>
  <si>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</si>
  <si>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</si>
  <si>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</si>
  <si>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</si>
  <si>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</si>
  <si>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</si>
  <si>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</si>
  <si>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</si>
  <si>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</si>
  <si>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</si>
  <si>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</si>
  <si>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</si>
  <si>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</si>
  <si>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</si>
  <si>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</si>
  <si>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</si>
  <si>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</si>
  <si>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</si>
  <si>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</si>
  <si>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</si>
  <si>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</si>
  <si>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</si>
  <si>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</si>
  <si>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</si>
  <si>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</si>
  <si>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</si>
  <si>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</si>
  <si>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</si>
  <si>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</si>
  <si>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</si>
  <si>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</si>
  <si>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</si>
  <si>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</si>
  <si>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</si>
  <si>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</si>
  <si>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</si>
  <si>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</si>
  <si>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</si>
  <si>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</si>
  <si>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</si>
  <si>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</si>
  <si>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</si>
  <si>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</si>
  <si>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</si>
  <si>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</si>
  <si>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</si>
  <si>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</si>
  <si>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</si>
  <si>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</si>
  <si>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</si>
  <si>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</si>
  <si>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</si>
  <si>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</si>
  <si>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</si>
  <si>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</si>
  <si>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</si>
  <si>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</si>
  <si>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</si>
  <si>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</si>
  <si>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</si>
  <si>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</si>
  <si>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</si>
  <si>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</si>
  <si>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</si>
  <si>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</si>
  <si>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</si>
  <si>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</si>
  <si>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</si>
  <si>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</si>
  <si>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</si>
  <si>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</si>
  <si>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</si>
  <si>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</si>
  <si>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</si>
  <si>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</si>
  <si>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</si>
  <si>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</si>
  <si>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</si>
  <si>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</si>
  <si>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</si>
  <si>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</si>
  <si>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</si>
  <si>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</si>
  <si>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</si>
  <si>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</si>
  <si>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</si>
  <si>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</si>
  <si>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</si>
  <si>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</si>
  <si>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</si>
  <si>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</si>
  <si>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</si>
  <si>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</si>
  <si>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</si>
  <si>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</si>
  <si>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</si>
  <si>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</si>
  <si>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</si>
  <si>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</si>
  <si>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</si>
  <si>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</si>
  <si>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</si>
  <si>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</si>
  <si>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</si>
  <si>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</si>
  <si>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</si>
  <si>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</si>
  <si>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</si>
  <si>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</si>
  <si>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</si>
  <si>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</si>
  <si>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</si>
  <si>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</si>
  <si>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</si>
  <si>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</si>
  <si>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</si>
  <si>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</si>
  <si>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</si>
  <si>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</si>
  <si>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</si>
  <si>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</si>
  <si>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</si>
  <si>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</si>
  <si>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</si>
  <si>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</si>
  <si>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</si>
  <si>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</si>
  <si>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</si>
  <si>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</si>
  <si>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</si>
  <si>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</si>
  <si>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</si>
  <si>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</si>
  <si>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</si>
  <si>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</si>
  <si>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</si>
  <si>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</si>
  <si>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</si>
  <si>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</si>
  <si>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</si>
  <si>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</si>
  <si>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</si>
  <si>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</si>
  <si>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</si>
  <si>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</si>
  <si>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</si>
  <si>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</si>
  <si>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</si>
  <si>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</si>
  <si>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</si>
  <si>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</si>
  <si>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</si>
  <si>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</si>
  <si>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</si>
  <si>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</si>
  <si>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</si>
  <si>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</si>
  <si>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</si>
  <si>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</si>
  <si>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</si>
  <si>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</si>
  <si>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</si>
  <si>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</si>
  <si>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</si>
  <si>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</si>
  <si>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</si>
  <si>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</si>
  <si>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</si>
  <si>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</si>
  <si>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</si>
  <si>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</si>
  <si>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</si>
  <si>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</si>
  <si>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</si>
  <si>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</si>
  <si>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</si>
  <si>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</si>
  <si>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</si>
  <si>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</si>
  <si>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</si>
  <si>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</si>
  <si>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</si>
  <si>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</si>
  <si>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</si>
  <si>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</si>
  <si>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</si>
  <si>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</si>
  <si>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</si>
  <si>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</si>
  <si>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</si>
  <si>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</si>
  <si>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</si>
  <si>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</si>
  <si>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</si>
  <si>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</si>
  <si>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</si>
  <si>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</si>
  <si>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</si>
  <si>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</si>
  <si>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가칭)인덕중학교 교사 신축공사</t>
    <phoneticPr fontId="2" type="noConversion"/>
  </si>
  <si>
    <t>교육연구</t>
  </si>
  <si>
    <t>조경시설물</t>
    <phoneticPr fontId="2" type="noConversion"/>
  </si>
  <si>
    <t>우수공사</t>
    <phoneticPr fontId="2" type="noConversion"/>
  </si>
  <si>
    <t>운반비,기타공사</t>
    <phoneticPr fontId="2" type="noConversion"/>
  </si>
  <si>
    <t>옥외소화배관공사,기타공사</t>
    <phoneticPr fontId="2" type="noConversion"/>
  </si>
  <si>
    <t>CCTV설비공사</t>
    <phoneticPr fontId="2" type="noConversion"/>
  </si>
  <si>
    <t>전기인입및수변전설비공사</t>
    <phoneticPr fontId="2" type="noConversion"/>
  </si>
  <si>
    <t>난방배관공사,바닥난방공사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</si>
  <si>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</si>
  <si>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</si>
  <si>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목공사및수장공사(인테리어공사포함)</t>
    <phoneticPr fontId="2" type="noConversion"/>
  </si>
  <si>
    <t>기초공사,골재비및운반비,기타공사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</si>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</sst>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12743.6</v>
      </c>
      <c r="D7" s="36">
        <f>+C7/3.3058</f>
        <v>3854.9216528525621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866410</v>
      </c>
      <c r="E25" s="59">
        <f t="shared" si="0"/>
        <v>2864170</v>
      </c>
    </row>
    <row r="26" spans="1:5" x14ac:dyDescent="0.3">
      <c r="B26" s="2">
        <v>3</v>
      </c>
      <c r="C26" s="35" t="s">
        <v>95</v>
      </c>
      <c r="D26" s="45">
        <f>+D66</f>
        <v>9130</v>
      </c>
      <c r="E26" s="59">
        <f t="shared" si="0"/>
        <v>30180</v>
      </c>
    </row>
    <row r="27" spans="1:5" x14ac:dyDescent="0.3">
      <c r="B27" s="2">
        <v>4</v>
      </c>
      <c r="C27" s="35" t="s">
        <v>96</v>
      </c>
      <c r="D27" s="45">
        <f>+D95</f>
        <v>176620</v>
      </c>
      <c r="E27" s="59">
        <f t="shared" si="0"/>
        <v>583870</v>
      </c>
    </row>
    <row r="28" spans="1:5" x14ac:dyDescent="0.3">
      <c r="B28" s="2">
        <v>5</v>
      </c>
      <c r="C28" s="35" t="s">
        <v>97</v>
      </c>
      <c r="D28" s="45">
        <f>+D119</f>
        <v>203950</v>
      </c>
      <c r="E28" s="59">
        <f t="shared" si="0"/>
        <v>674210</v>
      </c>
    </row>
    <row r="29" spans="1:5" x14ac:dyDescent="0.3">
      <c r="B29" s="2">
        <v>6</v>
      </c>
      <c r="C29" s="35" t="s">
        <v>98</v>
      </c>
      <c r="D29" s="45">
        <f>+D133</f>
        <v>57980</v>
      </c>
      <c r="E29" s="59">
        <f t="shared" si="0"/>
        <v>191670</v>
      </c>
    </row>
    <row r="30" spans="1:5" x14ac:dyDescent="0.3">
      <c r="B30" s="2">
        <v>7</v>
      </c>
      <c r="C30" s="35" t="s">
        <v>99</v>
      </c>
      <c r="D30" s="45">
        <f>+D146</f>
        <v>42960</v>
      </c>
      <c r="E30" s="59">
        <f t="shared" si="0"/>
        <v>142010</v>
      </c>
    </row>
    <row r="31" spans="1:5" x14ac:dyDescent="0.3">
      <c r="B31" s="2">
        <v>8</v>
      </c>
      <c r="C31" s="35" t="s">
        <v>100</v>
      </c>
      <c r="D31" s="45">
        <f>+D154</f>
        <v>40820</v>
      </c>
      <c r="E31" s="59">
        <f t="shared" si="0"/>
        <v>134940</v>
      </c>
    </row>
    <row r="32" spans="1:5" x14ac:dyDescent="0.3">
      <c r="B32" s="2">
        <v>9</v>
      </c>
      <c r="C32" s="35" t="s">
        <v>101</v>
      </c>
      <c r="D32" s="45">
        <f>+D161</f>
        <v>20360</v>
      </c>
      <c r="E32" s="59">
        <f t="shared" si="0"/>
        <v>67300</v>
      </c>
    </row>
    <row r="33" spans="1:7" x14ac:dyDescent="0.3">
      <c r="B33" s="2">
        <v>10</v>
      </c>
      <c r="C33" s="35" t="s">
        <v>154</v>
      </c>
      <c r="D33" s="53">
        <f>TRUNC(SUM(D24:D32)*0.275,-1)</f>
        <v>390010</v>
      </c>
      <c r="E33" s="60">
        <f t="shared" si="0"/>
        <v>1289290</v>
      </c>
    </row>
    <row r="34" spans="1:7" x14ac:dyDescent="0.3">
      <c r="C34" s="35" t="s">
        <v>112</v>
      </c>
      <c r="D34" s="44">
        <f>SUM(D24:D33)</f>
        <v>1808240</v>
      </c>
      <c r="E34" s="44">
        <f>SUM(E24:E33)</f>
        <v>5977640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TRUNC(33343,-1)</f>
        <v>33340</v>
      </c>
      <c r="E40" s="62">
        <f t="shared" ref="E40:E59" si="1">TRUNC(+D40*3.3058,-1)</f>
        <v>110210</v>
      </c>
    </row>
    <row r="41" spans="1:7" x14ac:dyDescent="0.3">
      <c r="A41" s="2">
        <v>2</v>
      </c>
      <c r="C41" s="38" t="s">
        <v>13</v>
      </c>
      <c r="D41" s="42">
        <f>TRUNC(160663,-1)</f>
        <v>160660</v>
      </c>
      <c r="E41" s="63">
        <f t="shared" si="1"/>
        <v>531100</v>
      </c>
    </row>
    <row r="42" spans="1:7" x14ac:dyDescent="0.3">
      <c r="A42" s="2">
        <v>3</v>
      </c>
      <c r="C42" s="38" t="s">
        <v>14</v>
      </c>
      <c r="D42" s="42">
        <f>TRUNC(10403,-1)</f>
        <v>10400</v>
      </c>
      <c r="E42" s="63">
        <f t="shared" si="1"/>
        <v>34380</v>
      </c>
    </row>
    <row r="43" spans="1:7" x14ac:dyDescent="0.3">
      <c r="A43" s="2">
        <v>4</v>
      </c>
      <c r="C43" s="38" t="s">
        <v>16</v>
      </c>
      <c r="D43" s="42">
        <f>TRUNC(32466,-1)</f>
        <v>32460</v>
      </c>
      <c r="E43" s="63">
        <f t="shared" si="1"/>
        <v>107300</v>
      </c>
    </row>
    <row r="44" spans="1:7" x14ac:dyDescent="0.3">
      <c r="A44" s="2">
        <v>5</v>
      </c>
      <c r="C44" s="38" t="s">
        <v>17</v>
      </c>
      <c r="D44" s="42">
        <f>TRUNC(23135,-1)</f>
        <v>23130</v>
      </c>
      <c r="E44" s="63">
        <f t="shared" si="1"/>
        <v>76460</v>
      </c>
    </row>
    <row r="45" spans="1:7" x14ac:dyDescent="0.3">
      <c r="A45" s="2">
        <v>6</v>
      </c>
      <c r="C45" s="38" t="s">
        <v>18</v>
      </c>
      <c r="D45" s="42">
        <f>TRUNC(56929,-1)</f>
        <v>56920</v>
      </c>
      <c r="E45" s="63">
        <f t="shared" si="1"/>
        <v>188160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TRUNC(35368,-1)</f>
        <v>35360</v>
      </c>
      <c r="E48" s="63">
        <f t="shared" si="1"/>
        <v>116890</v>
      </c>
      <c r="F48" s="2" t="s">
        <v>258</v>
      </c>
    </row>
    <row r="49" spans="1:7" x14ac:dyDescent="0.3">
      <c r="A49" s="2">
        <v>10</v>
      </c>
      <c r="C49" s="38" t="s">
        <v>22</v>
      </c>
      <c r="D49" s="42">
        <f>TRUNC(16287,-1)</f>
        <v>16280</v>
      </c>
      <c r="E49" s="63">
        <f t="shared" si="1"/>
        <v>53810</v>
      </c>
    </row>
    <row r="50" spans="1:7" x14ac:dyDescent="0.3">
      <c r="A50" s="2">
        <v>11</v>
      </c>
      <c r="C50" s="38" t="s">
        <v>155</v>
      </c>
      <c r="D50" s="42">
        <f>TRUNC(42323,-1)</f>
        <v>42320</v>
      </c>
      <c r="E50" s="63">
        <f t="shared" si="1"/>
        <v>139900</v>
      </c>
      <c r="F50" s="2" t="s">
        <v>259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TRUNC(8537,-1)</f>
        <v>8530</v>
      </c>
      <c r="E52" s="63">
        <f t="shared" si="1"/>
        <v>28190</v>
      </c>
    </row>
    <row r="53" spans="1:7" x14ac:dyDescent="0.3">
      <c r="A53" s="2">
        <v>14</v>
      </c>
      <c r="C53" s="38" t="s">
        <v>25</v>
      </c>
      <c r="D53" s="42">
        <f>TRUNC(70790,-1)</f>
        <v>70790</v>
      </c>
      <c r="E53" s="63">
        <f t="shared" si="1"/>
        <v>234010</v>
      </c>
      <c r="F53" s="2" t="s">
        <v>260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TRUNC(22156+7086+31357,-1)</f>
        <v>60590</v>
      </c>
      <c r="E58" s="63">
        <f t="shared" si="1"/>
        <v>200290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TRUNC(315636,-1)</f>
        <v>315630</v>
      </c>
      <c r="E59" s="64">
        <f t="shared" si="1"/>
        <v>1043400</v>
      </c>
    </row>
    <row r="60" spans="1:7" x14ac:dyDescent="0.3">
      <c r="A60" s="2">
        <v>21</v>
      </c>
      <c r="C60" s="27" t="s">
        <v>112</v>
      </c>
      <c r="D60" s="39">
        <f>SUM(D40:D59)</f>
        <v>866410</v>
      </c>
      <c r="E60" s="39">
        <f>SUM(E40:E59)</f>
        <v>2864100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TRUNC(9136,-1)</f>
        <v>9130</v>
      </c>
      <c r="E63" s="62">
        <f>TRUNC(+D63*3.3058,-1)</f>
        <v>30180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9130</v>
      </c>
      <c r="E66" s="65">
        <f>SUM(E63:E65)</f>
        <v>30180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TRUNC(8356,-1)</f>
        <v>8350</v>
      </c>
      <c r="E69" s="62">
        <f t="shared" ref="E69:E94" si="2">TRUNC(+D69*3.3058,-1)</f>
        <v>27600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TRUNC(5547,-1)</f>
        <v>5540</v>
      </c>
      <c r="E71" s="63">
        <f t="shared" si="2"/>
        <v>18310</v>
      </c>
    </row>
    <row r="72" spans="1:7" x14ac:dyDescent="0.3">
      <c r="A72" s="2">
        <v>4</v>
      </c>
      <c r="C72" s="38" t="s">
        <v>33</v>
      </c>
      <c r="D72" s="42">
        <f>TRUNC(3444,-1)</f>
        <v>3440</v>
      </c>
      <c r="E72" s="63">
        <f t="shared" si="2"/>
        <v>11370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TRUNC(2299+826,-1)</f>
        <v>3120</v>
      </c>
      <c r="E84" s="63">
        <f t="shared" si="2"/>
        <v>10310</v>
      </c>
      <c r="F84" s="2" t="s">
        <v>257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TRUNC(23113,-1)</f>
        <v>23110</v>
      </c>
      <c r="E89" s="63">
        <f t="shared" si="2"/>
        <v>76390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TRUNC(6966,-1)</f>
        <v>6960</v>
      </c>
      <c r="E91" s="63">
        <f t="shared" si="2"/>
        <v>23000</v>
      </c>
    </row>
    <row r="92" spans="1:7" x14ac:dyDescent="0.3">
      <c r="A92" s="2">
        <v>24</v>
      </c>
      <c r="C92" s="38" t="s">
        <v>38</v>
      </c>
      <c r="D92" s="42">
        <f>TRUNC(13601,-1)</f>
        <v>13600</v>
      </c>
      <c r="E92" s="63">
        <f t="shared" si="2"/>
        <v>44950</v>
      </c>
    </row>
    <row r="93" spans="1:7" x14ac:dyDescent="0.3">
      <c r="A93" s="2">
        <v>25</v>
      </c>
      <c r="C93" s="38" t="s">
        <v>148</v>
      </c>
      <c r="D93" s="42">
        <f>TRUNC(105070,-1)</f>
        <v>105070</v>
      </c>
      <c r="E93" s="63">
        <f t="shared" si="2"/>
        <v>347340</v>
      </c>
    </row>
    <row r="94" spans="1:7" ht="17.25" thickBot="1" x14ac:dyDescent="0.35">
      <c r="A94" s="2">
        <v>26</v>
      </c>
      <c r="C94" s="38" t="s">
        <v>47</v>
      </c>
      <c r="D94" s="43">
        <f>TRUNC(7436,-1)</f>
        <v>7430</v>
      </c>
      <c r="E94" s="64">
        <f t="shared" si="2"/>
        <v>24560</v>
      </c>
    </row>
    <row r="95" spans="1:7" x14ac:dyDescent="0.3">
      <c r="A95" s="2">
        <v>27</v>
      </c>
      <c r="C95" s="27" t="s">
        <v>112</v>
      </c>
      <c r="D95" s="39">
        <f>SUM(D69:D94)</f>
        <v>176620</v>
      </c>
      <c r="E95" s="39">
        <f>SUM(E69:E94)</f>
        <v>583830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TRUNC(8133,-1)</f>
        <v>8130</v>
      </c>
      <c r="E98" s="62">
        <f t="shared" ref="E98:E118" si="3">TRUNC(+D98*3.3058,-1)</f>
        <v>26870</v>
      </c>
    </row>
    <row r="99" spans="1:7" x14ac:dyDescent="0.3">
      <c r="A99" s="2">
        <v>2</v>
      </c>
      <c r="C99" s="38" t="s">
        <v>40</v>
      </c>
      <c r="D99" s="42">
        <f>TRUNC(1874,-1)</f>
        <v>1870</v>
      </c>
      <c r="E99" s="63">
        <f t="shared" si="3"/>
        <v>6180</v>
      </c>
    </row>
    <row r="100" spans="1:7" x14ac:dyDescent="0.3">
      <c r="A100" s="2">
        <v>3</v>
      </c>
      <c r="C100" s="38" t="s">
        <v>41</v>
      </c>
      <c r="D100" s="42">
        <f>TRUNC(23879,-1)</f>
        <v>23870</v>
      </c>
      <c r="E100" s="63">
        <f t="shared" si="3"/>
        <v>78900</v>
      </c>
    </row>
    <row r="101" spans="1:7" x14ac:dyDescent="0.3">
      <c r="A101" s="2">
        <v>4</v>
      </c>
      <c r="C101" s="38" t="s">
        <v>42</v>
      </c>
      <c r="D101" s="42">
        <f>TRUNC(2575,-1)</f>
        <v>2570</v>
      </c>
      <c r="E101" s="63">
        <f t="shared" si="3"/>
        <v>8490</v>
      </c>
    </row>
    <row r="102" spans="1:7" x14ac:dyDescent="0.3">
      <c r="A102" s="2">
        <v>5</v>
      </c>
      <c r="C102" s="38" t="s">
        <v>43</v>
      </c>
      <c r="D102" s="42">
        <f>TRUNC(13016,-1)</f>
        <v>13010</v>
      </c>
      <c r="E102" s="63">
        <f t="shared" si="3"/>
        <v>43000</v>
      </c>
    </row>
    <row r="103" spans="1:7" x14ac:dyDescent="0.3">
      <c r="A103" s="2">
        <v>6</v>
      </c>
      <c r="C103" s="38" t="s">
        <v>44</v>
      </c>
      <c r="D103" s="42">
        <f>TRUNC(4685,-1)</f>
        <v>4680</v>
      </c>
      <c r="E103" s="63">
        <f t="shared" si="3"/>
        <v>15470</v>
      </c>
    </row>
    <row r="104" spans="1:7" x14ac:dyDescent="0.3">
      <c r="A104" s="2">
        <v>7</v>
      </c>
      <c r="C104" s="38" t="s">
        <v>45</v>
      </c>
      <c r="D104" s="42">
        <f>TRUNC(1482,-1)</f>
        <v>1480</v>
      </c>
      <c r="E104" s="63">
        <f t="shared" si="3"/>
        <v>4890</v>
      </c>
    </row>
    <row r="105" spans="1:7" x14ac:dyDescent="0.3">
      <c r="A105" s="2">
        <v>8</v>
      </c>
      <c r="C105" s="38" t="s">
        <v>46</v>
      </c>
      <c r="D105" s="42">
        <f>TRUNC(7962,-1)</f>
        <v>7960</v>
      </c>
      <c r="E105" s="63">
        <f t="shared" si="3"/>
        <v>26310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TRUNC(4800,-1)</f>
        <v>4800</v>
      </c>
      <c r="E116" s="63">
        <f t="shared" si="3"/>
        <v>15860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TRUNC(135288,-1)</f>
        <v>135280</v>
      </c>
      <c r="E117" s="63">
        <f t="shared" si="3"/>
        <v>447200</v>
      </c>
    </row>
    <row r="118" spans="1:7" ht="17.25" thickBot="1" x14ac:dyDescent="0.35">
      <c r="A118" s="2">
        <v>21</v>
      </c>
      <c r="C118" s="38" t="s">
        <v>47</v>
      </c>
      <c r="D118" s="43">
        <f>TRUNC(303,-1)</f>
        <v>300</v>
      </c>
      <c r="E118" s="64">
        <f t="shared" si="3"/>
        <v>990</v>
      </c>
    </row>
    <row r="119" spans="1:7" x14ac:dyDescent="0.3">
      <c r="A119" s="2">
        <v>22</v>
      </c>
      <c r="C119" s="27" t="s">
        <v>112</v>
      </c>
      <c r="D119" s="39">
        <f>SUM(D98:D118)</f>
        <v>203950</v>
      </c>
      <c r="E119" s="39">
        <f>SUM(E98:E118)</f>
        <v>674160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TRUNC(9973,-1)</f>
        <v>9970</v>
      </c>
      <c r="E125" s="63">
        <f t="shared" si="4"/>
        <v>32950</v>
      </c>
    </row>
    <row r="126" spans="1:7" x14ac:dyDescent="0.3">
      <c r="A126" s="2">
        <v>5</v>
      </c>
      <c r="C126" s="38" t="s">
        <v>53</v>
      </c>
      <c r="D126" s="42">
        <f>TRUNC(1607,-1)</f>
        <v>1600</v>
      </c>
      <c r="E126" s="63">
        <f t="shared" si="4"/>
        <v>5280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TRUNC(156,-1)</f>
        <v>150</v>
      </c>
      <c r="E128" s="63">
        <f t="shared" si="4"/>
        <v>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TRUNC(17953,-1)</f>
        <v>17950</v>
      </c>
      <c r="E130" s="63">
        <f t="shared" si="4"/>
        <v>59330</v>
      </c>
    </row>
    <row r="131" spans="1:7" x14ac:dyDescent="0.3">
      <c r="A131" s="2">
        <v>10</v>
      </c>
      <c r="C131" s="38" t="s">
        <v>148</v>
      </c>
      <c r="D131" s="42">
        <f>TRUNC(26447,-1)</f>
        <v>26440</v>
      </c>
      <c r="E131" s="63">
        <f t="shared" si="4"/>
        <v>87400</v>
      </c>
    </row>
    <row r="132" spans="1:7" ht="18" thickBot="1" x14ac:dyDescent="0.35">
      <c r="A132" s="2">
        <v>11</v>
      </c>
      <c r="C132" s="38" t="s">
        <v>47</v>
      </c>
      <c r="D132" s="43">
        <f>TRUNC(1870,-1)</f>
        <v>1870</v>
      </c>
      <c r="E132" s="64">
        <f t="shared" si="4"/>
        <v>6180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57980</v>
      </c>
      <c r="E133" s="39">
        <f>SUM(E122:E132)</f>
        <v>191630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TRUNC(95+11652,-1)</f>
        <v>11740</v>
      </c>
      <c r="E137" s="63">
        <f t="shared" si="5"/>
        <v>38810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TRUNC(2912,-1)</f>
        <v>2910</v>
      </c>
      <c r="E139" s="63">
        <f t="shared" si="5"/>
        <v>9610</v>
      </c>
    </row>
    <row r="140" spans="1:7" x14ac:dyDescent="0.3">
      <c r="A140" s="2">
        <v>5</v>
      </c>
      <c r="C140" s="38" t="s">
        <v>57</v>
      </c>
      <c r="D140" s="42">
        <f>TRUNC(1428,-1)</f>
        <v>1420</v>
      </c>
      <c r="E140" s="63">
        <f t="shared" si="5"/>
        <v>4690</v>
      </c>
    </row>
    <row r="141" spans="1:7" x14ac:dyDescent="0.3">
      <c r="A141" s="2">
        <v>6</v>
      </c>
      <c r="C141" s="38" t="s">
        <v>59</v>
      </c>
      <c r="D141" s="42">
        <f>TRUNC(9971,-1)</f>
        <v>9970</v>
      </c>
      <c r="E141" s="63">
        <f t="shared" si="5"/>
        <v>32950</v>
      </c>
    </row>
    <row r="142" spans="1:7" x14ac:dyDescent="0.3">
      <c r="A142" s="2">
        <v>7</v>
      </c>
      <c r="C142" s="38" t="s">
        <v>58</v>
      </c>
      <c r="D142" s="42">
        <f>TRUNC(12222,-1)</f>
        <v>12220</v>
      </c>
      <c r="E142" s="63">
        <f t="shared" si="5"/>
        <v>40390</v>
      </c>
    </row>
    <row r="143" spans="1:7" x14ac:dyDescent="0.3">
      <c r="A143" s="2">
        <v>8</v>
      </c>
      <c r="C143" s="38" t="s">
        <v>62</v>
      </c>
      <c r="D143" s="42">
        <f>TRUNC(4703,-1)</f>
        <v>4700</v>
      </c>
      <c r="E143" s="63">
        <f t="shared" si="5"/>
        <v>15530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42960</v>
      </c>
      <c r="E146" s="39">
        <f>SUM(E136:E145)</f>
        <v>141980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TRUNC(11231,-1)</f>
        <v>11230</v>
      </c>
      <c r="E149" s="62">
        <f>TRUNC(+D149*3.3058,-1)</f>
        <v>37120</v>
      </c>
      <c r="F149" s="2" t="s">
        <v>252</v>
      </c>
    </row>
    <row r="150" spans="1:7" x14ac:dyDescent="0.3">
      <c r="A150" s="2">
        <v>2</v>
      </c>
      <c r="C150" s="38" t="s">
        <v>49</v>
      </c>
      <c r="D150" s="42">
        <f>TRUNC(13001,-1)</f>
        <v>13000</v>
      </c>
      <c r="E150" s="63">
        <f>TRUNC(+D150*3.3058,-1)</f>
        <v>42970</v>
      </c>
    </row>
    <row r="151" spans="1:7" x14ac:dyDescent="0.3">
      <c r="A151" s="2">
        <v>3</v>
      </c>
      <c r="C151" s="38" t="s">
        <v>50</v>
      </c>
      <c r="D151" s="42">
        <f>TRUNC(16073,-1)</f>
        <v>16070</v>
      </c>
      <c r="E151" s="63">
        <f>TRUNC(+D151*3.3058,-1)</f>
        <v>53120</v>
      </c>
    </row>
    <row r="152" spans="1:7" x14ac:dyDescent="0.3">
      <c r="A152" s="2">
        <v>4</v>
      </c>
      <c r="C152" s="38" t="s">
        <v>47</v>
      </c>
      <c r="D152" s="42">
        <f>TRUNC(118+409,-1)</f>
        <v>520</v>
      </c>
      <c r="E152" s="63">
        <f>TRUNC(+D152*3.3058,-1)</f>
        <v>1710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40820</v>
      </c>
      <c r="E154" s="39">
        <f>SUM(E149:E153)</f>
        <v>134920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TRUNC(14910,-1)</f>
        <v>14910</v>
      </c>
      <c r="E157" s="62">
        <f>TRUNC(+D157*3.3058,-1)</f>
        <v>49280</v>
      </c>
    </row>
    <row r="158" spans="1:7" x14ac:dyDescent="0.3">
      <c r="A158" s="2">
        <v>2</v>
      </c>
      <c r="C158" s="38" t="s">
        <v>52</v>
      </c>
      <c r="D158" s="42">
        <f>TRUNC(5459,-1)</f>
        <v>5450</v>
      </c>
      <c r="E158" s="63">
        <f>TRUNC(+D158*3.3058,-1)</f>
        <v>18010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20360</v>
      </c>
      <c r="E161" s="39">
        <f>SUM(E157:E160)</f>
        <v>67290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2020-12-08T01:38:13Z</dcterms:modified>
</cp:coreProperties>
</file>