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2" i="4"/>
  <c r="D149" i="4"/>
  <c r="D144" i="4"/>
  <c r="D143" i="4"/>
  <c r="D142" i="4"/>
  <c r="D140" i="4"/>
  <c r="D137" i="4"/>
  <c r="D132" i="4"/>
  <c r="D130" i="4"/>
  <c r="D128" i="4"/>
  <c r="D127" i="4"/>
  <c r="D125" i="4"/>
  <c r="D124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2" i="4"/>
  <c r="D89" i="4"/>
  <c r="D73" i="4"/>
  <c r="D72" i="4"/>
  <c r="D71" i="4"/>
  <c r="D69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<sst xmlns="http://schemas.openxmlformats.org/spreadsheetml/2006/main" count="392" uniqueCount="266">
  <si>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</si>
  <si>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</si>
  <si>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</si>
  <si>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</si>
  <si>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</si>
  <si>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</si>
  <si>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</si>
  <si>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</si>
  <si>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</si>
  <si>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</si>
  <si>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</si>
  <si>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</si>
  <si>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</si>
  <si>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</si>
  <si>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</si>
  <si>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</si>
  <si>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</si>
  <si>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</si>
  <si>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</si>
  <si>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</si>
  <si>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</si>
  <si>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</si>
  <si>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</si>
  <si>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</si>
  <si>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</si>
  <si>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</si>
  <si>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</si>
  <si>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</si>
  <si>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</si>
  <si>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</si>
  <si>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</si>
  <si>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</si>
  <si>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</si>
  <si>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</si>
  <si>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</si>
  <si>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</si>
  <si>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</si>
  <si>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</si>
  <si>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</si>
  <si>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</si>
  <si>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</si>
  <si>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</si>
  <si>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</si>
  <si>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</si>
  <si>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</si>
  <si>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</si>
  <si>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</si>
  <si>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</si>
  <si>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</si>
  <si>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</si>
  <si>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</si>
  <si>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</si>
  <si>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</si>
  <si>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</si>
  <si>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</si>
  <si>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</si>
  <si>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</si>
  <si>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</si>
  <si>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</si>
  <si>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</si>
  <si>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</si>
  <si>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</si>
  <si>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</si>
  <si>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</si>
  <si>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</si>
  <si>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</si>
  <si>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</si>
  <si>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</si>
  <si>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</si>
  <si>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</si>
  <si>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</si>
  <si>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</si>
  <si>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</si>
  <si>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</si>
  <si>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</si>
  <si>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</si>
  <si>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</si>
  <si>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</si>
  <si>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</si>
  <si>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</si>
  <si>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</si>
  <si>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</si>
  <si>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</si>
  <si>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</si>
  <si>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</si>
  <si>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</si>
  <si>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</si>
  <si>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</si>
  <si>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</si>
  <si>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</si>
  <si>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</si>
  <si>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</si>
  <si>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</si>
  <si>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</si>
  <si>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</si>
  <si>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</si>
  <si>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</si>
  <si>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</si>
  <si>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</si>
  <si>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</si>
  <si>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</si>
  <si>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</si>
  <si>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</si>
  <si>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</si>
  <si>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</si>
  <si>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</si>
  <si>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</si>
  <si>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</si>
  <si>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</si>
  <si>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</si>
  <si>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</si>
  <si>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</si>
  <si>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</si>
  <si>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</si>
  <si>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</si>
  <si>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</si>
  <si>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</si>
  <si>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</si>
  <si>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</si>
  <si>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</si>
  <si>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</si>
  <si>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</si>
  <si>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</si>
  <si>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</si>
  <si>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</si>
  <si>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</si>
  <si>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</si>
  <si>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</si>
  <si>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</si>
  <si>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</si>
  <si>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</si>
  <si>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</si>
  <si>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</si>
  <si>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</si>
  <si>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</si>
  <si>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</si>
  <si>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</si>
  <si>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</si>
  <si>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</si>
  <si>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</si>
  <si>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</si>
  <si>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</si>
  <si>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</si>
  <si>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</si>
  <si>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</si>
  <si>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</si>
  <si>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</si>
  <si>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</si>
  <si>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</si>
  <si>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</si>
  <si>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</si>
  <si>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</si>
  <si>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</si>
  <si>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</si>
  <si>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</si>
  <si>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</si>
  <si>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</si>
  <si>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</si>
  <si>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</si>
  <si>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</si>
  <si>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</si>
  <si>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</si>
  <si>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</si>
  <si>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</si>
  <si>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</si>
  <si>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</si>
  <si>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</si>
  <si>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</si>
  <si>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</si>
  <si>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</si>
  <si>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</si>
  <si>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</si>
  <si>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</si>
  <si>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</si>
  <si>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</si>
  <si>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</si>
  <si>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</si>
  <si>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</si>
  <si>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</si>
  <si>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</si>
  <si>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</si>
  <si>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</si>
  <si>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</si>
  <si>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</si>
  <si>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</si>
  <si>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</si>
  <si>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</si>
  <si>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</si>
  <si>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</si>
  <si>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</si>
  <si>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</si>
  <si>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</si>
  <si>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</si>
  <si>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</si>
  <si>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</si>
  <si>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</si>
  <si>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</si>
  <si>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</si>
  <si>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</si>
  <si>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</si>
  <si>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</si>
  <si>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</si>
  <si>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</si>
  <si>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</si>
  <si>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</si>
  <si>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</si>
  <si>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</si>
  <si>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</si>
  <si>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</si>
  <si>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</si>
  <si>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</si>
  <si>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</si>
  <si>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</si>
  <si>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</si>
  <si>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</si>
  <si>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</si>
  <si>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</si>
  <si>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</si>
  <si>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</si>
  <si>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</si>
  <si>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</si>
  <si>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</si>
  <si>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</si>
  <si>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</si>
  <si>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</si>
  <si>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</si>
  <si>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</si>
  <si>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</si>
  <si>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</si>
  <si>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</si>
  <si>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</si>
  <si>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</si>
  <si>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</si>
  <si>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</si>
  <si>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</si>
  <si>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</si>
  <si>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</si>
  <si>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</si>
  <si>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</si>
  <si>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</si>
  <si>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</si>
  <si>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</si>
  <si>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</si>
  <si>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</si>
  <si>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</si>
  <si>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</si>
  <si>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</si>
  <si>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</si>
  <si>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</si>
  <si>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</si>
  <si>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</si>
  <si>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</si>
  <si>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</si>
  <si>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</si>
  <si>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</si>
  <si>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주차관제설비공사</t>
    <phoneticPr fontId="2" type="noConversion"/>
  </si>
  <si>
    <t>포장공사, 기타공사</t>
    <phoneticPr fontId="2" type="noConversion"/>
  </si>
  <si>
    <t>업무</t>
  </si>
  <si>
    <t>국립해양측위정보원 청사 신축 건설공사</t>
    <phoneticPr fontId="2" type="noConversion"/>
  </si>
  <si>
    <t>충청도</t>
  </si>
  <si>
    <t>기초공사, 폐기물처리비, 골재비및운반비, 작업부산물, 품질시험비, 기타공사</t>
    <phoneticPr fontId="2" type="noConversion"/>
  </si>
  <si>
    <t>공조배관공사, 난방배관공사,우수처리시설공사, 바닥난방공사</t>
    <phoneticPr fontId="2" type="noConversion"/>
  </si>
  <si>
    <t>상수도공사, 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</si>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</sst>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1974</v>
      </c>
      <c r="D7" s="36">
        <f>+C7/3.3058</f>
        <v>597.13231290459191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1291060</v>
      </c>
      <c r="E25" s="59">
        <f t="shared" si="0"/>
        <v>4267980</v>
      </c>
    </row>
    <row r="26" spans="1:5" x14ac:dyDescent="0.3">
      <c r="B26" s="2">
        <v>3</v>
      </c>
      <c r="C26" s="35" t="s">
        <v>95</v>
      </c>
      <c r="D26" s="45">
        <f>+D66</f>
        <v>53010</v>
      </c>
      <c r="E26" s="59">
        <f t="shared" si="0"/>
        <v>175240</v>
      </c>
    </row>
    <row r="27" spans="1:5" x14ac:dyDescent="0.3">
      <c r="B27" s="2">
        <v>4</v>
      </c>
      <c r="C27" s="35" t="s">
        <v>96</v>
      </c>
      <c r="D27" s="45">
        <f>+D95</f>
        <v>75530</v>
      </c>
      <c r="E27" s="59">
        <f t="shared" si="0"/>
        <v>249680</v>
      </c>
    </row>
    <row r="28" spans="1:5" x14ac:dyDescent="0.3">
      <c r="B28" s="2">
        <v>5</v>
      </c>
      <c r="C28" s="35" t="s">
        <v>97</v>
      </c>
      <c r="D28" s="45">
        <f>+D119</f>
        <v>174590</v>
      </c>
      <c r="E28" s="59">
        <f t="shared" si="0"/>
        <v>577150</v>
      </c>
    </row>
    <row r="29" spans="1:5" x14ac:dyDescent="0.3">
      <c r="B29" s="2">
        <v>6</v>
      </c>
      <c r="C29" s="35" t="s">
        <v>98</v>
      </c>
      <c r="D29" s="45">
        <f>+D133</f>
        <v>65900</v>
      </c>
      <c r="E29" s="59">
        <f t="shared" si="0"/>
        <v>217850</v>
      </c>
    </row>
    <row r="30" spans="1:5" x14ac:dyDescent="0.3">
      <c r="B30" s="2">
        <v>7</v>
      </c>
      <c r="C30" s="35" t="s">
        <v>99</v>
      </c>
      <c r="D30" s="45">
        <f>+D146</f>
        <v>65370</v>
      </c>
      <c r="E30" s="59">
        <f t="shared" si="0"/>
        <v>216100</v>
      </c>
    </row>
    <row r="31" spans="1:5" x14ac:dyDescent="0.3">
      <c r="B31" s="2">
        <v>8</v>
      </c>
      <c r="C31" s="35" t="s">
        <v>100</v>
      </c>
      <c r="D31" s="45">
        <f>+D154</f>
        <v>68220</v>
      </c>
      <c r="E31" s="59">
        <f t="shared" si="0"/>
        <v>225520</v>
      </c>
    </row>
    <row r="32" spans="1:5" x14ac:dyDescent="0.3">
      <c r="B32" s="2">
        <v>9</v>
      </c>
      <c r="C32" s="35" t="s">
        <v>101</v>
      </c>
      <c r="D32" s="45">
        <f>+D161</f>
        <v>19970</v>
      </c>
      <c r="E32" s="59">
        <f t="shared" si="0"/>
        <v>66010</v>
      </c>
    </row>
    <row r="33" spans="1:7" x14ac:dyDescent="0.3">
      <c r="B33" s="2">
        <v>10</v>
      </c>
      <c r="C33" s="35" t="s">
        <v>155</v>
      </c>
      <c r="D33" s="53">
        <f>TRUNC(SUM(D24:D32)*0.275,-1)</f>
        <v>498750</v>
      </c>
      <c r="E33" s="60">
        <f t="shared" si="0"/>
        <v>1648760</v>
      </c>
    </row>
    <row r="34" spans="1:7" x14ac:dyDescent="0.3">
      <c r="C34" s="35" t="s">
        <v>112</v>
      </c>
      <c r="D34" s="44">
        <f>SUM(D24:D33)</f>
        <v>2312400</v>
      </c>
      <c r="E34" s="44">
        <f>SUM(E24:E33)</f>
        <v>7644290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TRUNC(103547,-1)</f>
        <v>103540</v>
      </c>
      <c r="E40" s="62">
        <f t="shared" ref="E40:E59" si="1">TRUNC(+D40*3.3058,-1)</f>
        <v>342280</v>
      </c>
    </row>
    <row r="41" spans="1:7" x14ac:dyDescent="0.3">
      <c r="A41" s="2">
        <v>2</v>
      </c>
      <c r="C41" s="38" t="s">
        <v>13</v>
      </c>
      <c r="D41" s="42">
        <f>TRUNC(315066,-1)</f>
        <v>315060</v>
      </c>
      <c r="E41" s="63">
        <f t="shared" si="1"/>
        <v>1041520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TRUNC(32032,-1)</f>
        <v>32030</v>
      </c>
      <c r="E43" s="63">
        <f t="shared" si="1"/>
        <v>105880</v>
      </c>
    </row>
    <row r="44" spans="1:7" x14ac:dyDescent="0.3">
      <c r="A44" s="2">
        <v>5</v>
      </c>
      <c r="C44" s="38" t="s">
        <v>17</v>
      </c>
      <c r="D44" s="42">
        <f>TRUNC(32218,-1)</f>
        <v>32210</v>
      </c>
      <c r="E44" s="63">
        <f t="shared" si="1"/>
        <v>106470</v>
      </c>
    </row>
    <row r="45" spans="1:7" x14ac:dyDescent="0.3">
      <c r="A45" s="2">
        <v>6</v>
      </c>
      <c r="C45" s="38" t="s">
        <v>18</v>
      </c>
      <c r="D45" s="42">
        <f>TRUNC(77257,-1)</f>
        <v>77250</v>
      </c>
      <c r="E45" s="63">
        <f t="shared" si="1"/>
        <v>255370</v>
      </c>
    </row>
    <row r="46" spans="1:7" x14ac:dyDescent="0.3">
      <c r="A46" s="2">
        <v>7</v>
      </c>
      <c r="C46" s="38" t="s">
        <v>19</v>
      </c>
      <c r="D46" s="42">
        <f>TRUNC(24341,-1)</f>
        <v>24340</v>
      </c>
      <c r="E46" s="63">
        <f t="shared" si="1"/>
        <v>80460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TRUNC(41556,-1)</f>
        <v>41550</v>
      </c>
      <c r="E48" s="63">
        <f t="shared" si="1"/>
        <v>137350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TRUNC(21729,-1)</f>
        <v>21720</v>
      </c>
      <c r="E49" s="63">
        <f t="shared" si="1"/>
        <v>71800</v>
      </c>
    </row>
    <row r="50" spans="1:7" x14ac:dyDescent="0.3">
      <c r="A50" s="2">
        <v>11</v>
      </c>
      <c r="C50" s="38" t="s">
        <v>156</v>
      </c>
      <c r="D50" s="42">
        <f>TRUNC(47132,-1)</f>
        <v>47130</v>
      </c>
      <c r="E50" s="63">
        <f t="shared" si="1"/>
        <v>155800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TRUNC(16739,-1)</f>
        <v>16730</v>
      </c>
      <c r="E52" s="63">
        <f t="shared" si="1"/>
        <v>55300</v>
      </c>
    </row>
    <row r="53" spans="1:7" x14ac:dyDescent="0.3">
      <c r="A53" s="2">
        <v>14</v>
      </c>
      <c r="C53" s="38" t="s">
        <v>25</v>
      </c>
      <c r="D53" s="42">
        <f>TRUNC(115819,-1)</f>
        <v>115810</v>
      </c>
      <c r="E53" s="63">
        <f t="shared" si="1"/>
        <v>382840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TRUNC(22092+1797+7381-1586+411+11738,-1)</f>
        <v>41830</v>
      </c>
      <c r="E58" s="63">
        <f t="shared" si="1"/>
        <v>138280</v>
      </c>
      <c r="F58" s="2" t="s">
        <v>260</v>
      </c>
    </row>
    <row r="59" spans="1:7" ht="17.25" thickBot="1" x14ac:dyDescent="0.35">
      <c r="A59" s="2">
        <v>20</v>
      </c>
      <c r="C59" s="38" t="s">
        <v>149</v>
      </c>
      <c r="D59" s="43">
        <f>TRUNC(421868,-1)</f>
        <v>421860</v>
      </c>
      <c r="E59" s="64">
        <f t="shared" si="1"/>
        <v>1394580</v>
      </c>
    </row>
    <row r="60" spans="1:7" x14ac:dyDescent="0.3">
      <c r="A60" s="2">
        <v>21</v>
      </c>
      <c r="C60" s="27" t="s">
        <v>112</v>
      </c>
      <c r="D60" s="39">
        <f>SUM(D40:D59)</f>
        <v>1291060</v>
      </c>
      <c r="E60" s="39">
        <f>SUM(E40:E59)</f>
        <v>4267930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v>53010</v>
      </c>
      <c r="E63" s="62">
        <f>TRUNC(+D63*3.3058,-1)</f>
        <v>175240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53010</v>
      </c>
      <c r="E66" s="65">
        <f>SUM(E63:E65)</f>
        <v>175240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TRUNC(9968,-1)</f>
        <v>9960</v>
      </c>
      <c r="E69" s="62">
        <f t="shared" ref="E69:E94" si="2">TRUNC(+D69*3.3058,-1)</f>
        <v>32920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TRUNC(5091,-1)</f>
        <v>5090</v>
      </c>
      <c r="E71" s="63">
        <f t="shared" si="2"/>
        <v>16820</v>
      </c>
    </row>
    <row r="72" spans="1:7" x14ac:dyDescent="0.3">
      <c r="A72" s="2">
        <v>4</v>
      </c>
      <c r="C72" s="38" t="s">
        <v>33</v>
      </c>
      <c r="D72" s="42">
        <f>TRUNC(781,-1)</f>
        <v>780</v>
      </c>
      <c r="E72" s="63">
        <f t="shared" si="2"/>
        <v>2570</v>
      </c>
    </row>
    <row r="73" spans="1:7" x14ac:dyDescent="0.3">
      <c r="A73" s="2">
        <v>5</v>
      </c>
      <c r="C73" s="38" t="s">
        <v>34</v>
      </c>
      <c r="D73" s="42">
        <f>TRUNC(14038,-1)</f>
        <v>14030</v>
      </c>
      <c r="E73" s="63">
        <f t="shared" si="2"/>
        <v>46380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TRUNC(4792,-1)</f>
        <v>4790</v>
      </c>
      <c r="E89" s="63">
        <f t="shared" si="2"/>
        <v>15830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TRUNC(9123,-1)</f>
        <v>9120</v>
      </c>
      <c r="E92" s="63">
        <f t="shared" si="2"/>
        <v>30140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TRUNC(11823+4982+14453+511,-1)</f>
        <v>31760</v>
      </c>
      <c r="E94" s="64">
        <f t="shared" si="2"/>
        <v>104990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75530</v>
      </c>
      <c r="E95" s="39">
        <f>SUM(E69:E94)</f>
        <v>249650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TRUNC(13277,-1)</f>
        <v>13270</v>
      </c>
      <c r="E98" s="62">
        <f t="shared" ref="E98:E118" si="3">TRUNC(+D98*3.3058,-1)</f>
        <v>43860</v>
      </c>
    </row>
    <row r="99" spans="1:7" x14ac:dyDescent="0.3">
      <c r="A99" s="2">
        <v>2</v>
      </c>
      <c r="C99" s="38" t="s">
        <v>40</v>
      </c>
      <c r="D99" s="42">
        <f>TRUNC(7314,-1)</f>
        <v>7310</v>
      </c>
      <c r="E99" s="63">
        <f t="shared" si="3"/>
        <v>24160</v>
      </c>
    </row>
    <row r="100" spans="1:7" x14ac:dyDescent="0.3">
      <c r="A100" s="2">
        <v>3</v>
      </c>
      <c r="C100" s="38" t="s">
        <v>41</v>
      </c>
      <c r="D100" s="42">
        <f>TRUNC(41918,-1)</f>
        <v>41910</v>
      </c>
      <c r="E100" s="63">
        <f t="shared" si="3"/>
        <v>138540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TRUNC(27429,-1)</f>
        <v>27420</v>
      </c>
      <c r="E102" s="63">
        <f t="shared" si="3"/>
        <v>90640</v>
      </c>
    </row>
    <row r="103" spans="1:7" x14ac:dyDescent="0.3">
      <c r="A103" s="2">
        <v>6</v>
      </c>
      <c r="C103" s="38" t="s">
        <v>44</v>
      </c>
      <c r="D103" s="42">
        <f>TRUNC(6284,-1)</f>
        <v>6280</v>
      </c>
      <c r="E103" s="63">
        <f t="shared" si="3"/>
        <v>20760</v>
      </c>
    </row>
    <row r="104" spans="1:7" x14ac:dyDescent="0.3">
      <c r="A104" s="2">
        <v>7</v>
      </c>
      <c r="C104" s="38" t="s">
        <v>45</v>
      </c>
      <c r="D104" s="42">
        <f>TRUNC(28439,-1)</f>
        <v>28430</v>
      </c>
      <c r="E104" s="63">
        <f t="shared" si="3"/>
        <v>93980</v>
      </c>
    </row>
    <row r="105" spans="1:7" x14ac:dyDescent="0.3">
      <c r="A105" s="2">
        <v>8</v>
      </c>
      <c r="C105" s="38" t="s">
        <v>46</v>
      </c>
      <c r="D105" s="42">
        <f>TRUNC(11642,-1)</f>
        <v>11640</v>
      </c>
      <c r="E105" s="63">
        <f t="shared" si="3"/>
        <v>38470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TRUNC(9014,-1)</f>
        <v>9010</v>
      </c>
      <c r="E114" s="63">
        <f t="shared" si="3"/>
        <v>29780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TRUNC(9004,-1)</f>
        <v>9000</v>
      </c>
      <c r="E116" s="63">
        <f t="shared" si="3"/>
        <v>29750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TRUNC(15653,-1)</f>
        <v>15650</v>
      </c>
      <c r="E117" s="63">
        <f t="shared" si="3"/>
        <v>51730</v>
      </c>
    </row>
    <row r="118" spans="1:7" ht="17.25" thickBot="1" x14ac:dyDescent="0.35">
      <c r="A118" s="2">
        <v>21</v>
      </c>
      <c r="C118" s="38" t="s">
        <v>47</v>
      </c>
      <c r="D118" s="43">
        <f>TRUNC(4678,-1)</f>
        <v>4670</v>
      </c>
      <c r="E118" s="64">
        <f t="shared" si="3"/>
        <v>15430</v>
      </c>
    </row>
    <row r="119" spans="1:7" x14ac:dyDescent="0.3">
      <c r="A119" s="2">
        <v>22</v>
      </c>
      <c r="C119" s="27" t="s">
        <v>112</v>
      </c>
      <c r="D119" s="39">
        <f>SUM(D98:D118)</f>
        <v>174590</v>
      </c>
      <c r="E119" s="39">
        <f>SUM(E98:E118)</f>
        <v>577100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TRUNC(6169,-1)</f>
        <v>6160</v>
      </c>
      <c r="E122" s="62">
        <f t="shared" ref="E122:E132" si="4">TRUNC(+D122*3.3058,-1)</f>
        <v>20360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TRUNC(2007,-1)</f>
        <v>2000</v>
      </c>
      <c r="E124" s="63">
        <f t="shared" si="4"/>
        <v>6610</v>
      </c>
    </row>
    <row r="125" spans="1:7" x14ac:dyDescent="0.3">
      <c r="A125" s="2">
        <v>4</v>
      </c>
      <c r="C125" s="38" t="s">
        <v>138</v>
      </c>
      <c r="D125" s="42">
        <f>TRUNC(1143,-1)</f>
        <v>1140</v>
      </c>
      <c r="E125" s="63">
        <f t="shared" si="4"/>
        <v>3760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TRUNC(5885,-1)</f>
        <v>5880</v>
      </c>
      <c r="E127" s="63">
        <f t="shared" si="4"/>
        <v>19430</v>
      </c>
    </row>
    <row r="128" spans="1:7" x14ac:dyDescent="0.3">
      <c r="A128" s="2">
        <v>7</v>
      </c>
      <c r="C128" s="38" t="s">
        <v>46</v>
      </c>
      <c r="D128" s="42">
        <f>TRUNC(4606,-1)</f>
        <v>4600</v>
      </c>
      <c r="E128" s="63">
        <f t="shared" si="4"/>
        <v>15200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TRUNC(41528,-1)</f>
        <v>41520</v>
      </c>
      <c r="E130" s="63">
        <f t="shared" si="4"/>
        <v>137250</v>
      </c>
    </row>
    <row r="131" spans="1:7" x14ac:dyDescent="0.3">
      <c r="A131" s="2">
        <v>10</v>
      </c>
      <c r="C131" s="38" t="s">
        <v>149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TRUNC(2351+2254,-1)</f>
        <v>4600</v>
      </c>
      <c r="E132" s="64">
        <f t="shared" si="4"/>
        <v>15200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65900</v>
      </c>
      <c r="E133" s="39">
        <f>SUM(E122:E132)</f>
        <v>217810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TRUNC(769,-1)</f>
        <v>760</v>
      </c>
      <c r="E137" s="63">
        <f t="shared" si="5"/>
        <v>2510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1320</v>
      </c>
      <c r="E139" s="63">
        <f t="shared" si="5"/>
        <v>4360</v>
      </c>
    </row>
    <row r="140" spans="1:7" x14ac:dyDescent="0.3">
      <c r="A140" s="2">
        <v>5</v>
      </c>
      <c r="C140" s="38" t="s">
        <v>57</v>
      </c>
      <c r="D140" s="42">
        <f>TRUNC(4753,-1)</f>
        <v>4750</v>
      </c>
      <c r="E140" s="63">
        <f t="shared" si="5"/>
        <v>15700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TRUNC(15702,-1)</f>
        <v>15700</v>
      </c>
      <c r="E142" s="63">
        <f t="shared" si="5"/>
        <v>51900</v>
      </c>
    </row>
    <row r="143" spans="1:7" x14ac:dyDescent="0.3">
      <c r="A143" s="2">
        <v>8</v>
      </c>
      <c r="C143" s="38" t="s">
        <v>62</v>
      </c>
      <c r="D143" s="42">
        <f>TRUNC(21284,-1)</f>
        <v>21280</v>
      </c>
      <c r="E143" s="63">
        <f t="shared" si="5"/>
        <v>70340</v>
      </c>
    </row>
    <row r="144" spans="1:7" x14ac:dyDescent="0.3">
      <c r="A144" s="2">
        <v>9</v>
      </c>
      <c r="C144" s="38" t="s">
        <v>63</v>
      </c>
      <c r="D144" s="42">
        <f>TRUNC(21569,-1)</f>
        <v>21560</v>
      </c>
      <c r="E144" s="63">
        <f t="shared" si="5"/>
        <v>71270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65370</v>
      </c>
      <c r="E146" s="39">
        <f>SUM(E136:E145)</f>
        <v>216080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TRUNC(32995+1060,-1)</f>
        <v>34050</v>
      </c>
      <c r="E149" s="62">
        <f>TRUNC(+D149*3.3058,-1)</f>
        <v>112560</v>
      </c>
    </row>
    <row r="150" spans="1:7" x14ac:dyDescent="0.3">
      <c r="A150" s="2">
        <v>2</v>
      </c>
      <c r="C150" s="38" t="s">
        <v>49</v>
      </c>
      <c r="D150" s="42">
        <v>16710</v>
      </c>
      <c r="E150" s="63">
        <f>TRUNC(+D150*3.3058,-1)</f>
        <v>55230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TRUNC(1721+7703+8045,-1)</f>
        <v>17460</v>
      </c>
      <c r="E152" s="63">
        <f>TRUNC(+D152*3.3058,-1)</f>
        <v>57710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68220</v>
      </c>
      <c r="E154" s="39">
        <f>SUM(E149:E153)</f>
        <v>225500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TRUNC(19973,-1)</f>
        <v>19970</v>
      </c>
      <c r="E157" s="62">
        <f>TRUNC(+D157*3.3058,-1)</f>
        <v>66010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19970</v>
      </c>
      <c r="E161" s="39">
        <f>SUM(E157:E160)</f>
        <v>66010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2020-12-08T04:51:37Z</dcterms:modified>
</cp:coreProperties>
</file>