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8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58" i="4" l="1"/>
  <c r="D53" i="4"/>
  <c r="D52" i="4"/>
  <c r="D50" i="4"/>
  <c r="D49" i="4"/>
  <c r="D48" i="4"/>
  <c r="D46" i="4"/>
  <c r="D45" i="4"/>
  <c r="D44" i="4"/>
  <c r="D43" i="4"/>
  <c r="D41" i="4"/>
  <c r="D40" i="4"/>
  <c r="D94" i="4"/>
  <c r="D92" i="4"/>
  <c r="D91" i="4"/>
  <c r="D89" i="4"/>
  <c r="D73" i="4"/>
  <c r="D72" i="4"/>
  <c r="D71" i="4"/>
  <c r="D70" i="4"/>
  <c r="D69" i="4"/>
  <c r="D63" i="4"/>
  <c r="D118" i="4"/>
  <c r="D116" i="4"/>
  <c r="D114" i="4"/>
  <c r="D105" i="4"/>
  <c r="D104" i="4"/>
  <c r="D102" i="4"/>
  <c r="D100" i="4"/>
  <c r="D99" i="4"/>
  <c r="D98" i="4"/>
  <c r="D132" i="4"/>
  <c r="D130" i="4"/>
  <c r="D128" i="4"/>
  <c r="D126" i="4"/>
  <c r="D125" i="4"/>
  <c r="D124" i="4"/>
  <c r="D122" i="4"/>
  <c r="D144" i="4"/>
  <c r="D143" i="4"/>
  <c r="D142" i="4"/>
  <c r="D141" i="4"/>
  <c r="D140" i="4"/>
  <c r="D139" i="4"/>
  <c r="D137" i="4"/>
  <c r="D152" i="4"/>
  <c r="D150" i="4"/>
  <c r="D149" i="4"/>
  <c r="D159" i="4"/>
  <c r="D158" i="4"/>
  <c r="D131" i="4"/>
  <c r="D117" i="4"/>
  <c r="D59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66" i="4" s="1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161" i="4" l="1"/>
  <c r="E154" i="4"/>
  <c r="E146" i="4"/>
  <c r="E133" i="4"/>
  <c r="E119" i="4"/>
  <c r="E95" i="4"/>
  <c r="E60" i="4"/>
  <c r="D161" i="4"/>
  <c r="D32" i="4" s="1"/>
  <c r="E32" i="4" s="1"/>
  <c r="D154" i="4"/>
  <c r="D31" i="4" s="1"/>
  <c r="E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D24" i="4"/>
  <c r="E24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25" i="4" l="1"/>
  <c r="D33" i="4"/>
  <c r="E33" i="4" s="1"/>
  <c r="E34" i="4" l="1"/>
  <c r="D34" i="4"/>
</calcChain>
</file>

<file path=xl/sharedStrings.xml><?xml version="1.0" encoding="utf-8"?>
<sst xmlns="http://schemas.openxmlformats.org/spreadsheetml/2006/main" count="391" uniqueCount="266">
  <si>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</si>
  <si>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</si>
  <si>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</si>
  <si>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</si>
  <si>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</si>
  <si>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</si>
  <si>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</si>
  <si>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</si>
  <si>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</si>
  <si>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</si>
  <si>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</si>
  <si>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</si>
  <si>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</si>
  <si>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</si>
  <si>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</si>
  <si>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</si>
  <si>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</si>
  <si>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</si>
  <si>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</si>
  <si>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</si>
  <si>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</si>
  <si>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</si>
  <si>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</si>
  <si>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</si>
  <si>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</si>
  <si>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</si>
  <si>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</si>
  <si>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</si>
  <si>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</si>
  <si>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</si>
  <si>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</si>
  <si>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</si>
  <si>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</si>
  <si>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</si>
  <si>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</si>
  <si>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</si>
  <si>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</si>
  <si>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</si>
  <si>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</si>
  <si>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</si>
  <si>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</si>
  <si>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</si>
  <si>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</si>
  <si>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</si>
  <si>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</si>
  <si>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</si>
  <si>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</si>
  <si>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</si>
  <si>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</si>
  <si>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</si>
  <si>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</si>
  <si>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</si>
  <si>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</si>
  <si>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</si>
  <si>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</si>
  <si>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</si>
  <si>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</si>
  <si>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</si>
  <si>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</si>
  <si>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</si>
  <si>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</si>
  <si>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</si>
  <si>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</si>
  <si>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</si>
  <si>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</si>
  <si>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</si>
  <si>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</si>
  <si>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</si>
  <si>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</si>
  <si>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</si>
  <si>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</si>
  <si>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</si>
  <si>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</si>
  <si>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</si>
  <si>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</si>
  <si>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</si>
  <si>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</si>
  <si>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</si>
  <si>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</si>
  <si>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</si>
  <si>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</si>
  <si>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</si>
  <si>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</si>
  <si>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</si>
  <si>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</si>
  <si>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</si>
  <si>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</si>
  <si>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</si>
  <si>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</si>
  <si>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</si>
  <si>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</si>
  <si>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</si>
  <si>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</si>
  <si>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</si>
  <si>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</si>
  <si>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</si>
  <si>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</si>
  <si>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</si>
  <si>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</si>
  <si>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</si>
  <si>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</si>
  <si>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</si>
  <si>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</si>
  <si>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</si>
  <si>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</si>
  <si>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</si>
  <si>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</si>
  <si>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</si>
  <si>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</si>
  <si>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</si>
  <si>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</si>
  <si>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</si>
  <si>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</si>
  <si>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</si>
  <si>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</si>
  <si>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</si>
  <si>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</si>
  <si>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</si>
  <si>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</si>
  <si>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</si>
  <si>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</si>
  <si>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</si>
  <si>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</si>
  <si>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</si>
  <si>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</si>
  <si>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</si>
  <si>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</si>
  <si>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</si>
  <si>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</si>
  <si>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</si>
  <si>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</si>
  <si>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</si>
  <si>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</si>
  <si>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</si>
  <si>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</si>
  <si>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</si>
  <si>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</si>
  <si>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</si>
  <si>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</si>
  <si>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</si>
  <si>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</si>
  <si>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</si>
  <si>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</si>
  <si>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</si>
  <si>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</si>
  <si>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</si>
  <si>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</si>
  <si>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</si>
  <si>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</si>
  <si>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</si>
  <si>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</si>
  <si>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</si>
  <si>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</si>
  <si>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</si>
  <si>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</si>
  <si>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</si>
  <si>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</si>
  <si>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</si>
  <si>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</si>
  <si>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</si>
  <si>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</si>
  <si>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</si>
  <si>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</si>
  <si>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</si>
  <si>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</si>
  <si>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</si>
  <si>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</si>
  <si>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</si>
  <si>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</si>
  <si>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</si>
  <si>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</si>
  <si>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</si>
  <si>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</si>
  <si>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</si>
  <si>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</si>
  <si>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</si>
  <si>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</si>
  <si>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</si>
  <si>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</si>
  <si>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</si>
  <si>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</si>
  <si>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</si>
  <si>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</si>
  <si>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</si>
  <si>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</si>
  <si>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</si>
  <si>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</si>
  <si>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</si>
  <si>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</si>
  <si>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</si>
  <si>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</si>
  <si>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</si>
  <si>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</si>
  <si>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</si>
  <si>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</si>
  <si>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</si>
  <si>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</si>
  <si>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</si>
  <si>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</si>
  <si>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</si>
  <si>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</si>
  <si>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</si>
  <si>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</si>
  <si>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</si>
  <si>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</si>
  <si>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</si>
  <si>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</si>
  <si>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</si>
  <si>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</si>
  <si>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</si>
  <si>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</si>
  <si>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</si>
  <si>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</si>
  <si>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</si>
  <si>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</si>
  <si>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</si>
  <si>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</si>
  <si>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</si>
  <si>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</si>
  <si>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</si>
  <si>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</si>
  <si>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</si>
  <si>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</si>
  <si>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</si>
  <si>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</si>
  <si>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</si>
  <si>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</si>
  <si>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</si>
  <si>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</si>
  <si>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</si>
  <si>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</si>
  <si>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</si>
  <si>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</si>
  <si>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</si>
  <si>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</si>
  <si>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</si>
  <si>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</si>
  <si>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</si>
  <si>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</si>
  <si>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</si>
  <si>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</si>
  <si>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</si>
  <si>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</si>
  <si>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</si>
  <si>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</si>
  <si>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</si>
  <si>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</si>
  <si>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</si>
  <si>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관세평가분류원 청사 신축공사</t>
    <phoneticPr fontId="2" type="noConversion"/>
  </si>
  <si>
    <t>업무</t>
  </si>
  <si>
    <t>세종시</t>
  </si>
  <si>
    <t>기초공사,골재비및운반비,작업부산물,품질시험비,기타공사</t>
    <phoneticPr fontId="2" type="noConversion"/>
  </si>
  <si>
    <t>공조배관공사,난방배관공사,기타공사</t>
    <phoneticPr fontId="2" type="noConversion"/>
  </si>
  <si>
    <t>전기인입 및 수변전 설비공사</t>
    <phoneticPr fontId="2" type="noConversion"/>
  </si>
  <si>
    <t xml:space="preserve">기타공사 </t>
    <phoneticPr fontId="2" type="noConversion"/>
  </si>
  <si>
    <t>CATV 및 TV 설비공사</t>
    <phoneticPr fontId="2" type="noConversion"/>
  </si>
  <si>
    <t>CCTV설비공사</t>
    <phoneticPr fontId="2" type="noConversion"/>
  </si>
  <si>
    <t>옥외소화배관공사,펌프실배관공사,기타공사</t>
    <phoneticPr fontId="2" type="noConversion"/>
  </si>
  <si>
    <t>오수공사</t>
    <phoneticPr fontId="2" type="noConversion"/>
  </si>
  <si>
    <t>상수도공사,사급자재비,운반비</t>
    <phoneticPr fontId="2" type="noConversion"/>
  </si>
  <si>
    <t>포장공사,기타공사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</si>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</sst>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263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4890.3500000000004</v>
      </c>
      <c r="D7" s="36">
        <f>+C7/3.3058</f>
        <v>1479.3242180410189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208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264</v>
      </c>
    </row>
    <row r="19" spans="1:5" x14ac:dyDescent="0.3">
      <c r="A19" s="2">
        <v>9</v>
      </c>
      <c r="B19" s="2" t="s">
        <v>265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0</v>
      </c>
      <c r="E24" s="58">
        <f t="shared" ref="E24:E33" si="0">TRUNC(+D24*3.3058,-1)</f>
        <v>0</v>
      </c>
    </row>
    <row r="25" spans="1:5" x14ac:dyDescent="0.3">
      <c r="B25" s="2">
        <v>2</v>
      </c>
      <c r="C25" s="35" t="s">
        <v>111</v>
      </c>
      <c r="D25" s="45">
        <f>+D60</f>
        <v>1059600</v>
      </c>
      <c r="E25" s="59">
        <f t="shared" si="0"/>
        <v>3502820</v>
      </c>
    </row>
    <row r="26" spans="1:5" x14ac:dyDescent="0.3">
      <c r="B26" s="2">
        <v>3</v>
      </c>
      <c r="C26" s="35" t="s">
        <v>95</v>
      </c>
      <c r="D26" s="45">
        <f>+D66</f>
        <v>51120</v>
      </c>
      <c r="E26" s="59">
        <f t="shared" si="0"/>
        <v>168990</v>
      </c>
    </row>
    <row r="27" spans="1:5" x14ac:dyDescent="0.3">
      <c r="B27" s="2">
        <v>4</v>
      </c>
      <c r="C27" s="35" t="s">
        <v>96</v>
      </c>
      <c r="D27" s="45">
        <f>+D95</f>
        <v>149540</v>
      </c>
      <c r="E27" s="59">
        <f t="shared" si="0"/>
        <v>494340</v>
      </c>
    </row>
    <row r="28" spans="1:5" x14ac:dyDescent="0.3">
      <c r="B28" s="2">
        <v>5</v>
      </c>
      <c r="C28" s="35" t="s">
        <v>97</v>
      </c>
      <c r="D28" s="45">
        <f>+D119</f>
        <v>186040</v>
      </c>
      <c r="E28" s="59">
        <f t="shared" si="0"/>
        <v>615010</v>
      </c>
    </row>
    <row r="29" spans="1:5" x14ac:dyDescent="0.3">
      <c r="B29" s="2">
        <v>6</v>
      </c>
      <c r="C29" s="35" t="s">
        <v>98</v>
      </c>
      <c r="D29" s="45">
        <f>+D133</f>
        <v>110900</v>
      </c>
      <c r="E29" s="59">
        <f t="shared" si="0"/>
        <v>366610</v>
      </c>
    </row>
    <row r="30" spans="1:5" x14ac:dyDescent="0.3">
      <c r="B30" s="2">
        <v>7</v>
      </c>
      <c r="C30" s="35" t="s">
        <v>99</v>
      </c>
      <c r="D30" s="45">
        <f>+D146</f>
        <v>52170</v>
      </c>
      <c r="E30" s="59">
        <f t="shared" si="0"/>
        <v>172460</v>
      </c>
    </row>
    <row r="31" spans="1:5" x14ac:dyDescent="0.3">
      <c r="B31" s="2">
        <v>8</v>
      </c>
      <c r="C31" s="35" t="s">
        <v>100</v>
      </c>
      <c r="D31" s="45">
        <f>+D154</f>
        <v>15720</v>
      </c>
      <c r="E31" s="59">
        <f t="shared" si="0"/>
        <v>51960</v>
      </c>
    </row>
    <row r="32" spans="1:5" x14ac:dyDescent="0.3">
      <c r="B32" s="2">
        <v>9</v>
      </c>
      <c r="C32" s="35" t="s">
        <v>101</v>
      </c>
      <c r="D32" s="45">
        <f>+D161</f>
        <v>20680</v>
      </c>
      <c r="E32" s="59">
        <f t="shared" si="0"/>
        <v>68360</v>
      </c>
    </row>
    <row r="33" spans="1:7" x14ac:dyDescent="0.3">
      <c r="B33" s="2">
        <v>10</v>
      </c>
      <c r="C33" s="35" t="s">
        <v>154</v>
      </c>
      <c r="D33" s="53">
        <f>TRUNC(SUM(D24:D32)*0.275,-1)</f>
        <v>452580</v>
      </c>
      <c r="E33" s="60">
        <f t="shared" si="0"/>
        <v>1496130</v>
      </c>
    </row>
    <row r="34" spans="1:7" x14ac:dyDescent="0.3">
      <c r="C34" s="35" t="s">
        <v>112</v>
      </c>
      <c r="D34" s="44">
        <f>SUM(D24:D33)</f>
        <v>2098350</v>
      </c>
      <c r="E34" s="44">
        <f>SUM(E24:E33)</f>
        <v>6936680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v>0</v>
      </c>
      <c r="E37" s="61">
        <f>TRUNC(+D37*3.3058,-1)</f>
        <v>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261</v>
      </c>
      <c r="E39" s="67" t="s">
        <v>262</v>
      </c>
      <c r="G39" s="68"/>
    </row>
    <row r="40" spans="1:7" x14ac:dyDescent="0.3">
      <c r="A40" s="2">
        <v>1</v>
      </c>
      <c r="C40" s="38" t="s">
        <v>15</v>
      </c>
      <c r="D40" s="40">
        <f>TRUNC(75389,-1)</f>
        <v>75380</v>
      </c>
      <c r="E40" s="62">
        <f t="shared" ref="E40:E59" si="1">TRUNC(+D40*3.3058,-1)</f>
        <v>249190</v>
      </c>
    </row>
    <row r="41" spans="1:7" x14ac:dyDescent="0.3">
      <c r="A41" s="2">
        <v>2</v>
      </c>
      <c r="C41" s="38" t="s">
        <v>13</v>
      </c>
      <c r="D41" s="42">
        <f>TRUNC(191876,-1)</f>
        <v>191870</v>
      </c>
      <c r="E41" s="63">
        <f t="shared" si="1"/>
        <v>634280</v>
      </c>
    </row>
    <row r="42" spans="1:7" x14ac:dyDescent="0.3">
      <c r="A42" s="2">
        <v>3</v>
      </c>
      <c r="C42" s="38" t="s">
        <v>14</v>
      </c>
      <c r="D42" s="42">
        <v>0</v>
      </c>
      <c r="E42" s="63">
        <f t="shared" si="1"/>
        <v>0</v>
      </c>
    </row>
    <row r="43" spans="1:7" x14ac:dyDescent="0.3">
      <c r="A43" s="2">
        <v>4</v>
      </c>
      <c r="C43" s="38" t="s">
        <v>16</v>
      </c>
      <c r="D43" s="42">
        <f>TRUNC(9715,-1)</f>
        <v>9710</v>
      </c>
      <c r="E43" s="63">
        <f t="shared" si="1"/>
        <v>32090</v>
      </c>
    </row>
    <row r="44" spans="1:7" x14ac:dyDescent="0.3">
      <c r="A44" s="2">
        <v>5</v>
      </c>
      <c r="C44" s="38" t="s">
        <v>17</v>
      </c>
      <c r="D44" s="42">
        <f>TRUNC(34127,-1)</f>
        <v>34120</v>
      </c>
      <c r="E44" s="63">
        <f t="shared" si="1"/>
        <v>112790</v>
      </c>
    </row>
    <row r="45" spans="1:7" x14ac:dyDescent="0.3">
      <c r="A45" s="2">
        <v>6</v>
      </c>
      <c r="C45" s="38" t="s">
        <v>18</v>
      </c>
      <c r="D45" s="42">
        <f>TRUNC(12795,-1)</f>
        <v>12790</v>
      </c>
      <c r="E45" s="63">
        <f t="shared" si="1"/>
        <v>42280</v>
      </c>
    </row>
    <row r="46" spans="1:7" x14ac:dyDescent="0.3">
      <c r="A46" s="2">
        <v>7</v>
      </c>
      <c r="C46" s="38" t="s">
        <v>19</v>
      </c>
      <c r="D46" s="42">
        <f>TRUNC(28923,-1)</f>
        <v>28920</v>
      </c>
      <c r="E46" s="63">
        <f t="shared" si="1"/>
        <v>95600</v>
      </c>
    </row>
    <row r="47" spans="1:7" x14ac:dyDescent="0.3">
      <c r="A47" s="2">
        <v>8</v>
      </c>
      <c r="C47" s="38" t="s">
        <v>20</v>
      </c>
      <c r="D47" s="42">
        <v>0</v>
      </c>
      <c r="E47" s="63">
        <f t="shared" si="1"/>
        <v>0</v>
      </c>
    </row>
    <row r="48" spans="1:7" x14ac:dyDescent="0.3">
      <c r="A48" s="2">
        <v>9</v>
      </c>
      <c r="C48" s="38" t="s">
        <v>21</v>
      </c>
      <c r="D48" s="42">
        <f>TRUNC(37064,-1)</f>
        <v>37060</v>
      </c>
      <c r="E48" s="63">
        <f t="shared" si="1"/>
        <v>122510</v>
      </c>
    </row>
    <row r="49" spans="1:7" x14ac:dyDescent="0.3">
      <c r="A49" s="2">
        <v>10</v>
      </c>
      <c r="C49" s="38" t="s">
        <v>22</v>
      </c>
      <c r="D49" s="42">
        <f>TRUNC(21248,-1)</f>
        <v>21240</v>
      </c>
      <c r="E49" s="63">
        <f t="shared" si="1"/>
        <v>70210</v>
      </c>
    </row>
    <row r="50" spans="1:7" x14ac:dyDescent="0.3">
      <c r="A50" s="2">
        <v>11</v>
      </c>
      <c r="C50" s="38" t="s">
        <v>155</v>
      </c>
      <c r="D50" s="42">
        <f>TRUNC(51628,-1)</f>
        <v>51620</v>
      </c>
      <c r="E50" s="63">
        <f t="shared" si="1"/>
        <v>170640</v>
      </c>
    </row>
    <row r="51" spans="1:7" x14ac:dyDescent="0.3">
      <c r="A51" s="2">
        <v>12</v>
      </c>
      <c r="C51" s="38" t="s">
        <v>23</v>
      </c>
      <c r="D51" s="42">
        <v>0</v>
      </c>
      <c r="E51" s="63">
        <f t="shared" si="1"/>
        <v>0</v>
      </c>
    </row>
    <row r="52" spans="1:7" x14ac:dyDescent="0.3">
      <c r="A52" s="2">
        <v>13</v>
      </c>
      <c r="C52" s="38" t="s">
        <v>24</v>
      </c>
      <c r="D52" s="42">
        <f>TRUNC(7193,-1)</f>
        <v>7190</v>
      </c>
      <c r="E52" s="63">
        <f t="shared" si="1"/>
        <v>23760</v>
      </c>
    </row>
    <row r="53" spans="1:7" x14ac:dyDescent="0.3">
      <c r="A53" s="2">
        <v>14</v>
      </c>
      <c r="C53" s="38" t="s">
        <v>25</v>
      </c>
      <c r="D53" s="42">
        <f>TRUNC(52564,-1)</f>
        <v>52560</v>
      </c>
      <c r="E53" s="63">
        <f t="shared" si="1"/>
        <v>173750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v>0</v>
      </c>
      <c r="E55" s="63">
        <f t="shared" si="1"/>
        <v>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TRUNC(263+6270-952+1302+21132,-1)</f>
        <v>28010</v>
      </c>
      <c r="E58" s="63">
        <f t="shared" si="1"/>
        <v>92590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TRUNC(509135,-1)</f>
        <v>509130</v>
      </c>
      <c r="E59" s="64">
        <f t="shared" si="1"/>
        <v>1683080</v>
      </c>
    </row>
    <row r="60" spans="1:7" x14ac:dyDescent="0.3">
      <c r="A60" s="2">
        <v>21</v>
      </c>
      <c r="C60" s="27" t="s">
        <v>112</v>
      </c>
      <c r="D60" s="39">
        <f>SUM(D40:D59)</f>
        <v>1059600</v>
      </c>
      <c r="E60" s="39">
        <f>SUM(E40:E59)</f>
        <v>3502770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f>TRUNC(51122,-1)</f>
        <v>51120</v>
      </c>
      <c r="E63" s="62">
        <f>TRUNC(+D63*3.3058,-1)</f>
        <v>168990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51120</v>
      </c>
      <c r="E66" s="65">
        <f>SUM(E63:E65)</f>
        <v>168990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TRUNC(14585,-1)</f>
        <v>14580</v>
      </c>
      <c r="E69" s="62">
        <f t="shared" ref="E69:E94" si="2">TRUNC(+D69*3.3058,-1)</f>
        <v>48190</v>
      </c>
    </row>
    <row r="70" spans="1:7" ht="16.5" customHeight="1" x14ac:dyDescent="0.3">
      <c r="A70" s="2">
        <v>2</v>
      </c>
      <c r="C70" s="38" t="s">
        <v>31</v>
      </c>
      <c r="D70" s="42">
        <f>TRUNC(1849,-1)</f>
        <v>1840</v>
      </c>
      <c r="E70" s="63">
        <f t="shared" si="2"/>
        <v>6080</v>
      </c>
    </row>
    <row r="71" spans="1:7" x14ac:dyDescent="0.3">
      <c r="A71" s="2">
        <v>3</v>
      </c>
      <c r="C71" s="38" t="s">
        <v>32</v>
      </c>
      <c r="D71" s="42">
        <f>TRUNC(21651,-1)</f>
        <v>21650</v>
      </c>
      <c r="E71" s="63">
        <f t="shared" si="2"/>
        <v>71570</v>
      </c>
    </row>
    <row r="72" spans="1:7" x14ac:dyDescent="0.3">
      <c r="A72" s="2">
        <v>4</v>
      </c>
      <c r="C72" s="38" t="s">
        <v>33</v>
      </c>
      <c r="D72" s="42">
        <f>TRUNC(2447,-1)</f>
        <v>2440</v>
      </c>
      <c r="E72" s="63">
        <f t="shared" si="2"/>
        <v>8060</v>
      </c>
    </row>
    <row r="73" spans="1:7" x14ac:dyDescent="0.3">
      <c r="A73" s="2">
        <v>5</v>
      </c>
      <c r="C73" s="38" t="s">
        <v>34</v>
      </c>
      <c r="D73" s="42">
        <f>TRUNC(17513,-1)</f>
        <v>17510</v>
      </c>
      <c r="E73" s="63">
        <f t="shared" si="2"/>
        <v>57880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v>0</v>
      </c>
      <c r="E75" s="63">
        <f t="shared" si="2"/>
        <v>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f>TRUNC(15641,-1)</f>
        <v>15640</v>
      </c>
      <c r="E89" s="63">
        <f t="shared" si="2"/>
        <v>51700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f>TRUNC(9148,-1)</f>
        <v>9140</v>
      </c>
      <c r="E91" s="63">
        <f t="shared" si="2"/>
        <v>30210</v>
      </c>
    </row>
    <row r="92" spans="1:7" x14ac:dyDescent="0.3">
      <c r="A92" s="2">
        <v>24</v>
      </c>
      <c r="C92" s="38" t="s">
        <v>38</v>
      </c>
      <c r="D92" s="42">
        <f>TRUNC(8283,-1)</f>
        <v>8280</v>
      </c>
      <c r="E92" s="63">
        <f t="shared" si="2"/>
        <v>27370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TRUNC(32739+398+25328,-1)</f>
        <v>58460</v>
      </c>
      <c r="E94" s="64">
        <f t="shared" si="2"/>
        <v>193250</v>
      </c>
      <c r="F94" s="2" t="s">
        <v>252</v>
      </c>
    </row>
    <row r="95" spans="1:7" x14ac:dyDescent="0.3">
      <c r="A95" s="2">
        <v>27</v>
      </c>
      <c r="C95" s="27" t="s">
        <v>112</v>
      </c>
      <c r="D95" s="39">
        <f>SUM(D69:D94)</f>
        <v>149540</v>
      </c>
      <c r="E95" s="39">
        <f>SUM(E69:E94)</f>
        <v>494310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TRUNC(13342,-1)</f>
        <v>13340</v>
      </c>
      <c r="E98" s="62">
        <f t="shared" ref="E98:E118" si="3">TRUNC(+D98*3.3058,-1)</f>
        <v>44090</v>
      </c>
    </row>
    <row r="99" spans="1:7" x14ac:dyDescent="0.3">
      <c r="A99" s="2">
        <v>2</v>
      </c>
      <c r="C99" s="38" t="s">
        <v>40</v>
      </c>
      <c r="D99" s="42">
        <f>TRUNC(16716,-1)</f>
        <v>16710</v>
      </c>
      <c r="E99" s="63">
        <f t="shared" si="3"/>
        <v>55230</v>
      </c>
    </row>
    <row r="100" spans="1:7" x14ac:dyDescent="0.3">
      <c r="A100" s="2">
        <v>3</v>
      </c>
      <c r="C100" s="38" t="s">
        <v>41</v>
      </c>
      <c r="D100" s="42">
        <f>TRUNC(41094,-1)</f>
        <v>41090</v>
      </c>
      <c r="E100" s="63">
        <f t="shared" si="3"/>
        <v>135830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TRUNC(22339,-1)</f>
        <v>22330</v>
      </c>
      <c r="E102" s="63">
        <f t="shared" si="3"/>
        <v>73810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TRUNC(14048,-1)</f>
        <v>14040</v>
      </c>
      <c r="E104" s="63">
        <f t="shared" si="3"/>
        <v>46410</v>
      </c>
    </row>
    <row r="105" spans="1:7" x14ac:dyDescent="0.3">
      <c r="A105" s="2">
        <v>8</v>
      </c>
      <c r="C105" s="38" t="s">
        <v>46</v>
      </c>
      <c r="D105" s="42">
        <f>TRUNC(5022,-1)</f>
        <v>5020</v>
      </c>
      <c r="E105" s="63">
        <f t="shared" si="3"/>
        <v>16590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TRUNC(4694,-1)</f>
        <v>4690</v>
      </c>
      <c r="E114" s="63">
        <f t="shared" si="3"/>
        <v>15500</v>
      </c>
    </row>
    <row r="115" spans="1:7" x14ac:dyDescent="0.3">
      <c r="A115" s="2">
        <v>18</v>
      </c>
      <c r="C115" s="38" t="s">
        <v>116</v>
      </c>
      <c r="D115" s="42">
        <v>0</v>
      </c>
      <c r="E115" s="63">
        <f t="shared" si="3"/>
        <v>0</v>
      </c>
    </row>
    <row r="116" spans="1:7" x14ac:dyDescent="0.3">
      <c r="A116" s="2">
        <v>19</v>
      </c>
      <c r="C116" s="38" t="s">
        <v>115</v>
      </c>
      <c r="D116" s="42">
        <f>TRUNC(3514,-1)</f>
        <v>3510</v>
      </c>
      <c r="E116" s="63">
        <f t="shared" si="3"/>
        <v>11600</v>
      </c>
      <c r="F116" s="2" t="s">
        <v>253</v>
      </c>
    </row>
    <row r="117" spans="1:7" x14ac:dyDescent="0.3">
      <c r="A117" s="2">
        <v>20</v>
      </c>
      <c r="C117" s="38" t="s">
        <v>148</v>
      </c>
      <c r="D117" s="42">
        <f>TRUNC(64922,-1)</f>
        <v>64920</v>
      </c>
      <c r="E117" s="63">
        <f t="shared" si="3"/>
        <v>214610</v>
      </c>
    </row>
    <row r="118" spans="1:7" ht="17.25" thickBot="1" x14ac:dyDescent="0.35">
      <c r="A118" s="2">
        <v>21</v>
      </c>
      <c r="C118" s="38" t="s">
        <v>47</v>
      </c>
      <c r="D118" s="43">
        <f>TRUNC(399,-1)</f>
        <v>390</v>
      </c>
      <c r="E118" s="64">
        <f t="shared" si="3"/>
        <v>1280</v>
      </c>
      <c r="F118" s="2" t="s">
        <v>254</v>
      </c>
    </row>
    <row r="119" spans="1:7" x14ac:dyDescent="0.3">
      <c r="A119" s="2">
        <v>22</v>
      </c>
      <c r="C119" s="27" t="s">
        <v>112</v>
      </c>
      <c r="D119" s="39">
        <f>SUM(D98:D118)</f>
        <v>186040</v>
      </c>
      <c r="E119" s="39">
        <f>SUM(E98:E118)</f>
        <v>614950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TRUNC(5333,-1)</f>
        <v>5330</v>
      </c>
      <c r="E122" s="62">
        <f t="shared" ref="E122:E132" si="4">TRUNC(+D122*3.3058,-1)</f>
        <v>17610</v>
      </c>
      <c r="F122" s="2" t="s">
        <v>255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TRUNC(3599,-1)</f>
        <v>3590</v>
      </c>
      <c r="E124" s="63">
        <f t="shared" si="4"/>
        <v>11860</v>
      </c>
    </row>
    <row r="125" spans="1:7" x14ac:dyDescent="0.3">
      <c r="A125" s="2">
        <v>4</v>
      </c>
      <c r="C125" s="38" t="s">
        <v>138</v>
      </c>
      <c r="D125" s="42">
        <f>TRUNC(7909,-1)</f>
        <v>7900</v>
      </c>
      <c r="E125" s="63">
        <f t="shared" si="4"/>
        <v>26110</v>
      </c>
    </row>
    <row r="126" spans="1:7" x14ac:dyDescent="0.3">
      <c r="A126" s="2">
        <v>5</v>
      </c>
      <c r="C126" s="38" t="s">
        <v>53</v>
      </c>
      <c r="D126" s="42">
        <f>TRUNC(5930,-1)</f>
        <v>5930</v>
      </c>
      <c r="E126" s="63">
        <f t="shared" si="4"/>
        <v>19600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TRUNC(5646,-1)</f>
        <v>5640</v>
      </c>
      <c r="E128" s="63">
        <f t="shared" si="4"/>
        <v>18640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TRUNC(30653,-1)</f>
        <v>30650</v>
      </c>
      <c r="E130" s="63">
        <f t="shared" si="4"/>
        <v>101320</v>
      </c>
    </row>
    <row r="131" spans="1:7" x14ac:dyDescent="0.3">
      <c r="A131" s="2">
        <v>10</v>
      </c>
      <c r="C131" s="38" t="s">
        <v>148</v>
      </c>
      <c r="D131" s="42">
        <f>TRUNC(50370,-1)</f>
        <v>50370</v>
      </c>
      <c r="E131" s="63">
        <f t="shared" si="4"/>
        <v>166510</v>
      </c>
    </row>
    <row r="132" spans="1:7" ht="18" thickBot="1" x14ac:dyDescent="0.35">
      <c r="A132" s="2">
        <v>11</v>
      </c>
      <c r="C132" s="38" t="s">
        <v>47</v>
      </c>
      <c r="D132" s="43">
        <f>TRUNC(1495,-1)</f>
        <v>1490</v>
      </c>
      <c r="E132" s="64">
        <f t="shared" si="4"/>
        <v>4920</v>
      </c>
      <c r="F132" s="54" t="s">
        <v>256</v>
      </c>
    </row>
    <row r="133" spans="1:7" x14ac:dyDescent="0.3">
      <c r="A133" s="2">
        <v>12</v>
      </c>
      <c r="C133" s="27" t="s">
        <v>112</v>
      </c>
      <c r="D133" s="39">
        <f>SUM(D122:D132)</f>
        <v>110900</v>
      </c>
      <c r="E133" s="39">
        <f>SUM(E122:E132)</f>
        <v>366570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TRUNC(352+5666+1282,-1)</f>
        <v>7300</v>
      </c>
      <c r="E137" s="63">
        <f t="shared" si="5"/>
        <v>24130</v>
      </c>
      <c r="F137" s="2" t="s">
        <v>257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f>TRUNC(1551,-1)</f>
        <v>1550</v>
      </c>
      <c r="E139" s="63">
        <f t="shared" si="5"/>
        <v>5120</v>
      </c>
    </row>
    <row r="140" spans="1:7" x14ac:dyDescent="0.3">
      <c r="A140" s="2">
        <v>5</v>
      </c>
      <c r="C140" s="38" t="s">
        <v>57</v>
      </c>
      <c r="D140" s="42">
        <f>TRUNC(1965,-1)</f>
        <v>1960</v>
      </c>
      <c r="E140" s="63">
        <f t="shared" si="5"/>
        <v>6470</v>
      </c>
    </row>
    <row r="141" spans="1:7" x14ac:dyDescent="0.3">
      <c r="A141" s="2">
        <v>6</v>
      </c>
      <c r="C141" s="38" t="s">
        <v>59</v>
      </c>
      <c r="D141" s="42">
        <f>TRUNC(7951,-1)</f>
        <v>7950</v>
      </c>
      <c r="E141" s="63">
        <f t="shared" si="5"/>
        <v>26280</v>
      </c>
    </row>
    <row r="142" spans="1:7" x14ac:dyDescent="0.3">
      <c r="A142" s="2">
        <v>7</v>
      </c>
      <c r="C142" s="38" t="s">
        <v>58</v>
      </c>
      <c r="D142" s="42">
        <f>TRUNC(3341,-1)</f>
        <v>3340</v>
      </c>
      <c r="E142" s="63">
        <f t="shared" si="5"/>
        <v>11040</v>
      </c>
    </row>
    <row r="143" spans="1:7" x14ac:dyDescent="0.3">
      <c r="A143" s="2">
        <v>8</v>
      </c>
      <c r="C143" s="38" t="s">
        <v>62</v>
      </c>
      <c r="D143" s="42">
        <f>TRUNC(11350,-1)</f>
        <v>11350</v>
      </c>
      <c r="E143" s="63">
        <f t="shared" si="5"/>
        <v>37520</v>
      </c>
    </row>
    <row r="144" spans="1:7" x14ac:dyDescent="0.3">
      <c r="A144" s="2">
        <v>9</v>
      </c>
      <c r="C144" s="38" t="s">
        <v>63</v>
      </c>
      <c r="D144" s="42">
        <f>TRUNC(18720,-1)</f>
        <v>18720</v>
      </c>
      <c r="E144" s="63">
        <f t="shared" si="5"/>
        <v>61880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52170</v>
      </c>
      <c r="E146" s="39">
        <f>SUM(E136:E145)</f>
        <v>172440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f>TRUNC(796,-1)</f>
        <v>790</v>
      </c>
      <c r="E149" s="62">
        <f>TRUNC(+D149*3.3058,-1)</f>
        <v>2610</v>
      </c>
      <c r="F149" s="2" t="s">
        <v>258</v>
      </c>
    </row>
    <row r="150" spans="1:7" x14ac:dyDescent="0.3">
      <c r="A150" s="2">
        <v>2</v>
      </c>
      <c r="C150" s="38" t="s">
        <v>49</v>
      </c>
      <c r="D150" s="42">
        <f>TRUNC(9826,-1)</f>
        <v>9820</v>
      </c>
      <c r="E150" s="63">
        <f>TRUNC(+D150*3.3058,-1)</f>
        <v>32460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TRUNC(720+4224+173,-1)</f>
        <v>5110</v>
      </c>
      <c r="E152" s="63">
        <f>TRUNC(+D152*3.3058,-1)</f>
        <v>16890</v>
      </c>
      <c r="F152" s="2" t="s">
        <v>259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15720</v>
      </c>
      <c r="E154" s="39">
        <f>SUM(E149:E153)</f>
        <v>51960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f>TRUNC(9767,-1)</f>
        <v>9760</v>
      </c>
      <c r="E158" s="63">
        <f>TRUNC(+D158*3.3058,-1)</f>
        <v>32260</v>
      </c>
    </row>
    <row r="159" spans="1:7" x14ac:dyDescent="0.3">
      <c r="A159" s="2">
        <v>3</v>
      </c>
      <c r="C159" s="38" t="s">
        <v>47</v>
      </c>
      <c r="D159" s="42">
        <f>TRUNC(8902+2022,-1)</f>
        <v>10920</v>
      </c>
      <c r="E159" s="63">
        <f>TRUNC(+D159*3.3058,-1)</f>
        <v>36090</v>
      </c>
      <c r="F159" s="2" t="s">
        <v>260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20680</v>
      </c>
      <c r="E161" s="39">
        <f>SUM(E157:E160)</f>
        <v>68350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2020-12-08T02:23:33Z</dcterms:modified>
</cp:coreProperties>
</file>