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4" i="4"/>
  <c r="D117" i="4"/>
  <c r="D131" i="4"/>
  <c r="D153" i="4"/>
  <c r="D160" i="4"/>
  <c r="D159" i="4"/>
  <c r="D158" i="4"/>
  <c r="D157" i="4"/>
  <c r="D152" i="4"/>
  <c r="D150" i="4"/>
  <c r="D149" i="4"/>
  <c r="D142" i="4"/>
  <c r="D140" i="4"/>
  <c r="D137" i="4"/>
  <c r="D128" i="4"/>
  <c r="D125" i="4"/>
  <c r="D122" i="4"/>
  <c r="D130" i="4"/>
  <c r="D126" i="4"/>
  <c r="D105" i="4"/>
  <c r="D103" i="4"/>
  <c r="D102" i="4"/>
  <c r="D100" i="4"/>
  <c r="D99" i="4"/>
  <c r="D114" i="4"/>
  <c r="D98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<sst xmlns="http://schemas.openxmlformats.org/spreadsheetml/2006/main" count="391" uniqueCount="266">
  <si>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</si>
  <si>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</si>
  <si>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</si>
  <si>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</si>
  <si>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</si>
  <si>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</si>
  <si>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</si>
  <si>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</si>
  <si>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</si>
  <si>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</si>
  <si>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</si>
  <si>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</si>
  <si>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</si>
  <si>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</si>
  <si>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</si>
  <si>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</si>
  <si>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</si>
  <si>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</si>
  <si>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</si>
  <si>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</si>
  <si>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</si>
  <si>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</si>
  <si>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</si>
  <si>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</si>
  <si>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</si>
  <si>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</si>
  <si>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</si>
  <si>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</si>
  <si>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</si>
  <si>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</si>
  <si>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</si>
  <si>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</si>
  <si>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</si>
  <si>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</si>
  <si>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</si>
  <si>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</si>
  <si>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</si>
  <si>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</si>
  <si>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</si>
  <si>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</si>
  <si>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</si>
  <si>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</si>
  <si>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</si>
  <si>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</si>
  <si>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</si>
  <si>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</si>
  <si>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</si>
  <si>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</si>
  <si>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</si>
  <si>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</si>
  <si>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</si>
  <si>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</si>
  <si>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</si>
  <si>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</si>
  <si>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</si>
  <si>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</si>
  <si>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</si>
  <si>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</si>
  <si>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</si>
  <si>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</si>
  <si>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</si>
  <si>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</si>
  <si>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</si>
  <si>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</si>
  <si>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</si>
  <si>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</si>
  <si>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</si>
  <si>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</si>
  <si>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</si>
  <si>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</si>
  <si>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</si>
  <si>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</si>
  <si>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</si>
  <si>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</si>
  <si>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</si>
  <si>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</si>
  <si>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</si>
  <si>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</si>
  <si>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</si>
  <si>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</si>
  <si>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</si>
  <si>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</si>
  <si>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</si>
  <si>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</si>
  <si>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</si>
  <si>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</si>
  <si>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</si>
  <si>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</si>
  <si>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</si>
  <si>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</si>
  <si>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</si>
  <si>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</si>
  <si>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</si>
  <si>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</si>
  <si>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</si>
  <si>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</si>
  <si>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</si>
  <si>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</si>
  <si>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</si>
  <si>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</si>
  <si>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</si>
  <si>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</si>
  <si>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</si>
  <si>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</si>
  <si>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</si>
  <si>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</si>
  <si>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</si>
  <si>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</si>
  <si>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</si>
  <si>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</si>
  <si>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</si>
  <si>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</si>
  <si>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</si>
  <si>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</si>
  <si>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</si>
  <si>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</si>
  <si>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</si>
  <si>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</si>
  <si>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</si>
  <si>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</si>
  <si>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</si>
  <si>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</si>
  <si>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</si>
  <si>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</si>
  <si>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</si>
  <si>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</si>
  <si>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</si>
  <si>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</si>
  <si>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</si>
  <si>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</si>
  <si>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</si>
  <si>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</si>
  <si>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</si>
  <si>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</si>
  <si>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</si>
  <si>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</si>
  <si>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</si>
  <si>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</si>
  <si>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</si>
  <si>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</si>
  <si>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</si>
  <si>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</si>
  <si>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</si>
  <si>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</si>
  <si>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</si>
  <si>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</si>
  <si>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</si>
  <si>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</si>
  <si>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</si>
  <si>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</si>
  <si>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</si>
  <si>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</si>
  <si>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</si>
  <si>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</si>
  <si>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</si>
  <si>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</si>
  <si>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</si>
  <si>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</si>
  <si>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</si>
  <si>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</si>
  <si>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</si>
  <si>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</si>
  <si>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</si>
  <si>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</si>
  <si>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</si>
  <si>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</si>
  <si>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</si>
  <si>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</si>
  <si>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</si>
  <si>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</si>
  <si>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</si>
  <si>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</si>
  <si>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</si>
  <si>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</si>
  <si>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</si>
  <si>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</si>
  <si>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</si>
  <si>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</si>
  <si>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</si>
  <si>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</si>
  <si>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</si>
  <si>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</si>
  <si>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</si>
  <si>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</si>
  <si>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</si>
  <si>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</si>
  <si>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</si>
  <si>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</si>
  <si>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</si>
  <si>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</si>
  <si>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</si>
  <si>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</si>
  <si>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</si>
  <si>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</si>
  <si>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</si>
  <si>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</si>
  <si>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</si>
  <si>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</si>
  <si>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</si>
  <si>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</si>
  <si>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</si>
  <si>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</si>
  <si>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</si>
  <si>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</si>
  <si>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</si>
  <si>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</si>
  <si>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</si>
  <si>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</si>
  <si>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</si>
  <si>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</si>
  <si>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</si>
  <si>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</si>
  <si>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</si>
  <si>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</si>
  <si>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</si>
  <si>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</si>
  <si>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</si>
  <si>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</si>
  <si>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</si>
  <si>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</si>
  <si>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</si>
  <si>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</si>
  <si>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</si>
  <si>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</si>
  <si>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</si>
  <si>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</si>
  <si>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</si>
  <si>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</si>
  <si>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</si>
  <si>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</si>
  <si>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</si>
  <si>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</si>
  <si>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</si>
  <si>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</si>
  <si>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</si>
  <si>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</si>
  <si>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</si>
  <si>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</si>
  <si>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</si>
  <si>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</si>
  <si>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</si>
  <si>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</si>
  <si>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</si>
  <si>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</si>
  <si>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</si>
  <si>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</si>
  <si>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</si>
  <si>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</si>
  <si>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광주청소년비행예방센터 등 신축공사</t>
    <phoneticPr fontId="2" type="noConversion"/>
  </si>
  <si>
    <t>교육연구</t>
  </si>
  <si>
    <t>광주시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</si>
  <si>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</si>
  <si>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</si>
  <si>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</si>
  <si>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해체및철거공사,골재비및운반비,기타공사</t>
    <phoneticPr fontId="2" type="noConversion"/>
  </si>
  <si>
    <t>CATV 및 TV 설비공사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</si>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</sst>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4347</v>
      </c>
      <c r="D7" s="36">
        <f>+C7/3.3058</f>
        <v>1314.961582672878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974600</v>
      </c>
      <c r="E25" s="59">
        <f t="shared" si="0"/>
        <v>3221830</v>
      </c>
    </row>
    <row r="26" spans="1:5" x14ac:dyDescent="0.3">
      <c r="B26" s="2">
        <v>3</v>
      </c>
      <c r="C26" s="35" t="s">
        <v>95</v>
      </c>
      <c r="D26" s="45">
        <f>+D66</f>
        <v>10970</v>
      </c>
      <c r="E26" s="59">
        <f t="shared" si="0"/>
        <v>36260</v>
      </c>
    </row>
    <row r="27" spans="1:5" x14ac:dyDescent="0.3">
      <c r="B27" s="2">
        <v>4</v>
      </c>
      <c r="C27" s="35" t="s">
        <v>96</v>
      </c>
      <c r="D27" s="45">
        <f>+D95</f>
        <v>145220</v>
      </c>
      <c r="E27" s="59">
        <f t="shared" si="0"/>
        <v>480060</v>
      </c>
    </row>
    <row r="28" spans="1:5" x14ac:dyDescent="0.3">
      <c r="B28" s="2">
        <v>5</v>
      </c>
      <c r="C28" s="35" t="s">
        <v>97</v>
      </c>
      <c r="D28" s="45">
        <f>+D119</f>
        <v>186870</v>
      </c>
      <c r="E28" s="59">
        <f t="shared" si="0"/>
        <v>617750</v>
      </c>
    </row>
    <row r="29" spans="1:5" x14ac:dyDescent="0.3">
      <c r="B29" s="2">
        <v>6</v>
      </c>
      <c r="C29" s="35" t="s">
        <v>98</v>
      </c>
      <c r="D29" s="45">
        <f>+D133</f>
        <v>33420</v>
      </c>
      <c r="E29" s="59">
        <f t="shared" si="0"/>
        <v>110470</v>
      </c>
    </row>
    <row r="30" spans="1:5" x14ac:dyDescent="0.3">
      <c r="B30" s="2">
        <v>7</v>
      </c>
      <c r="C30" s="35" t="s">
        <v>99</v>
      </c>
      <c r="D30" s="45">
        <f>+D146</f>
        <v>24310</v>
      </c>
      <c r="E30" s="59">
        <f t="shared" si="0"/>
        <v>80360</v>
      </c>
    </row>
    <row r="31" spans="1:5" x14ac:dyDescent="0.3">
      <c r="B31" s="2">
        <v>8</v>
      </c>
      <c r="C31" s="35" t="s">
        <v>100</v>
      </c>
      <c r="D31" s="45">
        <f>+D154</f>
        <v>62170</v>
      </c>
      <c r="E31" s="59">
        <f t="shared" si="0"/>
        <v>205520</v>
      </c>
    </row>
    <row r="32" spans="1:5" x14ac:dyDescent="0.3">
      <c r="B32" s="2">
        <v>9</v>
      </c>
      <c r="C32" s="35" t="s">
        <v>101</v>
      </c>
      <c r="D32" s="45">
        <f>+D161</f>
        <v>70730</v>
      </c>
      <c r="E32" s="59">
        <f t="shared" si="0"/>
        <v>233810</v>
      </c>
    </row>
    <row r="33" spans="1:7" x14ac:dyDescent="0.3">
      <c r="B33" s="2">
        <v>10</v>
      </c>
      <c r="C33" s="35" t="s">
        <v>154</v>
      </c>
      <c r="D33" s="53">
        <f>TRUNC(SUM(D24:D32)*0.275,-1)</f>
        <v>414770</v>
      </c>
      <c r="E33" s="60">
        <f t="shared" si="0"/>
        <v>1371140</v>
      </c>
    </row>
    <row r="34" spans="1:7" x14ac:dyDescent="0.3">
      <c r="C34" s="35" t="s">
        <v>112</v>
      </c>
      <c r="D34" s="44">
        <f>SUM(D24:D33)</f>
        <v>1923060</v>
      </c>
      <c r="E34" s="44">
        <f>SUM(E24:E33)</f>
        <v>6357200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TRUNC(69602,-1)</f>
        <v>69600</v>
      </c>
      <c r="E40" s="62">
        <f t="shared" ref="E40:E59" si="1">TRUNC(+D40*3.3058,-1)</f>
        <v>230080</v>
      </c>
    </row>
    <row r="41" spans="1:7" x14ac:dyDescent="0.3">
      <c r="A41" s="2">
        <v>2</v>
      </c>
      <c r="C41" s="38" t="s">
        <v>13</v>
      </c>
      <c r="D41" s="42">
        <f>TRUNC(193783,-1)</f>
        <v>193780</v>
      </c>
      <c r="E41" s="63">
        <f t="shared" si="1"/>
        <v>640590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TRUNC(30531,-1)</f>
        <v>30530</v>
      </c>
      <c r="E43" s="63">
        <f t="shared" si="1"/>
        <v>100920</v>
      </c>
    </row>
    <row r="44" spans="1:7" x14ac:dyDescent="0.3">
      <c r="A44" s="2">
        <v>5</v>
      </c>
      <c r="C44" s="38" t="s">
        <v>17</v>
      </c>
      <c r="D44" s="42">
        <f>TRUNC(34071,-1)</f>
        <v>34070</v>
      </c>
      <c r="E44" s="63">
        <f t="shared" si="1"/>
        <v>112620</v>
      </c>
    </row>
    <row r="45" spans="1:7" x14ac:dyDescent="0.3">
      <c r="A45" s="2">
        <v>6</v>
      </c>
      <c r="C45" s="38" t="s">
        <v>18</v>
      </c>
      <c r="D45" s="42">
        <f>TRUNC(10003,-1)</f>
        <v>10000</v>
      </c>
      <c r="E45" s="63">
        <f t="shared" si="1"/>
        <v>33050</v>
      </c>
    </row>
    <row r="46" spans="1:7" x14ac:dyDescent="0.3">
      <c r="A46" s="2">
        <v>7</v>
      </c>
      <c r="C46" s="38" t="s">
        <v>19</v>
      </c>
      <c r="D46" s="42">
        <f>TRUNC(62818,-1)</f>
        <v>62810</v>
      </c>
      <c r="E46" s="63">
        <f t="shared" si="1"/>
        <v>207630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TRUNC(36622,-1)</f>
        <v>36620</v>
      </c>
      <c r="E48" s="63">
        <f t="shared" si="1"/>
        <v>121050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TRUNC(32743,-1)</f>
        <v>32740</v>
      </c>
      <c r="E49" s="63">
        <f t="shared" si="1"/>
        <v>108230</v>
      </c>
    </row>
    <row r="50" spans="1:7" x14ac:dyDescent="0.3">
      <c r="A50" s="2">
        <v>11</v>
      </c>
      <c r="C50" s="38" t="s">
        <v>155</v>
      </c>
      <c r="D50" s="42">
        <f>TRUNC(64256,-1)</f>
        <v>64250</v>
      </c>
      <c r="E50" s="63">
        <f t="shared" si="1"/>
        <v>212390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TRUNC(11802,-1)</f>
        <v>11800</v>
      </c>
      <c r="E52" s="63">
        <f t="shared" si="1"/>
        <v>39000</v>
      </c>
    </row>
    <row r="53" spans="1:7" x14ac:dyDescent="0.3">
      <c r="A53" s="2">
        <v>14</v>
      </c>
      <c r="C53" s="38" t="s">
        <v>25</v>
      </c>
      <c r="D53" s="42">
        <f>TRUNC(58432,-1)</f>
        <v>58430</v>
      </c>
      <c r="E53" s="63">
        <f t="shared" si="1"/>
        <v>193150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TRUNC(33173+5859+8046,-1)</f>
        <v>47070</v>
      </c>
      <c r="E58" s="63">
        <f t="shared" si="1"/>
        <v>155600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TRUNC(322902,-1)</f>
        <v>322900</v>
      </c>
      <c r="E59" s="64">
        <f t="shared" si="1"/>
        <v>1067440</v>
      </c>
    </row>
    <row r="60" spans="1:7" x14ac:dyDescent="0.3">
      <c r="A60" s="2">
        <v>21</v>
      </c>
      <c r="C60" s="27" t="s">
        <v>112</v>
      </c>
      <c r="D60" s="39">
        <f>SUM(D40:D59)</f>
        <v>974600</v>
      </c>
      <c r="E60" s="39">
        <f>SUM(E40:E59)</f>
        <v>3221750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TRUNC(10977,-1)</f>
        <v>10970</v>
      </c>
      <c r="E63" s="62">
        <f>TRUNC(+D63*3.3058,-1)</f>
        <v>36260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10970</v>
      </c>
      <c r="E66" s="65">
        <f>SUM(E63:E65)</f>
        <v>36260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TRUNC(5399,-1)</f>
        <v>5390</v>
      </c>
      <c r="E69" s="62">
        <f t="shared" ref="E69:E94" si="2">TRUNC(+D69*3.3058,-1)</f>
        <v>17810</v>
      </c>
    </row>
    <row r="70" spans="1:7" ht="16.5" customHeight="1" x14ac:dyDescent="0.3">
      <c r="A70" s="2">
        <v>2</v>
      </c>
      <c r="C70" s="38" t="s">
        <v>31</v>
      </c>
      <c r="D70" s="42">
        <f>TRUNC(480,-1)</f>
        <v>480</v>
      </c>
      <c r="E70" s="63">
        <f t="shared" si="2"/>
        <v>1580</v>
      </c>
    </row>
    <row r="71" spans="1:7" x14ac:dyDescent="0.3">
      <c r="A71" s="2">
        <v>3</v>
      </c>
      <c r="C71" s="38" t="s">
        <v>32</v>
      </c>
      <c r="D71" s="42">
        <f>TRUNC(3047,-1)</f>
        <v>3040</v>
      </c>
      <c r="E71" s="63">
        <f t="shared" si="2"/>
        <v>10040</v>
      </c>
    </row>
    <row r="72" spans="1:7" x14ac:dyDescent="0.3">
      <c r="A72" s="2">
        <v>4</v>
      </c>
      <c r="C72" s="38" t="s">
        <v>33</v>
      </c>
      <c r="D72" s="42">
        <f>TRUNC(6453,-1)</f>
        <v>6450</v>
      </c>
      <c r="E72" s="63">
        <f t="shared" si="2"/>
        <v>21320</v>
      </c>
    </row>
    <row r="73" spans="1:7" x14ac:dyDescent="0.3">
      <c r="A73" s="2">
        <v>5</v>
      </c>
      <c r="C73" s="38" t="s">
        <v>34</v>
      </c>
      <c r="D73" s="42">
        <f>TRUNC(6282,-1)</f>
        <v>6280</v>
      </c>
      <c r="E73" s="63">
        <f t="shared" si="2"/>
        <v>20760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TRUNC(4079,-1)</f>
        <v>4070</v>
      </c>
      <c r="E89" s="63">
        <f t="shared" si="2"/>
        <v>13450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TRUNC(7850,-1)</f>
        <v>7850</v>
      </c>
      <c r="E91" s="63">
        <f t="shared" si="2"/>
        <v>25950</v>
      </c>
    </row>
    <row r="92" spans="1:7" x14ac:dyDescent="0.3">
      <c r="A92" s="2">
        <v>24</v>
      </c>
      <c r="C92" s="38" t="s">
        <v>38</v>
      </c>
      <c r="D92" s="42">
        <f>TRUNC(4622,-1)</f>
        <v>4620</v>
      </c>
      <c r="E92" s="63">
        <f t="shared" si="2"/>
        <v>15270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TRUNC(107044,-1)</f>
        <v>107040</v>
      </c>
      <c r="E94" s="64">
        <f t="shared" si="2"/>
        <v>353850</v>
      </c>
    </row>
    <row r="95" spans="1:7" x14ac:dyDescent="0.3">
      <c r="A95" s="2">
        <v>27</v>
      </c>
      <c r="C95" s="27" t="s">
        <v>112</v>
      </c>
      <c r="D95" s="39">
        <f>SUM(D69:D94)</f>
        <v>145220</v>
      </c>
      <c r="E95" s="39">
        <f>SUM(E69:E94)</f>
        <v>480030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TRUNC(15754,-1)</f>
        <v>15750</v>
      </c>
      <c r="E98" s="62">
        <f t="shared" ref="E98:E118" si="3">TRUNC(+D98*3.3058,-1)</f>
        <v>52060</v>
      </c>
    </row>
    <row r="99" spans="1:7" x14ac:dyDescent="0.3">
      <c r="A99" s="2">
        <v>2</v>
      </c>
      <c r="C99" s="38" t="s">
        <v>40</v>
      </c>
      <c r="D99" s="42">
        <f>TRUNC(5507,-1)</f>
        <v>5500</v>
      </c>
      <c r="E99" s="63">
        <f t="shared" si="3"/>
        <v>18180</v>
      </c>
    </row>
    <row r="100" spans="1:7" x14ac:dyDescent="0.3">
      <c r="A100" s="2">
        <v>3</v>
      </c>
      <c r="C100" s="38" t="s">
        <v>41</v>
      </c>
      <c r="D100" s="42">
        <f>TRUNC(27520,-1)</f>
        <v>27520</v>
      </c>
      <c r="E100" s="63">
        <f t="shared" si="3"/>
        <v>90970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TRUNC(9927,-1)</f>
        <v>9920</v>
      </c>
      <c r="E102" s="63">
        <f t="shared" si="3"/>
        <v>32790</v>
      </c>
    </row>
    <row r="103" spans="1:7" x14ac:dyDescent="0.3">
      <c r="A103" s="2">
        <v>6</v>
      </c>
      <c r="C103" s="38" t="s">
        <v>44</v>
      </c>
      <c r="D103" s="42">
        <f>TRUNC(4545,-1)</f>
        <v>4540</v>
      </c>
      <c r="E103" s="63">
        <f t="shared" si="3"/>
        <v>15000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TRUNC(3072,-1)</f>
        <v>3070</v>
      </c>
      <c r="E105" s="63">
        <f t="shared" si="3"/>
        <v>10140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TRUNC(6195,-1)</f>
        <v>6190</v>
      </c>
      <c r="E114" s="63">
        <f t="shared" si="3"/>
        <v>20460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TRUNC(114384,-1)</f>
        <v>114380</v>
      </c>
      <c r="E117" s="63">
        <f t="shared" si="3"/>
        <v>378110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186870</v>
      </c>
      <c r="E119" s="39">
        <f>SUM(E98:E118)</f>
        <v>617710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TRUNC(2863,-1)</f>
        <v>2860</v>
      </c>
      <c r="E122" s="62">
        <f t="shared" ref="E122:E132" si="4">TRUNC(+D122*3.3058,-1)</f>
        <v>9450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TRUNC(5786,-1)</f>
        <v>5780</v>
      </c>
      <c r="E125" s="63">
        <f t="shared" si="4"/>
        <v>19100</v>
      </c>
    </row>
    <row r="126" spans="1:7" x14ac:dyDescent="0.3">
      <c r="A126" s="2">
        <v>5</v>
      </c>
      <c r="C126" s="38" t="s">
        <v>53</v>
      </c>
      <c r="D126" s="42">
        <f>TRUNC(2168,-1)</f>
        <v>2160</v>
      </c>
      <c r="E126" s="63">
        <f t="shared" si="4"/>
        <v>7140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TRUNC(3230,-1)</f>
        <v>3230</v>
      </c>
      <c r="E128" s="63">
        <f t="shared" si="4"/>
        <v>10670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TRUNC(10417,-1)</f>
        <v>10410</v>
      </c>
      <c r="E130" s="63">
        <f t="shared" si="4"/>
        <v>34410</v>
      </c>
    </row>
    <row r="131" spans="1:7" x14ac:dyDescent="0.3">
      <c r="A131" s="2">
        <v>10</v>
      </c>
      <c r="C131" s="38" t="s">
        <v>148</v>
      </c>
      <c r="D131" s="42">
        <f>TRUNC(8986,-1)</f>
        <v>8980</v>
      </c>
      <c r="E131" s="63">
        <f t="shared" si="4"/>
        <v>29680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33420</v>
      </c>
      <c r="E133" s="39">
        <f>SUM(E122:E132)</f>
        <v>110450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TRUNC(262+1698,-1)</f>
        <v>1960</v>
      </c>
      <c r="E137" s="63">
        <f t="shared" si="5"/>
        <v>6470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TRUNC(21891,-1)</f>
        <v>21890</v>
      </c>
      <c r="E140" s="63">
        <f t="shared" si="5"/>
        <v>72360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TRUNC(461,-1)</f>
        <v>460</v>
      </c>
      <c r="E142" s="63">
        <f t="shared" si="5"/>
        <v>1520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24310</v>
      </c>
      <c r="E146" s="39">
        <f>SUM(E136:E145)</f>
        <v>80350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TRUNC(12679+3151,-1)</f>
        <v>15830</v>
      </c>
      <c r="E149" s="62">
        <f>TRUNC(+D149*3.3058,-1)</f>
        <v>52330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TRUNC(9255,-1)</f>
        <v>9250</v>
      </c>
      <c r="E150" s="63">
        <f>TRUNC(+D150*3.3058,-1)</f>
        <v>30570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TRUNC(175+6477,-1)</f>
        <v>6650</v>
      </c>
      <c r="E152" s="63">
        <f>TRUNC(+D152*3.3058,-1)</f>
        <v>21980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TRUNC(30447,-1)</f>
        <v>30440</v>
      </c>
      <c r="E153" s="64">
        <f>TRUNC(+D153*3.3058,-1)</f>
        <v>100620</v>
      </c>
    </row>
    <row r="154" spans="1:7" x14ac:dyDescent="0.3">
      <c r="A154" s="2">
        <v>6</v>
      </c>
      <c r="C154" s="27" t="s">
        <v>112</v>
      </c>
      <c r="D154" s="39">
        <f>SUM(D149:D153)</f>
        <v>62170</v>
      </c>
      <c r="E154" s="39">
        <f>SUM(E149:E153)</f>
        <v>205500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TRUNC(38042,-1)</f>
        <v>38040</v>
      </c>
      <c r="E157" s="62">
        <f>TRUNC(+D157*3.3058,-1)</f>
        <v>125750</v>
      </c>
    </row>
    <row r="158" spans="1:7" x14ac:dyDescent="0.3">
      <c r="A158" s="2">
        <v>2</v>
      </c>
      <c r="C158" s="38" t="s">
        <v>52</v>
      </c>
      <c r="D158" s="42">
        <f>TRUNC(9042,-1)</f>
        <v>9040</v>
      </c>
      <c r="E158" s="63">
        <f>TRUNC(+D158*3.3058,-1)</f>
        <v>29880</v>
      </c>
      <c r="F158" s="2" t="s">
        <v>259</v>
      </c>
    </row>
    <row r="159" spans="1:7" x14ac:dyDescent="0.3">
      <c r="A159" s="2">
        <v>3</v>
      </c>
      <c r="C159" s="38" t="s">
        <v>47</v>
      </c>
      <c r="D159" s="42">
        <f>TRUNC(5541+38,-1)</f>
        <v>5570</v>
      </c>
      <c r="E159" s="63">
        <f>TRUNC(+D159*3.3058,-1)</f>
        <v>18410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TRUNC(18089,-1)</f>
        <v>18080</v>
      </c>
      <c r="E160" s="64">
        <f>TRUNC(+D160*3.3058,-1)</f>
        <v>59760</v>
      </c>
    </row>
    <row r="161" spans="1:5" x14ac:dyDescent="0.3">
      <c r="A161" s="2">
        <v>5</v>
      </c>
      <c r="C161" s="27" t="s">
        <v>112</v>
      </c>
      <c r="D161" s="39">
        <f>SUM(D157:D160)</f>
        <v>70730</v>
      </c>
      <c r="E161" s="39">
        <f>SUM(E157:E160)</f>
        <v>233800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2020-12-08T02:16:36Z</dcterms:modified>
</cp:coreProperties>
</file>