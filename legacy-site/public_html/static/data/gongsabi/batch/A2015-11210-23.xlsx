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5" i="4"/>
  <c r="D144" i="4"/>
  <c r="D143" i="4"/>
  <c r="D142" i="4"/>
  <c r="D141" i="4"/>
  <c r="D137" i="4"/>
  <c r="D132" i="4"/>
  <c r="D131" i="4"/>
  <c r="D130" i="4"/>
  <c r="D125" i="4"/>
  <c r="D124" i="4"/>
  <c r="D118" i="4"/>
  <c r="D117" i="4"/>
  <c r="D114" i="4"/>
  <c r="D103" i="4"/>
  <c r="D102" i="4"/>
  <c r="D101" i="4"/>
  <c r="D100" i="4"/>
  <c r="D99" i="4"/>
  <c r="D98" i="4"/>
  <c r="D94" i="4"/>
  <c r="D93" i="4"/>
  <c r="D92" i="4"/>
  <c r="D91" i="4"/>
  <c r="D89" i="4"/>
  <c r="D73" i="4"/>
  <c r="D71" i="4"/>
  <c r="D70" i="4"/>
  <c r="D69" i="4"/>
  <c r="D63" i="4"/>
  <c r="D59" i="4"/>
  <c r="D58" i="4"/>
  <c r="D52" i="4"/>
  <c r="D50" i="4"/>
  <c r="D48" i="4"/>
  <c r="D46" i="4"/>
  <c r="D45" i="4"/>
  <c r="D44" i="4"/>
  <c r="D43" i="4"/>
  <c r="D41" i="4"/>
  <c r="D4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<sst xmlns="http://schemas.openxmlformats.org/spreadsheetml/2006/main" count="388" uniqueCount="264">
  <si>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</si>
  <si>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</si>
  <si>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</si>
  <si>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</si>
  <si>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</si>
  <si>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</si>
  <si>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</si>
  <si>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</si>
  <si>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</si>
  <si>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</si>
  <si>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</si>
  <si>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</si>
  <si>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</si>
  <si>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</si>
  <si>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</si>
  <si>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</si>
  <si>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</si>
  <si>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</si>
  <si>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</si>
  <si>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</si>
  <si>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</si>
  <si>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</si>
  <si>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</si>
  <si>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</si>
  <si>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</si>
  <si>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</si>
  <si>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</si>
  <si>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</si>
  <si>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</si>
  <si>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</si>
  <si>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</si>
  <si>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</si>
  <si>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</si>
  <si>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</si>
  <si>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</si>
  <si>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</si>
  <si>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</si>
  <si>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</si>
  <si>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</si>
  <si>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</si>
  <si>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</si>
  <si>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</si>
  <si>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</si>
  <si>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</si>
  <si>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</si>
  <si>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</si>
  <si>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</si>
  <si>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</si>
  <si>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</si>
  <si>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</si>
  <si>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</si>
  <si>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</si>
  <si>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</si>
  <si>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</si>
  <si>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</si>
  <si>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</si>
  <si>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</si>
  <si>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</si>
  <si>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</si>
  <si>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</si>
  <si>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</si>
  <si>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</si>
  <si>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</si>
  <si>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</si>
  <si>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</si>
  <si>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</si>
  <si>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</si>
  <si>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</si>
  <si>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</si>
  <si>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</si>
  <si>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</si>
  <si>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</si>
  <si>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</si>
  <si>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</si>
  <si>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</si>
  <si>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</si>
  <si>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</si>
  <si>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</si>
  <si>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</si>
  <si>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</si>
  <si>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</si>
  <si>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</si>
  <si>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</si>
  <si>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</si>
  <si>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</si>
  <si>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</si>
  <si>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</si>
  <si>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</si>
  <si>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</si>
  <si>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</si>
  <si>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</si>
  <si>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</si>
  <si>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</si>
  <si>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</si>
  <si>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</si>
  <si>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</si>
  <si>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</si>
  <si>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</si>
  <si>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</si>
  <si>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</si>
  <si>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</si>
  <si>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</si>
  <si>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</si>
  <si>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</si>
  <si>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</si>
  <si>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</si>
  <si>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</si>
  <si>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</si>
  <si>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</si>
  <si>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</si>
  <si>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</si>
  <si>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</si>
  <si>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</si>
  <si>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</si>
  <si>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</si>
  <si>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</si>
  <si>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</si>
  <si>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</si>
  <si>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</si>
  <si>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</si>
  <si>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</si>
  <si>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</si>
  <si>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</si>
  <si>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</si>
  <si>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</si>
  <si>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</si>
  <si>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</si>
  <si>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</si>
  <si>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</si>
  <si>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</si>
  <si>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</si>
  <si>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</si>
  <si>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</si>
  <si>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</si>
  <si>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</si>
  <si>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</si>
  <si>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</si>
  <si>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</si>
  <si>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</si>
  <si>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</si>
  <si>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</si>
  <si>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</si>
  <si>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</si>
  <si>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</si>
  <si>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</si>
  <si>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</si>
  <si>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</si>
  <si>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</si>
  <si>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</si>
  <si>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</si>
  <si>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</si>
  <si>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</si>
  <si>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</si>
  <si>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</si>
  <si>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</si>
  <si>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</si>
  <si>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</si>
  <si>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</si>
  <si>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</si>
  <si>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</si>
  <si>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</si>
  <si>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</si>
  <si>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</si>
  <si>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</si>
  <si>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</si>
  <si>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</si>
  <si>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</si>
  <si>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</si>
  <si>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</si>
  <si>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</si>
  <si>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</si>
  <si>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</si>
  <si>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</si>
  <si>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</si>
  <si>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</si>
  <si>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</si>
  <si>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</si>
  <si>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</si>
  <si>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</si>
  <si>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</si>
  <si>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</si>
  <si>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</si>
  <si>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</si>
  <si>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</si>
  <si>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</si>
  <si>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</si>
  <si>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</si>
  <si>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</si>
  <si>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</si>
  <si>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</si>
  <si>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</si>
  <si>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</si>
  <si>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</si>
  <si>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</si>
  <si>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</si>
  <si>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</si>
  <si>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</si>
  <si>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</si>
  <si>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</si>
  <si>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</si>
  <si>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</si>
  <si>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</si>
  <si>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</si>
  <si>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</si>
  <si>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</si>
  <si>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</si>
  <si>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</si>
  <si>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</si>
  <si>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</si>
  <si>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</si>
  <si>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</si>
  <si>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</si>
  <si>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</si>
  <si>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</si>
  <si>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</si>
  <si>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</si>
  <si>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</si>
  <si>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</si>
  <si>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</si>
  <si>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</si>
  <si>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</si>
  <si>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</si>
  <si>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</si>
  <si>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</si>
  <si>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</si>
  <si>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</si>
  <si>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</si>
  <si>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</si>
  <si>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</si>
  <si>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</si>
  <si>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</si>
  <si>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</si>
  <si>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</si>
  <si>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</si>
  <si>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</si>
  <si>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</si>
  <si>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</si>
  <si>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</si>
  <si>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</si>
  <si>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</si>
  <si>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</si>
  <si>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</si>
  <si>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</si>
  <si>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</si>
  <si>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</si>
  <si>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</si>
  <si>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</si>
  <si>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</si>
  <si>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</si>
  <si>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</si>
  <si>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</si>
  <si>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</si>
  <si>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</si>
  <si>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</si>
  <si>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</si>
  <si>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</si>
  <si>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강원도</t>
  </si>
  <si>
    <t>기초공사, 폐기물처리비, 골재비및운반비, 기타공사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</si>
  <si>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</si>
  <si>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</si>
  <si>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만천유치원 신축공사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</si>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</sst>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2114.83</v>
      </c>
      <c r="D7" s="36">
        <f>+C7/3.3058</f>
        <v>639.73319620061704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926700</v>
      </c>
      <c r="E25" s="59">
        <f t="shared" si="0"/>
        <v>3063480</v>
      </c>
    </row>
    <row r="26" spans="1:5" x14ac:dyDescent="0.3">
      <c r="B26" s="2">
        <v>3</v>
      </c>
      <c r="C26" s="35" t="s">
        <v>95</v>
      </c>
      <c r="D26" s="45">
        <f>+D66</f>
        <v>6680</v>
      </c>
      <c r="E26" s="59">
        <f t="shared" si="0"/>
        <v>22080</v>
      </c>
    </row>
    <row r="27" spans="1:5" x14ac:dyDescent="0.3">
      <c r="B27" s="2">
        <v>4</v>
      </c>
      <c r="C27" s="35" t="s">
        <v>96</v>
      </c>
      <c r="D27" s="45">
        <f>+D95</f>
        <v>186250</v>
      </c>
      <c r="E27" s="59">
        <f t="shared" si="0"/>
        <v>615700</v>
      </c>
    </row>
    <row r="28" spans="1:5" x14ac:dyDescent="0.3">
      <c r="B28" s="2">
        <v>5</v>
      </c>
      <c r="C28" s="35" t="s">
        <v>97</v>
      </c>
      <c r="D28" s="45">
        <f>+D119</f>
        <v>203340</v>
      </c>
      <c r="E28" s="59">
        <f t="shared" si="0"/>
        <v>672200</v>
      </c>
    </row>
    <row r="29" spans="1:5" x14ac:dyDescent="0.3">
      <c r="B29" s="2">
        <v>6</v>
      </c>
      <c r="C29" s="35" t="s">
        <v>98</v>
      </c>
      <c r="D29" s="45">
        <f>+D133</f>
        <v>66970</v>
      </c>
      <c r="E29" s="59">
        <f t="shared" si="0"/>
        <v>221380</v>
      </c>
    </row>
    <row r="30" spans="1:5" x14ac:dyDescent="0.3">
      <c r="B30" s="2">
        <v>7</v>
      </c>
      <c r="C30" s="35" t="s">
        <v>99</v>
      </c>
      <c r="D30" s="45">
        <f>+D146</f>
        <v>76600</v>
      </c>
      <c r="E30" s="59">
        <f t="shared" si="0"/>
        <v>253220</v>
      </c>
    </row>
    <row r="31" spans="1:5" x14ac:dyDescent="0.3">
      <c r="B31" s="2">
        <v>8</v>
      </c>
      <c r="C31" s="35" t="s">
        <v>100</v>
      </c>
      <c r="D31" s="45">
        <f>+D154</f>
        <v>119970</v>
      </c>
      <c r="E31" s="59">
        <f t="shared" si="0"/>
        <v>396590</v>
      </c>
    </row>
    <row r="32" spans="1:5" x14ac:dyDescent="0.3">
      <c r="B32" s="2">
        <v>9</v>
      </c>
      <c r="C32" s="35" t="s">
        <v>101</v>
      </c>
      <c r="D32" s="45">
        <f>+D161</f>
        <v>26050</v>
      </c>
      <c r="E32" s="59">
        <f t="shared" si="0"/>
        <v>86110</v>
      </c>
    </row>
    <row r="33" spans="1:7" x14ac:dyDescent="0.3">
      <c r="B33" s="2">
        <v>10</v>
      </c>
      <c r="C33" s="35" t="s">
        <v>154</v>
      </c>
      <c r="D33" s="53">
        <f>TRUNC(SUM(D24:D32)*0.275,-1)</f>
        <v>443450</v>
      </c>
      <c r="E33" s="60">
        <f t="shared" si="0"/>
        <v>1465950</v>
      </c>
    </row>
    <row r="34" spans="1:7" x14ac:dyDescent="0.3">
      <c r="C34" s="35" t="s">
        <v>112</v>
      </c>
      <c r="D34" s="44">
        <f>SUM(D24:D33)</f>
        <v>2056010</v>
      </c>
      <c r="E34" s="44">
        <f>SUM(E24:E33)</f>
        <v>6796710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TRUNC(49956,-1)</f>
        <v>49950</v>
      </c>
      <c r="E40" s="62">
        <f t="shared" ref="E40:E59" si="1">TRUNC(+D40*3.3058,-1)</f>
        <v>165120</v>
      </c>
    </row>
    <row r="41" spans="1:7" x14ac:dyDescent="0.3">
      <c r="A41" s="2">
        <v>2</v>
      </c>
      <c r="C41" s="38" t="s">
        <v>13</v>
      </c>
      <c r="D41" s="42">
        <f>TRUNC(220536,-1)</f>
        <v>220530</v>
      </c>
      <c r="E41" s="63">
        <f t="shared" si="1"/>
        <v>729020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TRUNC(45237,-1)</f>
        <v>45230</v>
      </c>
      <c r="E43" s="63">
        <f t="shared" si="1"/>
        <v>149520</v>
      </c>
    </row>
    <row r="44" spans="1:7" x14ac:dyDescent="0.3">
      <c r="A44" s="2">
        <v>5</v>
      </c>
      <c r="C44" s="38" t="s">
        <v>17</v>
      </c>
      <c r="D44" s="42">
        <f>TRUNC(28856,-1)</f>
        <v>28850</v>
      </c>
      <c r="E44" s="63">
        <f t="shared" si="1"/>
        <v>95370</v>
      </c>
    </row>
    <row r="45" spans="1:7" x14ac:dyDescent="0.3">
      <c r="A45" s="2">
        <v>6</v>
      </c>
      <c r="C45" s="38" t="s">
        <v>18</v>
      </c>
      <c r="D45" s="42">
        <f>TRUNC(13027,-1)</f>
        <v>13020</v>
      </c>
      <c r="E45" s="63">
        <f t="shared" si="1"/>
        <v>43040</v>
      </c>
    </row>
    <row r="46" spans="1:7" x14ac:dyDescent="0.3">
      <c r="A46" s="2">
        <v>7</v>
      </c>
      <c r="C46" s="38" t="s">
        <v>19</v>
      </c>
      <c r="D46" s="42">
        <f>TRUNC(9685,-1)</f>
        <v>9680</v>
      </c>
      <c r="E46" s="63">
        <f t="shared" si="1"/>
        <v>32000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TRUNC(18114,-1)</f>
        <v>18110</v>
      </c>
      <c r="E48" s="63">
        <f t="shared" si="1"/>
        <v>59860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v>19210</v>
      </c>
      <c r="E49" s="63">
        <f t="shared" si="1"/>
        <v>63500</v>
      </c>
    </row>
    <row r="50" spans="1:7" x14ac:dyDescent="0.3">
      <c r="A50" s="2">
        <v>11</v>
      </c>
      <c r="C50" s="38" t="s">
        <v>155</v>
      </c>
      <c r="D50" s="42">
        <f>TRUNC(71472,-1)</f>
        <v>71470</v>
      </c>
      <c r="E50" s="63">
        <f t="shared" si="1"/>
        <v>236260</v>
      </c>
      <c r="F50" s="2" t="s">
        <v>254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TRUNC(8525,-1)</f>
        <v>8520</v>
      </c>
      <c r="E52" s="63">
        <f t="shared" si="1"/>
        <v>28160</v>
      </c>
    </row>
    <row r="53" spans="1:7" x14ac:dyDescent="0.3">
      <c r="A53" s="2">
        <v>14</v>
      </c>
      <c r="C53" s="38" t="s">
        <v>25</v>
      </c>
      <c r="D53" s="42">
        <v>60700</v>
      </c>
      <c r="E53" s="63">
        <f t="shared" si="1"/>
        <v>200660</v>
      </c>
      <c r="F53" s="2" t="s">
        <v>255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TRUNC(4529+1219+7228+49513,-1)</f>
        <v>62480</v>
      </c>
      <c r="E58" s="63">
        <f t="shared" si="1"/>
        <v>206540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TRUNC(318952,-1)</f>
        <v>318950</v>
      </c>
      <c r="E59" s="64">
        <f t="shared" si="1"/>
        <v>1054380</v>
      </c>
    </row>
    <row r="60" spans="1:7" x14ac:dyDescent="0.3">
      <c r="A60" s="2">
        <v>21</v>
      </c>
      <c r="C60" s="27" t="s">
        <v>112</v>
      </c>
      <c r="D60" s="39">
        <f>SUM(D40:D59)</f>
        <v>926700</v>
      </c>
      <c r="E60" s="39">
        <f>SUM(E40:E59)</f>
        <v>3063430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TRUNC(6687,-1)</f>
        <v>6680</v>
      </c>
      <c r="E63" s="62">
        <f>TRUNC(+D63*3.3058,-1)</f>
        <v>22080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6680</v>
      </c>
      <c r="E66" s="65">
        <f>SUM(E63:E65)</f>
        <v>22080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TRUNC(9464,-1)</f>
        <v>9460</v>
      </c>
      <c r="E69" s="62">
        <f t="shared" ref="E69:E94" si="2">TRUNC(+D69*3.3058,-1)</f>
        <v>31270</v>
      </c>
    </row>
    <row r="70" spans="1:7" ht="16.5" customHeight="1" x14ac:dyDescent="0.3">
      <c r="A70" s="2">
        <v>2</v>
      </c>
      <c r="C70" s="38" t="s">
        <v>31</v>
      </c>
      <c r="D70" s="42">
        <f>TRUNC(2663,-1)</f>
        <v>2660</v>
      </c>
      <c r="E70" s="63">
        <f t="shared" si="2"/>
        <v>8790</v>
      </c>
    </row>
    <row r="71" spans="1:7" x14ac:dyDescent="0.3">
      <c r="A71" s="2">
        <v>3</v>
      </c>
      <c r="C71" s="38" t="s">
        <v>32</v>
      </c>
      <c r="D71" s="42">
        <f>TRUNC(5954,-1)</f>
        <v>5950</v>
      </c>
      <c r="E71" s="63">
        <f t="shared" si="2"/>
        <v>19660</v>
      </c>
    </row>
    <row r="72" spans="1:7" x14ac:dyDescent="0.3">
      <c r="A72" s="2">
        <v>4</v>
      </c>
      <c r="C72" s="38" t="s">
        <v>33</v>
      </c>
      <c r="D72" s="42">
        <v>8860</v>
      </c>
      <c r="E72" s="63">
        <f t="shared" si="2"/>
        <v>29280</v>
      </c>
    </row>
    <row r="73" spans="1:7" x14ac:dyDescent="0.3">
      <c r="A73" s="2">
        <v>5</v>
      </c>
      <c r="C73" s="38" t="s">
        <v>34</v>
      </c>
      <c r="D73" s="42">
        <f>TRUNC(10832,-1)</f>
        <v>10830</v>
      </c>
      <c r="E73" s="63">
        <f t="shared" si="2"/>
        <v>35800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TRUNC(8625,-1)</f>
        <v>8620</v>
      </c>
      <c r="E89" s="63">
        <f t="shared" si="2"/>
        <v>28490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TRUNC(6166,-1)</f>
        <v>6160</v>
      </c>
      <c r="E91" s="63">
        <f t="shared" si="2"/>
        <v>20360</v>
      </c>
    </row>
    <row r="92" spans="1:7" x14ac:dyDescent="0.3">
      <c r="A92" s="2">
        <v>24</v>
      </c>
      <c r="C92" s="38" t="s">
        <v>38</v>
      </c>
      <c r="D92" s="42">
        <f>TRUNC(15112,-1)</f>
        <v>15110</v>
      </c>
      <c r="E92" s="63">
        <f t="shared" si="2"/>
        <v>49950</v>
      </c>
    </row>
    <row r="93" spans="1:7" x14ac:dyDescent="0.3">
      <c r="A93" s="2">
        <v>25</v>
      </c>
      <c r="C93" s="38" t="s">
        <v>148</v>
      </c>
      <c r="D93" s="42">
        <f>TRUNC(112905,-1)</f>
        <v>112900</v>
      </c>
      <c r="E93" s="63">
        <f t="shared" si="2"/>
        <v>373220</v>
      </c>
    </row>
    <row r="94" spans="1:7" ht="17.25" thickBot="1" x14ac:dyDescent="0.35">
      <c r="A94" s="2">
        <v>26</v>
      </c>
      <c r="C94" s="38" t="s">
        <v>47</v>
      </c>
      <c r="D94" s="43">
        <f>TRUNC(5708,-1)</f>
        <v>5700</v>
      </c>
      <c r="E94" s="64">
        <f t="shared" si="2"/>
        <v>18840</v>
      </c>
    </row>
    <row r="95" spans="1:7" x14ac:dyDescent="0.3">
      <c r="A95" s="2">
        <v>27</v>
      </c>
      <c r="C95" s="27" t="s">
        <v>112</v>
      </c>
      <c r="D95" s="39">
        <f>SUM(D69:D94)</f>
        <v>186250</v>
      </c>
      <c r="E95" s="39">
        <f>SUM(E69:E94)</f>
        <v>615660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TRUNC(27389,-1)</f>
        <v>27380</v>
      </c>
      <c r="E98" s="62">
        <f t="shared" ref="E98:E118" si="3">TRUNC(+D98*3.3058,-1)</f>
        <v>90510</v>
      </c>
    </row>
    <row r="99" spans="1:7" x14ac:dyDescent="0.3">
      <c r="A99" s="2">
        <v>2</v>
      </c>
      <c r="C99" s="38" t="s">
        <v>40</v>
      </c>
      <c r="D99" s="42">
        <f>TRUNC(4433,-1)</f>
        <v>4430</v>
      </c>
      <c r="E99" s="63">
        <f t="shared" si="3"/>
        <v>14640</v>
      </c>
    </row>
    <row r="100" spans="1:7" x14ac:dyDescent="0.3">
      <c r="A100" s="2">
        <v>3</v>
      </c>
      <c r="C100" s="38" t="s">
        <v>41</v>
      </c>
      <c r="D100" s="42">
        <f>TRUNC(29541,-1)</f>
        <v>29540</v>
      </c>
      <c r="E100" s="63">
        <f t="shared" si="3"/>
        <v>97650</v>
      </c>
    </row>
    <row r="101" spans="1:7" x14ac:dyDescent="0.3">
      <c r="A101" s="2">
        <v>4</v>
      </c>
      <c r="C101" s="38" t="s">
        <v>42</v>
      </c>
      <c r="D101" s="42">
        <f>TRUNC(4165,-1)</f>
        <v>4160</v>
      </c>
      <c r="E101" s="63">
        <f t="shared" si="3"/>
        <v>13750</v>
      </c>
    </row>
    <row r="102" spans="1:7" x14ac:dyDescent="0.3">
      <c r="A102" s="2">
        <v>5</v>
      </c>
      <c r="C102" s="38" t="s">
        <v>43</v>
      </c>
      <c r="D102" s="42">
        <f>TRUNC(15732,-1)</f>
        <v>15730</v>
      </c>
      <c r="E102" s="63">
        <f t="shared" si="3"/>
        <v>52000</v>
      </c>
    </row>
    <row r="103" spans="1:7" x14ac:dyDescent="0.3">
      <c r="A103" s="2">
        <v>6</v>
      </c>
      <c r="C103" s="38" t="s">
        <v>44</v>
      </c>
      <c r="D103" s="42">
        <f>TRUNC(8304,-1)</f>
        <v>8300</v>
      </c>
      <c r="E103" s="63">
        <f t="shared" si="3"/>
        <v>27430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TRUNC(2642,-1)</f>
        <v>2640</v>
      </c>
      <c r="E114" s="63">
        <f t="shared" si="3"/>
        <v>8720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TRUNC(108742,-1)</f>
        <v>108740</v>
      </c>
      <c r="E117" s="63">
        <f t="shared" si="3"/>
        <v>359470</v>
      </c>
    </row>
    <row r="118" spans="1:7" ht="17.25" thickBot="1" x14ac:dyDescent="0.35">
      <c r="A118" s="2">
        <v>21</v>
      </c>
      <c r="C118" s="38" t="s">
        <v>47</v>
      </c>
      <c r="D118" s="43">
        <f>TRUNC(2428,-1)</f>
        <v>2420</v>
      </c>
      <c r="E118" s="64">
        <f t="shared" si="3"/>
        <v>8000</v>
      </c>
    </row>
    <row r="119" spans="1:7" x14ac:dyDescent="0.3">
      <c r="A119" s="2">
        <v>22</v>
      </c>
      <c r="C119" s="27" t="s">
        <v>112</v>
      </c>
      <c r="D119" s="39">
        <f>SUM(D98:D118)</f>
        <v>203340</v>
      </c>
      <c r="E119" s="39">
        <f>SUM(E98:E118)</f>
        <v>672170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TRUNC(1043,-1)</f>
        <v>1040</v>
      </c>
      <c r="E124" s="63">
        <f t="shared" si="4"/>
        <v>3430</v>
      </c>
    </row>
    <row r="125" spans="1:7" x14ac:dyDescent="0.3">
      <c r="A125" s="2">
        <v>4</v>
      </c>
      <c r="C125" s="38" t="s">
        <v>138</v>
      </c>
      <c r="D125" s="42">
        <f>TRUNC(6046,-1)</f>
        <v>6040</v>
      </c>
      <c r="E125" s="63">
        <f t="shared" si="4"/>
        <v>19960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TRUNC(20606,-1)</f>
        <v>20600</v>
      </c>
      <c r="E130" s="63">
        <f t="shared" si="4"/>
        <v>68090</v>
      </c>
    </row>
    <row r="131" spans="1:7" x14ac:dyDescent="0.3">
      <c r="A131" s="2">
        <v>10</v>
      </c>
      <c r="C131" s="38" t="s">
        <v>148</v>
      </c>
      <c r="D131" s="42">
        <f>TRUNC(36241,-1)</f>
        <v>36240</v>
      </c>
      <c r="E131" s="63">
        <f t="shared" si="4"/>
        <v>119800</v>
      </c>
    </row>
    <row r="132" spans="1:7" ht="18" thickBot="1" x14ac:dyDescent="0.35">
      <c r="A132" s="2">
        <v>11</v>
      </c>
      <c r="C132" s="38" t="s">
        <v>47</v>
      </c>
      <c r="D132" s="43">
        <f>TRUNC(2267+790,-1)</f>
        <v>3050</v>
      </c>
      <c r="E132" s="64">
        <f t="shared" si="4"/>
        <v>10080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66970</v>
      </c>
      <c r="E133" s="39">
        <f>SUM(E122:E132)</f>
        <v>221360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TRUNC(12383,-1)</f>
        <v>12380</v>
      </c>
      <c r="E137" s="63">
        <f t="shared" si="5"/>
        <v>40920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TRUNC(20128,-1)</f>
        <v>20120</v>
      </c>
      <c r="E141" s="63">
        <f t="shared" si="5"/>
        <v>66510</v>
      </c>
    </row>
    <row r="142" spans="1:7" x14ac:dyDescent="0.3">
      <c r="A142" s="2">
        <v>7</v>
      </c>
      <c r="C142" s="38" t="s">
        <v>58</v>
      </c>
      <c r="D142" s="42">
        <f>TRUNC(5047,-1)</f>
        <v>5040</v>
      </c>
      <c r="E142" s="63">
        <f t="shared" si="5"/>
        <v>16660</v>
      </c>
    </row>
    <row r="143" spans="1:7" x14ac:dyDescent="0.3">
      <c r="A143" s="2">
        <v>8</v>
      </c>
      <c r="C143" s="38" t="s">
        <v>62</v>
      </c>
      <c r="D143" s="42">
        <f>TRUNC(2754,-1)</f>
        <v>2750</v>
      </c>
      <c r="E143" s="63">
        <f t="shared" si="5"/>
        <v>9090</v>
      </c>
    </row>
    <row r="144" spans="1:7" x14ac:dyDescent="0.3">
      <c r="A144" s="2">
        <v>9</v>
      </c>
      <c r="C144" s="38" t="s">
        <v>63</v>
      </c>
      <c r="D144" s="42">
        <f>TRUNC(7255,-1)</f>
        <v>7250</v>
      </c>
      <c r="E144" s="63">
        <f t="shared" si="5"/>
        <v>23960</v>
      </c>
    </row>
    <row r="145" spans="1:7" ht="17.25" thickBot="1" x14ac:dyDescent="0.35">
      <c r="A145" s="2">
        <v>10</v>
      </c>
      <c r="C145" s="38" t="s">
        <v>148</v>
      </c>
      <c r="D145" s="43">
        <f>TRUNC(29065,-1)</f>
        <v>29060</v>
      </c>
      <c r="E145" s="64">
        <f t="shared" si="5"/>
        <v>96060</v>
      </c>
    </row>
    <row r="146" spans="1:7" x14ac:dyDescent="0.3">
      <c r="A146" s="2">
        <v>11</v>
      </c>
      <c r="C146" s="27" t="s">
        <v>112</v>
      </c>
      <c r="D146" s="39">
        <f>SUM(D136:D145)</f>
        <v>76600</v>
      </c>
      <c r="E146" s="39">
        <f>SUM(E136:E145)</f>
        <v>253200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8965+625</f>
        <v>9590</v>
      </c>
      <c r="E149" s="62">
        <f>TRUNC(+D149*3.3058,-1)</f>
        <v>31700</v>
      </c>
    </row>
    <row r="150" spans="1:7" x14ac:dyDescent="0.3">
      <c r="A150" s="2">
        <v>2</v>
      </c>
      <c r="C150" s="38" t="s">
        <v>49</v>
      </c>
      <c r="D150" s="42">
        <f>TRUNC(23916,-1)</f>
        <v>23910</v>
      </c>
      <c r="E150" s="63">
        <f>TRUNC(+D150*3.3058,-1)</f>
        <v>79040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TRUNC(7448+1068+20823,-1)</f>
        <v>29330</v>
      </c>
      <c r="E152" s="63">
        <f>TRUNC(+D152*3.3058,-1)</f>
        <v>96950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TRUNC(57143,-1)</f>
        <v>57140</v>
      </c>
      <c r="E153" s="64">
        <f>TRUNC(+D153*3.3058,-1)</f>
        <v>188890</v>
      </c>
    </row>
    <row r="154" spans="1:7" x14ac:dyDescent="0.3">
      <c r="A154" s="2">
        <v>6</v>
      </c>
      <c r="C154" s="27" t="s">
        <v>112</v>
      </c>
      <c r="D154" s="39">
        <f>SUM(D149:D153)</f>
        <v>119970</v>
      </c>
      <c r="E154" s="39">
        <f>SUM(E149:E153)</f>
        <v>396580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TRUNC(16693,-1)</f>
        <v>16690</v>
      </c>
      <c r="E157" s="62">
        <f>TRUNC(+D157*3.3058,-1)</f>
        <v>55170</v>
      </c>
    </row>
    <row r="158" spans="1:7" x14ac:dyDescent="0.3">
      <c r="A158" s="2">
        <v>2</v>
      </c>
      <c r="C158" s="38" t="s">
        <v>52</v>
      </c>
      <c r="D158" s="42">
        <f>TRUNC(1104,-1)</f>
        <v>1100</v>
      </c>
      <c r="E158" s="63">
        <f>TRUNC(+D158*3.3058,-1)</f>
        <v>3630</v>
      </c>
    </row>
    <row r="159" spans="1:7" x14ac:dyDescent="0.3">
      <c r="A159" s="2">
        <v>3</v>
      </c>
      <c r="C159" s="38" t="s">
        <v>47</v>
      </c>
      <c r="D159" s="42">
        <f>TRUNC(7503+762,-1)</f>
        <v>8260</v>
      </c>
      <c r="E159" s="63">
        <f>TRUNC(+D159*3.3058,-1)</f>
        <v>27300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26050</v>
      </c>
      <c r="E161" s="39">
        <f>SUM(E157:E160)</f>
        <v>86100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2020-12-07T10:10:25Z</dcterms:modified>
</cp:coreProperties>
</file>