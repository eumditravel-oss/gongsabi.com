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5" i="4"/>
  <c r="E144" i="4"/>
  <c r="E141" i="4"/>
  <c r="E139" i="4"/>
  <c r="E138" i="4"/>
  <c r="E136" i="4"/>
  <c r="E129" i="4"/>
  <c r="E128" i="4"/>
  <c r="E127" i="4"/>
  <c r="E124" i="4"/>
  <c r="E123" i="4"/>
  <c r="E116" i="4"/>
  <c r="E115" i="4"/>
  <c r="E113" i="4"/>
  <c r="E112" i="4"/>
  <c r="E111" i="4"/>
  <c r="E110" i="4"/>
  <c r="E109" i="4"/>
  <c r="E108" i="4"/>
  <c r="E107" i="4"/>
  <c r="E106" i="4"/>
  <c r="E103" i="4"/>
  <c r="E101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5" i="4"/>
  <c r="E54" i="4"/>
  <c r="E53" i="4"/>
  <c r="E51" i="4"/>
  <c r="E50" i="4"/>
  <c r="E47" i="4"/>
  <c r="E37" i="4"/>
  <c r="E161" i="4" l="1"/>
  <c r="E95" i="4"/>
  <c r="D152" i="4"/>
  <c r="E152" i="4" s="1"/>
  <c r="D151" i="4"/>
  <c r="E151" i="4" s="1"/>
  <c r="D150" i="4"/>
  <c r="E150" i="4" s="1"/>
  <c r="D143" i="4"/>
  <c r="E143" i="4" s="1"/>
  <c r="D142" i="4"/>
  <c r="E142" i="4" s="1"/>
  <c r="D140" i="4"/>
  <c r="E140" i="4" s="1"/>
  <c r="D137" i="4"/>
  <c r="E137" i="4" s="1"/>
  <c r="E146" i="4" s="1"/>
  <c r="D132" i="4"/>
  <c r="E132" i="4" s="1"/>
  <c r="D131" i="4"/>
  <c r="E131" i="4" s="1"/>
  <c r="D130" i="4"/>
  <c r="E130" i="4" s="1"/>
  <c r="D126" i="4"/>
  <c r="E126" i="4" s="1"/>
  <c r="D125" i="4"/>
  <c r="E125" i="4" s="1"/>
  <c r="D122" i="4"/>
  <c r="E122" i="4" s="1"/>
  <c r="E133" i="4" s="1"/>
  <c r="D118" i="4"/>
  <c r="E118" i="4" s="1"/>
  <c r="D117" i="4"/>
  <c r="E117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E119" i="4" s="1"/>
  <c r="D63" i="4"/>
  <c r="E63" i="4" s="1"/>
  <c r="E66" i="4" s="1"/>
  <c r="D59" i="4"/>
  <c r="E59" i="4" s="1"/>
  <c r="D58" i="4"/>
  <c r="E58" i="4" s="1"/>
  <c r="D52" i="4"/>
  <c r="E52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49" i="4"/>
  <c r="E149" i="4" s="1"/>
  <c r="E154" i="4" l="1"/>
  <c r="E60" i="4"/>
  <c r="D7" i="4"/>
  <c r="D24" i="4"/>
  <c r="E24" i="4" s="1"/>
  <c r="D60" i="4"/>
  <c r="D25" i="4" s="1"/>
  <c r="E25" i="4" s="1"/>
  <c r="D66" i="4"/>
  <c r="D26" i="4" s="1"/>
  <c r="E26" i="4" s="1"/>
  <c r="D95" i="4"/>
  <c r="D27" i="4" s="1"/>
  <c r="E27" i="4" s="1"/>
  <c r="D119" i="4"/>
  <c r="D28" i="4" s="1"/>
  <c r="E28" i="4" s="1"/>
  <c r="D133" i="4"/>
  <c r="D29" i="4" s="1"/>
  <c r="E29" i="4" s="1"/>
  <c r="D146" i="4"/>
  <c r="D30" i="4" s="1"/>
  <c r="E30" i="4" s="1"/>
  <c r="D154" i="4"/>
  <c r="D31" i="4" s="1"/>
  <c r="E31" i="4" s="1"/>
  <c r="D161" i="4"/>
  <c r="D32" i="4" s="1"/>
  <c r="E32" i="4" s="1"/>
  <c r="D33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<sst xmlns="http://schemas.openxmlformats.org/spreadsheetml/2006/main" count="394" uniqueCount="265">
  <si>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</si>
  <si>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</si>
  <si>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</si>
  <si>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</si>
  <si>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</si>
  <si>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</si>
  <si>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</si>
  <si>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</si>
  <si>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</si>
  <si>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</si>
  <si>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</si>
  <si>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</si>
  <si>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</si>
  <si>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</si>
  <si>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</si>
  <si>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</si>
  <si>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</si>
  <si>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</si>
  <si>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</si>
  <si>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</si>
  <si>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</si>
  <si>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</si>
  <si>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</si>
  <si>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</si>
  <si>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</si>
  <si>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</si>
  <si>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</si>
  <si>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</si>
  <si>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</si>
  <si>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</si>
  <si>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</si>
  <si>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</si>
  <si>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</si>
  <si>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</si>
  <si>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</si>
  <si>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</si>
  <si>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</si>
  <si>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</si>
  <si>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</si>
  <si>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</si>
  <si>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</si>
  <si>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</si>
  <si>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</si>
  <si>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</si>
  <si>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</si>
  <si>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</si>
  <si>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</si>
  <si>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</si>
  <si>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</si>
  <si>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</si>
  <si>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</si>
  <si>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</si>
  <si>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</si>
  <si>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</si>
  <si>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</si>
  <si>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</si>
  <si>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</si>
  <si>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</si>
  <si>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</si>
  <si>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</si>
  <si>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</si>
  <si>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</si>
  <si>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</si>
  <si>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</si>
  <si>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</si>
  <si>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</si>
  <si>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</si>
  <si>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</si>
  <si>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</si>
  <si>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</si>
  <si>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</si>
  <si>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</si>
  <si>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</si>
  <si>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</si>
  <si>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</si>
  <si>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</si>
  <si>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</si>
  <si>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</si>
  <si>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</si>
  <si>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</si>
  <si>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</si>
  <si>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</si>
  <si>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</si>
  <si>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</si>
  <si>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</si>
  <si>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</si>
  <si>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</si>
  <si>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</si>
  <si>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</si>
  <si>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</si>
  <si>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</si>
  <si>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</si>
  <si>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</si>
  <si>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</si>
  <si>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</si>
  <si>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</si>
  <si>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</si>
  <si>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</si>
  <si>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</si>
  <si>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</si>
  <si>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</si>
  <si>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</si>
  <si>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</si>
  <si>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</si>
  <si>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</si>
  <si>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</si>
  <si>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</si>
  <si>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</si>
  <si>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</si>
  <si>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</si>
  <si>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</si>
  <si>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</si>
  <si>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</si>
  <si>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</si>
  <si>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</si>
  <si>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</si>
  <si>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</si>
  <si>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</si>
  <si>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</si>
  <si>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</si>
  <si>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</si>
  <si>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</si>
  <si>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</si>
  <si>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</si>
  <si>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</si>
  <si>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</si>
  <si>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</si>
  <si>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</si>
  <si>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</si>
  <si>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</si>
  <si>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</si>
  <si>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</si>
  <si>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</si>
  <si>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</si>
  <si>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</si>
  <si>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</si>
  <si>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</si>
  <si>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</si>
  <si>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</si>
  <si>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</si>
  <si>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</si>
  <si>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</si>
  <si>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</si>
  <si>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</si>
  <si>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</si>
  <si>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</si>
  <si>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</si>
  <si>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</si>
  <si>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</si>
  <si>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</si>
  <si>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</si>
  <si>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</si>
  <si>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</si>
  <si>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</si>
  <si>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</si>
  <si>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</si>
  <si>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</si>
  <si>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</si>
  <si>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</si>
  <si>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</si>
  <si>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</si>
  <si>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</si>
  <si>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</si>
  <si>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</si>
  <si>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</si>
  <si>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</si>
  <si>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</si>
  <si>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</si>
  <si>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</si>
  <si>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</si>
  <si>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</si>
  <si>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</si>
  <si>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</si>
  <si>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</si>
  <si>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</si>
  <si>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</si>
  <si>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</si>
  <si>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</si>
  <si>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</si>
  <si>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</si>
  <si>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</si>
  <si>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</si>
  <si>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</si>
  <si>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</si>
  <si>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</si>
  <si>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</si>
  <si>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</si>
  <si>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</si>
  <si>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</si>
  <si>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</si>
  <si>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</si>
  <si>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</si>
  <si>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</si>
  <si>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</si>
  <si>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</si>
  <si>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</si>
  <si>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</si>
  <si>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</si>
  <si>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</si>
  <si>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</si>
  <si>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</si>
  <si>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</si>
  <si>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</si>
  <si>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</si>
  <si>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</si>
  <si>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</si>
  <si>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</si>
  <si>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</si>
  <si>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</si>
  <si>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</si>
  <si>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</si>
  <si>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</si>
  <si>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</si>
  <si>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</si>
  <si>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</si>
  <si>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</si>
  <si>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</si>
  <si>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</si>
  <si>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</si>
  <si>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</si>
  <si>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</si>
  <si>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</si>
  <si>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</si>
  <si>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</si>
  <si>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</si>
  <si>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</si>
  <si>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</si>
  <si>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</si>
  <si>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</si>
  <si>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</si>
  <si>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</si>
  <si>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</si>
  <si>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</si>
  <si>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</si>
  <si>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</si>
  <si>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</si>
  <si>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</si>
  <si>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</si>
  <si>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</si>
  <si>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</si>
  <si>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</si>
  <si>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</si>
  <si>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</si>
  <si>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</si>
  <si>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</si>
  <si>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</si>
  <si>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</si>
  <si>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교육연구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</si>
  <si>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</si>
  <si>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</si>
  <si>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</si>
  <si>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</si>
  <si>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CCTV설비공사,기타공사</t>
    <phoneticPr fontId="2" type="noConversion"/>
  </si>
  <si>
    <t>(가칭)석장중학교 신축공사(장기계속)</t>
    <phoneticPr fontId="2" type="noConversion"/>
  </si>
  <si>
    <t>충청도</t>
  </si>
  <si>
    <t>원/ m2</t>
    <phoneticPr fontId="2" type="noConversion"/>
  </si>
  <si>
    <t>기초공사,골재비및운반비, 작업부산물, 품질시험비, 기타공사</t>
    <phoneticPr fontId="2" type="noConversion"/>
  </si>
  <si>
    <t>CATV 및 TV 설비공사</t>
    <phoneticPr fontId="2" type="noConversion"/>
  </si>
  <si>
    <t>기타공사</t>
    <phoneticPr fontId="2" type="noConversion"/>
  </si>
  <si>
    <t>토목 상수도공사,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</si>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</sst>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topLeftCell="A2" workbookViewId="0">
      <selection activeCell="C30" sqref="C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17" sqref="A17:C19 A2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9112.27</v>
      </c>
      <c r="D7" s="36">
        <f>+C7/3.3058</f>
        <v>2756.4492709782808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922580</v>
      </c>
      <c r="E25" s="59">
        <f t="shared" si="0"/>
        <v>3049860</v>
      </c>
    </row>
    <row r="26" spans="1:5" x14ac:dyDescent="0.3">
      <c r="B26" s="2">
        <v>3</v>
      </c>
      <c r="C26" s="35" t="s">
        <v>95</v>
      </c>
      <c r="D26" s="45">
        <f>+D66</f>
        <v>6260</v>
      </c>
      <c r="E26" s="59">
        <f t="shared" si="0"/>
        <v>20690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114450</v>
      </c>
      <c r="E28" s="59">
        <f t="shared" si="0"/>
        <v>378340</v>
      </c>
    </row>
    <row r="29" spans="1:5" x14ac:dyDescent="0.3">
      <c r="B29" s="2">
        <v>6</v>
      </c>
      <c r="C29" s="35" t="s">
        <v>98</v>
      </c>
      <c r="D29" s="45">
        <f>+D133</f>
        <v>41100</v>
      </c>
      <c r="E29" s="59">
        <f t="shared" si="0"/>
        <v>135860</v>
      </c>
    </row>
    <row r="30" spans="1:5" x14ac:dyDescent="0.3">
      <c r="B30" s="2">
        <v>7</v>
      </c>
      <c r="C30" s="35" t="s">
        <v>99</v>
      </c>
      <c r="D30" s="45">
        <f>+D146</f>
        <v>22920</v>
      </c>
      <c r="E30" s="59">
        <f t="shared" si="0"/>
        <v>75760</v>
      </c>
    </row>
    <row r="31" spans="1:5" x14ac:dyDescent="0.3">
      <c r="B31" s="2">
        <v>8</v>
      </c>
      <c r="C31" s="35" t="s">
        <v>100</v>
      </c>
      <c r="D31" s="45">
        <f>+D154</f>
        <v>30510</v>
      </c>
      <c r="E31" s="59">
        <f t="shared" si="0"/>
        <v>100850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312900</v>
      </c>
      <c r="E33" s="60">
        <f t="shared" si="0"/>
        <v>1034380</v>
      </c>
    </row>
    <row r="34" spans="1:7" x14ac:dyDescent="0.3">
      <c r="C34" s="35" t="s">
        <v>112</v>
      </c>
      <c r="D34" s="44">
        <f>SUM(D24:D33)</f>
        <v>1450720</v>
      </c>
      <c r="E34" s="44">
        <f>SUM(E24:E33)</f>
        <v>4795740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260</v>
      </c>
      <c r="E39" s="66" t="s">
        <v>261</v>
      </c>
      <c r="G39" s="67"/>
    </row>
    <row r="40" spans="1:7" x14ac:dyDescent="0.3">
      <c r="A40" s="2">
        <v>1</v>
      </c>
      <c r="C40" s="38" t="s">
        <v>15</v>
      </c>
      <c r="D40" s="40">
        <f>TRUNC(43937,-1)</f>
        <v>43930</v>
      </c>
      <c r="E40" s="62">
        <f t="shared" ref="E40:E59" si="1">TRUNC(+D40*3.3058,-1)</f>
        <v>145220</v>
      </c>
    </row>
    <row r="41" spans="1:7" x14ac:dyDescent="0.3">
      <c r="A41" s="2">
        <v>2</v>
      </c>
      <c r="C41" s="38" t="s">
        <v>13</v>
      </c>
      <c r="D41" s="42">
        <f>TRUNC(143810,-1)</f>
        <v>143810</v>
      </c>
      <c r="E41" s="63">
        <f t="shared" si="1"/>
        <v>475400</v>
      </c>
    </row>
    <row r="42" spans="1:7" x14ac:dyDescent="0.3">
      <c r="A42" s="2">
        <v>3</v>
      </c>
      <c r="C42" s="38" t="s">
        <v>14</v>
      </c>
      <c r="D42" s="42">
        <f>TRUNC(11572,-1)</f>
        <v>11570</v>
      </c>
      <c r="E42" s="63">
        <f t="shared" si="1"/>
        <v>38240</v>
      </c>
    </row>
    <row r="43" spans="1:7" x14ac:dyDescent="0.3">
      <c r="A43" s="2">
        <v>4</v>
      </c>
      <c r="C43" s="38" t="s">
        <v>16</v>
      </c>
      <c r="D43" s="42">
        <f>TRUNC(28380,-1)</f>
        <v>28380</v>
      </c>
      <c r="E43" s="63">
        <f t="shared" si="1"/>
        <v>93810</v>
      </c>
    </row>
    <row r="44" spans="1:7" x14ac:dyDescent="0.3">
      <c r="A44" s="2">
        <v>5</v>
      </c>
      <c r="C44" s="38" t="s">
        <v>17</v>
      </c>
      <c r="D44" s="42">
        <f>TRUNC(26988,-1)</f>
        <v>26980</v>
      </c>
      <c r="E44" s="63">
        <f t="shared" si="1"/>
        <v>89190</v>
      </c>
    </row>
    <row r="45" spans="1:7" x14ac:dyDescent="0.3">
      <c r="A45" s="2">
        <v>6</v>
      </c>
      <c r="C45" s="38" t="s">
        <v>18</v>
      </c>
      <c r="D45" s="42">
        <f>TRUNC(9321,-1)</f>
        <v>9320</v>
      </c>
      <c r="E45" s="63">
        <f t="shared" si="1"/>
        <v>30810</v>
      </c>
    </row>
    <row r="46" spans="1:7" x14ac:dyDescent="0.3">
      <c r="A46" s="2">
        <v>7</v>
      </c>
      <c r="C46" s="38" t="s">
        <v>19</v>
      </c>
      <c r="D46" s="42">
        <f>TRUNC(41046,-1)</f>
        <v>41040</v>
      </c>
      <c r="E46" s="63">
        <f t="shared" si="1"/>
        <v>135670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TRUNC(119341,-1)</f>
        <v>119340</v>
      </c>
      <c r="E48" s="63">
        <f t="shared" si="1"/>
        <v>394510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TRUNC(13873,-1)</f>
        <v>13870</v>
      </c>
      <c r="E49" s="63">
        <f t="shared" si="1"/>
        <v>45850</v>
      </c>
    </row>
    <row r="50" spans="1:7" x14ac:dyDescent="0.3">
      <c r="A50" s="2">
        <v>11</v>
      </c>
      <c r="C50" s="38" t="s">
        <v>155</v>
      </c>
      <c r="D50" s="42">
        <v>57350</v>
      </c>
      <c r="E50" s="63">
        <f t="shared" si="1"/>
        <v>189580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TRUNC(8124,-1)</f>
        <v>8120</v>
      </c>
      <c r="E52" s="63">
        <f t="shared" si="1"/>
        <v>26840</v>
      </c>
    </row>
    <row r="53" spans="1:7" x14ac:dyDescent="0.3">
      <c r="A53" s="2">
        <v>14</v>
      </c>
      <c r="C53" s="38" t="s">
        <v>25</v>
      </c>
      <c r="D53" s="42">
        <v>105020</v>
      </c>
      <c r="E53" s="63">
        <f t="shared" si="1"/>
        <v>347170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TRUNC(12712+3449-558+776+5517,-1)</f>
        <v>21890</v>
      </c>
      <c r="E58" s="63">
        <f t="shared" si="1"/>
        <v>72360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TRUNC(291961,-1)</f>
        <v>291960</v>
      </c>
      <c r="E59" s="64">
        <f t="shared" si="1"/>
        <v>965160</v>
      </c>
    </row>
    <row r="60" spans="1:7" x14ac:dyDescent="0.3">
      <c r="A60" s="2">
        <v>21</v>
      </c>
      <c r="C60" s="27" t="s">
        <v>112</v>
      </c>
      <c r="D60" s="39">
        <f>SUM(D40:D59)</f>
        <v>922580</v>
      </c>
      <c r="E60" s="39">
        <f>SUM(E40:E59)</f>
        <v>3049810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TRUNC(6263,-1)</f>
        <v>6260</v>
      </c>
      <c r="E63" s="62">
        <f>TRUNC(+D63*3.3058,-1)</f>
        <v>20690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6260</v>
      </c>
      <c r="E66" s="57">
        <f>SUM(E63:E65)</f>
        <v>20690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11220</v>
      </c>
      <c r="E98" s="62">
        <f t="shared" ref="E98:E118" si="3">TRUNC(+D98*3.3058,-1)</f>
        <v>37090</v>
      </c>
    </row>
    <row r="99" spans="1:7" x14ac:dyDescent="0.3">
      <c r="A99" s="2">
        <v>2</v>
      </c>
      <c r="C99" s="38" t="s">
        <v>40</v>
      </c>
      <c r="D99" s="42">
        <f>TRUNC(1772,-1)</f>
        <v>1770</v>
      </c>
      <c r="E99" s="63">
        <f t="shared" si="3"/>
        <v>5850</v>
      </c>
    </row>
    <row r="100" spans="1:7" x14ac:dyDescent="0.3">
      <c r="A100" s="2">
        <v>3</v>
      </c>
      <c r="C100" s="38" t="s">
        <v>41</v>
      </c>
      <c r="D100" s="42">
        <f>TRUNC(20733,-1)</f>
        <v>20730</v>
      </c>
      <c r="E100" s="63">
        <f t="shared" si="3"/>
        <v>68520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TRUNC(8961,-1)</f>
        <v>8960</v>
      </c>
      <c r="E102" s="63">
        <f t="shared" si="3"/>
        <v>29610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TRUNC(1855,-1)</f>
        <v>1850</v>
      </c>
      <c r="E104" s="63">
        <f t="shared" si="3"/>
        <v>6110</v>
      </c>
    </row>
    <row r="105" spans="1:7" x14ac:dyDescent="0.3">
      <c r="A105" s="2">
        <v>8</v>
      </c>
      <c r="C105" s="38" t="s">
        <v>46</v>
      </c>
      <c r="D105" s="42">
        <f>TRUNC(7015,-1)</f>
        <v>7010</v>
      </c>
      <c r="E105" s="63">
        <f t="shared" si="3"/>
        <v>23170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TRUNC(1388,-1)</f>
        <v>1380</v>
      </c>
      <c r="E114" s="63">
        <f t="shared" si="3"/>
        <v>4560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TRUNC(55567,-1)</f>
        <v>55560</v>
      </c>
      <c r="E117" s="63">
        <f t="shared" si="3"/>
        <v>183670</v>
      </c>
    </row>
    <row r="118" spans="1:7" ht="17.25" thickBot="1" x14ac:dyDescent="0.35">
      <c r="A118" s="2">
        <v>21</v>
      </c>
      <c r="C118" s="38" t="s">
        <v>47</v>
      </c>
      <c r="D118" s="43">
        <f>TRUNC(5972,-1)</f>
        <v>5970</v>
      </c>
      <c r="E118" s="64">
        <f t="shared" si="3"/>
        <v>19730</v>
      </c>
    </row>
    <row r="119" spans="1:7" x14ac:dyDescent="0.3">
      <c r="A119" s="2">
        <v>22</v>
      </c>
      <c r="C119" s="27" t="s">
        <v>112</v>
      </c>
      <c r="D119" s="39">
        <f>SUM(D98:D118)</f>
        <v>114450</v>
      </c>
      <c r="E119" s="39">
        <f>SUM(E98:E118)</f>
        <v>378310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TRUNC(1972,-1)</f>
        <v>1970</v>
      </c>
      <c r="E122" s="62">
        <f t="shared" ref="E122:E132" si="4">TRUNC(+D122*3.3058,-1)</f>
        <v>6510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TRUNC(6573,-1)</f>
        <v>6570</v>
      </c>
      <c r="E125" s="63">
        <f t="shared" si="4"/>
        <v>21710</v>
      </c>
    </row>
    <row r="126" spans="1:7" x14ac:dyDescent="0.3">
      <c r="A126" s="2">
        <v>5</v>
      </c>
      <c r="C126" s="38" t="s">
        <v>53</v>
      </c>
      <c r="D126" s="42">
        <f>TRUNC(552,-1)</f>
        <v>550</v>
      </c>
      <c r="E126" s="63">
        <f t="shared" si="4"/>
        <v>1810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TRUNC(9792,-1)</f>
        <v>9790</v>
      </c>
      <c r="E130" s="63">
        <f t="shared" si="4"/>
        <v>32360</v>
      </c>
    </row>
    <row r="131" spans="1:7" x14ac:dyDescent="0.3">
      <c r="A131" s="2">
        <v>10</v>
      </c>
      <c r="C131" s="38" t="s">
        <v>148</v>
      </c>
      <c r="D131" s="42">
        <f>TRUNC(18238,-1)</f>
        <v>18230</v>
      </c>
      <c r="E131" s="63">
        <f t="shared" si="4"/>
        <v>60260</v>
      </c>
    </row>
    <row r="132" spans="1:7" ht="17.25" thickBot="1" x14ac:dyDescent="0.35">
      <c r="A132" s="2">
        <v>11</v>
      </c>
      <c r="C132" s="38" t="s">
        <v>47</v>
      </c>
      <c r="D132" s="43">
        <f>TRUNC(3827+171,-1)</f>
        <v>3990</v>
      </c>
      <c r="E132" s="64">
        <f t="shared" si="4"/>
        <v>13190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41100</v>
      </c>
      <c r="E133" s="39">
        <f>SUM(E122:E132)</f>
        <v>135840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TRUNC(3608,-1)</f>
        <v>3600</v>
      </c>
      <c r="E137" s="63">
        <f t="shared" si="5"/>
        <v>11900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TRUNC(2637,-1)</f>
        <v>2630</v>
      </c>
      <c r="E140" s="63">
        <f t="shared" si="5"/>
        <v>8690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TRUNC(2748,-1)</f>
        <v>2740</v>
      </c>
      <c r="E142" s="63">
        <f t="shared" si="5"/>
        <v>9050</v>
      </c>
    </row>
    <row r="143" spans="1:7" x14ac:dyDescent="0.3">
      <c r="A143" s="2">
        <v>8</v>
      </c>
      <c r="C143" s="38" t="s">
        <v>62</v>
      </c>
      <c r="D143" s="42">
        <f>TRUNC(3811,-1)</f>
        <v>3810</v>
      </c>
      <c r="E143" s="63">
        <f t="shared" si="5"/>
        <v>12590</v>
      </c>
    </row>
    <row r="144" spans="1:7" x14ac:dyDescent="0.3">
      <c r="A144" s="2">
        <v>9</v>
      </c>
      <c r="C144" s="38" t="s">
        <v>63</v>
      </c>
      <c r="D144" s="42">
        <v>10140</v>
      </c>
      <c r="E144" s="63">
        <f t="shared" si="5"/>
        <v>33520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22920</v>
      </c>
      <c r="E146" s="39">
        <f>SUM(E136:E145)</f>
        <v>75750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11280+1650</f>
        <v>12930</v>
      </c>
      <c r="E149" s="62">
        <f>TRUNC(+D149*3.3058,-1)</f>
        <v>42740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TRUNC(11488,-1)</f>
        <v>11480</v>
      </c>
      <c r="E150" s="63">
        <f>TRUNC(+D150*3.3058,-1)</f>
        <v>37950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TRUNC(699,-1)</f>
        <v>690</v>
      </c>
      <c r="E151" s="63">
        <f>TRUNC(+D151*3.3058,-1)</f>
        <v>2280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TRUNC(3446+195+1778,-1)</f>
        <v>5410</v>
      </c>
      <c r="E152" s="63">
        <f>TRUNC(+D152*3.3058,-1)</f>
        <v>17880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30510</v>
      </c>
      <c r="E154" s="39">
        <f>SUM(E149:E153)</f>
        <v>100850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2020-12-07T10:15:14Z</dcterms:modified>
</cp:coreProperties>
</file>