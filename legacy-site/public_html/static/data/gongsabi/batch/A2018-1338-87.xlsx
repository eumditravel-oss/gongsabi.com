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9" i="4"/>
  <c r="D138" i="4"/>
  <c r="D132" i="4"/>
  <c r="D131" i="4"/>
  <c r="D130" i="4"/>
  <c r="D127" i="4"/>
  <c r="D126" i="4"/>
  <c r="D125" i="4"/>
  <c r="D122" i="4"/>
  <c r="D117" i="4"/>
  <c r="D116" i="4"/>
  <c r="D105" i="4"/>
  <c r="D104" i="4"/>
  <c r="D103" i="4"/>
  <c r="D102" i="4"/>
  <c r="D101" i="4"/>
  <c r="D100" i="4"/>
  <c r="D99" i="4"/>
  <c r="D98" i="4"/>
  <c r="D92" i="4"/>
  <c r="D91" i="4"/>
  <c r="D90" i="4"/>
  <c r="D89" i="4"/>
  <c r="D76" i="4"/>
  <c r="D73" i="4"/>
  <c r="D71" i="4"/>
  <c r="D70" i="4"/>
  <c r="D69" i="4"/>
  <c r="D65" i="4"/>
  <c r="D63" i="4"/>
  <c r="D58" i="4"/>
  <c r="D53" i="4"/>
  <c r="D50" i="4"/>
  <c r="D52" i="4"/>
  <c r="D49" i="4"/>
  <c r="D48" i="4"/>
  <c r="D46" i="4"/>
  <c r="D45" i="4"/>
  <c r="D44" i="4"/>
  <c r="D41" i="4"/>
  <c r="D40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<sst xmlns="http://schemas.openxmlformats.org/spreadsheetml/2006/main" count="389" uniqueCount="264">
  <si>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</si>
  <si>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</si>
  <si>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</si>
  <si>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</si>
  <si>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</si>
  <si>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</si>
  <si>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</si>
  <si>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</si>
  <si>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</si>
  <si>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</si>
  <si>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</si>
  <si>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</si>
  <si>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</si>
  <si>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</si>
  <si>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</si>
  <si>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</si>
  <si>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</si>
  <si>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</si>
  <si>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</si>
  <si>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</si>
  <si>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</si>
  <si>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</si>
  <si>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</si>
  <si>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</si>
  <si>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</si>
  <si>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</si>
  <si>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</si>
  <si>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</si>
  <si>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</si>
  <si>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</si>
  <si>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</si>
  <si>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</si>
  <si>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</si>
  <si>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</si>
  <si>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</si>
  <si>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</si>
  <si>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</si>
  <si>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</si>
  <si>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</si>
  <si>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</si>
  <si>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</si>
  <si>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</si>
  <si>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</si>
  <si>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</si>
  <si>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</si>
  <si>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</si>
  <si>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</si>
  <si>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</si>
  <si>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</si>
  <si>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</si>
  <si>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</si>
  <si>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</si>
  <si>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</si>
  <si>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</si>
  <si>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</si>
  <si>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</si>
  <si>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</si>
  <si>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</si>
  <si>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</si>
  <si>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</si>
  <si>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</si>
  <si>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</si>
  <si>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</si>
  <si>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</si>
  <si>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</si>
  <si>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</si>
  <si>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</si>
  <si>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</si>
  <si>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</si>
  <si>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</si>
  <si>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</si>
  <si>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</si>
  <si>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</si>
  <si>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</si>
  <si>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</si>
  <si>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</si>
  <si>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</si>
  <si>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</si>
  <si>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</si>
  <si>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</si>
  <si>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</si>
  <si>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</si>
  <si>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</si>
  <si>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</si>
  <si>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</si>
  <si>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</si>
  <si>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</si>
  <si>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</si>
  <si>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</si>
  <si>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</si>
  <si>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</si>
  <si>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</si>
  <si>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</si>
  <si>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</si>
  <si>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</si>
  <si>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</si>
  <si>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</si>
  <si>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</si>
  <si>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</si>
  <si>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</si>
  <si>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</si>
  <si>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</si>
  <si>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</si>
  <si>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</si>
  <si>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</si>
  <si>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</si>
  <si>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</si>
  <si>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</si>
  <si>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</si>
  <si>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</si>
  <si>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</si>
  <si>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</si>
  <si>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</si>
  <si>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</si>
  <si>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</si>
  <si>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</si>
  <si>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</si>
  <si>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</si>
  <si>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</si>
  <si>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</si>
  <si>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</si>
  <si>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</si>
  <si>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</si>
  <si>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</si>
  <si>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</si>
  <si>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</si>
  <si>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</si>
  <si>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</si>
  <si>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</si>
  <si>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</si>
  <si>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</si>
  <si>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</si>
  <si>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</si>
  <si>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</si>
  <si>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</si>
  <si>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</si>
  <si>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</si>
  <si>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</si>
  <si>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</si>
  <si>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</si>
  <si>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</si>
  <si>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</si>
  <si>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</si>
  <si>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</si>
  <si>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</si>
  <si>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</si>
  <si>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</si>
  <si>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</si>
  <si>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</si>
  <si>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</si>
  <si>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</si>
  <si>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</si>
  <si>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</si>
  <si>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</si>
  <si>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</si>
  <si>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</si>
  <si>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</si>
  <si>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</si>
  <si>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</si>
  <si>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</si>
  <si>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</si>
  <si>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</si>
  <si>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</si>
  <si>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</si>
  <si>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</si>
  <si>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</si>
  <si>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</si>
  <si>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</si>
  <si>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</si>
  <si>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</si>
  <si>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</si>
  <si>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</si>
  <si>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</si>
  <si>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</si>
  <si>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</si>
  <si>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</si>
  <si>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</si>
  <si>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</si>
  <si>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</si>
  <si>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</si>
  <si>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</si>
  <si>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</si>
  <si>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</si>
  <si>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</si>
  <si>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</si>
  <si>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</si>
  <si>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</si>
  <si>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</si>
  <si>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</si>
  <si>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</si>
  <si>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</si>
  <si>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</si>
  <si>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</si>
  <si>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</si>
  <si>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</si>
  <si>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</si>
  <si>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</si>
  <si>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</si>
  <si>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</si>
  <si>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</si>
  <si>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</si>
  <si>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</si>
  <si>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</si>
  <si>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</si>
  <si>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</si>
  <si>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</si>
  <si>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</si>
  <si>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</si>
  <si>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</si>
  <si>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</si>
  <si>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</si>
  <si>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</si>
  <si>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</si>
  <si>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</si>
  <si>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</si>
  <si>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</si>
  <si>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</si>
  <si>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</si>
  <si>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</si>
  <si>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</si>
  <si>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</si>
  <si>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</si>
  <si>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</si>
  <si>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</si>
  <si>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</si>
  <si>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</si>
  <si>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</si>
  <si>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</si>
  <si>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</si>
  <si>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</si>
  <si>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</si>
  <si>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</si>
  <si>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</si>
  <si>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</si>
  <si>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</si>
  <si>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</si>
  <si>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</si>
  <si>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</si>
  <si>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</si>
  <si>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</si>
  <si>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</si>
  <si>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</si>
  <si>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</si>
  <si>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</si>
  <si>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</si>
  <si>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</si>
  <si>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</si>
  <si>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</si>
  <si>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</si>
  <si>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국민연금 세종사옥 신축 건축공사</t>
    <phoneticPr fontId="2" type="noConversion"/>
  </si>
  <si>
    <t>세종시</t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</si>
  <si>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</si>
  <si>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</si>
  <si>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난방배관공사, 바닥난방공사, 기타공사</t>
    <phoneticPr fontId="2" type="noConversion"/>
  </si>
  <si>
    <t xml:space="preserve"> 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</si>
  <si>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</si>
  <si>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</si>
  <si>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상수도공사, 사급자재비, 운반비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</si>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</sst>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5507.55</v>
      </c>
      <c r="D7" s="36">
        <f>+C7/3.3058</f>
        <v>1666.0263778812996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630470</v>
      </c>
      <c r="E25" s="59">
        <f t="shared" si="0"/>
        <v>2084200</v>
      </c>
    </row>
    <row r="26" spans="1:5" x14ac:dyDescent="0.3">
      <c r="B26" s="2">
        <v>3</v>
      </c>
      <c r="C26" s="35" t="s">
        <v>95</v>
      </c>
      <c r="D26" s="45">
        <f>+D66</f>
        <v>38060</v>
      </c>
      <c r="E26" s="59">
        <f t="shared" si="0"/>
        <v>125810</v>
      </c>
    </row>
    <row r="27" spans="1:5" x14ac:dyDescent="0.3">
      <c r="B27" s="2">
        <v>4</v>
      </c>
      <c r="C27" s="35" t="s">
        <v>96</v>
      </c>
      <c r="D27" s="45">
        <f>+D95</f>
        <v>180000</v>
      </c>
      <c r="E27" s="59">
        <f t="shared" si="0"/>
        <v>595040</v>
      </c>
    </row>
    <row r="28" spans="1:5" x14ac:dyDescent="0.3">
      <c r="B28" s="2">
        <v>5</v>
      </c>
      <c r="C28" s="35" t="s">
        <v>97</v>
      </c>
      <c r="D28" s="45">
        <f>+D119</f>
        <v>178380</v>
      </c>
      <c r="E28" s="59">
        <f t="shared" si="0"/>
        <v>589680</v>
      </c>
    </row>
    <row r="29" spans="1:5" x14ac:dyDescent="0.3">
      <c r="B29" s="2">
        <v>6</v>
      </c>
      <c r="C29" s="35" t="s">
        <v>98</v>
      </c>
      <c r="D29" s="45">
        <f>+D133</f>
        <v>79510</v>
      </c>
      <c r="E29" s="59">
        <f t="shared" si="0"/>
        <v>262840</v>
      </c>
    </row>
    <row r="30" spans="1:5" x14ac:dyDescent="0.3">
      <c r="B30" s="2">
        <v>7</v>
      </c>
      <c r="C30" s="35" t="s">
        <v>99</v>
      </c>
      <c r="D30" s="45">
        <f>+D146</f>
        <v>47180</v>
      </c>
      <c r="E30" s="59">
        <f t="shared" si="0"/>
        <v>155960</v>
      </c>
    </row>
    <row r="31" spans="1:5" x14ac:dyDescent="0.3">
      <c r="B31" s="2">
        <v>8</v>
      </c>
      <c r="C31" s="35" t="s">
        <v>100</v>
      </c>
      <c r="D31" s="45">
        <f>+D154</f>
        <v>18550</v>
      </c>
      <c r="E31" s="59">
        <f t="shared" si="0"/>
        <v>61320</v>
      </c>
    </row>
    <row r="32" spans="1:5" x14ac:dyDescent="0.3">
      <c r="B32" s="2">
        <v>9</v>
      </c>
      <c r="C32" s="35" t="s">
        <v>101</v>
      </c>
      <c r="D32" s="45">
        <f>+D161</f>
        <v>67720</v>
      </c>
      <c r="E32" s="59">
        <f t="shared" si="0"/>
        <v>223860</v>
      </c>
    </row>
    <row r="33" spans="1:7" x14ac:dyDescent="0.3">
      <c r="B33" s="2">
        <v>10</v>
      </c>
      <c r="C33" s="35" t="s">
        <v>154</v>
      </c>
      <c r="D33" s="53">
        <f>TRUNC(SUM(D24:D32)*0.275,-1)</f>
        <v>340960</v>
      </c>
      <c r="E33" s="60">
        <f t="shared" si="0"/>
        <v>1127140</v>
      </c>
    </row>
    <row r="34" spans="1:7" x14ac:dyDescent="0.3">
      <c r="C34" s="35" t="s">
        <v>112</v>
      </c>
      <c r="D34" s="44">
        <f>SUM(D24:D33)</f>
        <v>1580830</v>
      </c>
      <c r="E34" s="44">
        <f>SUM(E24:E33)</f>
        <v>5225850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TRUNC(86836,-1)</f>
        <v>86830</v>
      </c>
      <c r="E40" s="62">
        <f t="shared" ref="E40:E59" si="1">TRUNC(+D40*3.3058,-1)</f>
        <v>287040</v>
      </c>
    </row>
    <row r="41" spans="1:7" x14ac:dyDescent="0.3">
      <c r="A41" s="2">
        <v>2</v>
      </c>
      <c r="C41" s="38" t="s">
        <v>13</v>
      </c>
      <c r="D41" s="42">
        <f>TRUNC(155871,-1)</f>
        <v>155870</v>
      </c>
      <c r="E41" s="63">
        <f t="shared" si="1"/>
        <v>515270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18030</v>
      </c>
      <c r="E43" s="63">
        <f t="shared" si="1"/>
        <v>59600</v>
      </c>
    </row>
    <row r="44" spans="1:7" x14ac:dyDescent="0.3">
      <c r="A44" s="2">
        <v>5</v>
      </c>
      <c r="C44" s="38" t="s">
        <v>17</v>
      </c>
      <c r="D44" s="42">
        <f>TRUNC(35162,-1)</f>
        <v>35160</v>
      </c>
      <c r="E44" s="63">
        <f t="shared" si="1"/>
        <v>116230</v>
      </c>
    </row>
    <row r="45" spans="1:7" x14ac:dyDescent="0.3">
      <c r="A45" s="2">
        <v>6</v>
      </c>
      <c r="C45" s="38" t="s">
        <v>18</v>
      </c>
      <c r="D45" s="42">
        <f>TRUNC(15957,-1)</f>
        <v>15950</v>
      </c>
      <c r="E45" s="63">
        <f t="shared" si="1"/>
        <v>52720</v>
      </c>
    </row>
    <row r="46" spans="1:7" x14ac:dyDescent="0.3">
      <c r="A46" s="2">
        <v>7</v>
      </c>
      <c r="C46" s="38" t="s">
        <v>19</v>
      </c>
      <c r="D46" s="42">
        <f>TRUNC(16435,-1)</f>
        <v>16430</v>
      </c>
      <c r="E46" s="63">
        <f t="shared" si="1"/>
        <v>54310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TRUNC(39949,-1)</f>
        <v>39940</v>
      </c>
      <c r="E48" s="63">
        <f t="shared" si="1"/>
        <v>132030</v>
      </c>
    </row>
    <row r="49" spans="1:7" x14ac:dyDescent="0.3">
      <c r="A49" s="2">
        <v>10</v>
      </c>
      <c r="C49" s="38" t="s">
        <v>22</v>
      </c>
      <c r="D49" s="42">
        <f>TRUNC(8499,-1)</f>
        <v>8490</v>
      </c>
      <c r="E49" s="63">
        <f t="shared" si="1"/>
        <v>28060</v>
      </c>
    </row>
    <row r="50" spans="1:7" x14ac:dyDescent="0.3">
      <c r="A50" s="2">
        <v>11</v>
      </c>
      <c r="C50" s="38" t="s">
        <v>155</v>
      </c>
      <c r="D50" s="42">
        <f>TRUNC(90435,-1)</f>
        <v>90430</v>
      </c>
      <c r="E50" s="63">
        <f t="shared" si="1"/>
        <v>298940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TRUNC(17968,-1)</f>
        <v>17960</v>
      </c>
      <c r="E52" s="63">
        <f t="shared" si="1"/>
        <v>59370</v>
      </c>
    </row>
    <row r="53" spans="1:7" x14ac:dyDescent="0.3">
      <c r="A53" s="2">
        <v>14</v>
      </c>
      <c r="C53" s="38" t="s">
        <v>25</v>
      </c>
      <c r="D53" s="42">
        <f>TRUNC(85758,-1)</f>
        <v>85750</v>
      </c>
      <c r="E53" s="63">
        <f t="shared" si="1"/>
        <v>283470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TRUNC(12481+5953+1196+40005,-1)</f>
        <v>59630</v>
      </c>
      <c r="E58" s="63">
        <f t="shared" si="1"/>
        <v>197120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630470</v>
      </c>
      <c r="E60" s="39">
        <f>SUM(E40:E59)</f>
        <v>2084160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TRUNC(3316,-1)</f>
        <v>3310</v>
      </c>
      <c r="E63" s="62">
        <f>TRUNC(+D63*3.3058,-1)</f>
        <v>10940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TRUNC(34752,-1)</f>
        <v>34750</v>
      </c>
      <c r="E65" s="64">
        <f>TRUNC(+D65*3.3058,-1)</f>
        <v>114870</v>
      </c>
    </row>
    <row r="66" spans="1:7" x14ac:dyDescent="0.3">
      <c r="A66" s="2">
        <v>4</v>
      </c>
      <c r="C66" s="27" t="s">
        <v>112</v>
      </c>
      <c r="D66" s="39">
        <f>SUM(D63:D65)</f>
        <v>38060</v>
      </c>
      <c r="E66" s="65">
        <f>SUM(E63:E65)</f>
        <v>125810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TRUNC(10272,-1)</f>
        <v>10270</v>
      </c>
      <c r="E69" s="62">
        <f t="shared" ref="E69:E94" si="2">TRUNC(+D69*3.3058,-1)</f>
        <v>33950</v>
      </c>
    </row>
    <row r="70" spans="1:7" ht="16.5" customHeight="1" x14ac:dyDescent="0.3">
      <c r="A70" s="2">
        <v>2</v>
      </c>
      <c r="C70" s="38" t="s">
        <v>31</v>
      </c>
      <c r="D70" s="42">
        <f>TRUNC(1326,-1)</f>
        <v>1320</v>
      </c>
      <c r="E70" s="63">
        <f t="shared" si="2"/>
        <v>4360</v>
      </c>
    </row>
    <row r="71" spans="1:7" x14ac:dyDescent="0.3">
      <c r="A71" s="2">
        <v>3</v>
      </c>
      <c r="C71" s="38" t="s">
        <v>32</v>
      </c>
      <c r="D71" s="42">
        <f>TRUNC(11718,-1)</f>
        <v>11710</v>
      </c>
      <c r="E71" s="63">
        <f t="shared" si="2"/>
        <v>38710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TRUNC(11152,-1)</f>
        <v>11150</v>
      </c>
      <c r="E73" s="63">
        <f t="shared" si="2"/>
        <v>36850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TRUNC(79593,-1)</f>
        <v>79590</v>
      </c>
      <c r="E76" s="63">
        <f t="shared" si="2"/>
        <v>263100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TRUNC(15228,-1)</f>
        <v>15220</v>
      </c>
      <c r="E89" s="63">
        <f t="shared" si="2"/>
        <v>50310</v>
      </c>
    </row>
    <row r="90" spans="1:7" x14ac:dyDescent="0.3">
      <c r="A90" s="2">
        <v>22</v>
      </c>
      <c r="C90" s="38" t="s">
        <v>36</v>
      </c>
      <c r="D90" s="42">
        <f>TRUNC(6264,-1)</f>
        <v>6260</v>
      </c>
      <c r="E90" s="63">
        <f t="shared" si="2"/>
        <v>20690</v>
      </c>
    </row>
    <row r="91" spans="1:7" x14ac:dyDescent="0.3">
      <c r="A91" s="2">
        <v>23</v>
      </c>
      <c r="C91" s="38" t="s">
        <v>37</v>
      </c>
      <c r="D91" s="42">
        <f>TRUNC(10121,-1)</f>
        <v>10120</v>
      </c>
      <c r="E91" s="63">
        <f t="shared" si="2"/>
        <v>33450</v>
      </c>
    </row>
    <row r="92" spans="1:7" x14ac:dyDescent="0.3">
      <c r="A92" s="2">
        <v>24</v>
      </c>
      <c r="C92" s="38" t="s">
        <v>38</v>
      </c>
      <c r="D92" s="42">
        <f>TRUNC(6864,-1)</f>
        <v>6860</v>
      </c>
      <c r="E92" s="63">
        <f t="shared" si="2"/>
        <v>22670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1338+287+25875</f>
        <v>27500</v>
      </c>
      <c r="E94" s="64">
        <f t="shared" si="2"/>
        <v>90900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180000</v>
      </c>
      <c r="E95" s="39">
        <f>SUM(E69:E94)</f>
        <v>594990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TRUNC(29316,-1)</f>
        <v>29310</v>
      </c>
      <c r="E98" s="62">
        <f t="shared" ref="E98:E118" si="3">TRUNC(+D98*3.3058,-1)</f>
        <v>96890</v>
      </c>
    </row>
    <row r="99" spans="1:7" x14ac:dyDescent="0.3">
      <c r="A99" s="2">
        <v>2</v>
      </c>
      <c r="C99" s="38" t="s">
        <v>40</v>
      </c>
      <c r="D99" s="42">
        <f>TRUNC(6069,-1)</f>
        <v>6060</v>
      </c>
      <c r="E99" s="63">
        <f t="shared" si="3"/>
        <v>20030</v>
      </c>
    </row>
    <row r="100" spans="1:7" x14ac:dyDescent="0.3">
      <c r="A100" s="2">
        <v>3</v>
      </c>
      <c r="C100" s="38" t="s">
        <v>41</v>
      </c>
      <c r="D100" s="42">
        <f>TRUNC(44167,-1)</f>
        <v>44160</v>
      </c>
      <c r="E100" s="63">
        <f t="shared" si="3"/>
        <v>145980</v>
      </c>
    </row>
    <row r="101" spans="1:7" x14ac:dyDescent="0.3">
      <c r="A101" s="2">
        <v>4</v>
      </c>
      <c r="C101" s="38" t="s">
        <v>42</v>
      </c>
      <c r="D101" s="42">
        <f>TRUNC(962,-1)</f>
        <v>960</v>
      </c>
      <c r="E101" s="63">
        <f t="shared" si="3"/>
        <v>3170</v>
      </c>
    </row>
    <row r="102" spans="1:7" x14ac:dyDescent="0.3">
      <c r="A102" s="2">
        <v>5</v>
      </c>
      <c r="C102" s="38" t="s">
        <v>43</v>
      </c>
      <c r="D102" s="42">
        <f>TRUNC(17743,-1)</f>
        <v>17740</v>
      </c>
      <c r="E102" s="63">
        <f t="shared" si="3"/>
        <v>58640</v>
      </c>
    </row>
    <row r="103" spans="1:7" x14ac:dyDescent="0.3">
      <c r="A103" s="2">
        <v>6</v>
      </c>
      <c r="C103" s="38" t="s">
        <v>44</v>
      </c>
      <c r="D103" s="42">
        <f>TRUNC(7121,-1)</f>
        <v>7120</v>
      </c>
      <c r="E103" s="63">
        <f t="shared" si="3"/>
        <v>23530</v>
      </c>
    </row>
    <row r="104" spans="1:7" x14ac:dyDescent="0.3">
      <c r="A104" s="2">
        <v>7</v>
      </c>
      <c r="C104" s="38" t="s">
        <v>45</v>
      </c>
      <c r="D104" s="42">
        <f>TRUNC(3317,-1)</f>
        <v>3310</v>
      </c>
      <c r="E104" s="63">
        <f t="shared" si="3"/>
        <v>10940</v>
      </c>
    </row>
    <row r="105" spans="1:7" x14ac:dyDescent="0.3">
      <c r="A105" s="2">
        <v>8</v>
      </c>
      <c r="C105" s="38" t="s">
        <v>46</v>
      </c>
      <c r="D105" s="42">
        <f>TRUNC(4238,-1)</f>
        <v>4230</v>
      </c>
      <c r="E105" s="63">
        <f t="shared" si="3"/>
        <v>13980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TRUNC(1847,-1)</f>
        <v>1840</v>
      </c>
      <c r="E116" s="63">
        <f t="shared" si="3"/>
        <v>6080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TRUNC(63656,-1)</f>
        <v>63650</v>
      </c>
      <c r="E117" s="63">
        <f t="shared" si="3"/>
        <v>210410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178380</v>
      </c>
      <c r="E119" s="39">
        <f>SUM(E98:E118)</f>
        <v>589650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TRUNC(5323,-1)</f>
        <v>5320</v>
      </c>
      <c r="E122" s="62">
        <f t="shared" ref="E122:E132" si="4">TRUNC(+D122*3.3058,-1)</f>
        <v>17580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TRUNC(6173,-1)</f>
        <v>6170</v>
      </c>
      <c r="E125" s="63">
        <f t="shared" si="4"/>
        <v>20390</v>
      </c>
    </row>
    <row r="126" spans="1:7" x14ac:dyDescent="0.3">
      <c r="A126" s="2">
        <v>5</v>
      </c>
      <c r="C126" s="38" t="s">
        <v>53</v>
      </c>
      <c r="D126" s="42">
        <f>TRUNC(8422,-1)</f>
        <v>8420</v>
      </c>
      <c r="E126" s="63">
        <f t="shared" si="4"/>
        <v>27830</v>
      </c>
    </row>
    <row r="127" spans="1:7" x14ac:dyDescent="0.3">
      <c r="A127" s="2">
        <v>6</v>
      </c>
      <c r="C127" s="38" t="s">
        <v>56</v>
      </c>
      <c r="D127" s="42">
        <f>TRUNC(1539,-1)</f>
        <v>1530</v>
      </c>
      <c r="E127" s="63">
        <f t="shared" si="4"/>
        <v>5050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TRUNC(21917,-1)</f>
        <v>21910</v>
      </c>
      <c r="E130" s="63">
        <f t="shared" si="4"/>
        <v>72430</v>
      </c>
    </row>
    <row r="131" spans="1:7" x14ac:dyDescent="0.3">
      <c r="A131" s="2">
        <v>10</v>
      </c>
      <c r="C131" s="38" t="s">
        <v>148</v>
      </c>
      <c r="D131" s="42">
        <f>TRUNC(34656,-1)</f>
        <v>34650</v>
      </c>
      <c r="E131" s="63">
        <f t="shared" si="4"/>
        <v>114540</v>
      </c>
    </row>
    <row r="132" spans="1:7" ht="18" thickBot="1" x14ac:dyDescent="0.35">
      <c r="A132" s="2">
        <v>11</v>
      </c>
      <c r="C132" s="38" t="s">
        <v>47</v>
      </c>
      <c r="D132" s="43">
        <f>TRUNC(1084+430,-1)</f>
        <v>1510</v>
      </c>
      <c r="E132" s="64">
        <f t="shared" si="4"/>
        <v>4990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79510</v>
      </c>
      <c r="E133" s="39">
        <f>SUM(E122:E132)</f>
        <v>262810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f>TRUNC(2473,-1)</f>
        <v>2470</v>
      </c>
      <c r="E138" s="63">
        <f t="shared" si="5"/>
        <v>8160</v>
      </c>
    </row>
    <row r="139" spans="1:7" x14ac:dyDescent="0.3">
      <c r="A139" s="2">
        <v>4</v>
      </c>
      <c r="C139" s="38" t="s">
        <v>61</v>
      </c>
      <c r="D139" s="42">
        <f>TRUNC(1878,-1)</f>
        <v>1870</v>
      </c>
      <c r="E139" s="63">
        <f t="shared" si="5"/>
        <v>6180</v>
      </c>
    </row>
    <row r="140" spans="1:7" x14ac:dyDescent="0.3">
      <c r="A140" s="2">
        <v>5</v>
      </c>
      <c r="C140" s="38" t="s">
        <v>57</v>
      </c>
      <c r="D140" s="42">
        <f>TRUNC(2597,-1)</f>
        <v>2590</v>
      </c>
      <c r="E140" s="63">
        <f t="shared" si="5"/>
        <v>8560</v>
      </c>
    </row>
    <row r="141" spans="1:7" x14ac:dyDescent="0.3">
      <c r="A141" s="2">
        <v>6</v>
      </c>
      <c r="C141" s="38" t="s">
        <v>59</v>
      </c>
      <c r="D141" s="42">
        <f>TRUNC(4414,-1)</f>
        <v>4410</v>
      </c>
      <c r="E141" s="63">
        <f t="shared" si="5"/>
        <v>14570</v>
      </c>
    </row>
    <row r="142" spans="1:7" x14ac:dyDescent="0.3">
      <c r="A142" s="2">
        <v>7</v>
      </c>
      <c r="C142" s="38" t="s">
        <v>58</v>
      </c>
      <c r="D142" s="42">
        <f>TRUNC(8584,-1)</f>
        <v>8580</v>
      </c>
      <c r="E142" s="63">
        <f t="shared" si="5"/>
        <v>28360</v>
      </c>
    </row>
    <row r="143" spans="1:7" x14ac:dyDescent="0.3">
      <c r="A143" s="2">
        <v>8</v>
      </c>
      <c r="C143" s="38" t="s">
        <v>62</v>
      </c>
      <c r="D143" s="42">
        <f>TRUNC(4843,-1)</f>
        <v>4840</v>
      </c>
      <c r="E143" s="63">
        <f t="shared" si="5"/>
        <v>16000</v>
      </c>
    </row>
    <row r="144" spans="1:7" x14ac:dyDescent="0.3">
      <c r="A144" s="2">
        <v>9</v>
      </c>
      <c r="C144" s="38" t="s">
        <v>63</v>
      </c>
      <c r="D144" s="42">
        <f>TRUNC(22424,-1)</f>
        <v>22420</v>
      </c>
      <c r="E144" s="63">
        <f t="shared" si="5"/>
        <v>74110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47180</v>
      </c>
      <c r="E146" s="39">
        <f>SUM(E136:E145)</f>
        <v>155940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TRUNC(7364+1103,-1)</f>
        <v>8460</v>
      </c>
      <c r="E149" s="62">
        <f>TRUNC(+D149*3.3058,-1)</f>
        <v>27960</v>
      </c>
    </row>
    <row r="150" spans="1:7" x14ac:dyDescent="0.3">
      <c r="A150" s="2">
        <v>2</v>
      </c>
      <c r="C150" s="38" t="s">
        <v>49</v>
      </c>
      <c r="D150" s="42">
        <f>TRUNC(3237,-1)</f>
        <v>3230</v>
      </c>
      <c r="E150" s="63">
        <f>TRUNC(+D150*3.3058,-1)</f>
        <v>10670</v>
      </c>
    </row>
    <row r="151" spans="1:7" x14ac:dyDescent="0.3">
      <c r="A151" s="2">
        <v>3</v>
      </c>
      <c r="C151" s="38" t="s">
        <v>50</v>
      </c>
      <c r="D151" s="42">
        <f>TRUNC(1262,-1)</f>
        <v>1260</v>
      </c>
      <c r="E151" s="63">
        <f>TRUNC(+D151*3.3058,-1)</f>
        <v>4160</v>
      </c>
    </row>
    <row r="152" spans="1:7" x14ac:dyDescent="0.3">
      <c r="A152" s="2">
        <v>4</v>
      </c>
      <c r="C152" s="38" t="s">
        <v>47</v>
      </c>
      <c r="D152" s="42">
        <f>TRUNC(885+4534+183,-1)</f>
        <v>5600</v>
      </c>
      <c r="E152" s="63">
        <f>TRUNC(+D152*3.3058,-1)</f>
        <v>18510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18550</v>
      </c>
      <c r="E154" s="39">
        <f>SUM(E149:E153)</f>
        <v>61300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TRUNC(26706,-1)</f>
        <v>26700</v>
      </c>
      <c r="E157" s="62">
        <f>TRUNC(+D157*3.3058,-1)</f>
        <v>88260</v>
      </c>
    </row>
    <row r="158" spans="1:7" x14ac:dyDescent="0.3">
      <c r="A158" s="2">
        <v>2</v>
      </c>
      <c r="C158" s="38" t="s">
        <v>52</v>
      </c>
      <c r="D158" s="42">
        <f>TRUNC(21416,-1)</f>
        <v>21410</v>
      </c>
      <c r="E158" s="63">
        <f>TRUNC(+D158*3.3058,-1)</f>
        <v>70770</v>
      </c>
    </row>
    <row r="159" spans="1:7" x14ac:dyDescent="0.3">
      <c r="A159" s="2">
        <v>3</v>
      </c>
      <c r="C159" s="38" t="s">
        <v>47</v>
      </c>
      <c r="D159" s="42">
        <f>TRUNC(19618,-1)</f>
        <v>19610</v>
      </c>
      <c r="E159" s="63">
        <f>TRUNC(+D159*3.3058,-1)</f>
        <v>64820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67720</v>
      </c>
      <c r="E161" s="39">
        <f>SUM(E157:E160)</f>
        <v>223850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2020-12-08T02:22:14Z</dcterms:modified>
</cp:coreProperties>
</file>