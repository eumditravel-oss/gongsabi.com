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0" i="4" l="1"/>
  <c r="D99" i="4"/>
  <c r="D114" i="4"/>
  <c r="D136" i="4"/>
  <c r="D85" i="4"/>
  <c r="D71" i="4"/>
  <c r="D70" i="4"/>
  <c r="D69" i="4"/>
  <c r="D152" i="4"/>
  <c r="D58" i="4"/>
  <c r="D42" i="4" l="1"/>
  <c r="D52" i="4"/>
  <c r="D51" i="4"/>
  <c r="D50" i="4"/>
  <c r="D49" i="4"/>
  <c r="D48" i="4"/>
  <c r="D55" i="4"/>
  <c r="D44" i="4"/>
  <c r="D41" i="4"/>
  <c r="D40" i="4"/>
  <c r="D3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46" i="4"/>
  <c r="E119" i="4"/>
  <c r="E154" i="4"/>
  <c r="E95" i="4"/>
  <c r="E60" i="4"/>
  <c r="D161" i="4"/>
  <c r="D154" i="4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9" i="4"/>
  <c r="E29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<sst xmlns="http://schemas.openxmlformats.org/spreadsheetml/2006/main" count="387" uniqueCount="262">
  <si>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</si>
  <si>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</si>
  <si>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</si>
  <si>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</si>
  <si>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</si>
  <si>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</si>
  <si>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</si>
  <si>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</si>
  <si>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</si>
  <si>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</si>
  <si>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</si>
  <si>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</si>
  <si>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</si>
  <si>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</si>
  <si>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</si>
  <si>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</si>
  <si>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</si>
  <si>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</si>
  <si>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</si>
  <si>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</si>
  <si>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</si>
  <si>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</si>
  <si>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</si>
  <si>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</si>
  <si>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</si>
  <si>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</si>
  <si>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</si>
  <si>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</si>
  <si>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</si>
  <si>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</si>
  <si>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</si>
  <si>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</si>
  <si>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</si>
  <si>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</si>
  <si>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</si>
  <si>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</si>
  <si>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</si>
  <si>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</si>
  <si>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</si>
  <si>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</si>
  <si>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</si>
  <si>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</si>
  <si>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</si>
  <si>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</si>
  <si>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</si>
  <si>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</si>
  <si>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</si>
  <si>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</si>
  <si>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</si>
  <si>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</si>
  <si>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</si>
  <si>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</si>
  <si>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</si>
  <si>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</si>
  <si>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</si>
  <si>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</si>
  <si>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</si>
  <si>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</si>
  <si>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</si>
  <si>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</si>
  <si>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</si>
  <si>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</si>
  <si>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</si>
  <si>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</si>
  <si>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</si>
  <si>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</si>
  <si>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</si>
  <si>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</si>
  <si>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</si>
  <si>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</si>
  <si>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</si>
  <si>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</si>
  <si>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</si>
  <si>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</si>
  <si>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</si>
  <si>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</si>
  <si>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</si>
  <si>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</si>
  <si>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</si>
  <si>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</si>
  <si>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</si>
  <si>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</si>
  <si>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</si>
  <si>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</si>
  <si>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</si>
  <si>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</si>
  <si>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</si>
  <si>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</si>
  <si>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</si>
  <si>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</si>
  <si>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</si>
  <si>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</si>
  <si>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</si>
  <si>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</si>
  <si>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</si>
  <si>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</si>
  <si>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</si>
  <si>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</si>
  <si>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</si>
  <si>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</si>
  <si>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</si>
  <si>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</si>
  <si>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</si>
  <si>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</si>
  <si>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</si>
  <si>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</si>
  <si>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</si>
  <si>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</si>
  <si>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</si>
  <si>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</si>
  <si>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</si>
  <si>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</si>
  <si>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</si>
  <si>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</si>
  <si>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</si>
  <si>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</si>
  <si>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</si>
  <si>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</si>
  <si>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</si>
  <si>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</si>
  <si>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</si>
  <si>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</si>
  <si>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</si>
  <si>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</si>
  <si>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</si>
  <si>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</si>
  <si>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</si>
  <si>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</si>
  <si>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</si>
  <si>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</si>
  <si>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</si>
  <si>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</si>
  <si>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</si>
  <si>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</si>
  <si>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</si>
  <si>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</si>
  <si>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</si>
  <si>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</si>
  <si>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</si>
  <si>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</si>
  <si>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</si>
  <si>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</si>
  <si>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</si>
  <si>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</si>
  <si>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</si>
  <si>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</si>
  <si>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</si>
  <si>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</si>
  <si>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</si>
  <si>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</si>
  <si>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</si>
  <si>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</si>
  <si>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</si>
  <si>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</si>
  <si>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</si>
  <si>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</si>
  <si>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</si>
  <si>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</si>
  <si>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</si>
  <si>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</si>
  <si>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</si>
  <si>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</si>
  <si>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</si>
  <si>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</si>
  <si>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</si>
  <si>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</si>
  <si>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</si>
  <si>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</si>
  <si>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</si>
  <si>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</si>
  <si>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</si>
  <si>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</si>
  <si>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</si>
  <si>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</si>
  <si>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</si>
  <si>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</si>
  <si>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</si>
  <si>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</si>
  <si>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</si>
  <si>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</si>
  <si>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</si>
  <si>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</si>
  <si>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</si>
  <si>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</si>
  <si>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</si>
  <si>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</si>
  <si>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</si>
  <si>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</si>
  <si>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</si>
  <si>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</si>
  <si>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</si>
  <si>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</si>
  <si>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</si>
  <si>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</si>
  <si>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</si>
  <si>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</si>
  <si>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</si>
  <si>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</si>
  <si>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</si>
  <si>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</si>
  <si>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</si>
  <si>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</si>
  <si>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</si>
  <si>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</si>
  <si>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</si>
  <si>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</si>
  <si>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</si>
  <si>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</si>
  <si>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</si>
  <si>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</si>
  <si>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</si>
  <si>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</si>
  <si>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</si>
  <si>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</si>
  <si>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</si>
  <si>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</si>
  <si>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</si>
  <si>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</si>
  <si>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</si>
  <si>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</si>
  <si>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</si>
  <si>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</si>
  <si>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</si>
  <si>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</si>
  <si>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</si>
  <si>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</si>
  <si>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</si>
  <si>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</si>
  <si>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</si>
  <si>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</si>
  <si>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</si>
  <si>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</si>
  <si>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</si>
  <si>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</si>
  <si>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</si>
  <si>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</si>
  <si>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</si>
  <si>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</si>
  <si>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</si>
  <si>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</si>
  <si>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</si>
  <si>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</si>
  <si>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</si>
  <si>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</si>
  <si>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</si>
  <si>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</si>
  <si>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</si>
  <si>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</si>
  <si>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000제0부두 임항창고 증축공사</t>
    <phoneticPr fontId="2" type="noConversion"/>
  </si>
  <si>
    <t>창고</t>
  </si>
  <si>
    <t>전라도</t>
  </si>
  <si>
    <t>철공공사,LTS 철골공사</t>
    <phoneticPr fontId="2" type="noConversion"/>
  </si>
  <si>
    <t>토및지정공사,기타공사,골재비,운반비,판넬공사,작업부산물</t>
    <phoneticPr fontId="2" type="noConversion"/>
  </si>
  <si>
    <t>부대토목공사</t>
    <phoneticPr fontId="2" type="noConversion"/>
  </si>
  <si>
    <t>기계 소회설비공사</t>
    <phoneticPr fontId="2" type="noConversion"/>
  </si>
  <si>
    <t>옥외간선설비</t>
    <phoneticPr fontId="2" type="noConversion"/>
  </si>
  <si>
    <t>동력및간선설비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</si>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</sst>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8599</v>
      </c>
      <c r="D7" s="36">
        <f>+C7/3.3058</f>
        <v>2601.1857946639238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3040</v>
      </c>
      <c r="E24" s="58">
        <f t="shared" ref="E24:E33" si="0">TRUNC(+D24*3.3058,-1)</f>
        <v>10040</v>
      </c>
    </row>
    <row r="25" spans="1:5" x14ac:dyDescent="0.3">
      <c r="B25" s="2">
        <v>2</v>
      </c>
      <c r="C25" s="35" t="s">
        <v>111</v>
      </c>
      <c r="D25" s="45">
        <f>+D60</f>
        <v>372140</v>
      </c>
      <c r="E25" s="59">
        <f t="shared" si="0"/>
        <v>1230220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4730</v>
      </c>
      <c r="E27" s="59">
        <f t="shared" si="0"/>
        <v>15630</v>
      </c>
    </row>
    <row r="28" spans="1:5" x14ac:dyDescent="0.3">
      <c r="B28" s="2">
        <v>5</v>
      </c>
      <c r="C28" s="35" t="s">
        <v>97</v>
      </c>
      <c r="D28" s="45">
        <f>+D119</f>
        <v>22010</v>
      </c>
      <c r="E28" s="59">
        <f t="shared" si="0"/>
        <v>72760</v>
      </c>
    </row>
    <row r="29" spans="1:5" x14ac:dyDescent="0.3">
      <c r="B29" s="2">
        <v>6</v>
      </c>
      <c r="C29" s="35" t="s">
        <v>98</v>
      </c>
      <c r="D29" s="45">
        <f>+D133</f>
        <v>0</v>
      </c>
      <c r="E29" s="59">
        <f t="shared" si="0"/>
        <v>0</v>
      </c>
    </row>
    <row r="30" spans="1:5" x14ac:dyDescent="0.3">
      <c r="B30" s="2">
        <v>7</v>
      </c>
      <c r="C30" s="35" t="s">
        <v>99</v>
      </c>
      <c r="D30" s="45">
        <f>+D146</f>
        <v>25190</v>
      </c>
      <c r="E30" s="59">
        <f t="shared" si="0"/>
        <v>83270</v>
      </c>
    </row>
    <row r="31" spans="1:5" x14ac:dyDescent="0.3">
      <c r="B31" s="2">
        <v>8</v>
      </c>
      <c r="C31" s="35" t="s">
        <v>100</v>
      </c>
      <c r="D31" s="45">
        <f>+D154</f>
        <v>13320</v>
      </c>
      <c r="E31" s="59">
        <f t="shared" si="0"/>
        <v>44030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121110</v>
      </c>
      <c r="E33" s="60">
        <f t="shared" si="0"/>
        <v>400360</v>
      </c>
    </row>
    <row r="34" spans="1:7" x14ac:dyDescent="0.3">
      <c r="C34" s="35" t="s">
        <v>112</v>
      </c>
      <c r="D34" s="44">
        <f>SUM(D24:D33)</f>
        <v>561540</v>
      </c>
      <c r="E34" s="44">
        <f>SUM(E24:E33)</f>
        <v>1856310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TRUNC(3047,-1)</f>
        <v>3040</v>
      </c>
      <c r="E37" s="61">
        <f>TRUNC(+D37*3.3058,-1)</f>
        <v>10040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257</v>
      </c>
      <c r="E39" s="67" t="s">
        <v>258</v>
      </c>
      <c r="G39" s="68"/>
    </row>
    <row r="40" spans="1:7" x14ac:dyDescent="0.3">
      <c r="A40" s="2">
        <v>1</v>
      </c>
      <c r="C40" s="38" t="s">
        <v>15</v>
      </c>
      <c r="D40" s="40">
        <f>TRUNC(18206,-1)</f>
        <v>18200</v>
      </c>
      <c r="E40" s="62">
        <f t="shared" ref="E40:E59" si="1">TRUNC(+D40*3.3058,-1)</f>
        <v>60160</v>
      </c>
    </row>
    <row r="41" spans="1:7" x14ac:dyDescent="0.3">
      <c r="A41" s="2">
        <v>2</v>
      </c>
      <c r="C41" s="38" t="s">
        <v>13</v>
      </c>
      <c r="D41" s="42">
        <f>TRUNC(64737,-1)</f>
        <v>64730</v>
      </c>
      <c r="E41" s="63">
        <f t="shared" si="1"/>
        <v>213980</v>
      </c>
    </row>
    <row r="42" spans="1:7" x14ac:dyDescent="0.3">
      <c r="A42" s="2">
        <v>3</v>
      </c>
      <c r="C42" s="38" t="s">
        <v>14</v>
      </c>
      <c r="D42" s="42">
        <f>TRUNC(3651+181955,-1)</f>
        <v>185600</v>
      </c>
      <c r="E42" s="63">
        <f t="shared" si="1"/>
        <v>613550</v>
      </c>
      <c r="F42" s="2" t="s">
        <v>251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f>TRUNC(214,-1)</f>
        <v>210</v>
      </c>
      <c r="E44" s="63">
        <f t="shared" si="1"/>
        <v>690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TRUNC(727,-1)</f>
        <v>720</v>
      </c>
      <c r="E48" s="63">
        <f t="shared" si="1"/>
        <v>2380</v>
      </c>
    </row>
    <row r="49" spans="1:7" x14ac:dyDescent="0.3">
      <c r="A49" s="2">
        <v>10</v>
      </c>
      <c r="C49" s="38" t="s">
        <v>22</v>
      </c>
      <c r="D49" s="42">
        <f>TRUNC(5743,-1)</f>
        <v>5740</v>
      </c>
      <c r="E49" s="63">
        <f t="shared" si="1"/>
        <v>18970</v>
      </c>
    </row>
    <row r="50" spans="1:7" x14ac:dyDescent="0.3">
      <c r="A50" s="2">
        <v>11</v>
      </c>
      <c r="C50" s="38" t="s">
        <v>155</v>
      </c>
      <c r="D50" s="42">
        <f>TRUNC(7333,-1)</f>
        <v>7330</v>
      </c>
      <c r="E50" s="63">
        <f t="shared" si="1"/>
        <v>24230</v>
      </c>
    </row>
    <row r="51" spans="1:7" x14ac:dyDescent="0.3">
      <c r="A51" s="2">
        <v>12</v>
      </c>
      <c r="C51" s="38" t="s">
        <v>23</v>
      </c>
      <c r="D51" s="42">
        <f>TRUNC(43,-1)</f>
        <v>40</v>
      </c>
      <c r="E51" s="63">
        <f t="shared" si="1"/>
        <v>130</v>
      </c>
    </row>
    <row r="52" spans="1:7" x14ac:dyDescent="0.3">
      <c r="A52" s="2">
        <v>13</v>
      </c>
      <c r="C52" s="38" t="s">
        <v>24</v>
      </c>
      <c r="D52" s="42">
        <f>TRUNC(3301,-1)</f>
        <v>3300</v>
      </c>
      <c r="E52" s="63">
        <f t="shared" si="1"/>
        <v>10900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TRUNC(8564,-1)</f>
        <v>8560</v>
      </c>
      <c r="E55" s="63">
        <f t="shared" si="1"/>
        <v>28290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TRUNC(1799+1033+7555+481+67839-996,-1)</f>
        <v>77710</v>
      </c>
      <c r="E58" s="63">
        <f t="shared" si="1"/>
        <v>256890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372140</v>
      </c>
      <c r="E60" s="39">
        <f>SUM(E40:E59)</f>
        <v>1230170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TRUNC(1851,-1)</f>
        <v>1850</v>
      </c>
      <c r="E69" s="62">
        <f t="shared" ref="E69:E94" si="2">TRUNC(+D69*3.3058,-1)</f>
        <v>6110</v>
      </c>
    </row>
    <row r="70" spans="1:7" ht="16.5" customHeight="1" x14ac:dyDescent="0.3">
      <c r="A70" s="2">
        <v>2</v>
      </c>
      <c r="C70" s="38" t="s">
        <v>31</v>
      </c>
      <c r="D70" s="42">
        <f>TRUNC(232,-1)</f>
        <v>230</v>
      </c>
      <c r="E70" s="63">
        <f t="shared" si="2"/>
        <v>760</v>
      </c>
    </row>
    <row r="71" spans="1:7" x14ac:dyDescent="0.3">
      <c r="A71" s="2">
        <v>3</v>
      </c>
      <c r="C71" s="38" t="s">
        <v>32</v>
      </c>
      <c r="D71" s="42">
        <f>TRUNC(200,-1)</f>
        <v>200</v>
      </c>
      <c r="E71" s="63">
        <f t="shared" si="2"/>
        <v>660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TRUNC(2459,-1)</f>
        <v>2450</v>
      </c>
      <c r="E85" s="63">
        <f t="shared" si="2"/>
        <v>8090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4730</v>
      </c>
      <c r="E95" s="39">
        <f>SUM(E69:E94)</f>
        <v>15620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f>TRUNC(8023,-1)</f>
        <v>8020</v>
      </c>
      <c r="E99" s="63">
        <f t="shared" si="3"/>
        <v>26510</v>
      </c>
      <c r="F99" s="2" t="s">
        <v>256</v>
      </c>
    </row>
    <row r="100" spans="1:7" x14ac:dyDescent="0.3">
      <c r="A100" s="2">
        <v>3</v>
      </c>
      <c r="C100" s="38" t="s">
        <v>41</v>
      </c>
      <c r="D100" s="42">
        <f>TRUNC(6341,-1)</f>
        <v>6340</v>
      </c>
      <c r="E100" s="63">
        <f t="shared" si="3"/>
        <v>20950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TRUNC(7656,-1)</f>
        <v>7650</v>
      </c>
      <c r="E114" s="63">
        <f t="shared" si="3"/>
        <v>25280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22010</v>
      </c>
      <c r="E119" s="39">
        <f>SUM(E98:E118)</f>
        <v>72740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0</v>
      </c>
      <c r="E133" s="39">
        <f>SUM(E122:E132)</f>
        <v>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TRUNC(25197,-1)</f>
        <v>25190</v>
      </c>
      <c r="E136" s="62">
        <f t="shared" ref="E136:E145" si="5">TRUNC(+D136*3.3058,-1)</f>
        <v>83270</v>
      </c>
      <c r="F136" s="2" t="s">
        <v>254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25190</v>
      </c>
      <c r="E146" s="39">
        <f>SUM(E136:E145)</f>
        <v>83270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TRUNC(13322,-1)</f>
        <v>13320</v>
      </c>
      <c r="E152" s="63">
        <f>TRUNC(+D152*3.3058,-1)</f>
        <v>44030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13320</v>
      </c>
      <c r="E154" s="39">
        <f>SUM(E149:E153)</f>
        <v>44030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2020-12-07T09:53:51Z</dcterms:modified>
</cp:coreProperties>
</file>