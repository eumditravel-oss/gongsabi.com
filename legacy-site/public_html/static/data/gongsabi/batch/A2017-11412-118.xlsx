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1" i="4"/>
  <c r="D150" i="4"/>
  <c r="D149" i="4"/>
  <c r="D145" i="4"/>
  <c r="D144" i="4"/>
  <c r="D142" i="4"/>
  <c r="D141" i="4"/>
  <c r="D140" i="4"/>
  <c r="D139" i="4"/>
  <c r="D137" i="4"/>
  <c r="D132" i="4"/>
  <c r="D128" i="4"/>
  <c r="D126" i="4"/>
  <c r="D124" i="4"/>
  <c r="D122" i="4"/>
  <c r="D118" i="4"/>
  <c r="D117" i="4"/>
  <c r="D116" i="4"/>
  <c r="D104" i="4"/>
  <c r="D103" i="4"/>
  <c r="D102" i="4"/>
  <c r="D101" i="4"/>
  <c r="D100" i="4"/>
  <c r="D98" i="4"/>
  <c r="D94" i="4"/>
  <c r="D93" i="4"/>
  <c r="D92" i="4"/>
  <c r="D91" i="4"/>
  <c r="D89" i="4"/>
  <c r="D72" i="4"/>
  <c r="D71" i="4"/>
  <c r="D70" i="4"/>
  <c r="D69" i="4"/>
  <c r="D63" i="4"/>
  <c r="D59" i="4"/>
  <c r="D58" i="4"/>
  <c r="D52" i="4"/>
  <c r="D50" i="4"/>
  <c r="D49" i="4"/>
  <c r="D48" i="4"/>
  <c r="D45" i="4"/>
  <c r="D44" i="4"/>
  <c r="D43" i="4"/>
  <c r="D42" i="4"/>
  <c r="D41" i="4"/>
  <c r="D40" i="4"/>
  <c r="D152" i="4" l="1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<sst xmlns="http://schemas.openxmlformats.org/spreadsheetml/2006/main" count="392" uniqueCount="269">
  <si>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</si>
  <si>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</si>
  <si>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</si>
  <si>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</si>
  <si>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</si>
  <si>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</si>
  <si>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</si>
  <si>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</si>
  <si>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</si>
  <si>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</si>
  <si>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</si>
  <si>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</si>
  <si>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</si>
  <si>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</si>
  <si>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</si>
  <si>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</si>
  <si>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</si>
  <si>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</si>
  <si>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</si>
  <si>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</si>
  <si>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</si>
  <si>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</si>
  <si>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</si>
  <si>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</si>
  <si>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</si>
  <si>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</si>
  <si>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</si>
  <si>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</si>
  <si>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</si>
  <si>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</si>
  <si>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</si>
  <si>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</si>
  <si>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</si>
  <si>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</si>
  <si>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</si>
  <si>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</si>
  <si>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</si>
  <si>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</si>
  <si>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</si>
  <si>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</si>
  <si>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</si>
  <si>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</si>
  <si>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</si>
  <si>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</si>
  <si>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</si>
  <si>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</si>
  <si>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</si>
  <si>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</si>
  <si>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</si>
  <si>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</si>
  <si>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</si>
  <si>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</si>
  <si>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</si>
  <si>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</si>
  <si>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</si>
  <si>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</si>
  <si>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</si>
  <si>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</si>
  <si>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</si>
  <si>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</si>
  <si>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</si>
  <si>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</si>
  <si>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</si>
  <si>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</si>
  <si>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</si>
  <si>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</si>
  <si>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</si>
  <si>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</si>
  <si>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</si>
  <si>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</si>
  <si>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</si>
  <si>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</si>
  <si>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</si>
  <si>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</si>
  <si>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</si>
  <si>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</si>
  <si>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</si>
  <si>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</si>
  <si>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</si>
  <si>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</si>
  <si>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</si>
  <si>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</si>
  <si>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</si>
  <si>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</si>
  <si>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</si>
  <si>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</si>
  <si>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</si>
  <si>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</si>
  <si>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</si>
  <si>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</si>
  <si>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</si>
  <si>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</si>
  <si>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</si>
  <si>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</si>
  <si>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</si>
  <si>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</si>
  <si>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</si>
  <si>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</si>
  <si>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</si>
  <si>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</si>
  <si>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</si>
  <si>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</si>
  <si>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</si>
  <si>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</si>
  <si>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</si>
  <si>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</si>
  <si>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</si>
  <si>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</si>
  <si>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</si>
  <si>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</si>
  <si>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</si>
  <si>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</si>
  <si>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</si>
  <si>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</si>
  <si>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</si>
  <si>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</si>
  <si>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</si>
  <si>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</si>
  <si>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</si>
  <si>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</si>
  <si>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</si>
  <si>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</si>
  <si>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</si>
  <si>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</si>
  <si>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</si>
  <si>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</si>
  <si>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</si>
  <si>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</si>
  <si>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</si>
  <si>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</si>
  <si>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</si>
  <si>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</si>
  <si>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</si>
  <si>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</si>
  <si>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</si>
  <si>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</si>
  <si>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</si>
  <si>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</si>
  <si>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</si>
  <si>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</si>
  <si>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</si>
  <si>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</si>
  <si>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</si>
  <si>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</si>
  <si>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</si>
  <si>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</si>
  <si>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</si>
  <si>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</si>
  <si>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</si>
  <si>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</si>
  <si>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</si>
  <si>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</si>
  <si>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</si>
  <si>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</si>
  <si>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</si>
  <si>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</si>
  <si>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</si>
  <si>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</si>
  <si>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</si>
  <si>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</si>
  <si>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</si>
  <si>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</si>
  <si>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</si>
  <si>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</si>
  <si>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</si>
  <si>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</si>
  <si>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</si>
  <si>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</si>
  <si>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</si>
  <si>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</si>
  <si>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</si>
  <si>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</si>
  <si>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</si>
  <si>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</si>
  <si>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</si>
  <si>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</si>
  <si>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</si>
  <si>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</si>
  <si>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</si>
  <si>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</si>
  <si>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</si>
  <si>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</si>
  <si>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</si>
  <si>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</si>
  <si>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</si>
  <si>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</si>
  <si>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</si>
  <si>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</si>
  <si>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</si>
  <si>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</si>
  <si>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</si>
  <si>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</si>
  <si>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</si>
  <si>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</si>
  <si>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</si>
  <si>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</si>
  <si>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</si>
  <si>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</si>
  <si>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</si>
  <si>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</si>
  <si>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</si>
  <si>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</si>
  <si>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</si>
  <si>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</si>
  <si>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</si>
  <si>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</si>
  <si>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</si>
  <si>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</si>
  <si>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</si>
  <si>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</si>
  <si>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</si>
  <si>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</si>
  <si>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</si>
  <si>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</si>
  <si>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</si>
  <si>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</si>
  <si>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</si>
  <si>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</si>
  <si>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</si>
  <si>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</si>
  <si>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</si>
  <si>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</si>
  <si>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</si>
  <si>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</si>
  <si>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</si>
  <si>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</si>
  <si>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</si>
  <si>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</si>
  <si>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</si>
  <si>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</si>
  <si>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</si>
  <si>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</si>
  <si>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</si>
  <si>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</si>
  <si>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</si>
  <si>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</si>
  <si>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</si>
  <si>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</si>
  <si>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</si>
  <si>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</si>
  <si>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</si>
  <si>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</si>
  <si>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</si>
  <si>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</si>
  <si>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</si>
  <si>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</si>
  <si>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</si>
  <si>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</si>
  <si>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</si>
  <si>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</si>
  <si>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</si>
  <si>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</si>
  <si>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</si>
  <si>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</si>
  <si>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</si>
  <si>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</si>
  <si>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(가칭)호명초등학교 신축공사</t>
    <phoneticPr fontId="2" type="noConversion"/>
  </si>
  <si>
    <t>경상도</t>
  </si>
  <si>
    <t>기초공사, 골재비및운반비, 기타공사</t>
    <phoneticPr fontId="2" type="noConversion"/>
  </si>
  <si>
    <t>CCTV설비공사, 기타공사</t>
    <phoneticPr fontId="2" type="noConversion"/>
  </si>
  <si>
    <t>펌프실배관공사, 기타공사</t>
    <phoneticPr fontId="2" type="noConversion"/>
  </si>
  <si>
    <t>운반비,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</si>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</sst>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11927.4</v>
      </c>
      <c r="D7" s="36">
        <f>+C7/3.3058</f>
        <v>3608.0222638998121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990300</v>
      </c>
      <c r="E25" s="59">
        <f t="shared" si="0"/>
        <v>3273730</v>
      </c>
    </row>
    <row r="26" spans="1:5" x14ac:dyDescent="0.3">
      <c r="B26" s="2">
        <v>3</v>
      </c>
      <c r="C26" s="35" t="s">
        <v>95</v>
      </c>
      <c r="D26" s="45">
        <f>+D66</f>
        <v>3280</v>
      </c>
      <c r="E26" s="59">
        <f t="shared" si="0"/>
        <v>10840</v>
      </c>
    </row>
    <row r="27" spans="1:5" x14ac:dyDescent="0.3">
      <c r="B27" s="2">
        <v>4</v>
      </c>
      <c r="C27" s="35" t="s">
        <v>96</v>
      </c>
      <c r="D27" s="45">
        <f>+D95</f>
        <v>185060</v>
      </c>
      <c r="E27" s="59">
        <f t="shared" si="0"/>
        <v>611770</v>
      </c>
    </row>
    <row r="28" spans="1:5" x14ac:dyDescent="0.3">
      <c r="B28" s="2">
        <v>5</v>
      </c>
      <c r="C28" s="35" t="s">
        <v>97</v>
      </c>
      <c r="D28" s="45">
        <f>+D119</f>
        <v>212910</v>
      </c>
      <c r="E28" s="59">
        <f t="shared" si="0"/>
        <v>703830</v>
      </c>
    </row>
    <row r="29" spans="1:5" x14ac:dyDescent="0.3">
      <c r="B29" s="2">
        <v>6</v>
      </c>
      <c r="C29" s="35" t="s">
        <v>98</v>
      </c>
      <c r="D29" s="45">
        <f>+D133</f>
        <v>34860</v>
      </c>
      <c r="E29" s="59">
        <f t="shared" si="0"/>
        <v>115240</v>
      </c>
    </row>
    <row r="30" spans="1:5" x14ac:dyDescent="0.3">
      <c r="B30" s="2">
        <v>7</v>
      </c>
      <c r="C30" s="35" t="s">
        <v>99</v>
      </c>
      <c r="D30" s="45">
        <f>+D146</f>
        <v>76920</v>
      </c>
      <c r="E30" s="59">
        <f t="shared" si="0"/>
        <v>254280</v>
      </c>
    </row>
    <row r="31" spans="1:5" x14ac:dyDescent="0.3">
      <c r="B31" s="2">
        <v>8</v>
      </c>
      <c r="C31" s="35" t="s">
        <v>100</v>
      </c>
      <c r="D31" s="45">
        <f>+D154</f>
        <v>38290</v>
      </c>
      <c r="E31" s="59">
        <f t="shared" si="0"/>
        <v>126570</v>
      </c>
    </row>
    <row r="32" spans="1:5" x14ac:dyDescent="0.3">
      <c r="B32" s="2">
        <v>9</v>
      </c>
      <c r="C32" s="35" t="s">
        <v>101</v>
      </c>
      <c r="D32" s="45">
        <f>+D161</f>
        <v>21810</v>
      </c>
      <c r="E32" s="59">
        <f t="shared" si="0"/>
        <v>72090</v>
      </c>
    </row>
    <row r="33" spans="1:7" x14ac:dyDescent="0.3">
      <c r="B33" s="2">
        <v>10</v>
      </c>
      <c r="C33" s="35" t="s">
        <v>154</v>
      </c>
      <c r="D33" s="53">
        <f>TRUNC(SUM(D24:D32)*0.275,-1)</f>
        <v>429940</v>
      </c>
      <c r="E33" s="60">
        <f t="shared" si="0"/>
        <v>1421290</v>
      </c>
    </row>
    <row r="34" spans="1:7" x14ac:dyDescent="0.3">
      <c r="C34" s="35" t="s">
        <v>112</v>
      </c>
      <c r="D34" s="44">
        <f>SUM(D24:D33)</f>
        <v>1993370</v>
      </c>
      <c r="E34" s="44">
        <f>SUM(E24:E33)</f>
        <v>6589640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262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TRUNC(32701,-1)</f>
        <v>32700</v>
      </c>
      <c r="E40" s="62">
        <f t="shared" ref="E40:E59" si="1">TRUNC(+D40*3.3058,-1)</f>
        <v>108090</v>
      </c>
    </row>
    <row r="41" spans="1:7" x14ac:dyDescent="0.3">
      <c r="A41" s="2">
        <v>2</v>
      </c>
      <c r="C41" s="38" t="s">
        <v>13</v>
      </c>
      <c r="D41" s="42">
        <f>TRUNC(174761,-1)</f>
        <v>174760</v>
      </c>
      <c r="E41" s="63">
        <f t="shared" si="1"/>
        <v>577720</v>
      </c>
    </row>
    <row r="42" spans="1:7" x14ac:dyDescent="0.3">
      <c r="A42" s="2">
        <v>3</v>
      </c>
      <c r="C42" s="38" t="s">
        <v>14</v>
      </c>
      <c r="D42" s="42">
        <f>TRUNC(6636,-1)</f>
        <v>6630</v>
      </c>
      <c r="E42" s="63">
        <f t="shared" si="1"/>
        <v>21910</v>
      </c>
    </row>
    <row r="43" spans="1:7" x14ac:dyDescent="0.3">
      <c r="A43" s="2">
        <v>4</v>
      </c>
      <c r="C43" s="38" t="s">
        <v>16</v>
      </c>
      <c r="D43" s="42">
        <f>TRUNC(25808,-1)</f>
        <v>25800</v>
      </c>
      <c r="E43" s="63">
        <f t="shared" si="1"/>
        <v>85280</v>
      </c>
    </row>
    <row r="44" spans="1:7" x14ac:dyDescent="0.3">
      <c r="A44" s="2">
        <v>5</v>
      </c>
      <c r="C44" s="38" t="s">
        <v>17</v>
      </c>
      <c r="D44" s="42">
        <f>TRUNC(14852,-1)</f>
        <v>14850</v>
      </c>
      <c r="E44" s="63">
        <f t="shared" si="1"/>
        <v>49090</v>
      </c>
    </row>
    <row r="45" spans="1:7" x14ac:dyDescent="0.3">
      <c r="A45" s="2">
        <v>6</v>
      </c>
      <c r="C45" s="38" t="s">
        <v>18</v>
      </c>
      <c r="D45" s="42">
        <f>TRUNC(79785,-1)</f>
        <v>79780</v>
      </c>
      <c r="E45" s="63">
        <f t="shared" si="1"/>
        <v>263730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TRUNC(56751,-1)</f>
        <v>56750</v>
      </c>
      <c r="E48" s="63">
        <f t="shared" si="1"/>
        <v>187600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TRUNC(17568,-1)</f>
        <v>17560</v>
      </c>
      <c r="E49" s="63">
        <f t="shared" si="1"/>
        <v>58040</v>
      </c>
    </row>
    <row r="50" spans="1:7" x14ac:dyDescent="0.3">
      <c r="A50" s="2">
        <v>11</v>
      </c>
      <c r="C50" s="38" t="s">
        <v>155</v>
      </c>
      <c r="D50" s="42">
        <f>TRUNC(44259,-1)</f>
        <v>44250</v>
      </c>
      <c r="E50" s="63">
        <f t="shared" si="1"/>
        <v>146280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TRUNC(21008,-1)</f>
        <v>21000</v>
      </c>
      <c r="E52" s="63">
        <f t="shared" si="1"/>
        <v>69420</v>
      </c>
    </row>
    <row r="53" spans="1:7" x14ac:dyDescent="0.3">
      <c r="A53" s="2">
        <v>14</v>
      </c>
      <c r="C53" s="38" t="s">
        <v>25</v>
      </c>
      <c r="D53" s="42">
        <v>89520</v>
      </c>
      <c r="E53" s="63">
        <f t="shared" si="1"/>
        <v>295930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TRUNC(40513+7779+46884,-1)</f>
        <v>95170</v>
      </c>
      <c r="E58" s="63">
        <f t="shared" si="1"/>
        <v>314610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TRUNC(331539,-1)</f>
        <v>331530</v>
      </c>
      <c r="E59" s="64">
        <f t="shared" si="1"/>
        <v>1095970</v>
      </c>
    </row>
    <row r="60" spans="1:7" x14ac:dyDescent="0.3">
      <c r="A60" s="2">
        <v>21</v>
      </c>
      <c r="C60" s="27" t="s">
        <v>112</v>
      </c>
      <c r="D60" s="39">
        <f>SUM(D40:D59)</f>
        <v>990300</v>
      </c>
      <c r="E60" s="39">
        <f>SUM(E40:E59)</f>
        <v>3273670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TRUNC(3282,-1)</f>
        <v>3280</v>
      </c>
      <c r="E63" s="62">
        <f>TRUNC(+D63*3.3058,-1)</f>
        <v>10840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3280</v>
      </c>
      <c r="E66" s="65">
        <f>SUM(E63:E65)</f>
        <v>10840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TRUNC(12425,-1)</f>
        <v>12420</v>
      </c>
      <c r="E69" s="62">
        <f t="shared" ref="E69:E94" si="2">TRUNC(+D69*3.3058,-1)</f>
        <v>41050</v>
      </c>
    </row>
    <row r="70" spans="1:7" ht="16.5" customHeight="1" x14ac:dyDescent="0.3">
      <c r="A70" s="2">
        <v>2</v>
      </c>
      <c r="C70" s="38" t="s">
        <v>31</v>
      </c>
      <c r="D70" s="42">
        <f>TRUNC(1137,-1)</f>
        <v>1130</v>
      </c>
      <c r="E70" s="63">
        <f t="shared" si="2"/>
        <v>3730</v>
      </c>
    </row>
    <row r="71" spans="1:7" x14ac:dyDescent="0.3">
      <c r="A71" s="2">
        <v>3</v>
      </c>
      <c r="C71" s="38" t="s">
        <v>32</v>
      </c>
      <c r="D71" s="42">
        <f>TRUNC(4685,-1)</f>
        <v>4680</v>
      </c>
      <c r="E71" s="63">
        <f t="shared" si="2"/>
        <v>15470</v>
      </c>
    </row>
    <row r="72" spans="1:7" x14ac:dyDescent="0.3">
      <c r="A72" s="2">
        <v>4</v>
      </c>
      <c r="C72" s="38" t="s">
        <v>33</v>
      </c>
      <c r="D72" s="42">
        <f>TRUNC(5101,-1)</f>
        <v>5100</v>
      </c>
      <c r="E72" s="63">
        <f t="shared" si="2"/>
        <v>16850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TRUNC(28988,-1)</f>
        <v>28980</v>
      </c>
      <c r="E89" s="63">
        <f t="shared" si="2"/>
        <v>95800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TRUNC(12339,-1)</f>
        <v>12330</v>
      </c>
      <c r="E91" s="63">
        <f t="shared" si="2"/>
        <v>40760</v>
      </c>
    </row>
    <row r="92" spans="1:7" x14ac:dyDescent="0.3">
      <c r="A92" s="2">
        <v>24</v>
      </c>
      <c r="C92" s="38" t="s">
        <v>38</v>
      </c>
      <c r="D92" s="42">
        <f>TRUNC(19329,-1)</f>
        <v>19320</v>
      </c>
      <c r="E92" s="63">
        <f t="shared" si="2"/>
        <v>63860</v>
      </c>
    </row>
    <row r="93" spans="1:7" x14ac:dyDescent="0.3">
      <c r="A93" s="2">
        <v>25</v>
      </c>
      <c r="C93" s="38" t="s">
        <v>148</v>
      </c>
      <c r="D93" s="42">
        <f>TRUNC(86654,-1)</f>
        <v>86650</v>
      </c>
      <c r="E93" s="63">
        <f t="shared" si="2"/>
        <v>286440</v>
      </c>
    </row>
    <row r="94" spans="1:7" ht="17.25" thickBot="1" x14ac:dyDescent="0.35">
      <c r="A94" s="2">
        <v>26</v>
      </c>
      <c r="C94" s="38" t="s">
        <v>47</v>
      </c>
      <c r="D94" s="43">
        <f>TRUNC(1457+3940+9060,-1)</f>
        <v>14450</v>
      </c>
      <c r="E94" s="64">
        <f t="shared" si="2"/>
        <v>47760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185060</v>
      </c>
      <c r="E95" s="39">
        <f>SUM(E69:E94)</f>
        <v>611720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TRUNC(10045,-1)</f>
        <v>10040</v>
      </c>
      <c r="E98" s="62">
        <f t="shared" ref="E98:E118" si="3">TRUNC(+D98*3.3058,-1)</f>
        <v>33190</v>
      </c>
    </row>
    <row r="99" spans="1:7" x14ac:dyDescent="0.3">
      <c r="A99" s="2">
        <v>2</v>
      </c>
      <c r="C99" s="38" t="s">
        <v>40</v>
      </c>
      <c r="D99" s="42">
        <v>2200</v>
      </c>
      <c r="E99" s="63">
        <f t="shared" si="3"/>
        <v>7270</v>
      </c>
    </row>
    <row r="100" spans="1:7" x14ac:dyDescent="0.3">
      <c r="A100" s="2">
        <v>3</v>
      </c>
      <c r="C100" s="38" t="s">
        <v>41</v>
      </c>
      <c r="D100" s="42">
        <f>TRUNC(24971,-1)</f>
        <v>24970</v>
      </c>
      <c r="E100" s="63">
        <f t="shared" si="3"/>
        <v>82540</v>
      </c>
    </row>
    <row r="101" spans="1:7" x14ac:dyDescent="0.3">
      <c r="A101" s="2">
        <v>4</v>
      </c>
      <c r="C101" s="38" t="s">
        <v>42</v>
      </c>
      <c r="D101" s="42">
        <f>TRUNC(1501,-1)</f>
        <v>1500</v>
      </c>
      <c r="E101" s="63">
        <f t="shared" si="3"/>
        <v>4950</v>
      </c>
    </row>
    <row r="102" spans="1:7" x14ac:dyDescent="0.3">
      <c r="A102" s="2">
        <v>5</v>
      </c>
      <c r="C102" s="38" t="s">
        <v>43</v>
      </c>
      <c r="D102" s="42">
        <f>TRUNC(12039,-1)</f>
        <v>12030</v>
      </c>
      <c r="E102" s="63">
        <f t="shared" si="3"/>
        <v>39760</v>
      </c>
    </row>
    <row r="103" spans="1:7" x14ac:dyDescent="0.3">
      <c r="A103" s="2">
        <v>6</v>
      </c>
      <c r="C103" s="38" t="s">
        <v>44</v>
      </c>
      <c r="D103" s="42">
        <f>TRUNC(4883,-1)</f>
        <v>4880</v>
      </c>
      <c r="E103" s="63">
        <f t="shared" si="3"/>
        <v>16130</v>
      </c>
    </row>
    <row r="104" spans="1:7" x14ac:dyDescent="0.3">
      <c r="A104" s="2">
        <v>7</v>
      </c>
      <c r="C104" s="38" t="s">
        <v>45</v>
      </c>
      <c r="D104" s="42">
        <f>TRUNC(2649,-1)</f>
        <v>2640</v>
      </c>
      <c r="E104" s="63">
        <f t="shared" si="3"/>
        <v>8720</v>
      </c>
    </row>
    <row r="105" spans="1:7" x14ac:dyDescent="0.3">
      <c r="A105" s="2">
        <v>8</v>
      </c>
      <c r="C105" s="38" t="s">
        <v>46</v>
      </c>
      <c r="D105" s="42">
        <v>3080</v>
      </c>
      <c r="E105" s="63">
        <f t="shared" si="3"/>
        <v>10180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1690</v>
      </c>
      <c r="E114" s="63">
        <f t="shared" si="3"/>
        <v>5580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TRUNC(3299,-1)</f>
        <v>3290</v>
      </c>
      <c r="E116" s="63">
        <f t="shared" si="3"/>
        <v>10870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TRUNC(136967,-1)</f>
        <v>136960</v>
      </c>
      <c r="E117" s="63">
        <f t="shared" si="3"/>
        <v>452760</v>
      </c>
    </row>
    <row r="118" spans="1:7" ht="17.25" thickBot="1" x14ac:dyDescent="0.35">
      <c r="A118" s="2">
        <v>21</v>
      </c>
      <c r="C118" s="38" t="s">
        <v>47</v>
      </c>
      <c r="D118" s="43">
        <f>TRUNC(9637,-1)</f>
        <v>9630</v>
      </c>
      <c r="E118" s="64">
        <f t="shared" si="3"/>
        <v>31830</v>
      </c>
    </row>
    <row r="119" spans="1:7" x14ac:dyDescent="0.3">
      <c r="A119" s="2">
        <v>22</v>
      </c>
      <c r="C119" s="27" t="s">
        <v>112</v>
      </c>
      <c r="D119" s="39">
        <f>SUM(D98:D118)</f>
        <v>212910</v>
      </c>
      <c r="E119" s="39">
        <f>SUM(E98:E118)</f>
        <v>703780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TRUNC(297,-1)</f>
        <v>290</v>
      </c>
      <c r="E122" s="62">
        <f t="shared" ref="E122:E132" si="4">TRUNC(+D122*3.3058,-1)</f>
        <v>950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TRUNC(789,-1)</f>
        <v>780</v>
      </c>
      <c r="E124" s="63">
        <f t="shared" si="4"/>
        <v>2570</v>
      </c>
    </row>
    <row r="125" spans="1:7" x14ac:dyDescent="0.3">
      <c r="A125" s="2">
        <v>4</v>
      </c>
      <c r="C125" s="38" t="s">
        <v>138</v>
      </c>
      <c r="D125" s="42">
        <v>11980</v>
      </c>
      <c r="E125" s="63">
        <f t="shared" si="4"/>
        <v>39600</v>
      </c>
    </row>
    <row r="126" spans="1:7" x14ac:dyDescent="0.3">
      <c r="A126" s="2">
        <v>5</v>
      </c>
      <c r="C126" s="38" t="s">
        <v>53</v>
      </c>
      <c r="D126" s="42">
        <f>TRUNC(1691,-1)</f>
        <v>1690</v>
      </c>
      <c r="E126" s="63">
        <f t="shared" si="4"/>
        <v>5580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TRUNC(5264,-1)</f>
        <v>5260</v>
      </c>
      <c r="E128" s="63">
        <f t="shared" si="4"/>
        <v>17380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12440</v>
      </c>
      <c r="E130" s="63">
        <f t="shared" si="4"/>
        <v>41120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TRUNC(1781+641,-1)</f>
        <v>2420</v>
      </c>
      <c r="E132" s="64">
        <f t="shared" si="4"/>
        <v>8000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34860</v>
      </c>
      <c r="E133" s="39">
        <f>SUM(E122:E132)</f>
        <v>115200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TRUNC(2947+7222,-1)</f>
        <v>10160</v>
      </c>
      <c r="E137" s="63">
        <f t="shared" si="5"/>
        <v>33580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TRUNC(1323,-1)</f>
        <v>1320</v>
      </c>
      <c r="E139" s="63">
        <f t="shared" si="5"/>
        <v>4360</v>
      </c>
    </row>
    <row r="140" spans="1:7" x14ac:dyDescent="0.3">
      <c r="A140" s="2">
        <v>5</v>
      </c>
      <c r="C140" s="38" t="s">
        <v>57</v>
      </c>
      <c r="D140" s="42">
        <f>TRUNC(1598,-1)</f>
        <v>1590</v>
      </c>
      <c r="E140" s="63">
        <f t="shared" si="5"/>
        <v>5250</v>
      </c>
    </row>
    <row r="141" spans="1:7" x14ac:dyDescent="0.3">
      <c r="A141" s="2">
        <v>6</v>
      </c>
      <c r="C141" s="38" t="s">
        <v>59</v>
      </c>
      <c r="D141" s="42">
        <f>TRUNC(6067,-1)</f>
        <v>6060</v>
      </c>
      <c r="E141" s="63">
        <f t="shared" si="5"/>
        <v>20030</v>
      </c>
    </row>
    <row r="142" spans="1:7" x14ac:dyDescent="0.3">
      <c r="A142" s="2">
        <v>7</v>
      </c>
      <c r="C142" s="38" t="s">
        <v>58</v>
      </c>
      <c r="D142" s="42">
        <f>TRUNC(8582,-1)</f>
        <v>8580</v>
      </c>
      <c r="E142" s="63">
        <f t="shared" si="5"/>
        <v>28360</v>
      </c>
    </row>
    <row r="143" spans="1:7" x14ac:dyDescent="0.3">
      <c r="A143" s="2">
        <v>8</v>
      </c>
      <c r="C143" s="38" t="s">
        <v>62</v>
      </c>
      <c r="D143" s="42">
        <v>4310</v>
      </c>
      <c r="E143" s="63">
        <f t="shared" si="5"/>
        <v>14240</v>
      </c>
    </row>
    <row r="144" spans="1:7" x14ac:dyDescent="0.3">
      <c r="A144" s="2">
        <v>9</v>
      </c>
      <c r="C144" s="38" t="s">
        <v>63</v>
      </c>
      <c r="D144" s="42">
        <f>TRUNC(6791,-1)</f>
        <v>6790</v>
      </c>
      <c r="E144" s="63">
        <f t="shared" si="5"/>
        <v>22440</v>
      </c>
    </row>
    <row r="145" spans="1:7" ht="17.25" thickBot="1" x14ac:dyDescent="0.35">
      <c r="A145" s="2">
        <v>10</v>
      </c>
      <c r="C145" s="38" t="s">
        <v>148</v>
      </c>
      <c r="D145" s="43">
        <f>TRUNC(38112,-1)</f>
        <v>38110</v>
      </c>
      <c r="E145" s="64">
        <f t="shared" si="5"/>
        <v>125980</v>
      </c>
    </row>
    <row r="146" spans="1:7" x14ac:dyDescent="0.3">
      <c r="A146" s="2">
        <v>11</v>
      </c>
      <c r="C146" s="27" t="s">
        <v>112</v>
      </c>
      <c r="D146" s="39">
        <f>SUM(D136:D145)</f>
        <v>76920</v>
      </c>
      <c r="E146" s="39">
        <f>SUM(E136:E145)</f>
        <v>254240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TRUNC(10966+1479,-1)</f>
        <v>12440</v>
      </c>
      <c r="E149" s="62">
        <f>TRUNC(+D149*3.3058,-1)</f>
        <v>41120</v>
      </c>
    </row>
    <row r="150" spans="1:7" x14ac:dyDescent="0.3">
      <c r="A150" s="2">
        <v>2</v>
      </c>
      <c r="C150" s="38" t="s">
        <v>49</v>
      </c>
      <c r="D150" s="42">
        <f>TRUNC(12838,-1)</f>
        <v>12830</v>
      </c>
      <c r="E150" s="63">
        <f>TRUNC(+D150*3.3058,-1)</f>
        <v>42410</v>
      </c>
    </row>
    <row r="151" spans="1:7" x14ac:dyDescent="0.3">
      <c r="A151" s="2">
        <v>3</v>
      </c>
      <c r="C151" s="38" t="s">
        <v>50</v>
      </c>
      <c r="D151" s="42">
        <f>TRUNC(11753,-1)</f>
        <v>11750</v>
      </c>
      <c r="E151" s="63">
        <f>TRUNC(+D151*3.3058,-1)</f>
        <v>38840</v>
      </c>
    </row>
    <row r="152" spans="1:7" x14ac:dyDescent="0.3">
      <c r="A152" s="2">
        <v>4</v>
      </c>
      <c r="C152" s="38" t="s">
        <v>47</v>
      </c>
      <c r="D152" s="42">
        <f>632+638</f>
        <v>1270</v>
      </c>
      <c r="E152" s="63">
        <f>TRUNC(+D152*3.3058,-1)</f>
        <v>4190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38290</v>
      </c>
      <c r="E154" s="39">
        <f>SUM(E149:E153)</f>
        <v>126560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TRUNC(18806,-1)</f>
        <v>18800</v>
      </c>
      <c r="E157" s="62">
        <f>TRUNC(+D157*3.3058,-1)</f>
        <v>62140</v>
      </c>
    </row>
    <row r="158" spans="1:7" x14ac:dyDescent="0.3">
      <c r="A158" s="2">
        <v>2</v>
      </c>
      <c r="C158" s="38" t="s">
        <v>52</v>
      </c>
      <c r="D158" s="42">
        <f>TRUNC(3019,-1)</f>
        <v>3010</v>
      </c>
      <c r="E158" s="63">
        <f>TRUNC(+D158*3.3058,-1)</f>
        <v>9950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21810</v>
      </c>
      <c r="E161" s="39">
        <f>SUM(E157:E160)</f>
        <v>72090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2020-12-08T01:57:24Z</dcterms:modified>
</cp:coreProperties>
</file>