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1" i="4"/>
  <c r="D40" i="4"/>
  <c r="D94" i="4"/>
  <c r="D92" i="4"/>
  <c r="D91" i="4"/>
  <c r="D89" i="4"/>
  <c r="D73" i="4"/>
  <c r="D70" i="4"/>
  <c r="D69" i="4"/>
  <c r="D65" i="4"/>
  <c r="D63" i="4"/>
  <c r="D118" i="4"/>
  <c r="D116" i="4"/>
  <c r="D114" i="4"/>
  <c r="D105" i="4"/>
  <c r="D104" i="4"/>
  <c r="D102" i="4"/>
  <c r="D100" i="4"/>
  <c r="D99" i="4"/>
  <c r="D98" i="4"/>
  <c r="D132" i="4"/>
  <c r="D130" i="4"/>
  <c r="D128" i="4"/>
  <c r="D127" i="4"/>
  <c r="D125" i="4"/>
  <c r="D124" i="4"/>
  <c r="D122" i="4"/>
  <c r="D144" i="4"/>
  <c r="D143" i="4"/>
  <c r="D142" i="4"/>
  <c r="D141" i="4"/>
  <c r="D140" i="4"/>
  <c r="D139" i="4"/>
  <c r="D137" i="4"/>
  <c r="D152" i="4"/>
  <c r="D150" i="4"/>
  <c r="D149" i="4"/>
  <c r="D158" i="4"/>
  <c r="D157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<sst xmlns="http://schemas.openxmlformats.org/spreadsheetml/2006/main" count="393" uniqueCount="268">
  <si>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</si>
  <si>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</si>
  <si>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</si>
  <si>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</si>
  <si>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</si>
  <si>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</si>
  <si>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</si>
  <si>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</si>
  <si>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</si>
  <si>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</si>
  <si>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</si>
  <si>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</si>
  <si>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</si>
  <si>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</si>
  <si>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</si>
  <si>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</si>
  <si>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</si>
  <si>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</si>
  <si>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</si>
  <si>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</si>
  <si>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</si>
  <si>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</si>
  <si>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</si>
  <si>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</si>
  <si>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</si>
  <si>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</si>
  <si>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</si>
  <si>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</si>
  <si>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</si>
  <si>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</si>
  <si>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</si>
  <si>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</si>
  <si>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</si>
  <si>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</si>
  <si>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</si>
  <si>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</si>
  <si>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</si>
  <si>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</si>
  <si>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</si>
  <si>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</si>
  <si>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</si>
  <si>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</si>
  <si>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</si>
  <si>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</si>
  <si>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</si>
  <si>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</si>
  <si>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</si>
  <si>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</si>
  <si>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</si>
  <si>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</si>
  <si>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</si>
  <si>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</si>
  <si>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</si>
  <si>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</si>
  <si>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</si>
  <si>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</si>
  <si>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</si>
  <si>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</si>
  <si>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</si>
  <si>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</si>
  <si>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</si>
  <si>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</si>
  <si>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</si>
  <si>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</si>
  <si>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</si>
  <si>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</si>
  <si>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</si>
  <si>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</si>
  <si>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</si>
  <si>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</si>
  <si>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</si>
  <si>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</si>
  <si>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</si>
  <si>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</si>
  <si>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</si>
  <si>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</si>
  <si>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</si>
  <si>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</si>
  <si>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</si>
  <si>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</si>
  <si>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</si>
  <si>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</si>
  <si>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</si>
  <si>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</si>
  <si>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</si>
  <si>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</si>
  <si>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</si>
  <si>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</si>
  <si>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</si>
  <si>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</si>
  <si>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</si>
  <si>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</si>
  <si>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</si>
  <si>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</si>
  <si>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</si>
  <si>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</si>
  <si>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</si>
  <si>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</si>
  <si>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</si>
  <si>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</si>
  <si>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</si>
  <si>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</si>
  <si>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</si>
  <si>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</si>
  <si>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</si>
  <si>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</si>
  <si>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</si>
  <si>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</si>
  <si>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</si>
  <si>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</si>
  <si>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</si>
  <si>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</si>
  <si>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</si>
  <si>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</si>
  <si>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</si>
  <si>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</si>
  <si>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</si>
  <si>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</si>
  <si>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</si>
  <si>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</si>
  <si>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</si>
  <si>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</si>
  <si>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</si>
  <si>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</si>
  <si>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</si>
  <si>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</si>
  <si>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</si>
  <si>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</si>
  <si>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</si>
  <si>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</si>
  <si>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</si>
  <si>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</si>
  <si>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</si>
  <si>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</si>
  <si>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</si>
  <si>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</si>
  <si>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</si>
  <si>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</si>
  <si>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</si>
  <si>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</si>
  <si>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</si>
  <si>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</si>
  <si>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</si>
  <si>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</si>
  <si>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</si>
  <si>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</si>
  <si>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</si>
  <si>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</si>
  <si>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</si>
  <si>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</si>
  <si>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</si>
  <si>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</si>
  <si>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</si>
  <si>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</si>
  <si>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</si>
  <si>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</si>
  <si>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</si>
  <si>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</si>
  <si>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</si>
  <si>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</si>
  <si>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</si>
  <si>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</si>
  <si>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</si>
  <si>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</si>
  <si>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</si>
  <si>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</si>
  <si>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</si>
  <si>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</si>
  <si>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</si>
  <si>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</si>
  <si>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</si>
  <si>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</si>
  <si>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</si>
  <si>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</si>
  <si>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</si>
  <si>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</si>
  <si>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</si>
  <si>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</si>
  <si>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</si>
  <si>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</si>
  <si>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</si>
  <si>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</si>
  <si>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</si>
  <si>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</si>
  <si>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</si>
  <si>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</si>
  <si>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</si>
  <si>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</si>
  <si>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</si>
  <si>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</si>
  <si>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</si>
  <si>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</si>
  <si>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</si>
  <si>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</si>
  <si>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</si>
  <si>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</si>
  <si>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</si>
  <si>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</si>
  <si>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</si>
  <si>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</si>
  <si>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</si>
  <si>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</si>
  <si>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</si>
  <si>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</si>
  <si>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</si>
  <si>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</si>
  <si>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</si>
  <si>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</si>
  <si>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</si>
  <si>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</si>
  <si>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</si>
  <si>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</si>
  <si>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</si>
  <si>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</si>
  <si>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</si>
  <si>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</si>
  <si>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</si>
  <si>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</si>
  <si>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</si>
  <si>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</si>
  <si>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</si>
  <si>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</si>
  <si>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</si>
  <si>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</si>
  <si>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</si>
  <si>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</si>
  <si>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</si>
  <si>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</si>
  <si>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</si>
  <si>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</si>
  <si>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</si>
  <si>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</si>
  <si>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</si>
  <si>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</si>
  <si>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</si>
  <si>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</si>
  <si>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</si>
  <si>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</si>
  <si>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</si>
  <si>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</si>
  <si>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</si>
  <si>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</si>
  <si>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</si>
  <si>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</si>
  <si>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</si>
  <si>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</si>
  <si>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</si>
  <si>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</si>
  <si>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</si>
  <si>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군포시 보훈회관 건립공사</t>
    <phoneticPr fontId="2" type="noConversion"/>
  </si>
  <si>
    <t>업무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</si>
  <si>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</si>
  <si>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</si>
  <si>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</si>
  <si>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기초공사,골재비및운반비,작업부산물,품질시험비,기타공사</t>
    <phoneticPr fontId="2" type="noConversion"/>
  </si>
  <si>
    <t>난방배관공사,기타공사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</si>
  <si>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</si>
  <si>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</si>
  <si>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</si>
  <si>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</si>
  <si>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사급자재비,기타공사</t>
    <phoneticPr fontId="2" type="noConversion"/>
  </si>
  <si>
    <t>우수공사,오수공사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</si>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</sst>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4884</v>
      </c>
      <c r="D7" s="36">
        <f>+C7/3.3058</f>
        <v>1477.4033516849174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1133640</v>
      </c>
      <c r="E25" s="59">
        <f t="shared" si="0"/>
        <v>3747580</v>
      </c>
    </row>
    <row r="26" spans="1:5" x14ac:dyDescent="0.3">
      <c r="B26" s="2">
        <v>3</v>
      </c>
      <c r="C26" s="35" t="s">
        <v>95</v>
      </c>
      <c r="D26" s="45">
        <f>+D66</f>
        <v>133290</v>
      </c>
      <c r="E26" s="59">
        <f t="shared" si="0"/>
        <v>440630</v>
      </c>
    </row>
    <row r="27" spans="1:5" x14ac:dyDescent="0.3">
      <c r="B27" s="2">
        <v>4</v>
      </c>
      <c r="C27" s="35" t="s">
        <v>96</v>
      </c>
      <c r="D27" s="45">
        <f>+D95</f>
        <v>46390</v>
      </c>
      <c r="E27" s="59">
        <f t="shared" si="0"/>
        <v>153350</v>
      </c>
    </row>
    <row r="28" spans="1:5" x14ac:dyDescent="0.3">
      <c r="B28" s="2">
        <v>5</v>
      </c>
      <c r="C28" s="35" t="s">
        <v>97</v>
      </c>
      <c r="D28" s="45">
        <f>+D119</f>
        <v>137790</v>
      </c>
      <c r="E28" s="59">
        <f t="shared" si="0"/>
        <v>455500</v>
      </c>
    </row>
    <row r="29" spans="1:5" x14ac:dyDescent="0.3">
      <c r="B29" s="2">
        <v>6</v>
      </c>
      <c r="C29" s="35" t="s">
        <v>98</v>
      </c>
      <c r="D29" s="45">
        <f>+D133</f>
        <v>137420</v>
      </c>
      <c r="E29" s="59">
        <f t="shared" si="0"/>
        <v>454280</v>
      </c>
    </row>
    <row r="30" spans="1:5" x14ac:dyDescent="0.3">
      <c r="B30" s="2">
        <v>7</v>
      </c>
      <c r="C30" s="35" t="s">
        <v>99</v>
      </c>
      <c r="D30" s="45">
        <f>+D146</f>
        <v>65010</v>
      </c>
      <c r="E30" s="59">
        <f t="shared" si="0"/>
        <v>214910</v>
      </c>
    </row>
    <row r="31" spans="1:5" x14ac:dyDescent="0.3">
      <c r="B31" s="2">
        <v>8</v>
      </c>
      <c r="C31" s="35" t="s">
        <v>100</v>
      </c>
      <c r="D31" s="45">
        <f>+D154</f>
        <v>9290</v>
      </c>
      <c r="E31" s="59">
        <f t="shared" si="0"/>
        <v>30710</v>
      </c>
    </row>
    <row r="32" spans="1:5" x14ac:dyDescent="0.3">
      <c r="B32" s="2">
        <v>9</v>
      </c>
      <c r="C32" s="35" t="s">
        <v>101</v>
      </c>
      <c r="D32" s="45">
        <f>+D161</f>
        <v>44310</v>
      </c>
      <c r="E32" s="59">
        <f t="shared" si="0"/>
        <v>146470</v>
      </c>
    </row>
    <row r="33" spans="1:7" x14ac:dyDescent="0.3">
      <c r="B33" s="2">
        <v>10</v>
      </c>
      <c r="C33" s="35" t="s">
        <v>154</v>
      </c>
      <c r="D33" s="53">
        <f>TRUNC(SUM(D24:D32)*0.275,-1)</f>
        <v>469460</v>
      </c>
      <c r="E33" s="60">
        <f t="shared" si="0"/>
        <v>1551940</v>
      </c>
    </row>
    <row r="34" spans="1:7" x14ac:dyDescent="0.3">
      <c r="C34" s="35" t="s">
        <v>112</v>
      </c>
      <c r="D34" s="44">
        <f>SUM(D24:D33)</f>
        <v>2176600</v>
      </c>
      <c r="E34" s="44">
        <f>SUM(E24:E33)</f>
        <v>7195370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TRUNC(77393,-1)</f>
        <v>77390</v>
      </c>
      <c r="E40" s="62">
        <f t="shared" ref="E40:E59" si="1">TRUNC(+D40*3.3058,-1)</f>
        <v>255830</v>
      </c>
    </row>
    <row r="41" spans="1:7" x14ac:dyDescent="0.3">
      <c r="A41" s="2">
        <v>2</v>
      </c>
      <c r="C41" s="38" t="s">
        <v>13</v>
      </c>
      <c r="D41" s="42">
        <f>TRUNC(159420,-1)</f>
        <v>159420</v>
      </c>
      <c r="E41" s="63">
        <f t="shared" si="1"/>
        <v>527010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TRUNC(22761,-1)</f>
        <v>22760</v>
      </c>
      <c r="E43" s="63">
        <f t="shared" si="1"/>
        <v>75240</v>
      </c>
    </row>
    <row r="44" spans="1:7" x14ac:dyDescent="0.3">
      <c r="A44" s="2">
        <v>5</v>
      </c>
      <c r="C44" s="38" t="s">
        <v>17</v>
      </c>
      <c r="D44" s="42">
        <f>TRUNC(32920,-1)</f>
        <v>32920</v>
      </c>
      <c r="E44" s="63">
        <f t="shared" si="1"/>
        <v>108820</v>
      </c>
    </row>
    <row r="45" spans="1:7" x14ac:dyDescent="0.3">
      <c r="A45" s="2">
        <v>6</v>
      </c>
      <c r="C45" s="38" t="s">
        <v>18</v>
      </c>
      <c r="D45" s="42">
        <f>TRUNC(7099,-1)</f>
        <v>7090</v>
      </c>
      <c r="E45" s="63">
        <f t="shared" si="1"/>
        <v>23430</v>
      </c>
    </row>
    <row r="46" spans="1:7" x14ac:dyDescent="0.3">
      <c r="A46" s="2">
        <v>7</v>
      </c>
      <c r="C46" s="38" t="s">
        <v>19</v>
      </c>
      <c r="D46" s="42">
        <f>TRUNC(18181,-1)</f>
        <v>18180</v>
      </c>
      <c r="E46" s="63">
        <f t="shared" si="1"/>
        <v>60090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TRUNC(21543,-1)</f>
        <v>21540</v>
      </c>
      <c r="E48" s="63">
        <f t="shared" si="1"/>
        <v>71200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TRUNC(12916,-1)</f>
        <v>12910</v>
      </c>
      <c r="E49" s="63">
        <f t="shared" si="1"/>
        <v>42670</v>
      </c>
    </row>
    <row r="50" spans="1:7" x14ac:dyDescent="0.3">
      <c r="A50" s="2">
        <v>11</v>
      </c>
      <c r="C50" s="38" t="s">
        <v>155</v>
      </c>
      <c r="D50" s="42">
        <f>TRUNC(29305,-1)</f>
        <v>29300</v>
      </c>
      <c r="E50" s="63">
        <f t="shared" si="1"/>
        <v>96850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TRUNC(18737,-1)</f>
        <v>18730</v>
      </c>
      <c r="E52" s="63">
        <f t="shared" si="1"/>
        <v>61910</v>
      </c>
    </row>
    <row r="53" spans="1:7" x14ac:dyDescent="0.3">
      <c r="A53" s="2">
        <v>14</v>
      </c>
      <c r="C53" s="38" t="s">
        <v>25</v>
      </c>
      <c r="D53" s="42">
        <f>TRUNC(147283,-1)</f>
        <v>147280</v>
      </c>
      <c r="E53" s="63">
        <f t="shared" si="1"/>
        <v>486870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TRUNC(5825+6757-627+486+11106,-1)</f>
        <v>23540</v>
      </c>
      <c r="E58" s="63">
        <f t="shared" si="1"/>
        <v>77810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TRUNC(562589,-1)</f>
        <v>562580</v>
      </c>
      <c r="E59" s="64">
        <f t="shared" si="1"/>
        <v>1859770</v>
      </c>
    </row>
    <row r="60" spans="1:7" x14ac:dyDescent="0.3">
      <c r="A60" s="2">
        <v>21</v>
      </c>
      <c r="C60" s="27" t="s">
        <v>112</v>
      </c>
      <c r="D60" s="39">
        <f>SUM(D40:D59)</f>
        <v>1133640</v>
      </c>
      <c r="E60" s="39">
        <f>SUM(E40:E59)</f>
        <v>3747500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TRUNC(5233,-1)</f>
        <v>5230</v>
      </c>
      <c r="E63" s="62">
        <f>TRUNC(+D63*3.3058,-1)</f>
        <v>17280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TRUNC(128061,-1)</f>
        <v>128060</v>
      </c>
      <c r="E65" s="64">
        <f>TRUNC(+D65*3.3058,-1)</f>
        <v>423340</v>
      </c>
    </row>
    <row r="66" spans="1:7" x14ac:dyDescent="0.3">
      <c r="A66" s="2">
        <v>4</v>
      </c>
      <c r="C66" s="27" t="s">
        <v>112</v>
      </c>
      <c r="D66" s="39">
        <f>SUM(D63:D65)</f>
        <v>133290</v>
      </c>
      <c r="E66" s="65">
        <f>SUM(E63:E65)</f>
        <v>440620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TRUNC(4212,-1)</f>
        <v>4210</v>
      </c>
      <c r="E69" s="62">
        <f t="shared" ref="E69:E94" si="2">TRUNC(+D69*3.3058,-1)</f>
        <v>13910</v>
      </c>
    </row>
    <row r="70" spans="1:7" ht="16.5" customHeight="1" x14ac:dyDescent="0.3">
      <c r="A70" s="2">
        <v>2</v>
      </c>
      <c r="C70" s="38" t="s">
        <v>31</v>
      </c>
      <c r="D70" s="42">
        <f>TRUNC(130,-1)</f>
        <v>130</v>
      </c>
      <c r="E70" s="63">
        <f t="shared" si="2"/>
        <v>420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TRUNC(13970,-1)</f>
        <v>13970</v>
      </c>
      <c r="E73" s="63">
        <f t="shared" si="2"/>
        <v>46180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TRUNC(9630,-1)</f>
        <v>9630</v>
      </c>
      <c r="E89" s="63">
        <f t="shared" si="2"/>
        <v>31830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TRUNC(8576,-1)</f>
        <v>8570</v>
      </c>
      <c r="E91" s="63">
        <f t="shared" si="2"/>
        <v>28330</v>
      </c>
    </row>
    <row r="92" spans="1:7" x14ac:dyDescent="0.3">
      <c r="A92" s="2">
        <v>24</v>
      </c>
      <c r="C92" s="38" t="s">
        <v>38</v>
      </c>
      <c r="D92" s="42">
        <f>TRUNC(5549,-1)</f>
        <v>5540</v>
      </c>
      <c r="E92" s="63">
        <f t="shared" si="2"/>
        <v>18310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TRUNC(3430+915,-1)</f>
        <v>4340</v>
      </c>
      <c r="E94" s="64">
        <f t="shared" si="2"/>
        <v>14340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46390</v>
      </c>
      <c r="E95" s="39">
        <f>SUM(E69:E94)</f>
        <v>153320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TRUNC(5317,-1)</f>
        <v>5310</v>
      </c>
      <c r="E98" s="62">
        <f t="shared" ref="E98:E118" si="3">TRUNC(+D98*3.3058,-1)</f>
        <v>17550</v>
      </c>
    </row>
    <row r="99" spans="1:7" x14ac:dyDescent="0.3">
      <c r="A99" s="2">
        <v>2</v>
      </c>
      <c r="C99" s="38" t="s">
        <v>40</v>
      </c>
      <c r="D99" s="42">
        <f>TRUNC(10632,-1)</f>
        <v>10630</v>
      </c>
      <c r="E99" s="63">
        <f t="shared" si="3"/>
        <v>35140</v>
      </c>
    </row>
    <row r="100" spans="1:7" x14ac:dyDescent="0.3">
      <c r="A100" s="2">
        <v>3</v>
      </c>
      <c r="C100" s="38" t="s">
        <v>41</v>
      </c>
      <c r="D100" s="42">
        <f>TRUNC(28654,-1)</f>
        <v>28650</v>
      </c>
      <c r="E100" s="63">
        <f t="shared" si="3"/>
        <v>94710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TRUNC(7908,-1)</f>
        <v>7900</v>
      </c>
      <c r="E102" s="63">
        <f t="shared" si="3"/>
        <v>26110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TRUNC(5968,-1)</f>
        <v>5960</v>
      </c>
      <c r="E104" s="63">
        <f t="shared" si="3"/>
        <v>19700</v>
      </c>
    </row>
    <row r="105" spans="1:7" x14ac:dyDescent="0.3">
      <c r="A105" s="2">
        <v>8</v>
      </c>
      <c r="C105" s="38" t="s">
        <v>46</v>
      </c>
      <c r="D105" s="42">
        <f>TRUNC(4033,-1)</f>
        <v>4030</v>
      </c>
      <c r="E105" s="63">
        <f t="shared" si="3"/>
        <v>13320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TRUNC(316,-1)</f>
        <v>310</v>
      </c>
      <c r="E114" s="63">
        <f t="shared" si="3"/>
        <v>1020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TRUNC(3448,-1)</f>
        <v>3440</v>
      </c>
      <c r="E116" s="63">
        <f t="shared" si="3"/>
        <v>11370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TRUNC(70497,-1)</f>
        <v>70490</v>
      </c>
      <c r="E117" s="63">
        <f t="shared" si="3"/>
        <v>233020</v>
      </c>
    </row>
    <row r="118" spans="1:7" ht="17.25" thickBot="1" x14ac:dyDescent="0.35">
      <c r="A118" s="2">
        <v>21</v>
      </c>
      <c r="C118" s="38" t="s">
        <v>47</v>
      </c>
      <c r="D118" s="43">
        <f>TRUNC(1076,-1)</f>
        <v>1070</v>
      </c>
      <c r="E118" s="64">
        <f t="shared" si="3"/>
        <v>3530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137790</v>
      </c>
      <c r="E119" s="39">
        <f>SUM(E98:E118)</f>
        <v>455470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TRUNC(3368,-1)</f>
        <v>3360</v>
      </c>
      <c r="E122" s="62">
        <f t="shared" ref="E122:E132" si="4">TRUNC(+D122*3.3058,-1)</f>
        <v>11100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TRUNC(4588,-1)</f>
        <v>4580</v>
      </c>
      <c r="E124" s="63">
        <f t="shared" si="4"/>
        <v>15140</v>
      </c>
    </row>
    <row r="125" spans="1:7" x14ac:dyDescent="0.3">
      <c r="A125" s="2">
        <v>4</v>
      </c>
      <c r="C125" s="38" t="s">
        <v>138</v>
      </c>
      <c r="D125" s="42">
        <f>TRUNC(5168,-1)</f>
        <v>5160</v>
      </c>
      <c r="E125" s="63">
        <f t="shared" si="4"/>
        <v>17050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TRUNC(5987,-1)</f>
        <v>5980</v>
      </c>
      <c r="E127" s="63">
        <f t="shared" si="4"/>
        <v>19760</v>
      </c>
    </row>
    <row r="128" spans="1:7" x14ac:dyDescent="0.3">
      <c r="A128" s="2">
        <v>7</v>
      </c>
      <c r="C128" s="38" t="s">
        <v>46</v>
      </c>
      <c r="D128" s="42">
        <f>TRUNC(960,-1)</f>
        <v>960</v>
      </c>
      <c r="E128" s="63">
        <f t="shared" si="4"/>
        <v>3170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TRUNC(14981,-1)</f>
        <v>14980</v>
      </c>
      <c r="E130" s="63">
        <f t="shared" si="4"/>
        <v>49520</v>
      </c>
    </row>
    <row r="131" spans="1:7" x14ac:dyDescent="0.3">
      <c r="A131" s="2">
        <v>10</v>
      </c>
      <c r="C131" s="38" t="s">
        <v>148</v>
      </c>
      <c r="D131" s="42">
        <f>TRUNC(99835,-1)</f>
        <v>99830</v>
      </c>
      <c r="E131" s="63">
        <f t="shared" si="4"/>
        <v>330010</v>
      </c>
    </row>
    <row r="132" spans="1:7" ht="18" thickBot="1" x14ac:dyDescent="0.35">
      <c r="A132" s="2">
        <v>11</v>
      </c>
      <c r="C132" s="38" t="s">
        <v>47</v>
      </c>
      <c r="D132" s="43">
        <f>TRUNC(1885+688,-1)</f>
        <v>2570</v>
      </c>
      <c r="E132" s="64">
        <f t="shared" si="4"/>
        <v>8490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137420</v>
      </c>
      <c r="E133" s="39">
        <f>SUM(E122:E132)</f>
        <v>454240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TRUNC(5566,-1)</f>
        <v>5560</v>
      </c>
      <c r="E137" s="63">
        <f t="shared" si="5"/>
        <v>18380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TRUNC(4039,-1)</f>
        <v>4030</v>
      </c>
      <c r="E139" s="63">
        <f t="shared" si="5"/>
        <v>13320</v>
      </c>
    </row>
    <row r="140" spans="1:7" x14ac:dyDescent="0.3">
      <c r="A140" s="2">
        <v>5</v>
      </c>
      <c r="C140" s="38" t="s">
        <v>57</v>
      </c>
      <c r="D140" s="42">
        <f>TRUNC(3401,-1)</f>
        <v>3400</v>
      </c>
      <c r="E140" s="63">
        <f t="shared" si="5"/>
        <v>11230</v>
      </c>
    </row>
    <row r="141" spans="1:7" x14ac:dyDescent="0.3">
      <c r="A141" s="2">
        <v>6</v>
      </c>
      <c r="C141" s="38" t="s">
        <v>59</v>
      </c>
      <c r="D141" s="42">
        <f>TRUNC(26980,-1)</f>
        <v>26980</v>
      </c>
      <c r="E141" s="63">
        <f t="shared" si="5"/>
        <v>89190</v>
      </c>
    </row>
    <row r="142" spans="1:7" x14ac:dyDescent="0.3">
      <c r="A142" s="2">
        <v>7</v>
      </c>
      <c r="C142" s="38" t="s">
        <v>58</v>
      </c>
      <c r="D142" s="42">
        <f>TRUNC(5071,-1)</f>
        <v>5070</v>
      </c>
      <c r="E142" s="63">
        <f t="shared" si="5"/>
        <v>16760</v>
      </c>
    </row>
    <row r="143" spans="1:7" x14ac:dyDescent="0.3">
      <c r="A143" s="2">
        <v>8</v>
      </c>
      <c r="C143" s="38" t="s">
        <v>62</v>
      </c>
      <c r="D143" s="42">
        <f>TRUNC(5279,-1)</f>
        <v>5270</v>
      </c>
      <c r="E143" s="63">
        <f t="shared" si="5"/>
        <v>17420</v>
      </c>
    </row>
    <row r="144" spans="1:7" x14ac:dyDescent="0.3">
      <c r="A144" s="2">
        <v>9</v>
      </c>
      <c r="C144" s="38" t="s">
        <v>63</v>
      </c>
      <c r="D144" s="42">
        <f>TRUNC(14703,-1)</f>
        <v>14700</v>
      </c>
      <c r="E144" s="63">
        <f t="shared" si="5"/>
        <v>48590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65010</v>
      </c>
      <c r="E146" s="39">
        <f>SUM(E136:E145)</f>
        <v>214890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TRUNC(3419+1417,-1)</f>
        <v>4830</v>
      </c>
      <c r="E149" s="62">
        <f>TRUNC(+D149*3.3058,-1)</f>
        <v>15960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TRUNC(3732,-1)</f>
        <v>3730</v>
      </c>
      <c r="E150" s="63">
        <f>TRUNC(+D150*3.3058,-1)</f>
        <v>12330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TRUNC(192+540,-1)</f>
        <v>730</v>
      </c>
      <c r="E152" s="63">
        <f>TRUNC(+D152*3.3058,-1)</f>
        <v>2410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9290</v>
      </c>
      <c r="E154" s="39">
        <f>SUM(E149:E153)</f>
        <v>30700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TRUNC(27062,-1)</f>
        <v>27060</v>
      </c>
      <c r="E157" s="62">
        <f>TRUNC(+D157*3.3058,-1)</f>
        <v>89450</v>
      </c>
    </row>
    <row r="158" spans="1:7" x14ac:dyDescent="0.3">
      <c r="A158" s="2">
        <v>2</v>
      </c>
      <c r="C158" s="38" t="s">
        <v>52</v>
      </c>
      <c r="D158" s="42">
        <f>TRUNC(17255,-1)</f>
        <v>17250</v>
      </c>
      <c r="E158" s="63">
        <f>TRUNC(+D158*3.3058,-1)</f>
        <v>57020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44310</v>
      </c>
      <c r="E161" s="39">
        <f>SUM(E157:E160)</f>
        <v>146470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2020-12-08T02:24:28Z</dcterms:modified>
</cp:coreProperties>
</file>