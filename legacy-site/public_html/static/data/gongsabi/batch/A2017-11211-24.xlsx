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9" i="4"/>
  <c r="D144" i="4"/>
  <c r="D143" i="4"/>
  <c r="D142" i="4"/>
  <c r="D140" i="4"/>
  <c r="D139" i="4"/>
  <c r="D132" i="4"/>
  <c r="D127" i="4"/>
  <c r="D124" i="4"/>
  <c r="D122" i="4"/>
  <c r="D118" i="4"/>
  <c r="D116" i="4"/>
  <c r="D100" i="4"/>
  <c r="D99" i="4"/>
  <c r="D98" i="4"/>
  <c r="D94" i="4"/>
  <c r="D92" i="4"/>
  <c r="D91" i="4"/>
  <c r="D89" i="4"/>
  <c r="D73" i="4"/>
  <c r="D71" i="4"/>
  <c r="D69" i="4"/>
  <c r="D63" i="4"/>
  <c r="D58" i="4"/>
  <c r="D52" i="4"/>
  <c r="D50" i="4"/>
  <c r="D49" i="4"/>
  <c r="D48" i="4"/>
  <c r="D45" i="4"/>
  <c r="D157" i="4"/>
  <c r="D44" i="4" l="1"/>
  <c r="D43" i="4"/>
  <c r="D42" i="4"/>
  <c r="D41" i="4"/>
  <c r="D40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<sst xmlns="http://schemas.openxmlformats.org/spreadsheetml/2006/main" count="391" uniqueCount="264">
  <si>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</si>
  <si>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</si>
  <si>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</si>
  <si>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</si>
  <si>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</si>
  <si>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</si>
  <si>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</si>
  <si>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</si>
  <si>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</si>
  <si>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</si>
  <si>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</si>
  <si>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</si>
  <si>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</si>
  <si>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</si>
  <si>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</si>
  <si>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</si>
  <si>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</si>
  <si>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</si>
  <si>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</si>
  <si>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</si>
  <si>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</si>
  <si>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</si>
  <si>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</si>
  <si>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</si>
  <si>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</si>
  <si>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</si>
  <si>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</si>
  <si>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</si>
  <si>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</si>
  <si>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</si>
  <si>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</si>
  <si>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</si>
  <si>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</si>
  <si>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</si>
  <si>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</si>
  <si>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</si>
  <si>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</si>
  <si>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</si>
  <si>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</si>
  <si>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</si>
  <si>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</si>
  <si>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</si>
  <si>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</si>
  <si>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</si>
  <si>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</si>
  <si>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</si>
  <si>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</si>
  <si>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</si>
  <si>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</si>
  <si>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</si>
  <si>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</si>
  <si>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</si>
  <si>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</si>
  <si>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</si>
  <si>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</si>
  <si>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</si>
  <si>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</si>
  <si>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</si>
  <si>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</si>
  <si>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</si>
  <si>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</si>
  <si>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</si>
  <si>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</si>
  <si>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</si>
  <si>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</si>
  <si>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</si>
  <si>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</si>
  <si>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</si>
  <si>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</si>
  <si>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</si>
  <si>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</si>
  <si>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</si>
  <si>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</si>
  <si>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</si>
  <si>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</si>
  <si>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</si>
  <si>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</si>
  <si>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</si>
  <si>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</si>
  <si>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</si>
  <si>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</si>
  <si>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</si>
  <si>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</si>
  <si>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</si>
  <si>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</si>
  <si>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</si>
  <si>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</si>
  <si>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</si>
  <si>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</si>
  <si>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</si>
  <si>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</si>
  <si>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</si>
  <si>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</si>
  <si>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</si>
  <si>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</si>
  <si>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</si>
  <si>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</si>
  <si>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</si>
  <si>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</si>
  <si>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</si>
  <si>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</si>
  <si>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</si>
  <si>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</si>
  <si>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</si>
  <si>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</si>
  <si>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</si>
  <si>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</si>
  <si>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</si>
  <si>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</si>
  <si>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</si>
  <si>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</si>
  <si>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</si>
  <si>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</si>
  <si>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</si>
  <si>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</si>
  <si>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</si>
  <si>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</si>
  <si>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</si>
  <si>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</si>
  <si>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</si>
  <si>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</si>
  <si>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</si>
  <si>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</si>
  <si>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</si>
  <si>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</si>
  <si>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</si>
  <si>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</si>
  <si>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</si>
  <si>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</si>
  <si>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</si>
  <si>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</si>
  <si>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</si>
  <si>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</si>
  <si>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</si>
  <si>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</si>
  <si>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</si>
  <si>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</si>
  <si>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</si>
  <si>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</si>
  <si>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</si>
  <si>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</si>
  <si>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</si>
  <si>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</si>
  <si>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</si>
  <si>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</si>
  <si>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</si>
  <si>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</si>
  <si>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</si>
  <si>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</si>
  <si>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</si>
  <si>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</si>
  <si>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</si>
  <si>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</si>
  <si>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</si>
  <si>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</si>
  <si>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</si>
  <si>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</si>
  <si>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</si>
  <si>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</si>
  <si>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</si>
  <si>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</si>
  <si>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</si>
  <si>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</si>
  <si>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</si>
  <si>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</si>
  <si>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</si>
  <si>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</si>
  <si>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</si>
  <si>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</si>
  <si>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</si>
  <si>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</si>
  <si>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</si>
  <si>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</si>
  <si>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</si>
  <si>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</si>
  <si>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</si>
  <si>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</si>
  <si>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</si>
  <si>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</si>
  <si>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</si>
  <si>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</si>
  <si>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</si>
  <si>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</si>
  <si>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</si>
  <si>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</si>
  <si>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</si>
  <si>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</si>
  <si>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</si>
  <si>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</si>
  <si>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</si>
  <si>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</si>
  <si>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</si>
  <si>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</si>
  <si>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</si>
  <si>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</si>
  <si>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</si>
  <si>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</si>
  <si>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</si>
  <si>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</si>
  <si>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</si>
  <si>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</si>
  <si>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</si>
  <si>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</si>
  <si>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</si>
  <si>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</si>
  <si>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</si>
  <si>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</si>
  <si>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</si>
  <si>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</si>
  <si>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</si>
  <si>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</si>
  <si>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</si>
  <si>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</si>
  <si>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</si>
  <si>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</si>
  <si>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</si>
  <si>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</si>
  <si>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</si>
  <si>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</si>
  <si>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</si>
  <si>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</si>
  <si>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</si>
  <si>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</si>
  <si>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</si>
  <si>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</si>
  <si>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</si>
  <si>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</si>
  <si>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</si>
  <si>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</si>
  <si>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</si>
  <si>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</si>
  <si>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</si>
  <si>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</si>
  <si>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</si>
  <si>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</si>
  <si>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</si>
  <si>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</si>
  <si>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</si>
  <si>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</si>
  <si>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</si>
  <si>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</si>
  <si>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</si>
  <si>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</si>
  <si>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</si>
  <si>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</si>
  <si>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</si>
  <si>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</si>
  <si>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</si>
  <si>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충남예술고등학교 기숙사 증축 공사</t>
    <phoneticPr fontId="2" type="noConversion"/>
  </si>
  <si>
    <t>교육연구</t>
  </si>
  <si>
    <t>충청도</t>
  </si>
  <si>
    <t>우수공사,오수공사</t>
    <phoneticPr fontId="2" type="noConversion"/>
  </si>
  <si>
    <t>사급자재비,운반비,기타공사</t>
    <phoneticPr fontId="2" type="noConversion"/>
  </si>
  <si>
    <t>전기인입 및 수변전 설비공사</t>
    <phoneticPr fontId="2" type="noConversion"/>
  </si>
  <si>
    <t>공조배관공사,기타공사</t>
    <phoneticPr fontId="2" type="noConversion"/>
  </si>
  <si>
    <t>기초공사,해체및철거공사,골재비및운반비,작업부산물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</si>
  <si>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</si>
  <si>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</si>
  <si>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</si>
  <si>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</si>
  <si>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CCTV설비공사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</si>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</sst>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2935.61</v>
      </c>
      <c r="D7" s="36">
        <f>+C7/3.3058</f>
        <v>888.01802891886985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1096000</v>
      </c>
      <c r="E25" s="59">
        <f t="shared" si="0"/>
        <v>3623150</v>
      </c>
    </row>
    <row r="26" spans="1:5" x14ac:dyDescent="0.3">
      <c r="B26" s="2">
        <v>3</v>
      </c>
      <c r="C26" s="35" t="s">
        <v>95</v>
      </c>
      <c r="D26" s="45">
        <f>+D66</f>
        <v>32630</v>
      </c>
      <c r="E26" s="59">
        <f t="shared" si="0"/>
        <v>107860</v>
      </c>
    </row>
    <row r="27" spans="1:5" x14ac:dyDescent="0.3">
      <c r="B27" s="2">
        <v>4</v>
      </c>
      <c r="C27" s="35" t="s">
        <v>96</v>
      </c>
      <c r="D27" s="45">
        <f>+D95</f>
        <v>127760</v>
      </c>
      <c r="E27" s="59">
        <f t="shared" si="0"/>
        <v>422340</v>
      </c>
    </row>
    <row r="28" spans="1:5" x14ac:dyDescent="0.3">
      <c r="B28" s="2">
        <v>5</v>
      </c>
      <c r="C28" s="35" t="s">
        <v>97</v>
      </c>
      <c r="D28" s="45">
        <f>+D119</f>
        <v>162650</v>
      </c>
      <c r="E28" s="59">
        <f t="shared" si="0"/>
        <v>537680</v>
      </c>
    </row>
    <row r="29" spans="1:5" x14ac:dyDescent="0.3">
      <c r="B29" s="2">
        <v>6</v>
      </c>
      <c r="C29" s="35" t="s">
        <v>98</v>
      </c>
      <c r="D29" s="45">
        <f>+D133</f>
        <v>52780</v>
      </c>
      <c r="E29" s="59">
        <f t="shared" si="0"/>
        <v>174480</v>
      </c>
    </row>
    <row r="30" spans="1:5" x14ac:dyDescent="0.3">
      <c r="B30" s="2">
        <v>7</v>
      </c>
      <c r="C30" s="35" t="s">
        <v>99</v>
      </c>
      <c r="D30" s="45">
        <f>+D146</f>
        <v>82080</v>
      </c>
      <c r="E30" s="59">
        <f t="shared" si="0"/>
        <v>271340</v>
      </c>
    </row>
    <row r="31" spans="1:5" x14ac:dyDescent="0.3">
      <c r="B31" s="2">
        <v>8</v>
      </c>
      <c r="C31" s="35" t="s">
        <v>100</v>
      </c>
      <c r="D31" s="45">
        <f>+D154</f>
        <v>123050</v>
      </c>
      <c r="E31" s="59">
        <f t="shared" si="0"/>
        <v>406770</v>
      </c>
    </row>
    <row r="32" spans="1:5" x14ac:dyDescent="0.3">
      <c r="B32" s="2">
        <v>9</v>
      </c>
      <c r="C32" s="35" t="s">
        <v>101</v>
      </c>
      <c r="D32" s="45">
        <f>+D161</f>
        <v>5350</v>
      </c>
      <c r="E32" s="59">
        <f t="shared" si="0"/>
        <v>17680</v>
      </c>
    </row>
    <row r="33" spans="1:7" x14ac:dyDescent="0.3">
      <c r="B33" s="2">
        <v>10</v>
      </c>
      <c r="C33" s="35" t="s">
        <v>154</v>
      </c>
      <c r="D33" s="53">
        <f>TRUNC(SUM(D24:D32)*0.275,-1)</f>
        <v>462630</v>
      </c>
      <c r="E33" s="60">
        <f t="shared" si="0"/>
        <v>1529360</v>
      </c>
    </row>
    <row r="34" spans="1:7" x14ac:dyDescent="0.3">
      <c r="C34" s="35" t="s">
        <v>112</v>
      </c>
      <c r="D34" s="44">
        <f>SUM(D24:D33)</f>
        <v>2144930</v>
      </c>
      <c r="E34" s="44">
        <f>SUM(E24:E33)</f>
        <v>7090660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TRUNC(36470,-1)</f>
        <v>36470</v>
      </c>
      <c r="E40" s="62">
        <f t="shared" ref="E40:E59" si="1">TRUNC(+D40*3.3058,-1)</f>
        <v>120560</v>
      </c>
    </row>
    <row r="41" spans="1:7" x14ac:dyDescent="0.3">
      <c r="A41" s="2">
        <v>2</v>
      </c>
      <c r="C41" s="38" t="s">
        <v>13</v>
      </c>
      <c r="D41" s="42">
        <f>TRUNC(264020,-1)</f>
        <v>264020</v>
      </c>
      <c r="E41" s="63">
        <f t="shared" si="1"/>
        <v>872790</v>
      </c>
    </row>
    <row r="42" spans="1:7" x14ac:dyDescent="0.3">
      <c r="A42" s="2">
        <v>3</v>
      </c>
      <c r="C42" s="38" t="s">
        <v>14</v>
      </c>
      <c r="D42" s="42">
        <f>TRUNC(3979,-1)</f>
        <v>3970</v>
      </c>
      <c r="E42" s="63">
        <f t="shared" si="1"/>
        <v>13120</v>
      </c>
    </row>
    <row r="43" spans="1:7" x14ac:dyDescent="0.3">
      <c r="A43" s="2">
        <v>4</v>
      </c>
      <c r="C43" s="38" t="s">
        <v>16</v>
      </c>
      <c r="D43" s="42">
        <f>TRUNC(40770,-1)</f>
        <v>40770</v>
      </c>
      <c r="E43" s="63">
        <f t="shared" si="1"/>
        <v>134770</v>
      </c>
    </row>
    <row r="44" spans="1:7" x14ac:dyDescent="0.3">
      <c r="A44" s="2">
        <v>5</v>
      </c>
      <c r="C44" s="38" t="s">
        <v>17</v>
      </c>
      <c r="D44" s="42">
        <f>TRUNC(17170,-1)</f>
        <v>17170</v>
      </c>
      <c r="E44" s="63">
        <f t="shared" si="1"/>
        <v>56760</v>
      </c>
    </row>
    <row r="45" spans="1:7" x14ac:dyDescent="0.3">
      <c r="A45" s="2">
        <v>6</v>
      </c>
      <c r="C45" s="38" t="s">
        <v>18</v>
      </c>
      <c r="D45" s="42">
        <f>TRUNC(33363,-1)</f>
        <v>33360</v>
      </c>
      <c r="E45" s="63">
        <f t="shared" si="1"/>
        <v>110280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TRUNC(54905,-1)</f>
        <v>54900</v>
      </c>
      <c r="E48" s="63">
        <f t="shared" si="1"/>
        <v>181480</v>
      </c>
      <c r="F48" s="2" t="s">
        <v>256</v>
      </c>
    </row>
    <row r="49" spans="1:7" x14ac:dyDescent="0.3">
      <c r="A49" s="2">
        <v>10</v>
      </c>
      <c r="C49" s="38" t="s">
        <v>22</v>
      </c>
      <c r="D49" s="42">
        <f>TRUNC(36278,-1)</f>
        <v>36270</v>
      </c>
      <c r="E49" s="63">
        <f t="shared" si="1"/>
        <v>119900</v>
      </c>
    </row>
    <row r="50" spans="1:7" x14ac:dyDescent="0.3">
      <c r="A50" s="2">
        <v>11</v>
      </c>
      <c r="C50" s="38" t="s">
        <v>155</v>
      </c>
      <c r="D50" s="42">
        <f>TRUNC(131747,-1)</f>
        <v>131740</v>
      </c>
      <c r="E50" s="63">
        <f t="shared" si="1"/>
        <v>435500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TRUNC(9969,-1)</f>
        <v>9960</v>
      </c>
      <c r="E52" s="63">
        <f t="shared" si="1"/>
        <v>32920</v>
      </c>
    </row>
    <row r="53" spans="1:7" x14ac:dyDescent="0.3">
      <c r="A53" s="2">
        <v>14</v>
      </c>
      <c r="C53" s="38" t="s">
        <v>25</v>
      </c>
      <c r="D53" s="42">
        <v>20110</v>
      </c>
      <c r="E53" s="63">
        <f t="shared" si="1"/>
        <v>66470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TRUNC(28531+335+9604-623,-1)</f>
        <v>37840</v>
      </c>
      <c r="E58" s="63">
        <f t="shared" si="1"/>
        <v>125090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TRUNC(409427,-1)</f>
        <v>409420</v>
      </c>
      <c r="E59" s="64">
        <f t="shared" si="1"/>
        <v>1353460</v>
      </c>
    </row>
    <row r="60" spans="1:7" x14ac:dyDescent="0.3">
      <c r="A60" s="2">
        <v>21</v>
      </c>
      <c r="C60" s="27" t="s">
        <v>112</v>
      </c>
      <c r="D60" s="39">
        <f>SUM(D40:D59)</f>
        <v>1096000</v>
      </c>
      <c r="E60" s="39">
        <f>SUM(E40:E59)</f>
        <v>3623100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TRUNC(32632,-1)</f>
        <v>32630</v>
      </c>
      <c r="E63" s="62">
        <f>TRUNC(+D63*3.3058,-1)</f>
        <v>107860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32630</v>
      </c>
      <c r="E66" s="65">
        <f>SUM(E63:E65)</f>
        <v>107860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TRUNC(10587,-1)</f>
        <v>10580</v>
      </c>
      <c r="E69" s="62">
        <f t="shared" ref="E69:E94" si="2">TRUNC(+D69*3.3058,-1)</f>
        <v>34970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TRUNC(10357,-1)</f>
        <v>10350</v>
      </c>
      <c r="E71" s="63">
        <f t="shared" si="2"/>
        <v>34210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TRUNC(30742,-1)</f>
        <v>30740</v>
      </c>
      <c r="E73" s="63">
        <f t="shared" si="2"/>
        <v>101620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TRUNC(25749,-1)</f>
        <v>25740</v>
      </c>
      <c r="E89" s="63">
        <f t="shared" si="2"/>
        <v>85090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TRUNC(11574,-1)</f>
        <v>11570</v>
      </c>
      <c r="E91" s="63">
        <f t="shared" si="2"/>
        <v>38240</v>
      </c>
    </row>
    <row r="92" spans="1:7" x14ac:dyDescent="0.3">
      <c r="A92" s="2">
        <v>24</v>
      </c>
      <c r="C92" s="38" t="s">
        <v>38</v>
      </c>
      <c r="D92" s="42">
        <f>TRUNC(32858,-1)</f>
        <v>32850</v>
      </c>
      <c r="E92" s="63">
        <f t="shared" si="2"/>
        <v>108590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TRUNC(579+5352,-1)</f>
        <v>5930</v>
      </c>
      <c r="E94" s="64">
        <f t="shared" si="2"/>
        <v>19600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127760</v>
      </c>
      <c r="E95" s="39">
        <f>SUM(E69:E94)</f>
        <v>422320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TRUNC(29791,-1)</f>
        <v>29790</v>
      </c>
      <c r="E98" s="62">
        <f t="shared" ref="E98:E118" si="3">TRUNC(+D98*3.3058,-1)</f>
        <v>98470</v>
      </c>
    </row>
    <row r="99" spans="1:7" x14ac:dyDescent="0.3">
      <c r="A99" s="2">
        <v>2</v>
      </c>
      <c r="C99" s="38" t="s">
        <v>40</v>
      </c>
      <c r="D99" s="42">
        <f>TRUNC(28941,-1)</f>
        <v>28940</v>
      </c>
      <c r="E99" s="63">
        <f t="shared" si="3"/>
        <v>95660</v>
      </c>
    </row>
    <row r="100" spans="1:7" x14ac:dyDescent="0.3">
      <c r="A100" s="2">
        <v>3</v>
      </c>
      <c r="C100" s="38" t="s">
        <v>41</v>
      </c>
      <c r="D100" s="42">
        <f>TRUNC(38352,-1)</f>
        <v>38350</v>
      </c>
      <c r="E100" s="63">
        <f t="shared" si="3"/>
        <v>126770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15480</v>
      </c>
      <c r="E103" s="63">
        <f t="shared" si="3"/>
        <v>51170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TRUNC(9977,-1)</f>
        <v>9970</v>
      </c>
      <c r="E116" s="63">
        <f t="shared" si="3"/>
        <v>32950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TRUNC(39741,-1)</f>
        <v>39740</v>
      </c>
      <c r="E117" s="63">
        <f t="shared" si="3"/>
        <v>131370</v>
      </c>
    </row>
    <row r="118" spans="1:7" ht="17.25" thickBot="1" x14ac:dyDescent="0.35">
      <c r="A118" s="2">
        <v>21</v>
      </c>
      <c r="C118" s="38" t="s">
        <v>47</v>
      </c>
      <c r="D118" s="43">
        <f>TRUNC(381,-1)</f>
        <v>380</v>
      </c>
      <c r="E118" s="64">
        <f t="shared" si="3"/>
        <v>1250</v>
      </c>
    </row>
    <row r="119" spans="1:7" x14ac:dyDescent="0.3">
      <c r="A119" s="2">
        <v>22</v>
      </c>
      <c r="C119" s="27" t="s">
        <v>112</v>
      </c>
      <c r="D119" s="39">
        <f>SUM(D98:D118)</f>
        <v>162650</v>
      </c>
      <c r="E119" s="39">
        <f>SUM(E98:E118)</f>
        <v>537640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TRUNC(1518,-1)</f>
        <v>1510</v>
      </c>
      <c r="E122" s="62">
        <f t="shared" ref="E122:E132" si="4">TRUNC(+D122*3.3058,-1)</f>
        <v>4990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TRUNC(327,-1)</f>
        <v>320</v>
      </c>
      <c r="E124" s="63">
        <f t="shared" si="4"/>
        <v>1050</v>
      </c>
    </row>
    <row r="125" spans="1:7" x14ac:dyDescent="0.3">
      <c r="A125" s="2">
        <v>4</v>
      </c>
      <c r="C125" s="38" t="s">
        <v>138</v>
      </c>
      <c r="D125" s="42">
        <v>7000</v>
      </c>
      <c r="E125" s="63">
        <f t="shared" si="4"/>
        <v>23140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TRUNC(10183,-1)</f>
        <v>10180</v>
      </c>
      <c r="E127" s="63">
        <f t="shared" si="4"/>
        <v>33650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9980</v>
      </c>
      <c r="E130" s="63">
        <f t="shared" si="4"/>
        <v>32990</v>
      </c>
    </row>
    <row r="131" spans="1:7" x14ac:dyDescent="0.3">
      <c r="A131" s="2">
        <v>10</v>
      </c>
      <c r="C131" s="38" t="s">
        <v>148</v>
      </c>
      <c r="D131" s="42">
        <f>TRUNC(20725,-1)</f>
        <v>20720</v>
      </c>
      <c r="E131" s="63">
        <f t="shared" si="4"/>
        <v>68490</v>
      </c>
    </row>
    <row r="132" spans="1:7" ht="18" thickBot="1" x14ac:dyDescent="0.35">
      <c r="A132" s="2">
        <v>11</v>
      </c>
      <c r="C132" s="38" t="s">
        <v>47</v>
      </c>
      <c r="D132" s="43">
        <f>TRUNC(3073,-1)</f>
        <v>3070</v>
      </c>
      <c r="E132" s="64">
        <f t="shared" si="4"/>
        <v>10140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52780</v>
      </c>
      <c r="E133" s="39">
        <f>SUM(E122:E132)</f>
        <v>174450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TRUNC(2767,-1)</f>
        <v>2760</v>
      </c>
      <c r="E139" s="63">
        <f t="shared" si="5"/>
        <v>9120</v>
      </c>
    </row>
    <row r="140" spans="1:7" x14ac:dyDescent="0.3">
      <c r="A140" s="2">
        <v>5</v>
      </c>
      <c r="C140" s="38" t="s">
        <v>57</v>
      </c>
      <c r="D140" s="42">
        <f>TRUNC(9955,-1)</f>
        <v>9950</v>
      </c>
      <c r="E140" s="63">
        <f t="shared" si="5"/>
        <v>32890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TRUNC(34309,-1)</f>
        <v>34300</v>
      </c>
      <c r="E142" s="63">
        <f t="shared" si="5"/>
        <v>113380</v>
      </c>
    </row>
    <row r="143" spans="1:7" x14ac:dyDescent="0.3">
      <c r="A143" s="2">
        <v>8</v>
      </c>
      <c r="C143" s="38" t="s">
        <v>62</v>
      </c>
      <c r="D143" s="42">
        <f>TRUNC(4215,-1)</f>
        <v>4210</v>
      </c>
      <c r="E143" s="63">
        <f t="shared" si="5"/>
        <v>13910</v>
      </c>
    </row>
    <row r="144" spans="1:7" x14ac:dyDescent="0.3">
      <c r="A144" s="2">
        <v>9</v>
      </c>
      <c r="C144" s="38" t="s">
        <v>63</v>
      </c>
      <c r="D144" s="42">
        <f>TRUNC(30865,-1)</f>
        <v>30860</v>
      </c>
      <c r="E144" s="63">
        <f t="shared" si="5"/>
        <v>102010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82080</v>
      </c>
      <c r="E146" s="39">
        <f>SUM(E136:E145)</f>
        <v>271310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TRUNC(5006+2763,-1)</f>
        <v>7760</v>
      </c>
      <c r="E149" s="62">
        <f>TRUNC(+D149*3.3058,-1)</f>
        <v>25650</v>
      </c>
      <c r="F149" s="2" t="s">
        <v>251</v>
      </c>
    </row>
    <row r="150" spans="1:7" x14ac:dyDescent="0.3">
      <c r="A150" s="2">
        <v>2</v>
      </c>
      <c r="C150" s="38" t="s">
        <v>49</v>
      </c>
      <c r="D150" s="42">
        <f>TRUNC(32025,-1)</f>
        <v>32020</v>
      </c>
      <c r="E150" s="63">
        <f>TRUNC(+D150*3.3058,-1)</f>
        <v>105850</v>
      </c>
    </row>
    <row r="151" spans="1:7" x14ac:dyDescent="0.3">
      <c r="A151" s="2">
        <v>3</v>
      </c>
      <c r="C151" s="38" t="s">
        <v>50</v>
      </c>
      <c r="D151" s="42">
        <v>63350</v>
      </c>
      <c r="E151" s="63">
        <f>TRUNC(+D151*3.3058,-1)</f>
        <v>209420</v>
      </c>
    </row>
    <row r="152" spans="1:7" x14ac:dyDescent="0.3">
      <c r="A152" s="2">
        <v>4</v>
      </c>
      <c r="C152" s="38" t="s">
        <v>47</v>
      </c>
      <c r="D152" s="42">
        <f>TRUNC(14463+957+4502,-1)</f>
        <v>19920</v>
      </c>
      <c r="E152" s="63">
        <f>TRUNC(+D152*3.3058,-1)</f>
        <v>65850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123050</v>
      </c>
      <c r="E154" s="39">
        <f>SUM(E149:E153)</f>
        <v>406770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TRUNC(5356,-1)</f>
        <v>5350</v>
      </c>
      <c r="E157" s="62">
        <f>TRUNC(+D157*3.3058,-1)</f>
        <v>17680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5350</v>
      </c>
      <c r="E161" s="39">
        <f>SUM(E157:E160)</f>
        <v>17680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2020-12-08T01:52:14Z</dcterms:modified>
</cp:coreProperties>
</file>