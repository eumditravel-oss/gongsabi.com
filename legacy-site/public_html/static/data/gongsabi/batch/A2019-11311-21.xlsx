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31" i="4"/>
  <c r="D117" i="4"/>
  <c r="D59" i="4"/>
  <c r="D159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7" i="4"/>
  <c r="D124" i="4"/>
  <c r="D125" i="4"/>
  <c r="D122" i="4"/>
  <c r="D130" i="4"/>
  <c r="D118" i="4"/>
  <c r="D105" i="4"/>
  <c r="D104" i="4"/>
  <c r="D103" i="4"/>
  <c r="D102" i="4"/>
  <c r="D101" i="4"/>
  <c r="D100" i="4"/>
  <c r="D99" i="4"/>
  <c r="D98" i="4"/>
  <c r="D116" i="4"/>
  <c r="D92" i="4"/>
  <c r="D91" i="4"/>
  <c r="D89" i="4"/>
  <c r="D73" i="4"/>
  <c r="D72" i="4"/>
  <c r="D71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<sst xmlns="http://schemas.openxmlformats.org/spreadsheetml/2006/main" count="392" uniqueCount="265">
  <si>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</si>
  <si>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</si>
  <si>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</si>
  <si>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</si>
  <si>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</si>
  <si>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</si>
  <si>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</si>
  <si>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</si>
  <si>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</si>
  <si>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</si>
  <si>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</si>
  <si>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</si>
  <si>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</si>
  <si>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</si>
  <si>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</si>
  <si>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</si>
  <si>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</si>
  <si>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</si>
  <si>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</si>
  <si>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</si>
  <si>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</si>
  <si>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</si>
  <si>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</si>
  <si>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</si>
  <si>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</si>
  <si>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</si>
  <si>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</si>
  <si>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</si>
  <si>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</si>
  <si>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</si>
  <si>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</si>
  <si>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</si>
  <si>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</si>
  <si>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</si>
  <si>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</si>
  <si>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</si>
  <si>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</si>
  <si>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</si>
  <si>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</si>
  <si>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</si>
  <si>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</si>
  <si>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</si>
  <si>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</si>
  <si>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</si>
  <si>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</si>
  <si>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</si>
  <si>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</si>
  <si>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</si>
  <si>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</si>
  <si>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</si>
  <si>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</si>
  <si>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</si>
  <si>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</si>
  <si>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</si>
  <si>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</si>
  <si>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</si>
  <si>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</si>
  <si>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</si>
  <si>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</si>
  <si>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</si>
  <si>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</si>
  <si>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</si>
  <si>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</si>
  <si>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</si>
  <si>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</si>
  <si>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</si>
  <si>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</si>
  <si>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</si>
  <si>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</si>
  <si>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</si>
  <si>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</si>
  <si>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</si>
  <si>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</si>
  <si>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</si>
  <si>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</si>
  <si>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</si>
  <si>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</si>
  <si>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</si>
  <si>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</si>
  <si>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</si>
  <si>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</si>
  <si>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</si>
  <si>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</si>
  <si>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</si>
  <si>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</si>
  <si>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</si>
  <si>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</si>
  <si>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</si>
  <si>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</si>
  <si>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</si>
  <si>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</si>
  <si>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</si>
  <si>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</si>
  <si>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</si>
  <si>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</si>
  <si>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</si>
  <si>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</si>
  <si>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</si>
  <si>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</si>
  <si>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</si>
  <si>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</si>
  <si>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</si>
  <si>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</si>
  <si>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</si>
  <si>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</si>
  <si>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</si>
  <si>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</si>
  <si>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</si>
  <si>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</si>
  <si>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</si>
  <si>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</si>
  <si>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</si>
  <si>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</si>
  <si>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</si>
  <si>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</si>
  <si>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</si>
  <si>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</si>
  <si>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</si>
  <si>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</si>
  <si>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</si>
  <si>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</si>
  <si>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</si>
  <si>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</si>
  <si>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</si>
  <si>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</si>
  <si>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</si>
  <si>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</si>
  <si>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</si>
  <si>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</si>
  <si>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</si>
  <si>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</si>
  <si>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</si>
  <si>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</si>
  <si>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</si>
  <si>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</si>
  <si>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</si>
  <si>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</si>
  <si>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</si>
  <si>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</si>
  <si>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</si>
  <si>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</si>
  <si>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</si>
  <si>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</si>
  <si>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</si>
  <si>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</si>
  <si>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</si>
  <si>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</si>
  <si>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</si>
  <si>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</si>
  <si>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</si>
  <si>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</si>
  <si>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</si>
  <si>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</si>
  <si>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</si>
  <si>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</si>
  <si>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</si>
  <si>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</si>
  <si>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</si>
  <si>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</si>
  <si>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</si>
  <si>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</si>
  <si>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</si>
  <si>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</si>
  <si>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</si>
  <si>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</si>
  <si>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</si>
  <si>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</si>
  <si>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</si>
  <si>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</si>
  <si>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</si>
  <si>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</si>
  <si>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</si>
  <si>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</si>
  <si>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</si>
  <si>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</si>
  <si>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</si>
  <si>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</si>
  <si>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</si>
  <si>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</si>
  <si>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</si>
  <si>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</si>
  <si>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</si>
  <si>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</si>
  <si>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</si>
  <si>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</si>
  <si>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</si>
  <si>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</si>
  <si>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</si>
  <si>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</si>
  <si>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</si>
  <si>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</si>
  <si>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</si>
  <si>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</si>
  <si>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</si>
  <si>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</si>
  <si>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</si>
  <si>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</si>
  <si>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</si>
  <si>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</si>
  <si>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</si>
  <si>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</si>
  <si>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</si>
  <si>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</si>
  <si>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</si>
  <si>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</si>
  <si>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</si>
  <si>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</si>
  <si>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</si>
  <si>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</si>
  <si>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</si>
  <si>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</si>
  <si>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</si>
  <si>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</si>
  <si>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</si>
  <si>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</si>
  <si>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</si>
  <si>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</si>
  <si>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</si>
  <si>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</si>
  <si>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</si>
  <si>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</si>
  <si>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</si>
  <si>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</si>
  <si>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</si>
  <si>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</si>
  <si>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</si>
  <si>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</si>
  <si>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</si>
  <si>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</si>
  <si>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</si>
  <si>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</si>
  <si>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</si>
  <si>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</si>
  <si>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</si>
  <si>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</si>
  <si>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</si>
  <si>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</si>
  <si>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</si>
  <si>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</si>
  <si>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</si>
  <si>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</si>
  <si>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</si>
  <si>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</si>
  <si>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</si>
  <si>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</si>
  <si>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</si>
  <si>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</si>
  <si>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</si>
  <si>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교육인재관 건립공사(건축,토목,조경)</t>
    <phoneticPr fontId="2" type="noConversion"/>
  </si>
  <si>
    <t>교육연구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</si>
  <si>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</si>
  <si>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</si>
  <si>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</si>
  <si>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</si>
  <si>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</si>
  <si>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전기인입 및 수변전 설비공사</t>
    <phoneticPr fontId="2" type="noConversion"/>
  </si>
  <si>
    <t>원격검침설비공사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</si>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</sst>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5545.45</v>
      </c>
      <c r="D7" s="36">
        <f>+C7/3.3058</f>
        <v>1677.4910762901566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902750</v>
      </c>
      <c r="E25" s="59">
        <f t="shared" si="0"/>
        <v>2984310</v>
      </c>
    </row>
    <row r="26" spans="1:5" x14ac:dyDescent="0.3">
      <c r="B26" s="2">
        <v>3</v>
      </c>
      <c r="C26" s="35" t="s">
        <v>95</v>
      </c>
      <c r="D26" s="45">
        <f>+D66</f>
        <v>19220</v>
      </c>
      <c r="E26" s="59">
        <f t="shared" si="0"/>
        <v>63530</v>
      </c>
    </row>
    <row r="27" spans="1:5" x14ac:dyDescent="0.3">
      <c r="B27" s="2">
        <v>4</v>
      </c>
      <c r="C27" s="35" t="s">
        <v>96</v>
      </c>
      <c r="D27" s="45">
        <f>+D95</f>
        <v>76790</v>
      </c>
      <c r="E27" s="59">
        <f t="shared" si="0"/>
        <v>253850</v>
      </c>
    </row>
    <row r="28" spans="1:5" x14ac:dyDescent="0.3">
      <c r="B28" s="2">
        <v>5</v>
      </c>
      <c r="C28" s="35" t="s">
        <v>97</v>
      </c>
      <c r="D28" s="45">
        <f>+D119</f>
        <v>214860</v>
      </c>
      <c r="E28" s="59">
        <f t="shared" si="0"/>
        <v>710280</v>
      </c>
    </row>
    <row r="29" spans="1:5" x14ac:dyDescent="0.3">
      <c r="B29" s="2">
        <v>6</v>
      </c>
      <c r="C29" s="35" t="s">
        <v>98</v>
      </c>
      <c r="D29" s="45">
        <f>+D133</f>
        <v>121860</v>
      </c>
      <c r="E29" s="59">
        <f t="shared" si="0"/>
        <v>402840</v>
      </c>
    </row>
    <row r="30" spans="1:5" x14ac:dyDescent="0.3">
      <c r="B30" s="2">
        <v>7</v>
      </c>
      <c r="C30" s="35" t="s">
        <v>99</v>
      </c>
      <c r="D30" s="45">
        <f>+D146</f>
        <v>73420</v>
      </c>
      <c r="E30" s="59">
        <f t="shared" si="0"/>
        <v>242710</v>
      </c>
    </row>
    <row r="31" spans="1:5" x14ac:dyDescent="0.3">
      <c r="B31" s="2">
        <v>8</v>
      </c>
      <c r="C31" s="35" t="s">
        <v>100</v>
      </c>
      <c r="D31" s="45">
        <f>+D154</f>
        <v>12690</v>
      </c>
      <c r="E31" s="59">
        <f t="shared" si="0"/>
        <v>41950</v>
      </c>
    </row>
    <row r="32" spans="1:5" x14ac:dyDescent="0.3">
      <c r="B32" s="2">
        <v>9</v>
      </c>
      <c r="C32" s="35" t="s">
        <v>101</v>
      </c>
      <c r="D32" s="45">
        <f>+D161</f>
        <v>1740</v>
      </c>
      <c r="E32" s="59">
        <f t="shared" si="0"/>
        <v>5750</v>
      </c>
    </row>
    <row r="33" spans="1:7" x14ac:dyDescent="0.3">
      <c r="B33" s="2">
        <v>10</v>
      </c>
      <c r="C33" s="35" t="s">
        <v>154</v>
      </c>
      <c r="D33" s="53">
        <f>TRUNC(SUM(D24:D32)*0.275,-1)</f>
        <v>391410</v>
      </c>
      <c r="E33" s="60">
        <f t="shared" si="0"/>
        <v>1293920</v>
      </c>
    </row>
    <row r="34" spans="1:7" x14ac:dyDescent="0.3">
      <c r="C34" s="35" t="s">
        <v>112</v>
      </c>
      <c r="D34" s="44">
        <f>SUM(D24:D33)</f>
        <v>1814740</v>
      </c>
      <c r="E34" s="44">
        <f>SUM(E24:E33)</f>
        <v>5999140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TRUNC(60668,-1)</f>
        <v>60660</v>
      </c>
      <c r="E40" s="62">
        <f t="shared" ref="E40:E59" si="1">TRUNC(+D40*3.3058,-1)</f>
        <v>200520</v>
      </c>
    </row>
    <row r="41" spans="1:7" x14ac:dyDescent="0.3">
      <c r="A41" s="2">
        <v>2</v>
      </c>
      <c r="C41" s="38" t="s">
        <v>13</v>
      </c>
      <c r="D41" s="42">
        <f>TRUNC(185252,-1)</f>
        <v>185250</v>
      </c>
      <c r="E41" s="63">
        <f t="shared" si="1"/>
        <v>612390</v>
      </c>
    </row>
    <row r="42" spans="1:7" x14ac:dyDescent="0.3">
      <c r="A42" s="2">
        <v>3</v>
      </c>
      <c r="C42" s="38" t="s">
        <v>14</v>
      </c>
      <c r="D42" s="42">
        <f>TRUNC(25974,-1)</f>
        <v>25970</v>
      </c>
      <c r="E42" s="63">
        <f t="shared" si="1"/>
        <v>85850</v>
      </c>
    </row>
    <row r="43" spans="1:7" x14ac:dyDescent="0.3">
      <c r="A43" s="2">
        <v>4</v>
      </c>
      <c r="C43" s="38" t="s">
        <v>16</v>
      </c>
      <c r="D43" s="42">
        <f>TRUNC(94898,-1)</f>
        <v>94890</v>
      </c>
      <c r="E43" s="63">
        <f t="shared" si="1"/>
        <v>313680</v>
      </c>
    </row>
    <row r="44" spans="1:7" x14ac:dyDescent="0.3">
      <c r="A44" s="2">
        <v>5</v>
      </c>
      <c r="C44" s="38" t="s">
        <v>17</v>
      </c>
      <c r="D44" s="42">
        <f>TRUNC(14371,-1)</f>
        <v>14370</v>
      </c>
      <c r="E44" s="63">
        <f t="shared" si="1"/>
        <v>47500</v>
      </c>
    </row>
    <row r="45" spans="1:7" x14ac:dyDescent="0.3">
      <c r="A45" s="2">
        <v>6</v>
      </c>
      <c r="C45" s="38" t="s">
        <v>18</v>
      </c>
      <c r="D45" s="42">
        <f>TRUNC(14910,-1)</f>
        <v>14910</v>
      </c>
      <c r="E45" s="63">
        <f t="shared" si="1"/>
        <v>49280</v>
      </c>
    </row>
    <row r="46" spans="1:7" x14ac:dyDescent="0.3">
      <c r="A46" s="2">
        <v>7</v>
      </c>
      <c r="C46" s="38" t="s">
        <v>19</v>
      </c>
      <c r="D46" s="42">
        <f>TRUNC(7170,-1)</f>
        <v>7170</v>
      </c>
      <c r="E46" s="63">
        <f t="shared" si="1"/>
        <v>23700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TRUNC(42634,-1)</f>
        <v>42630</v>
      </c>
      <c r="E48" s="63">
        <f t="shared" si="1"/>
        <v>140920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TRUNC(31079,-1)</f>
        <v>31070</v>
      </c>
      <c r="E49" s="63">
        <f t="shared" si="1"/>
        <v>102710</v>
      </c>
    </row>
    <row r="50" spans="1:7" x14ac:dyDescent="0.3">
      <c r="A50" s="2">
        <v>11</v>
      </c>
      <c r="C50" s="38" t="s">
        <v>155</v>
      </c>
      <c r="D50" s="42">
        <f>TRUNC(67426,-1)</f>
        <v>67420</v>
      </c>
      <c r="E50" s="63">
        <f t="shared" si="1"/>
        <v>222870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TRUNC(24508,-1)</f>
        <v>24500</v>
      </c>
      <c r="E52" s="63">
        <f t="shared" si="1"/>
        <v>80990</v>
      </c>
    </row>
    <row r="53" spans="1:7" x14ac:dyDescent="0.3">
      <c r="A53" s="2">
        <v>14</v>
      </c>
      <c r="C53" s="38" t="s">
        <v>25</v>
      </c>
      <c r="D53" s="42">
        <f>TRUNC(76229,-1)</f>
        <v>76220</v>
      </c>
      <c r="E53" s="63">
        <f t="shared" si="1"/>
        <v>251960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TRUNC(39091+303+5254-909+443+4319,-1)</f>
        <v>48500</v>
      </c>
      <c r="E58" s="63">
        <f t="shared" si="1"/>
        <v>160330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TRUNC(209199,-1)</f>
        <v>209190</v>
      </c>
      <c r="E59" s="64">
        <f t="shared" si="1"/>
        <v>691540</v>
      </c>
    </row>
    <row r="60" spans="1:7" x14ac:dyDescent="0.3">
      <c r="A60" s="2">
        <v>21</v>
      </c>
      <c r="C60" s="27" t="s">
        <v>112</v>
      </c>
      <c r="D60" s="39">
        <f>SUM(D40:D59)</f>
        <v>902750</v>
      </c>
      <c r="E60" s="39">
        <f>SUM(E40:E59)</f>
        <v>2984240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TRUNC(996,-1)</f>
        <v>990</v>
      </c>
      <c r="E63" s="62">
        <f>TRUNC(+D63*3.3058,-1)</f>
        <v>3270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TRUNC(18238,-1)</f>
        <v>18230</v>
      </c>
      <c r="E65" s="64">
        <f>TRUNC(+D65*3.3058,-1)</f>
        <v>60260</v>
      </c>
    </row>
    <row r="66" spans="1:7" x14ac:dyDescent="0.3">
      <c r="A66" s="2">
        <v>4</v>
      </c>
      <c r="C66" s="27" t="s">
        <v>112</v>
      </c>
      <c r="D66" s="39">
        <f>SUM(D63:D65)</f>
        <v>19220</v>
      </c>
      <c r="E66" s="65">
        <f>SUM(E63:E65)</f>
        <v>63530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TRUNC(3199,-1)</f>
        <v>3190</v>
      </c>
      <c r="E69" s="62">
        <f t="shared" ref="E69:E94" si="2">TRUNC(+D69*3.3058,-1)</f>
        <v>10540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TRUNC(5639,-1)</f>
        <v>5630</v>
      </c>
      <c r="E71" s="63">
        <f t="shared" si="2"/>
        <v>18610</v>
      </c>
    </row>
    <row r="72" spans="1:7" x14ac:dyDescent="0.3">
      <c r="A72" s="2">
        <v>4</v>
      </c>
      <c r="C72" s="38" t="s">
        <v>33</v>
      </c>
      <c r="D72" s="42">
        <f>TRUNC(7913,-1)</f>
        <v>7910</v>
      </c>
      <c r="E72" s="63">
        <f t="shared" si="2"/>
        <v>26140</v>
      </c>
    </row>
    <row r="73" spans="1:7" x14ac:dyDescent="0.3">
      <c r="A73" s="2">
        <v>5</v>
      </c>
      <c r="C73" s="38" t="s">
        <v>34</v>
      </c>
      <c r="D73" s="42">
        <f>TRUNC(20183,-1)</f>
        <v>20180</v>
      </c>
      <c r="E73" s="63">
        <f t="shared" si="2"/>
        <v>66710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TRUNC(23522,-1)</f>
        <v>23520</v>
      </c>
      <c r="E89" s="63">
        <f t="shared" si="2"/>
        <v>77750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TRUNC(1767,-1)</f>
        <v>1760</v>
      </c>
      <c r="E91" s="63">
        <f t="shared" si="2"/>
        <v>5810</v>
      </c>
    </row>
    <row r="92" spans="1:7" x14ac:dyDescent="0.3">
      <c r="A92" s="2">
        <v>24</v>
      </c>
      <c r="C92" s="38" t="s">
        <v>38</v>
      </c>
      <c r="D92" s="42">
        <f>TRUNC(14601,-1)</f>
        <v>14600</v>
      </c>
      <c r="E92" s="63">
        <f t="shared" si="2"/>
        <v>48260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76790</v>
      </c>
      <c r="E95" s="39">
        <f>SUM(E69:E94)</f>
        <v>253820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TRUNC(7983,-1)</f>
        <v>7980</v>
      </c>
      <c r="E98" s="62">
        <f t="shared" ref="E98:E118" si="3">TRUNC(+D98*3.3058,-1)</f>
        <v>26380</v>
      </c>
    </row>
    <row r="99" spans="1:7" x14ac:dyDescent="0.3">
      <c r="A99" s="2">
        <v>2</v>
      </c>
      <c r="C99" s="38" t="s">
        <v>40</v>
      </c>
      <c r="D99" s="42">
        <f>TRUNC(2387,-1)</f>
        <v>2380</v>
      </c>
      <c r="E99" s="63">
        <f t="shared" si="3"/>
        <v>7860</v>
      </c>
    </row>
    <row r="100" spans="1:7" x14ac:dyDescent="0.3">
      <c r="A100" s="2">
        <v>3</v>
      </c>
      <c r="C100" s="38" t="s">
        <v>41</v>
      </c>
      <c r="D100" s="42">
        <f>TRUNC(38132,-1)</f>
        <v>38130</v>
      </c>
      <c r="E100" s="63">
        <f t="shared" si="3"/>
        <v>126050</v>
      </c>
    </row>
    <row r="101" spans="1:7" x14ac:dyDescent="0.3">
      <c r="A101" s="2">
        <v>4</v>
      </c>
      <c r="C101" s="38" t="s">
        <v>42</v>
      </c>
      <c r="D101" s="42">
        <f>TRUNC(16059,-1)</f>
        <v>16050</v>
      </c>
      <c r="E101" s="63">
        <f t="shared" si="3"/>
        <v>53050</v>
      </c>
    </row>
    <row r="102" spans="1:7" x14ac:dyDescent="0.3">
      <c r="A102" s="2">
        <v>5</v>
      </c>
      <c r="C102" s="38" t="s">
        <v>43</v>
      </c>
      <c r="D102" s="42">
        <f>TRUNC(27734,-1)</f>
        <v>27730</v>
      </c>
      <c r="E102" s="63">
        <f t="shared" si="3"/>
        <v>91660</v>
      </c>
    </row>
    <row r="103" spans="1:7" x14ac:dyDescent="0.3">
      <c r="A103" s="2">
        <v>6</v>
      </c>
      <c r="C103" s="38" t="s">
        <v>44</v>
      </c>
      <c r="D103" s="42">
        <f>TRUNC(11904,-1)</f>
        <v>11900</v>
      </c>
      <c r="E103" s="63">
        <f t="shared" si="3"/>
        <v>39330</v>
      </c>
    </row>
    <row r="104" spans="1:7" x14ac:dyDescent="0.3">
      <c r="A104" s="2">
        <v>7</v>
      </c>
      <c r="C104" s="38" t="s">
        <v>45</v>
      </c>
      <c r="D104" s="42">
        <f>TRUNC(6732,-1)</f>
        <v>6730</v>
      </c>
      <c r="E104" s="63">
        <f t="shared" si="3"/>
        <v>22240</v>
      </c>
    </row>
    <row r="105" spans="1:7" x14ac:dyDescent="0.3">
      <c r="A105" s="2">
        <v>8</v>
      </c>
      <c r="C105" s="38" t="s">
        <v>46</v>
      </c>
      <c r="D105" s="42">
        <f>TRUNC(8387,-1)</f>
        <v>8380</v>
      </c>
      <c r="E105" s="63">
        <f t="shared" si="3"/>
        <v>27700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TRUNC(25859,-1)</f>
        <v>25850</v>
      </c>
      <c r="E116" s="63">
        <f t="shared" si="3"/>
        <v>85450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TRUNC(64031,-1)</f>
        <v>64030</v>
      </c>
      <c r="E117" s="63">
        <f t="shared" si="3"/>
        <v>211670</v>
      </c>
    </row>
    <row r="118" spans="1:7" ht="17.25" thickBot="1" x14ac:dyDescent="0.35">
      <c r="A118" s="2">
        <v>21</v>
      </c>
      <c r="C118" s="38" t="s">
        <v>47</v>
      </c>
      <c r="D118" s="43">
        <f>TRUNC(5700,-1)</f>
        <v>5700</v>
      </c>
      <c r="E118" s="64">
        <f t="shared" si="3"/>
        <v>18840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214860</v>
      </c>
      <c r="E119" s="39">
        <f>SUM(E98:E118)</f>
        <v>710230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TRUNC(9743,-1)</f>
        <v>9740</v>
      </c>
      <c r="E122" s="62">
        <f t="shared" ref="E122:E132" si="4">TRUNC(+D122*3.3058,-1)</f>
        <v>32190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TRUNC(2281,-1)</f>
        <v>2280</v>
      </c>
      <c r="E124" s="63">
        <f t="shared" si="4"/>
        <v>7530</v>
      </c>
    </row>
    <row r="125" spans="1:7" x14ac:dyDescent="0.3">
      <c r="A125" s="2">
        <v>4</v>
      </c>
      <c r="C125" s="38" t="s">
        <v>138</v>
      </c>
      <c r="D125" s="42">
        <f>TRUNC(12230,-1)</f>
        <v>12230</v>
      </c>
      <c r="E125" s="63">
        <f t="shared" si="4"/>
        <v>40420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TRUNC(8528,-1)</f>
        <v>8520</v>
      </c>
      <c r="E127" s="63">
        <f t="shared" si="4"/>
        <v>28160</v>
      </c>
    </row>
    <row r="128" spans="1:7" x14ac:dyDescent="0.3">
      <c r="A128" s="2">
        <v>7</v>
      </c>
      <c r="C128" s="38" t="s">
        <v>46</v>
      </c>
      <c r="D128" s="42">
        <f>TRUNC(9222,-1)</f>
        <v>9220</v>
      </c>
      <c r="E128" s="63">
        <f t="shared" si="4"/>
        <v>30470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TRUNC(23145,-1)</f>
        <v>23140</v>
      </c>
      <c r="E130" s="63">
        <f t="shared" si="4"/>
        <v>76490</v>
      </c>
    </row>
    <row r="131" spans="1:7" x14ac:dyDescent="0.3">
      <c r="A131" s="2">
        <v>10</v>
      </c>
      <c r="C131" s="38" t="s">
        <v>148</v>
      </c>
      <c r="D131" s="42">
        <f>TRUNC(25580,-1)</f>
        <v>25580</v>
      </c>
      <c r="E131" s="63">
        <f t="shared" si="4"/>
        <v>84560</v>
      </c>
    </row>
    <row r="132" spans="1:7" ht="18" thickBot="1" x14ac:dyDescent="0.35">
      <c r="A132" s="2">
        <v>11</v>
      </c>
      <c r="C132" s="38" t="s">
        <v>47</v>
      </c>
      <c r="D132" s="43">
        <f>TRUNC(3355+27801,-1)</f>
        <v>31150</v>
      </c>
      <c r="E132" s="64">
        <f t="shared" si="4"/>
        <v>102970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121860</v>
      </c>
      <c r="E133" s="39">
        <f>SUM(E122:E132)</f>
        <v>402790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TRUNC(928,-1)</f>
        <v>920</v>
      </c>
      <c r="E137" s="63">
        <f t="shared" si="5"/>
        <v>3040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TRUNC(4950,-1)</f>
        <v>4950</v>
      </c>
      <c r="E139" s="63">
        <f t="shared" si="5"/>
        <v>16360</v>
      </c>
    </row>
    <row r="140" spans="1:7" x14ac:dyDescent="0.3">
      <c r="A140" s="2">
        <v>5</v>
      </c>
      <c r="C140" s="38" t="s">
        <v>57</v>
      </c>
      <c r="D140" s="42">
        <f>TRUNC(7513,-1)</f>
        <v>7510</v>
      </c>
      <c r="E140" s="63">
        <f t="shared" si="5"/>
        <v>24820</v>
      </c>
    </row>
    <row r="141" spans="1:7" x14ac:dyDescent="0.3">
      <c r="A141" s="2">
        <v>6</v>
      </c>
      <c r="C141" s="38" t="s">
        <v>59</v>
      </c>
      <c r="D141" s="42">
        <f>TRUNC(25826,-1)</f>
        <v>25820</v>
      </c>
      <c r="E141" s="63">
        <f t="shared" si="5"/>
        <v>85350</v>
      </c>
    </row>
    <row r="142" spans="1:7" x14ac:dyDescent="0.3">
      <c r="A142" s="2">
        <v>7</v>
      </c>
      <c r="C142" s="38" t="s">
        <v>58</v>
      </c>
      <c r="D142" s="42">
        <f>TRUNC(6011,-1)</f>
        <v>6010</v>
      </c>
      <c r="E142" s="63">
        <f t="shared" si="5"/>
        <v>19860</v>
      </c>
    </row>
    <row r="143" spans="1:7" x14ac:dyDescent="0.3">
      <c r="A143" s="2">
        <v>8</v>
      </c>
      <c r="C143" s="38" t="s">
        <v>62</v>
      </c>
      <c r="D143" s="42">
        <f>TRUNC(11589,-1)</f>
        <v>11580</v>
      </c>
      <c r="E143" s="63">
        <f t="shared" si="5"/>
        <v>38280</v>
      </c>
    </row>
    <row r="144" spans="1:7" x14ac:dyDescent="0.3">
      <c r="A144" s="2">
        <v>9</v>
      </c>
      <c r="C144" s="38" t="s">
        <v>63</v>
      </c>
      <c r="D144" s="42">
        <f>TRUNC(16630,-1)</f>
        <v>16630</v>
      </c>
      <c r="E144" s="63">
        <f t="shared" si="5"/>
        <v>54970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73420</v>
      </c>
      <c r="E146" s="39">
        <f>SUM(E136:E145)</f>
        <v>242680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TRUNC(2001+182,-1)</f>
        <v>2180</v>
      </c>
      <c r="E149" s="62">
        <f>TRUNC(+D149*3.3058,-1)</f>
        <v>7200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TRUNC(1643,-1)</f>
        <v>1640</v>
      </c>
      <c r="E150" s="63">
        <f>TRUNC(+D150*3.3058,-1)</f>
        <v>5420</v>
      </c>
    </row>
    <row r="151" spans="1:7" x14ac:dyDescent="0.3">
      <c r="A151" s="2">
        <v>3</v>
      </c>
      <c r="C151" s="38" t="s">
        <v>50</v>
      </c>
      <c r="D151" s="42">
        <f>TRUNC(708,-1)</f>
        <v>700</v>
      </c>
      <c r="E151" s="63">
        <f>TRUNC(+D151*3.3058,-1)</f>
        <v>2310</v>
      </c>
    </row>
    <row r="152" spans="1:7" x14ac:dyDescent="0.3">
      <c r="A152" s="2">
        <v>4</v>
      </c>
      <c r="C152" s="38" t="s">
        <v>47</v>
      </c>
      <c r="D152" s="42">
        <f>TRUNC(2293+316+1984,-1)</f>
        <v>4590</v>
      </c>
      <c r="E152" s="63">
        <f>TRUNC(+D152*3.3058,-1)</f>
        <v>15170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TRUNC(3585,-1)</f>
        <v>3580</v>
      </c>
      <c r="E153" s="64">
        <f>TRUNC(+D153*3.3058,-1)</f>
        <v>11830</v>
      </c>
    </row>
    <row r="154" spans="1:7" x14ac:dyDescent="0.3">
      <c r="A154" s="2">
        <v>6</v>
      </c>
      <c r="C154" s="27" t="s">
        <v>112</v>
      </c>
      <c r="D154" s="39">
        <f>SUM(D149:D153)</f>
        <v>12690</v>
      </c>
      <c r="E154" s="39">
        <f>SUM(E149:E153)</f>
        <v>41930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TRUNC(1272,-1)</f>
        <v>1270</v>
      </c>
      <c r="E157" s="62">
        <f>TRUNC(+D157*3.3058,-1)</f>
        <v>4190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TRUNC(478,-1)</f>
        <v>470</v>
      </c>
      <c r="E159" s="63">
        <f>TRUNC(+D159*3.3058,-1)</f>
        <v>1550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1740</v>
      </c>
      <c r="E161" s="39">
        <f>SUM(E157:E160)</f>
        <v>5740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2020-12-08T04:40:45Z</dcterms:modified>
</cp:coreProperties>
</file>