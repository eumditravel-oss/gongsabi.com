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1" i="4"/>
  <c r="D150" i="4"/>
  <c r="D149" i="4"/>
  <c r="D144" i="4"/>
  <c r="D143" i="4"/>
  <c r="D142" i="4"/>
  <c r="D140" i="4"/>
  <c r="D132" i="4"/>
  <c r="D130" i="4"/>
  <c r="D128" i="4"/>
  <c r="D126" i="4"/>
  <c r="D125" i="4"/>
  <c r="D124" i="4"/>
  <c r="D118" i="4"/>
  <c r="D116" i="4"/>
  <c r="D114" i="4"/>
  <c r="D105" i="4"/>
  <c r="D104" i="4"/>
  <c r="D103" i="4"/>
  <c r="D102" i="4"/>
  <c r="D100" i="4"/>
  <c r="D99" i="4"/>
  <c r="D98" i="4"/>
  <c r="D94" i="4"/>
  <c r="D92" i="4"/>
  <c r="D91" i="4"/>
  <c r="D90" i="4"/>
  <c r="D89" i="4"/>
  <c r="D76" i="4"/>
  <c r="D73" i="4"/>
  <c r="D72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1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<sst xmlns="http://schemas.openxmlformats.org/spreadsheetml/2006/main" count="393" uniqueCount="269">
  <si>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</si>
  <si>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</si>
  <si>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</si>
  <si>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</si>
  <si>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</si>
  <si>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</si>
  <si>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</si>
  <si>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</si>
  <si>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</si>
  <si>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</si>
  <si>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</si>
  <si>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</si>
  <si>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</si>
  <si>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</si>
  <si>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</si>
  <si>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</si>
  <si>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</si>
  <si>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</si>
  <si>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</si>
  <si>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</si>
  <si>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</si>
  <si>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</si>
  <si>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</si>
  <si>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</si>
  <si>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</si>
  <si>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</si>
  <si>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</si>
  <si>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</si>
  <si>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</si>
  <si>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</si>
  <si>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</si>
  <si>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</si>
  <si>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</si>
  <si>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</si>
  <si>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</si>
  <si>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</si>
  <si>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</si>
  <si>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</si>
  <si>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</si>
  <si>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</si>
  <si>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</si>
  <si>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</si>
  <si>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</si>
  <si>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</si>
  <si>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</si>
  <si>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</si>
  <si>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</si>
  <si>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</si>
  <si>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</si>
  <si>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</si>
  <si>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</si>
  <si>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</si>
  <si>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</si>
  <si>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</si>
  <si>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</si>
  <si>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</si>
  <si>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</si>
  <si>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</si>
  <si>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</si>
  <si>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</si>
  <si>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</si>
  <si>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</si>
  <si>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</si>
  <si>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</si>
  <si>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</si>
  <si>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</si>
  <si>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</si>
  <si>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</si>
  <si>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</si>
  <si>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</si>
  <si>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</si>
  <si>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</si>
  <si>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</si>
  <si>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</si>
  <si>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</si>
  <si>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</si>
  <si>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</si>
  <si>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</si>
  <si>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</si>
  <si>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</si>
  <si>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</si>
  <si>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</si>
  <si>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</si>
  <si>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</si>
  <si>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</si>
  <si>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</si>
  <si>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</si>
  <si>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</si>
  <si>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</si>
  <si>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</si>
  <si>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</si>
  <si>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</si>
  <si>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</si>
  <si>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</si>
  <si>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</si>
  <si>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</si>
  <si>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</si>
  <si>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</si>
  <si>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</si>
  <si>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</si>
  <si>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</si>
  <si>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</si>
  <si>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</si>
  <si>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</si>
  <si>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</si>
  <si>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</si>
  <si>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</si>
  <si>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</si>
  <si>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</si>
  <si>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</si>
  <si>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</si>
  <si>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</si>
  <si>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</si>
  <si>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</si>
  <si>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</si>
  <si>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</si>
  <si>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</si>
  <si>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</si>
  <si>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</si>
  <si>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</si>
  <si>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</si>
  <si>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</si>
  <si>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</si>
  <si>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</si>
  <si>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</si>
  <si>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</si>
  <si>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</si>
  <si>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</si>
  <si>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</si>
  <si>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</si>
  <si>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</si>
  <si>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</si>
  <si>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</si>
  <si>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</si>
  <si>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</si>
  <si>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</si>
  <si>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</si>
  <si>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</si>
  <si>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</si>
  <si>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</si>
  <si>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</si>
  <si>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</si>
  <si>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</si>
  <si>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</si>
  <si>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</si>
  <si>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</si>
  <si>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</si>
  <si>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</si>
  <si>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</si>
  <si>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</si>
  <si>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</si>
  <si>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</si>
  <si>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</si>
  <si>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</si>
  <si>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</si>
  <si>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</si>
  <si>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</si>
  <si>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</si>
  <si>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</si>
  <si>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</si>
  <si>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</si>
  <si>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</si>
  <si>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</si>
  <si>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</si>
  <si>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</si>
  <si>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</si>
  <si>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</si>
  <si>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</si>
  <si>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</si>
  <si>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</si>
  <si>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</si>
  <si>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</si>
  <si>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</si>
  <si>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</si>
  <si>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</si>
  <si>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</si>
  <si>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</si>
  <si>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</si>
  <si>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</si>
  <si>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</si>
  <si>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</si>
  <si>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</si>
  <si>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</si>
  <si>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</si>
  <si>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</si>
  <si>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</si>
  <si>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</si>
  <si>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</si>
  <si>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</si>
  <si>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</si>
  <si>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</si>
  <si>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</si>
  <si>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</si>
  <si>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</si>
  <si>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</si>
  <si>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</si>
  <si>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</si>
  <si>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</si>
  <si>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</si>
  <si>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</si>
  <si>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</si>
  <si>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</si>
  <si>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</si>
  <si>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</si>
  <si>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</si>
  <si>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</si>
  <si>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</si>
  <si>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</si>
  <si>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</si>
  <si>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</si>
  <si>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</si>
  <si>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</si>
  <si>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</si>
  <si>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</si>
  <si>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</si>
  <si>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</si>
  <si>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</si>
  <si>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</si>
  <si>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</si>
  <si>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</si>
  <si>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</si>
  <si>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</si>
  <si>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</si>
  <si>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</si>
  <si>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</si>
  <si>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</si>
  <si>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</si>
  <si>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</si>
  <si>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</si>
  <si>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</si>
  <si>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</si>
  <si>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</si>
  <si>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</si>
  <si>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</si>
  <si>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</si>
  <si>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</si>
  <si>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</si>
  <si>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</si>
  <si>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</si>
  <si>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</si>
  <si>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</si>
  <si>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</si>
  <si>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</si>
  <si>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</si>
  <si>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</si>
  <si>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</si>
  <si>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</si>
  <si>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</si>
  <si>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</si>
  <si>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</si>
  <si>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</si>
  <si>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</si>
  <si>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</si>
  <si>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</si>
  <si>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</si>
  <si>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</si>
  <si>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</si>
  <si>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</si>
  <si>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</si>
  <si>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가득중학교 신축공사(계속비)</t>
    <phoneticPr fontId="2" type="noConversion"/>
  </si>
  <si>
    <t>세종시</t>
  </si>
  <si>
    <t>기초공사, 골재비및운반비, 작업부산물, 기타공사</t>
    <phoneticPr fontId="2" type="noConversion"/>
  </si>
  <si>
    <t>옥외보안등설비공사</t>
    <phoneticPr fontId="2" type="noConversion"/>
  </si>
  <si>
    <t>옥외소화배관공사,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</si>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</sst>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0" sqref="G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11720.1</v>
      </c>
      <c r="D7" s="36">
        <f>+C7/3.3058</f>
        <v>3545.3142960856676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425450</v>
      </c>
      <c r="E25" s="59">
        <f t="shared" si="0"/>
        <v>1406450</v>
      </c>
    </row>
    <row r="26" spans="1:5" x14ac:dyDescent="0.3">
      <c r="B26" s="2">
        <v>3</v>
      </c>
      <c r="C26" s="35" t="s">
        <v>95</v>
      </c>
      <c r="D26" s="45">
        <f>+D66</f>
        <v>8220</v>
      </c>
      <c r="E26" s="59">
        <f t="shared" si="0"/>
        <v>27170</v>
      </c>
    </row>
    <row r="27" spans="1:5" x14ac:dyDescent="0.3">
      <c r="B27" s="2">
        <v>4</v>
      </c>
      <c r="C27" s="35" t="s">
        <v>96</v>
      </c>
      <c r="D27" s="45">
        <f>+D95</f>
        <v>106360</v>
      </c>
      <c r="E27" s="59">
        <f t="shared" si="0"/>
        <v>351600</v>
      </c>
    </row>
    <row r="28" spans="1:5" x14ac:dyDescent="0.3">
      <c r="B28" s="2">
        <v>5</v>
      </c>
      <c r="C28" s="35" t="s">
        <v>97</v>
      </c>
      <c r="D28" s="45">
        <f>+D119</f>
        <v>72410</v>
      </c>
      <c r="E28" s="59">
        <f t="shared" si="0"/>
        <v>239370</v>
      </c>
    </row>
    <row r="29" spans="1:5" x14ac:dyDescent="0.3">
      <c r="B29" s="2">
        <v>6</v>
      </c>
      <c r="C29" s="35" t="s">
        <v>98</v>
      </c>
      <c r="D29" s="45">
        <f>+D133</f>
        <v>32690</v>
      </c>
      <c r="E29" s="59">
        <f t="shared" si="0"/>
        <v>108060</v>
      </c>
    </row>
    <row r="30" spans="1:5" x14ac:dyDescent="0.3">
      <c r="B30" s="2">
        <v>7</v>
      </c>
      <c r="C30" s="35" t="s">
        <v>99</v>
      </c>
      <c r="D30" s="45">
        <f>+D146</f>
        <v>30410</v>
      </c>
      <c r="E30" s="59">
        <f t="shared" si="0"/>
        <v>100520</v>
      </c>
    </row>
    <row r="31" spans="1:5" x14ac:dyDescent="0.3">
      <c r="B31" s="2">
        <v>8</v>
      </c>
      <c r="C31" s="35" t="s">
        <v>100</v>
      </c>
      <c r="D31" s="45">
        <f>+D154</f>
        <v>29250</v>
      </c>
      <c r="E31" s="59">
        <f t="shared" si="0"/>
        <v>96690</v>
      </c>
    </row>
    <row r="32" spans="1:5" x14ac:dyDescent="0.3">
      <c r="B32" s="2">
        <v>9</v>
      </c>
      <c r="C32" s="35" t="s">
        <v>101</v>
      </c>
      <c r="D32" s="45">
        <f>+D161</f>
        <v>26810</v>
      </c>
      <c r="E32" s="59">
        <f t="shared" si="0"/>
        <v>88620</v>
      </c>
    </row>
    <row r="33" spans="1:7" x14ac:dyDescent="0.3">
      <c r="B33" s="2">
        <v>10</v>
      </c>
      <c r="C33" s="35" t="s">
        <v>154</v>
      </c>
      <c r="D33" s="53">
        <f>TRUNC(SUM(D24:D32)*0.275,-1)</f>
        <v>201190</v>
      </c>
      <c r="E33" s="60">
        <f t="shared" si="0"/>
        <v>665090</v>
      </c>
    </row>
    <row r="34" spans="1:7" x14ac:dyDescent="0.3">
      <c r="C34" s="35" t="s">
        <v>112</v>
      </c>
      <c r="D34" s="44">
        <f>SUM(D24:D33)</f>
        <v>932790</v>
      </c>
      <c r="E34" s="44">
        <f>SUM(E24:E33)</f>
        <v>3083570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v>42990</v>
      </c>
      <c r="E40" s="62">
        <f t="shared" ref="E40:E59" si="1">TRUNC(+D40*3.3058,-1)</f>
        <v>142110</v>
      </c>
    </row>
    <row r="41" spans="1:7" x14ac:dyDescent="0.3">
      <c r="A41" s="2">
        <v>2</v>
      </c>
      <c r="C41" s="38" t="s">
        <v>13</v>
      </c>
      <c r="D41" s="42">
        <f>TRUNC(112264,-1)</f>
        <v>112260</v>
      </c>
      <c r="E41" s="63">
        <f t="shared" si="1"/>
        <v>371100</v>
      </c>
    </row>
    <row r="42" spans="1:7" x14ac:dyDescent="0.3">
      <c r="A42" s="2">
        <v>3</v>
      </c>
      <c r="C42" s="38" t="s">
        <v>14</v>
      </c>
      <c r="D42" s="42">
        <f>TRUNC(7371,-1)</f>
        <v>7370</v>
      </c>
      <c r="E42" s="63">
        <f t="shared" si="1"/>
        <v>24360</v>
      </c>
    </row>
    <row r="43" spans="1:7" x14ac:dyDescent="0.3">
      <c r="A43" s="2">
        <v>4</v>
      </c>
      <c r="C43" s="38" t="s">
        <v>16</v>
      </c>
      <c r="D43" s="42">
        <f>TRUNC(25276,-1)</f>
        <v>25270</v>
      </c>
      <c r="E43" s="63">
        <f t="shared" si="1"/>
        <v>83530</v>
      </c>
    </row>
    <row r="44" spans="1:7" x14ac:dyDescent="0.3">
      <c r="A44" s="2">
        <v>5</v>
      </c>
      <c r="C44" s="38" t="s">
        <v>17</v>
      </c>
      <c r="D44" s="42">
        <f>TRUNC(19941,-1)</f>
        <v>19940</v>
      </c>
      <c r="E44" s="63">
        <f t="shared" si="1"/>
        <v>65910</v>
      </c>
    </row>
    <row r="45" spans="1:7" x14ac:dyDescent="0.3">
      <c r="A45" s="2">
        <v>6</v>
      </c>
      <c r="C45" s="38" t="s">
        <v>18</v>
      </c>
      <c r="D45" s="42">
        <f>TRUNC(8218,-1)</f>
        <v>8210</v>
      </c>
      <c r="E45" s="63">
        <f t="shared" si="1"/>
        <v>27140</v>
      </c>
    </row>
    <row r="46" spans="1:7" x14ac:dyDescent="0.3">
      <c r="A46" s="2">
        <v>7</v>
      </c>
      <c r="C46" s="38" t="s">
        <v>19</v>
      </c>
      <c r="D46" s="42">
        <f>TRUNC(18219,-1)</f>
        <v>18210</v>
      </c>
      <c r="E46" s="63">
        <f t="shared" si="1"/>
        <v>60190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TRUNC(61244,-1)</f>
        <v>61240</v>
      </c>
      <c r="E48" s="63">
        <f t="shared" si="1"/>
        <v>202440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TRUNC(17092,-1)</f>
        <v>17090</v>
      </c>
      <c r="E49" s="63">
        <f t="shared" si="1"/>
        <v>56490</v>
      </c>
    </row>
    <row r="50" spans="1:7" x14ac:dyDescent="0.3">
      <c r="A50" s="2">
        <v>11</v>
      </c>
      <c r="C50" s="38" t="s">
        <v>155</v>
      </c>
      <c r="D50" s="42">
        <f>TRUNC(23167,-1)</f>
        <v>23160</v>
      </c>
      <c r="E50" s="63">
        <f t="shared" si="1"/>
        <v>76560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TRUNC(7733,-1)</f>
        <v>7730</v>
      </c>
      <c r="E52" s="63">
        <f t="shared" si="1"/>
        <v>25550</v>
      </c>
    </row>
    <row r="53" spans="1:7" x14ac:dyDescent="0.3">
      <c r="A53" s="2">
        <v>14</v>
      </c>
      <c r="C53" s="38" t="s">
        <v>25</v>
      </c>
      <c r="D53" s="42">
        <f>TRUNC(56827,-1)</f>
        <v>56820</v>
      </c>
      <c r="E53" s="63">
        <f t="shared" si="1"/>
        <v>187830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TRUNC(6974+4702-456+13948,-1)</f>
        <v>25160</v>
      </c>
      <c r="E58" s="63">
        <f t="shared" si="1"/>
        <v>83170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425450</v>
      </c>
      <c r="E60" s="39">
        <f>SUM(E40:E59)</f>
        <v>1406380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TRUNC(8224,-1)</f>
        <v>8220</v>
      </c>
      <c r="E63" s="62">
        <f>TRUNC(+D63*3.3058,-1)</f>
        <v>27170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8220</v>
      </c>
      <c r="E66" s="65">
        <f>SUM(E63:E65)</f>
        <v>27170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TRUNC(5716,-1)</f>
        <v>5710</v>
      </c>
      <c r="E69" s="62">
        <f t="shared" ref="E69:E94" si="2">TRUNC(+D69*3.3058,-1)</f>
        <v>18870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TRUNC(2966,-1)</f>
        <v>2960</v>
      </c>
      <c r="E72" s="63">
        <f t="shared" si="2"/>
        <v>9780</v>
      </c>
    </row>
    <row r="73" spans="1:7" x14ac:dyDescent="0.3">
      <c r="A73" s="2">
        <v>5</v>
      </c>
      <c r="C73" s="38" t="s">
        <v>34</v>
      </c>
      <c r="D73" s="42">
        <f>TRUNC(15354,-1)</f>
        <v>15350</v>
      </c>
      <c r="E73" s="63">
        <f t="shared" si="2"/>
        <v>50740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TRUNC(43908,-1)</f>
        <v>43900</v>
      </c>
      <c r="E76" s="63">
        <f t="shared" si="2"/>
        <v>145120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TRUNC(7575,-1)</f>
        <v>7570</v>
      </c>
      <c r="E89" s="63">
        <f t="shared" si="2"/>
        <v>25020</v>
      </c>
    </row>
    <row r="90" spans="1:7" x14ac:dyDescent="0.3">
      <c r="A90" s="2">
        <v>22</v>
      </c>
      <c r="C90" s="38" t="s">
        <v>36</v>
      </c>
      <c r="D90" s="42">
        <f>TRUNC(394,-1)</f>
        <v>390</v>
      </c>
      <c r="E90" s="63">
        <f t="shared" si="2"/>
        <v>1280</v>
      </c>
    </row>
    <row r="91" spans="1:7" x14ac:dyDescent="0.3">
      <c r="A91" s="2">
        <v>23</v>
      </c>
      <c r="C91" s="38" t="s">
        <v>37</v>
      </c>
      <c r="D91" s="42">
        <f>TRUNC(5038,-1)</f>
        <v>5030</v>
      </c>
      <c r="E91" s="63">
        <f t="shared" si="2"/>
        <v>16620</v>
      </c>
    </row>
    <row r="92" spans="1:7" x14ac:dyDescent="0.3">
      <c r="A92" s="2">
        <v>24</v>
      </c>
      <c r="C92" s="38" t="s">
        <v>38</v>
      </c>
      <c r="D92" s="42">
        <f>TRUNC(8424,-1)</f>
        <v>8420</v>
      </c>
      <c r="E92" s="63">
        <f t="shared" si="2"/>
        <v>27830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TRUNC(649+522+15867,-1)</f>
        <v>17030</v>
      </c>
      <c r="E94" s="64">
        <f t="shared" si="2"/>
        <v>56290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106360</v>
      </c>
      <c r="E95" s="39">
        <f>SUM(E69:E94)</f>
        <v>351550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TRUNC(13995,-1)</f>
        <v>13990</v>
      </c>
      <c r="E98" s="62">
        <f t="shared" ref="E98:E118" si="3">TRUNC(+D98*3.3058,-1)</f>
        <v>46240</v>
      </c>
    </row>
    <row r="99" spans="1:7" x14ac:dyDescent="0.3">
      <c r="A99" s="2">
        <v>2</v>
      </c>
      <c r="C99" s="38" t="s">
        <v>40</v>
      </c>
      <c r="D99" s="42">
        <f>TRUNC(6824,-1)</f>
        <v>6820</v>
      </c>
      <c r="E99" s="63">
        <f t="shared" si="3"/>
        <v>22540</v>
      </c>
    </row>
    <row r="100" spans="1:7" x14ac:dyDescent="0.3">
      <c r="A100" s="2">
        <v>3</v>
      </c>
      <c r="C100" s="38" t="s">
        <v>41</v>
      </c>
      <c r="D100" s="42">
        <f>TRUNC(19798,-1)</f>
        <v>19790</v>
      </c>
      <c r="E100" s="63">
        <f t="shared" si="3"/>
        <v>65420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TRUNC(11659,-1)</f>
        <v>11650</v>
      </c>
      <c r="E102" s="63">
        <f t="shared" si="3"/>
        <v>38510</v>
      </c>
    </row>
    <row r="103" spans="1:7" x14ac:dyDescent="0.3">
      <c r="A103" s="2">
        <v>6</v>
      </c>
      <c r="C103" s="38" t="s">
        <v>44</v>
      </c>
      <c r="D103" s="42">
        <f>TRUNC(3953,-1)</f>
        <v>3950</v>
      </c>
      <c r="E103" s="63">
        <f t="shared" si="3"/>
        <v>13050</v>
      </c>
    </row>
    <row r="104" spans="1:7" x14ac:dyDescent="0.3">
      <c r="A104" s="2">
        <v>7</v>
      </c>
      <c r="C104" s="38" t="s">
        <v>45</v>
      </c>
      <c r="D104" s="42">
        <f>TRUNC(2384,-1)</f>
        <v>2380</v>
      </c>
      <c r="E104" s="63">
        <f t="shared" si="3"/>
        <v>7860</v>
      </c>
    </row>
    <row r="105" spans="1:7" x14ac:dyDescent="0.3">
      <c r="A105" s="2">
        <v>8</v>
      </c>
      <c r="C105" s="38" t="s">
        <v>46</v>
      </c>
      <c r="D105" s="42">
        <f>TRUNC(5928,-1)</f>
        <v>5920</v>
      </c>
      <c r="E105" s="63">
        <f t="shared" si="3"/>
        <v>19570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TRUNC(2914,-1)</f>
        <v>2910</v>
      </c>
      <c r="E114" s="63">
        <f t="shared" si="3"/>
        <v>9610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TRUNC(2583,-1)</f>
        <v>2580</v>
      </c>
      <c r="E116" s="63">
        <f t="shared" si="3"/>
        <v>8520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TRUNC(2427,-1)</f>
        <v>2420</v>
      </c>
      <c r="E118" s="64">
        <f t="shared" si="3"/>
        <v>8000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72410</v>
      </c>
      <c r="E119" s="39">
        <f>SUM(E98:E118)</f>
        <v>239320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TRUNC(1324,-1)</f>
        <v>1320</v>
      </c>
      <c r="E124" s="63">
        <f t="shared" si="4"/>
        <v>4360</v>
      </c>
    </row>
    <row r="125" spans="1:7" x14ac:dyDescent="0.3">
      <c r="A125" s="2">
        <v>4</v>
      </c>
      <c r="C125" s="38" t="s">
        <v>138</v>
      </c>
      <c r="D125" s="42">
        <f>TRUNC(5142,-1)</f>
        <v>5140</v>
      </c>
      <c r="E125" s="63">
        <f t="shared" si="4"/>
        <v>16990</v>
      </c>
    </row>
    <row r="126" spans="1:7" x14ac:dyDescent="0.3">
      <c r="A126" s="2">
        <v>5</v>
      </c>
      <c r="C126" s="38" t="s">
        <v>53</v>
      </c>
      <c r="D126" s="42">
        <f>TRUNC(3232,-1)</f>
        <v>3230</v>
      </c>
      <c r="E126" s="63">
        <f t="shared" si="4"/>
        <v>10670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TRUNC(5398,-1)</f>
        <v>5390</v>
      </c>
      <c r="E128" s="63">
        <f t="shared" si="4"/>
        <v>17810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TRUNC(8176,-1)</f>
        <v>8170</v>
      </c>
      <c r="E130" s="63">
        <f t="shared" si="4"/>
        <v>27000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TRUNC(2119+7327,-1)</f>
        <v>9440</v>
      </c>
      <c r="E132" s="64">
        <f t="shared" si="4"/>
        <v>31200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32690</v>
      </c>
      <c r="E133" s="39">
        <f>SUM(E122:E132)</f>
        <v>108030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10478+7932</f>
        <v>18410</v>
      </c>
      <c r="E137" s="63">
        <f t="shared" si="5"/>
        <v>60850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TRUNC(2051,-1)</f>
        <v>2050</v>
      </c>
      <c r="E140" s="63">
        <f t="shared" si="5"/>
        <v>6770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TRUNC(1589,-1)</f>
        <v>1580</v>
      </c>
      <c r="E142" s="63">
        <f t="shared" si="5"/>
        <v>5220</v>
      </c>
    </row>
    <row r="143" spans="1:7" x14ac:dyDescent="0.3">
      <c r="A143" s="2">
        <v>8</v>
      </c>
      <c r="C143" s="38" t="s">
        <v>62</v>
      </c>
      <c r="D143" s="42">
        <f>TRUNC(2946,-1)</f>
        <v>2940</v>
      </c>
      <c r="E143" s="63">
        <f t="shared" si="5"/>
        <v>9710</v>
      </c>
    </row>
    <row r="144" spans="1:7" x14ac:dyDescent="0.3">
      <c r="A144" s="2">
        <v>9</v>
      </c>
      <c r="C144" s="38" t="s">
        <v>63</v>
      </c>
      <c r="D144" s="42">
        <f>TRUNC(5434,-1)</f>
        <v>5430</v>
      </c>
      <c r="E144" s="63">
        <f t="shared" si="5"/>
        <v>17950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30410</v>
      </c>
      <c r="E146" s="39">
        <f>SUM(E136:E145)</f>
        <v>100500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TRUNC(5096+820,-1)</f>
        <v>5910</v>
      </c>
      <c r="E149" s="62">
        <f>TRUNC(+D149*3.3058,-1)</f>
        <v>19530</v>
      </c>
    </row>
    <row r="150" spans="1:7" x14ac:dyDescent="0.3">
      <c r="A150" s="2">
        <v>2</v>
      </c>
      <c r="C150" s="38" t="s">
        <v>49</v>
      </c>
      <c r="D150" s="42">
        <f>TRUNC(7586,-1)</f>
        <v>7580</v>
      </c>
      <c r="E150" s="63">
        <f>TRUNC(+D150*3.3058,-1)</f>
        <v>25050</v>
      </c>
    </row>
    <row r="151" spans="1:7" x14ac:dyDescent="0.3">
      <c r="A151" s="2">
        <v>3</v>
      </c>
      <c r="C151" s="38" t="s">
        <v>50</v>
      </c>
      <c r="D151" s="42">
        <f>TRUNC(6034,-1)</f>
        <v>6030</v>
      </c>
      <c r="E151" s="63">
        <f>TRUNC(+D151*3.3058,-1)</f>
        <v>19930</v>
      </c>
    </row>
    <row r="152" spans="1:7" x14ac:dyDescent="0.3">
      <c r="A152" s="2">
        <v>4</v>
      </c>
      <c r="C152" s="38" t="s">
        <v>47</v>
      </c>
      <c r="D152" s="42">
        <f>TRUNC(8183+1554,-1)</f>
        <v>9730</v>
      </c>
      <c r="E152" s="63">
        <f>TRUNC(+D152*3.3058,-1)</f>
        <v>32160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29250</v>
      </c>
      <c r="E154" s="39">
        <f>SUM(E149:E153)</f>
        <v>96670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21350</v>
      </c>
      <c r="E157" s="62">
        <f>TRUNC(+D157*3.3058,-1)</f>
        <v>70570</v>
      </c>
    </row>
    <row r="158" spans="1:7" x14ac:dyDescent="0.3">
      <c r="A158" s="2">
        <v>2</v>
      </c>
      <c r="C158" s="38" t="s">
        <v>52</v>
      </c>
      <c r="D158" s="42">
        <f>TRUNC(4188,-1)</f>
        <v>4180</v>
      </c>
      <c r="E158" s="63">
        <f>TRUNC(+D158*3.3058,-1)</f>
        <v>13810</v>
      </c>
    </row>
    <row r="159" spans="1:7" x14ac:dyDescent="0.3">
      <c r="A159" s="2">
        <v>3</v>
      </c>
      <c r="C159" s="38" t="s">
        <v>47</v>
      </c>
      <c r="D159" s="42">
        <f>TRUNC(1284,-1)</f>
        <v>1280</v>
      </c>
      <c r="E159" s="63">
        <f>TRUNC(+D159*3.3058,-1)</f>
        <v>4230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26810</v>
      </c>
      <c r="E161" s="39">
        <f>SUM(E157:E160)</f>
        <v>88610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2020-12-07T10:02:40Z</dcterms:modified>
</cp:coreProperties>
</file>