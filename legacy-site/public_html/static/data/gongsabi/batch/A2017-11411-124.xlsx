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7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7" i="4" l="1"/>
  <c r="D116" i="4"/>
  <c r="D93" i="4"/>
  <c r="D92" i="4"/>
  <c r="D59" i="4"/>
  <c r="D58" i="4"/>
  <c r="D152" i="4" l="1"/>
  <c r="D150" i="4"/>
  <c r="D149" i="4"/>
  <c r="D144" i="4"/>
  <c r="D143" i="4"/>
  <c r="D142" i="4"/>
  <c r="D141" i="4"/>
  <c r="D140" i="4"/>
  <c r="D139" i="4"/>
  <c r="D132" i="4"/>
  <c r="D130" i="4"/>
  <c r="D128" i="4"/>
  <c r="D127" i="4"/>
  <c r="D125" i="4"/>
  <c r="D122" i="4"/>
  <c r="D118" i="4"/>
  <c r="D105" i="4"/>
  <c r="D104" i="4"/>
  <c r="D103" i="4"/>
  <c r="D102" i="4"/>
  <c r="D100" i="4"/>
  <c r="D99" i="4"/>
  <c r="D98" i="4"/>
  <c r="D94" i="4"/>
  <c r="D91" i="4"/>
  <c r="D89" i="4"/>
  <c r="D73" i="4"/>
  <c r="D72" i="4"/>
  <c r="D71" i="4"/>
  <c r="D70" i="4"/>
  <c r="D69" i="4"/>
  <c r="D63" i="4"/>
  <c r="D53" i="4"/>
  <c r="D52" i="4"/>
  <c r="D50" i="4"/>
  <c r="D49" i="4"/>
  <c r="D48" i="4"/>
  <c r="D46" i="4"/>
  <c r="D45" i="4"/>
  <c r="D44" i="4"/>
  <c r="D43" i="4"/>
  <c r="D42" i="4"/>
  <c r="D41" i="4"/>
  <c r="D40" i="4"/>
  <c r="D137" i="4"/>
  <c r="E160" i="4" l="1"/>
  <c r="E159" i="4"/>
  <c r="E158" i="4"/>
  <c r="E157" i="4"/>
  <c r="E161" i="4" s="1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54" i="4" l="1"/>
  <c r="E146" i="4"/>
  <c r="E133" i="4"/>
  <c r="E119" i="4"/>
  <c r="E95" i="4"/>
  <c r="E60" i="4"/>
  <c r="D161" i="4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<sst xmlns="http://schemas.openxmlformats.org/spreadsheetml/2006/main" count="391" uniqueCount="265">
  <si>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</si>
  <si>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</si>
  <si>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</si>
  <si>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</si>
  <si>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</si>
  <si>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</si>
  <si>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</si>
  <si>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</si>
  <si>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</si>
  <si>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</si>
  <si>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</si>
  <si>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</si>
  <si>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</si>
  <si>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</si>
  <si>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</si>
  <si>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</si>
  <si>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</si>
  <si>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</si>
  <si>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</si>
  <si>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</si>
  <si>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</si>
  <si>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</si>
  <si>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</si>
  <si>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</si>
  <si>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</si>
  <si>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</si>
  <si>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</si>
  <si>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</si>
  <si>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</si>
  <si>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</si>
  <si>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</si>
  <si>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</si>
  <si>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</si>
  <si>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</si>
  <si>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</si>
  <si>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</si>
  <si>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</si>
  <si>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</si>
  <si>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</si>
  <si>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</si>
  <si>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</si>
  <si>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</si>
  <si>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</si>
  <si>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</si>
  <si>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</si>
  <si>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</si>
  <si>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</si>
  <si>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</si>
  <si>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</si>
  <si>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</si>
  <si>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</si>
  <si>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</si>
  <si>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</si>
  <si>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</si>
  <si>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</si>
  <si>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</si>
  <si>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</si>
  <si>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</si>
  <si>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</si>
  <si>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</si>
  <si>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</si>
  <si>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</si>
  <si>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</si>
  <si>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</si>
  <si>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</si>
  <si>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</si>
  <si>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</si>
  <si>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</si>
  <si>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</si>
  <si>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</si>
  <si>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</si>
  <si>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</si>
  <si>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</si>
  <si>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</si>
  <si>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</si>
  <si>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</si>
  <si>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</si>
  <si>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</si>
  <si>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</si>
  <si>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</si>
  <si>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</si>
  <si>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</si>
  <si>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</si>
  <si>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</si>
  <si>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</si>
  <si>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</si>
  <si>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</si>
  <si>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</si>
  <si>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</si>
  <si>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</si>
  <si>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</si>
  <si>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</si>
  <si>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</si>
  <si>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</si>
  <si>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</si>
  <si>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</si>
  <si>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</si>
  <si>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</si>
  <si>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</si>
  <si>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</si>
  <si>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</si>
  <si>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</si>
  <si>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</si>
  <si>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</si>
  <si>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</si>
  <si>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</si>
  <si>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</si>
  <si>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</si>
  <si>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</si>
  <si>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</si>
  <si>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</si>
  <si>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</si>
  <si>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</si>
  <si>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</si>
  <si>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</si>
  <si>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</si>
  <si>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</si>
  <si>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</si>
  <si>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</si>
  <si>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</si>
  <si>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</si>
  <si>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</si>
  <si>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</si>
  <si>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</si>
  <si>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</si>
  <si>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</si>
  <si>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</si>
  <si>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</si>
  <si>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</si>
  <si>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</si>
  <si>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</si>
  <si>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</si>
  <si>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</si>
  <si>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</si>
  <si>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</si>
  <si>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</si>
  <si>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</si>
  <si>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</si>
  <si>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</si>
  <si>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</si>
  <si>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</si>
  <si>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</si>
  <si>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</si>
  <si>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</si>
  <si>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건축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</si>
  <si>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</si>
  <si>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</si>
  <si>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</si>
  <si>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</si>
  <si>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</si>
  <si>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</si>
  <si>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</si>
  <si>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</si>
  <si>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</si>
  <si>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</si>
  <si>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</si>
  <si>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</si>
  <si>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</si>
  <si>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</si>
  <si>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</si>
  <si>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</si>
  <si>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</si>
  <si>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</si>
  <si>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</si>
  <si>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</si>
  <si>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</si>
  <si>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</si>
  <si>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</si>
  <si>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</si>
  <si>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</si>
  <si>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</si>
  <si>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</si>
  <si>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</si>
  <si>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</si>
  <si>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</si>
  <si>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</si>
  <si>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</si>
  <si>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</si>
  <si>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</si>
  <si>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</si>
  <si>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</si>
  <si>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</si>
  <si>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</si>
  <si>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</si>
  <si>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</si>
  <si>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</si>
  <si>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</si>
  <si>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</si>
  <si>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</si>
  <si>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</si>
  <si>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</si>
  <si>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</si>
  <si>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</si>
  <si>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</si>
  <si>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</si>
  <si>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</si>
  <si>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</si>
  <si>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</si>
  <si>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</si>
  <si>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</si>
  <si>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</si>
  <si>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</si>
  <si>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</si>
  <si>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</si>
  <si>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</si>
  <si>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</si>
  <si>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</si>
  <si>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</si>
  <si>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</si>
  <si>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</si>
  <si>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</si>
  <si>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</si>
  <si>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</si>
  <si>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</si>
  <si>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</si>
  <si>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</si>
  <si>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</si>
  <si>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</si>
  <si>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</si>
  <si>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</si>
  <si>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</si>
  <si>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</si>
  <si>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</si>
  <si>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</si>
  <si>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</si>
  <si>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</si>
  <si>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</si>
  <si>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</si>
  <si>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</si>
  <si>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</si>
  <si>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</si>
  <si>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</si>
  <si>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</si>
  <si>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</si>
  <si>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</si>
  <si>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</si>
  <si>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</si>
  <si>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</si>
  <si>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</si>
  <si>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</si>
  <si>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</si>
  <si>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</si>
  <si>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</si>
  <si>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</si>
  <si>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</si>
  <si>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</si>
  <si>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</si>
  <si>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</si>
  <si>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</si>
  <si>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지붕및홈통공사 포함</t>
    <phoneticPr fontId="2" type="noConversion"/>
  </si>
  <si>
    <t>창호및유리공사</t>
    <phoneticPr fontId="2" type="noConversion"/>
  </si>
  <si>
    <t>목공사및수장공사(인테리어공사 포함)</t>
    <phoneticPr fontId="2" type="noConversion"/>
  </si>
  <si>
    <t>옥외보안등설비공사</t>
    <phoneticPr fontId="2" type="noConversion"/>
  </si>
  <si>
    <t>전기인입 및 수변전 설비공사</t>
    <phoneticPr fontId="2" type="noConversion"/>
  </si>
  <si>
    <t>CATV 및 TV 설비공사</t>
    <phoneticPr fontId="2" type="noConversion"/>
  </si>
  <si>
    <t>옥외소화배관공사, 펌프실배관공사, 기타공사</t>
    <phoneticPr fontId="2" type="noConversion"/>
  </si>
  <si>
    <t>교육연구</t>
  </si>
  <si>
    <t>(가칭)방서초등학교 신축공사</t>
    <phoneticPr fontId="2" type="noConversion"/>
  </si>
  <si>
    <t>충청도</t>
  </si>
  <si>
    <t>기초공사, 골재비및운반비, 작업부산물, 품질시험비, 기타공사</t>
    <phoneticPr fontId="2" type="noConversion"/>
  </si>
  <si>
    <t>CCTV설비공사, 기타공사</t>
    <phoneticPr fontId="2" type="noConversion"/>
  </si>
  <si>
    <t>상수도공사, 운반비, 기타공사</t>
    <phoneticPr fontId="2" type="noConversion"/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</si>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</sst>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79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41" fontId="0" fillId="0" borderId="23" xfId="1" applyFont="1" applyFill="1" applyBorder="1" applyAlignment="1">
      <alignment vertical="center" wrapTex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0" t="s">
        <v>157</v>
      </c>
      <c r="B2" s="73" t="s">
        <v>0</v>
      </c>
      <c r="C2" s="74"/>
      <c r="D2" s="73" t="s">
        <v>1</v>
      </c>
      <c r="E2" s="74"/>
      <c r="F2" s="73" t="s">
        <v>158</v>
      </c>
      <c r="G2" s="74"/>
      <c r="H2" s="73" t="s">
        <v>2</v>
      </c>
      <c r="I2" s="74"/>
      <c r="J2" s="73" t="s">
        <v>3</v>
      </c>
      <c r="K2" s="74"/>
      <c r="L2" s="73" t="s">
        <v>159</v>
      </c>
      <c r="M2" s="74"/>
      <c r="N2" s="73" t="s">
        <v>160</v>
      </c>
      <c r="O2" s="74"/>
      <c r="P2" s="73" t="s">
        <v>5</v>
      </c>
      <c r="Q2" s="74"/>
      <c r="R2" s="67" t="s">
        <v>94</v>
      </c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9"/>
    </row>
    <row r="3" spans="1:33" x14ac:dyDescent="0.3">
      <c r="A3" s="71"/>
      <c r="B3" s="75"/>
      <c r="C3" s="76"/>
      <c r="D3" s="75"/>
      <c r="E3" s="76"/>
      <c r="F3" s="75"/>
      <c r="G3" s="76"/>
      <c r="H3" s="75"/>
      <c r="I3" s="76"/>
      <c r="J3" s="75"/>
      <c r="K3" s="76"/>
      <c r="L3" s="75"/>
      <c r="M3" s="76"/>
      <c r="N3" s="75"/>
      <c r="O3" s="76"/>
      <c r="P3" s="75"/>
      <c r="Q3" s="76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2"/>
      <c r="B4" s="77"/>
      <c r="C4" s="78"/>
      <c r="D4" s="77"/>
      <c r="E4" s="78"/>
      <c r="F4" s="77"/>
      <c r="G4" s="78"/>
      <c r="H4" s="77"/>
      <c r="I4" s="78"/>
      <c r="J4" s="77"/>
      <c r="K4" s="78"/>
      <c r="L4" s="77"/>
      <c r="M4" s="78"/>
      <c r="N4" s="77"/>
      <c r="O4" s="78"/>
      <c r="P4" s="77"/>
      <c r="Q4" s="78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262</v>
      </c>
      <c r="H5" s="5">
        <v>1</v>
      </c>
      <c r="I5" s="1" t="s">
        <v>161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162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163</v>
      </c>
    </row>
    <row r="6" spans="1:33" x14ac:dyDescent="0.3">
      <c r="A6" s="4">
        <f>+A5+1</f>
        <v>2</v>
      </c>
      <c r="B6" s="5">
        <f>+B5+1</f>
        <v>2</v>
      </c>
      <c r="C6" s="17" t="s">
        <v>164</v>
      </c>
      <c r="D6" s="5">
        <v>2</v>
      </c>
      <c r="E6" s="1" t="s">
        <v>165</v>
      </c>
      <c r="F6" s="5">
        <v>2</v>
      </c>
      <c r="G6" s="17" t="s">
        <v>166</v>
      </c>
      <c r="H6" s="5">
        <v>2</v>
      </c>
      <c r="I6" s="1" t="s">
        <v>213</v>
      </c>
      <c r="J6" s="19">
        <v>2</v>
      </c>
      <c r="K6" s="1" t="s">
        <v>214</v>
      </c>
      <c r="L6" s="5">
        <v>2</v>
      </c>
      <c r="M6" s="6" t="s">
        <v>215</v>
      </c>
      <c r="N6" s="5">
        <v>2</v>
      </c>
      <c r="O6" s="6" t="s">
        <v>216</v>
      </c>
      <c r="P6" s="5">
        <v>2</v>
      </c>
      <c r="Q6" s="1" t="s">
        <v>217</v>
      </c>
      <c r="R6" s="28">
        <v>2</v>
      </c>
      <c r="S6" s="29" t="s">
        <v>218</v>
      </c>
      <c r="T6" s="28">
        <v>2</v>
      </c>
      <c r="U6" s="29" t="s">
        <v>219</v>
      </c>
      <c r="V6" s="28">
        <v>2</v>
      </c>
      <c r="W6" s="29" t="s">
        <v>220</v>
      </c>
      <c r="X6" s="28">
        <v>2</v>
      </c>
      <c r="Y6" s="29" t="s">
        <v>221</v>
      </c>
      <c r="Z6" s="28">
        <v>2</v>
      </c>
      <c r="AA6" s="29" t="s">
        <v>222</v>
      </c>
      <c r="AB6" s="28">
        <v>2</v>
      </c>
      <c r="AC6" s="29" t="s">
        <v>223</v>
      </c>
      <c r="AD6" s="28">
        <v>2</v>
      </c>
      <c r="AE6" s="29" t="s">
        <v>224</v>
      </c>
      <c r="AF6" s="28">
        <v>2</v>
      </c>
      <c r="AG6" s="38" t="s">
        <v>225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226</v>
      </c>
      <c r="D7" s="5">
        <v>3</v>
      </c>
      <c r="E7" s="1" t="s">
        <v>227</v>
      </c>
      <c r="F7" s="5">
        <v>3</v>
      </c>
      <c r="G7" s="17" t="s">
        <v>228</v>
      </c>
      <c r="H7" s="5">
        <v>3</v>
      </c>
      <c r="I7" s="1" t="s">
        <v>229</v>
      </c>
      <c r="J7" s="19">
        <v>3</v>
      </c>
      <c r="K7" s="1" t="s">
        <v>230</v>
      </c>
      <c r="L7" s="5">
        <v>3</v>
      </c>
      <c r="M7" s="6" t="s">
        <v>231</v>
      </c>
      <c r="N7" s="5">
        <v>3</v>
      </c>
      <c r="O7" s="6" t="s">
        <v>232</v>
      </c>
      <c r="P7" s="5">
        <v>3</v>
      </c>
      <c r="Q7" s="1" t="s">
        <v>233</v>
      </c>
      <c r="R7" s="28">
        <v>3</v>
      </c>
      <c r="S7" s="29" t="s">
        <v>234</v>
      </c>
      <c r="T7" s="28">
        <v>3</v>
      </c>
      <c r="U7" s="29" t="s">
        <v>235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167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168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169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170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149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171</v>
      </c>
      <c r="F9" s="5">
        <v>5</v>
      </c>
      <c r="G9" s="17" t="s">
        <v>172</v>
      </c>
      <c r="H9" s="5">
        <v>5</v>
      </c>
      <c r="I9" s="1" t="s">
        <v>79</v>
      </c>
      <c r="J9" s="19">
        <v>5</v>
      </c>
      <c r="K9" s="1" t="s">
        <v>173</v>
      </c>
      <c r="L9" s="5"/>
      <c r="M9" s="6"/>
      <c r="N9" s="5"/>
      <c r="O9" s="6"/>
      <c r="P9" s="5">
        <v>5</v>
      </c>
      <c r="Q9" s="1" t="s">
        <v>174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149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175</v>
      </c>
      <c r="J10" s="19">
        <v>6</v>
      </c>
      <c r="K10" s="1" t="s">
        <v>176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177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178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179</v>
      </c>
      <c r="F12" s="5">
        <v>8</v>
      </c>
      <c r="G12" s="17" t="s">
        <v>180</v>
      </c>
      <c r="H12" s="5">
        <v>8</v>
      </c>
      <c r="I12" s="1" t="s">
        <v>81</v>
      </c>
      <c r="J12" s="19">
        <v>8</v>
      </c>
      <c r="K12" s="1" t="s">
        <v>181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182</v>
      </c>
      <c r="X12" s="28">
        <v>8</v>
      </c>
      <c r="Y12" s="29" t="s">
        <v>46</v>
      </c>
      <c r="Z12" s="28">
        <v>8</v>
      </c>
      <c r="AA12" s="29" t="s">
        <v>183</v>
      </c>
      <c r="AB12" s="28">
        <v>8</v>
      </c>
      <c r="AC12" s="29" t="s">
        <v>184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185</v>
      </c>
      <c r="D13" s="5">
        <v>9</v>
      </c>
      <c r="E13" s="1" t="s">
        <v>186</v>
      </c>
      <c r="F13" s="5"/>
      <c r="G13" s="17"/>
      <c r="H13" s="5">
        <v>9</v>
      </c>
      <c r="I13" s="1" t="s">
        <v>82</v>
      </c>
      <c r="J13" s="19">
        <v>9</v>
      </c>
      <c r="K13" s="1" t="s">
        <v>187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188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189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190</v>
      </c>
      <c r="Z14" s="28">
        <v>10</v>
      </c>
      <c r="AA14" s="29" t="s">
        <v>149</v>
      </c>
      <c r="AB14" s="28">
        <v>10</v>
      </c>
      <c r="AC14" s="29" t="s">
        <v>149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191</v>
      </c>
      <c r="J15" s="19">
        <v>11</v>
      </c>
      <c r="K15" s="1" t="s">
        <v>192</v>
      </c>
      <c r="L15" s="5"/>
      <c r="M15" s="6"/>
      <c r="N15" s="5"/>
      <c r="O15" s="6"/>
      <c r="P15" s="5"/>
      <c r="Q15" s="1"/>
      <c r="R15" s="28">
        <v>11</v>
      </c>
      <c r="S15" s="29" t="s">
        <v>193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194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195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196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197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198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199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200</v>
      </c>
      <c r="L19" s="5"/>
      <c r="M19" s="6"/>
      <c r="N19" s="5"/>
      <c r="O19" s="6"/>
      <c r="P19" s="5"/>
      <c r="Q19" s="1"/>
      <c r="R19" s="28">
        <v>15</v>
      </c>
      <c r="S19" s="29" t="s">
        <v>201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202</v>
      </c>
      <c r="L20" s="5"/>
      <c r="M20" s="6"/>
      <c r="N20" s="5"/>
      <c r="O20" s="6"/>
      <c r="P20" s="5"/>
      <c r="Q20" s="1"/>
      <c r="R20" s="28">
        <v>16</v>
      </c>
      <c r="S20" s="29" t="s">
        <v>145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203</v>
      </c>
      <c r="L21" s="5"/>
      <c r="M21" s="6"/>
      <c r="N21" s="5"/>
      <c r="O21" s="6"/>
      <c r="P21" s="5"/>
      <c r="Q21" s="1"/>
      <c r="R21" s="28">
        <v>17</v>
      </c>
      <c r="S21" s="29" t="s">
        <v>146</v>
      </c>
      <c r="T21" s="28"/>
      <c r="U21" s="29"/>
      <c r="V21" s="28">
        <v>17</v>
      </c>
      <c r="W21" s="29" t="s">
        <v>204</v>
      </c>
      <c r="X21" s="28">
        <v>17</v>
      </c>
      <c r="Y21" s="29" t="s">
        <v>205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206</v>
      </c>
      <c r="L22" s="5"/>
      <c r="M22" s="6"/>
      <c r="N22" s="5"/>
      <c r="O22" s="6"/>
      <c r="P22" s="5"/>
      <c r="Q22" s="1"/>
      <c r="R22" s="28">
        <v>18</v>
      </c>
      <c r="S22" s="29" t="s">
        <v>147</v>
      </c>
      <c r="T22" s="28"/>
      <c r="U22" s="29"/>
      <c r="V22" s="28">
        <v>18</v>
      </c>
      <c r="W22" s="29" t="s">
        <v>207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208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209</v>
      </c>
      <c r="L24" s="5"/>
      <c r="M24" s="6"/>
      <c r="N24" s="5"/>
      <c r="O24" s="6"/>
      <c r="P24" s="5"/>
      <c r="Q24" s="1"/>
      <c r="R24" s="28">
        <v>20</v>
      </c>
      <c r="S24" s="29" t="s">
        <v>149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149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210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211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212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149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66" t="s">
        <v>257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256</v>
      </c>
    </row>
    <row r="6" spans="1:4" ht="17.25" thickBot="1" x14ac:dyDescent="0.35">
      <c r="A6" s="2">
        <v>3</v>
      </c>
      <c r="B6" s="2" t="s">
        <v>151</v>
      </c>
      <c r="C6" s="2" t="s">
        <v>104</v>
      </c>
      <c r="D6" s="35" t="s">
        <v>237</v>
      </c>
    </row>
    <row r="7" spans="1:4" ht="17.25" thickBot="1" x14ac:dyDescent="0.35">
      <c r="C7" s="37">
        <v>13085.05</v>
      </c>
      <c r="D7" s="36">
        <f>+C7/3.3058</f>
        <v>3958.2098130558411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258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150</v>
      </c>
    </row>
    <row r="17" spans="1:5" x14ac:dyDescent="0.3">
      <c r="A17" s="2">
        <v>8</v>
      </c>
      <c r="B17" s="2" t="s">
        <v>263</v>
      </c>
    </row>
    <row r="19" spans="1:5" x14ac:dyDescent="0.3">
      <c r="A19" s="2">
        <v>9</v>
      </c>
      <c r="B19" s="2" t="s">
        <v>264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238</v>
      </c>
      <c r="E23" s="35" t="s">
        <v>154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851980</v>
      </c>
      <c r="E25" s="59">
        <f t="shared" si="0"/>
        <v>2816470</v>
      </c>
    </row>
    <row r="26" spans="1:5" x14ac:dyDescent="0.3">
      <c r="B26" s="2">
        <v>3</v>
      </c>
      <c r="C26" s="35" t="s">
        <v>95</v>
      </c>
      <c r="D26" s="45">
        <f>+D66</f>
        <v>1370</v>
      </c>
      <c r="E26" s="59">
        <f t="shared" si="0"/>
        <v>4520</v>
      </c>
    </row>
    <row r="27" spans="1:5" x14ac:dyDescent="0.3">
      <c r="B27" s="2">
        <v>4</v>
      </c>
      <c r="C27" s="35" t="s">
        <v>96</v>
      </c>
      <c r="D27" s="45">
        <f>+D95</f>
        <v>147780</v>
      </c>
      <c r="E27" s="59">
        <f t="shared" si="0"/>
        <v>488530</v>
      </c>
    </row>
    <row r="28" spans="1:5" x14ac:dyDescent="0.3">
      <c r="B28" s="2">
        <v>5</v>
      </c>
      <c r="C28" s="35" t="s">
        <v>97</v>
      </c>
      <c r="D28" s="45">
        <f>+D119</f>
        <v>167580</v>
      </c>
      <c r="E28" s="59">
        <f t="shared" si="0"/>
        <v>553980</v>
      </c>
    </row>
    <row r="29" spans="1:5" x14ac:dyDescent="0.3">
      <c r="B29" s="2">
        <v>6</v>
      </c>
      <c r="C29" s="35" t="s">
        <v>98</v>
      </c>
      <c r="D29" s="45">
        <f>+D133</f>
        <v>47730</v>
      </c>
      <c r="E29" s="59">
        <f t="shared" si="0"/>
        <v>157780</v>
      </c>
    </row>
    <row r="30" spans="1:5" x14ac:dyDescent="0.3">
      <c r="B30" s="2">
        <v>7</v>
      </c>
      <c r="C30" s="35" t="s">
        <v>99</v>
      </c>
      <c r="D30" s="45">
        <f>+D146</f>
        <v>45280</v>
      </c>
      <c r="E30" s="59">
        <f t="shared" si="0"/>
        <v>149680</v>
      </c>
    </row>
    <row r="31" spans="1:5" x14ac:dyDescent="0.3">
      <c r="B31" s="2">
        <v>8</v>
      </c>
      <c r="C31" s="35" t="s">
        <v>100</v>
      </c>
      <c r="D31" s="45">
        <f>+D154</f>
        <v>23400</v>
      </c>
      <c r="E31" s="59">
        <f t="shared" si="0"/>
        <v>77350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155</v>
      </c>
      <c r="D33" s="53">
        <f>TRUNC(SUM(D24:D32)*0.275,-1)</f>
        <v>353400</v>
      </c>
      <c r="E33" s="60">
        <f t="shared" si="0"/>
        <v>1168260</v>
      </c>
    </row>
    <row r="34" spans="1:7" x14ac:dyDescent="0.3">
      <c r="C34" s="35" t="s">
        <v>112</v>
      </c>
      <c r="D34" s="44">
        <f>SUM(D24:D33)</f>
        <v>1638520</v>
      </c>
      <c r="E34" s="44">
        <f>SUM(E24:E33)</f>
        <v>5416570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239</v>
      </c>
      <c r="D36" s="57" t="s">
        <v>236</v>
      </c>
      <c r="E36" s="57" t="s">
        <v>154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56" customFormat="1" x14ac:dyDescent="0.3">
      <c r="C38" s="57"/>
      <c r="D38" s="57"/>
      <c r="E38" s="57"/>
      <c r="G38" s="55"/>
    </row>
    <row r="39" spans="1:7" s="56" customFormat="1" ht="17.25" thickBot="1" x14ac:dyDescent="0.35">
      <c r="B39" s="56" t="s">
        <v>144</v>
      </c>
      <c r="C39" s="56" t="s">
        <v>113</v>
      </c>
      <c r="D39" s="57" t="s">
        <v>236</v>
      </c>
      <c r="E39" s="57" t="s">
        <v>154</v>
      </c>
      <c r="G39" s="55"/>
    </row>
    <row r="40" spans="1:7" x14ac:dyDescent="0.3">
      <c r="A40" s="2">
        <v>1</v>
      </c>
      <c r="C40" s="38" t="s">
        <v>15</v>
      </c>
      <c r="D40" s="40">
        <f>TRUNC(32389,-1)</f>
        <v>32380</v>
      </c>
      <c r="E40" s="62">
        <f t="shared" ref="E40:E59" si="1">TRUNC(+D40*3.3058,-1)</f>
        <v>107040</v>
      </c>
    </row>
    <row r="41" spans="1:7" x14ac:dyDescent="0.3">
      <c r="A41" s="2">
        <v>2</v>
      </c>
      <c r="C41" s="38" t="s">
        <v>13</v>
      </c>
      <c r="D41" s="42">
        <f>TRUNC(138937,-1)</f>
        <v>138930</v>
      </c>
      <c r="E41" s="63">
        <f t="shared" si="1"/>
        <v>459270</v>
      </c>
    </row>
    <row r="42" spans="1:7" x14ac:dyDescent="0.3">
      <c r="A42" s="2">
        <v>3</v>
      </c>
      <c r="C42" s="38" t="s">
        <v>14</v>
      </c>
      <c r="D42" s="42">
        <f>TRUNC(10394,-1)</f>
        <v>10390</v>
      </c>
      <c r="E42" s="63">
        <f t="shared" si="1"/>
        <v>34340</v>
      </c>
    </row>
    <row r="43" spans="1:7" x14ac:dyDescent="0.3">
      <c r="A43" s="2">
        <v>4</v>
      </c>
      <c r="C43" s="38" t="s">
        <v>16</v>
      </c>
      <c r="D43" s="42">
        <f>TRUNC(30643,-1)</f>
        <v>30640</v>
      </c>
      <c r="E43" s="63">
        <f t="shared" si="1"/>
        <v>101280</v>
      </c>
    </row>
    <row r="44" spans="1:7" x14ac:dyDescent="0.3">
      <c r="A44" s="2">
        <v>5</v>
      </c>
      <c r="C44" s="38" t="s">
        <v>17</v>
      </c>
      <c r="D44" s="42">
        <f>TRUNC(15285,-1)</f>
        <v>15280</v>
      </c>
      <c r="E44" s="63">
        <f t="shared" si="1"/>
        <v>50510</v>
      </c>
    </row>
    <row r="45" spans="1:7" x14ac:dyDescent="0.3">
      <c r="A45" s="2">
        <v>6</v>
      </c>
      <c r="C45" s="38" t="s">
        <v>18</v>
      </c>
      <c r="D45" s="42">
        <f>TRUNC(8573,-1)</f>
        <v>8570</v>
      </c>
      <c r="E45" s="63">
        <f t="shared" si="1"/>
        <v>28330</v>
      </c>
    </row>
    <row r="46" spans="1:7" x14ac:dyDescent="0.3">
      <c r="A46" s="2">
        <v>7</v>
      </c>
      <c r="C46" s="38" t="s">
        <v>19</v>
      </c>
      <c r="D46" s="42">
        <f>TRUNC(13819,-1)</f>
        <v>13810</v>
      </c>
      <c r="E46" s="63">
        <f t="shared" si="1"/>
        <v>45650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TRUNC(54409,-1)</f>
        <v>54400</v>
      </c>
      <c r="E48" s="63">
        <f t="shared" si="1"/>
        <v>179830</v>
      </c>
      <c r="F48" s="2" t="s">
        <v>249</v>
      </c>
    </row>
    <row r="49" spans="1:7" x14ac:dyDescent="0.3">
      <c r="A49" s="2">
        <v>10</v>
      </c>
      <c r="C49" s="38" t="s">
        <v>22</v>
      </c>
      <c r="D49" s="42">
        <f>TRUNC(16034,-1)</f>
        <v>16030</v>
      </c>
      <c r="E49" s="63">
        <f t="shared" si="1"/>
        <v>52990</v>
      </c>
    </row>
    <row r="50" spans="1:7" x14ac:dyDescent="0.3">
      <c r="A50" s="2">
        <v>11</v>
      </c>
      <c r="C50" s="38" t="s">
        <v>156</v>
      </c>
      <c r="D50" s="42">
        <f>TRUNC(46637,-1)</f>
        <v>46630</v>
      </c>
      <c r="E50" s="63">
        <f t="shared" si="1"/>
        <v>154140</v>
      </c>
      <c r="F50" s="2" t="s">
        <v>250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TRUNC(8476,-1)</f>
        <v>8470</v>
      </c>
      <c r="E52" s="63">
        <f t="shared" si="1"/>
        <v>28000</v>
      </c>
    </row>
    <row r="53" spans="1:7" x14ac:dyDescent="0.3">
      <c r="A53" s="2">
        <v>14</v>
      </c>
      <c r="C53" s="38" t="s">
        <v>25</v>
      </c>
      <c r="D53" s="42">
        <f>TRUNC(102247,-1)</f>
        <v>102240</v>
      </c>
      <c r="E53" s="63">
        <f t="shared" si="1"/>
        <v>337980</v>
      </c>
      <c r="F53" s="2" t="s">
        <v>251</v>
      </c>
    </row>
    <row r="54" spans="1:7" x14ac:dyDescent="0.3">
      <c r="A54" s="2">
        <v>15</v>
      </c>
      <c r="C54" s="38" t="s">
        <v>148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145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146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147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TRUNC(25859+4393-725+958+12020,-1)</f>
        <v>42500</v>
      </c>
      <c r="E58" s="63">
        <f t="shared" si="1"/>
        <v>140490</v>
      </c>
      <c r="F58" s="2" t="s">
        <v>259</v>
      </c>
    </row>
    <row r="59" spans="1:7" ht="17.25" thickBot="1" x14ac:dyDescent="0.35">
      <c r="A59" s="2">
        <v>20</v>
      </c>
      <c r="C59" s="38" t="s">
        <v>149</v>
      </c>
      <c r="D59" s="43">
        <f>TRUNC(331711,-1)</f>
        <v>331710</v>
      </c>
      <c r="E59" s="64">
        <f t="shared" si="1"/>
        <v>1096560</v>
      </c>
    </row>
    <row r="60" spans="1:7" x14ac:dyDescent="0.3">
      <c r="A60" s="2">
        <v>21</v>
      </c>
      <c r="C60" s="27" t="s">
        <v>112</v>
      </c>
      <c r="D60" s="39">
        <f>SUM(D40:D59)</f>
        <v>851980</v>
      </c>
      <c r="E60" s="39">
        <f>SUM(E40:E59)</f>
        <v>2816410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240</v>
      </c>
      <c r="C62" s="56" t="s">
        <v>241</v>
      </c>
      <c r="D62" s="57" t="s">
        <v>238</v>
      </c>
      <c r="E62" s="57" t="s">
        <v>154</v>
      </c>
      <c r="G62" s="55"/>
    </row>
    <row r="63" spans="1:7" x14ac:dyDescent="0.3">
      <c r="A63" s="2">
        <v>1</v>
      </c>
      <c r="C63" s="38" t="s">
        <v>27</v>
      </c>
      <c r="D63" s="40">
        <f>TRUNC(1375,-1)</f>
        <v>1370</v>
      </c>
      <c r="E63" s="62">
        <f>TRUNC(+D63*3.3058,-1)</f>
        <v>4520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1370</v>
      </c>
      <c r="E66" s="65">
        <f>SUM(E63:E65)</f>
        <v>4520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242</v>
      </c>
      <c r="C68" s="56" t="s">
        <v>243</v>
      </c>
      <c r="D68" s="57" t="s">
        <v>236</v>
      </c>
      <c r="E68" s="57" t="s">
        <v>154</v>
      </c>
      <c r="G68" s="55"/>
    </row>
    <row r="69" spans="1:7" x14ac:dyDescent="0.3">
      <c r="A69" s="2">
        <v>1</v>
      </c>
      <c r="C69" s="38" t="s">
        <v>30</v>
      </c>
      <c r="D69" s="40">
        <f>TRUNC(8691,-1)</f>
        <v>8690</v>
      </c>
      <c r="E69" s="62">
        <f t="shared" ref="E69:E94" si="2">TRUNC(+D69*3.3058,-1)</f>
        <v>28720</v>
      </c>
    </row>
    <row r="70" spans="1:7" ht="16.5" customHeight="1" x14ac:dyDescent="0.3">
      <c r="A70" s="2">
        <v>2</v>
      </c>
      <c r="C70" s="38" t="s">
        <v>31</v>
      </c>
      <c r="D70" s="42">
        <f>TRUNC(546,-1)</f>
        <v>540</v>
      </c>
      <c r="E70" s="63">
        <f t="shared" si="2"/>
        <v>1780</v>
      </c>
    </row>
    <row r="71" spans="1:7" x14ac:dyDescent="0.3">
      <c r="A71" s="2">
        <v>3</v>
      </c>
      <c r="C71" s="38" t="s">
        <v>32</v>
      </c>
      <c r="D71" s="42">
        <f>TRUNC(5589,-1)</f>
        <v>5580</v>
      </c>
      <c r="E71" s="63">
        <f t="shared" si="2"/>
        <v>18440</v>
      </c>
    </row>
    <row r="72" spans="1:7" x14ac:dyDescent="0.3">
      <c r="A72" s="2">
        <v>4</v>
      </c>
      <c r="C72" s="38" t="s">
        <v>33</v>
      </c>
      <c r="D72" s="42">
        <f>TRUNC(3161,-1)</f>
        <v>3160</v>
      </c>
      <c r="E72" s="63">
        <f t="shared" si="2"/>
        <v>10440</v>
      </c>
    </row>
    <row r="73" spans="1:7" x14ac:dyDescent="0.3">
      <c r="A73" s="2">
        <v>5</v>
      </c>
      <c r="C73" s="38" t="s">
        <v>34</v>
      </c>
      <c r="D73" s="42">
        <f>TRUNC(18131,-1)</f>
        <v>18130</v>
      </c>
      <c r="E73" s="63">
        <f t="shared" si="2"/>
        <v>59930</v>
      </c>
    </row>
    <row r="74" spans="1:7" x14ac:dyDescent="0.3">
      <c r="A74" s="2">
        <v>6</v>
      </c>
      <c r="C74" s="38" t="s">
        <v>177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153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TRUNC(6506,-1)</f>
        <v>6500</v>
      </c>
      <c r="E89" s="63">
        <f t="shared" si="2"/>
        <v>21480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TRUNC(2887,-1)</f>
        <v>2880</v>
      </c>
      <c r="E91" s="63">
        <f t="shared" si="2"/>
        <v>9520</v>
      </c>
    </row>
    <row r="92" spans="1:7" x14ac:dyDescent="0.3">
      <c r="A92" s="2">
        <v>24</v>
      </c>
      <c r="C92" s="38" t="s">
        <v>38</v>
      </c>
      <c r="D92" s="42">
        <f>TRUNC(9655,-1)</f>
        <v>9650</v>
      </c>
      <c r="E92" s="63">
        <f t="shared" si="2"/>
        <v>31900</v>
      </c>
    </row>
    <row r="93" spans="1:7" x14ac:dyDescent="0.3">
      <c r="A93" s="2">
        <v>25</v>
      </c>
      <c r="C93" s="38" t="s">
        <v>149</v>
      </c>
      <c r="D93" s="42">
        <f>TRUNC(86252,-1)</f>
        <v>86250</v>
      </c>
      <c r="E93" s="63">
        <f t="shared" si="2"/>
        <v>285120</v>
      </c>
    </row>
    <row r="94" spans="1:7" ht="17.25" thickBot="1" x14ac:dyDescent="0.35">
      <c r="A94" s="2">
        <v>26</v>
      </c>
      <c r="C94" s="38" t="s">
        <v>47</v>
      </c>
      <c r="D94" s="43">
        <f>TRUNC(6407,-1)</f>
        <v>6400</v>
      </c>
      <c r="E94" s="64">
        <f t="shared" si="2"/>
        <v>21150</v>
      </c>
    </row>
    <row r="95" spans="1:7" x14ac:dyDescent="0.3">
      <c r="A95" s="2">
        <v>27</v>
      </c>
      <c r="C95" s="27" t="s">
        <v>112</v>
      </c>
      <c r="D95" s="39">
        <f>SUM(D69:D94)</f>
        <v>147780</v>
      </c>
      <c r="E95" s="39">
        <f>SUM(E69:E94)</f>
        <v>488480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244</v>
      </c>
      <c r="C97" s="56" t="s">
        <v>243</v>
      </c>
      <c r="D97" s="57" t="s">
        <v>236</v>
      </c>
      <c r="E97" s="57" t="s">
        <v>154</v>
      </c>
      <c r="G97" s="55"/>
    </row>
    <row r="98" spans="1:7" x14ac:dyDescent="0.3">
      <c r="A98" s="2">
        <v>1</v>
      </c>
      <c r="C98" s="38" t="s">
        <v>39</v>
      </c>
      <c r="D98" s="40">
        <f>TRUNC(11421,-1)</f>
        <v>11420</v>
      </c>
      <c r="E98" s="62">
        <f t="shared" ref="E98:E118" si="3">TRUNC(+D98*3.3058,-1)</f>
        <v>37750</v>
      </c>
    </row>
    <row r="99" spans="1:7" x14ac:dyDescent="0.3">
      <c r="A99" s="2">
        <v>2</v>
      </c>
      <c r="C99" s="38" t="s">
        <v>40</v>
      </c>
      <c r="D99" s="42">
        <f>TRUNC(1331,-1)</f>
        <v>1330</v>
      </c>
      <c r="E99" s="63">
        <f t="shared" si="3"/>
        <v>4390</v>
      </c>
    </row>
    <row r="100" spans="1:7" x14ac:dyDescent="0.3">
      <c r="A100" s="2">
        <v>3</v>
      </c>
      <c r="C100" s="38" t="s">
        <v>41</v>
      </c>
      <c r="D100" s="42">
        <f>TRUNC(26254,-1)</f>
        <v>26250</v>
      </c>
      <c r="E100" s="63">
        <f t="shared" si="3"/>
        <v>86770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TRUNC(13107,-1)</f>
        <v>13100</v>
      </c>
      <c r="E102" s="63">
        <f t="shared" si="3"/>
        <v>43300</v>
      </c>
    </row>
    <row r="103" spans="1:7" x14ac:dyDescent="0.3">
      <c r="A103" s="2">
        <v>6</v>
      </c>
      <c r="C103" s="38" t="s">
        <v>44</v>
      </c>
      <c r="D103" s="42">
        <f>TRUNC(4772,-1)</f>
        <v>4770</v>
      </c>
      <c r="E103" s="63">
        <f t="shared" si="3"/>
        <v>15760</v>
      </c>
    </row>
    <row r="104" spans="1:7" x14ac:dyDescent="0.3">
      <c r="A104" s="2">
        <v>7</v>
      </c>
      <c r="C104" s="38" t="s">
        <v>45</v>
      </c>
      <c r="D104" s="42">
        <f>TRUNC(1888,-1)</f>
        <v>1880</v>
      </c>
      <c r="E104" s="63">
        <f t="shared" si="3"/>
        <v>6210</v>
      </c>
    </row>
    <row r="105" spans="1:7" x14ac:dyDescent="0.3">
      <c r="A105" s="2">
        <v>8</v>
      </c>
      <c r="C105" s="38" t="s">
        <v>46</v>
      </c>
      <c r="D105" s="42">
        <f>TRUNC(8202,-1)</f>
        <v>8200</v>
      </c>
      <c r="E105" s="63">
        <f t="shared" si="3"/>
        <v>27100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2250</v>
      </c>
      <c r="E114" s="63">
        <f t="shared" si="3"/>
        <v>7430</v>
      </c>
      <c r="F114" s="2" t="s">
        <v>252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TRUNC(1736,-1)</f>
        <v>1730</v>
      </c>
      <c r="E116" s="63">
        <f t="shared" si="3"/>
        <v>5710</v>
      </c>
      <c r="F116" s="2" t="s">
        <v>253</v>
      </c>
    </row>
    <row r="117" spans="1:7" x14ac:dyDescent="0.3">
      <c r="A117" s="2">
        <v>20</v>
      </c>
      <c r="C117" s="38" t="s">
        <v>149</v>
      </c>
      <c r="D117" s="42">
        <f>TRUNC(93707,-1)</f>
        <v>93700</v>
      </c>
      <c r="E117" s="63">
        <f t="shared" si="3"/>
        <v>309750</v>
      </c>
    </row>
    <row r="118" spans="1:7" ht="17.25" thickBot="1" x14ac:dyDescent="0.35">
      <c r="A118" s="2">
        <v>21</v>
      </c>
      <c r="C118" s="38" t="s">
        <v>47</v>
      </c>
      <c r="D118" s="43">
        <f>TRUNC(2958,-1)</f>
        <v>2950</v>
      </c>
      <c r="E118" s="64">
        <f t="shared" si="3"/>
        <v>9750</v>
      </c>
    </row>
    <row r="119" spans="1:7" x14ac:dyDescent="0.3">
      <c r="A119" s="2">
        <v>22</v>
      </c>
      <c r="C119" s="27" t="s">
        <v>112</v>
      </c>
      <c r="D119" s="39">
        <f>SUM(D98:D118)</f>
        <v>167580</v>
      </c>
      <c r="E119" s="39">
        <f>SUM(E98:E118)</f>
        <v>553920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245</v>
      </c>
      <c r="C121" s="56" t="s">
        <v>243</v>
      </c>
      <c r="D121" s="57" t="s">
        <v>236</v>
      </c>
      <c r="E121" s="57" t="s">
        <v>154</v>
      </c>
      <c r="G121" s="55"/>
    </row>
    <row r="122" spans="1:7" x14ac:dyDescent="0.3">
      <c r="A122" s="2">
        <v>1</v>
      </c>
      <c r="C122" s="38" t="s">
        <v>55</v>
      </c>
      <c r="D122" s="40">
        <f>TRUNC(1681,-1)</f>
        <v>1680</v>
      </c>
      <c r="E122" s="62">
        <f t="shared" ref="E122:E132" si="4">TRUNC(+D122*3.3058,-1)</f>
        <v>5550</v>
      </c>
      <c r="F122" s="2" t="s">
        <v>254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152</v>
      </c>
      <c r="D124" s="42">
        <v>0</v>
      </c>
      <c r="E124" s="63">
        <f t="shared" si="4"/>
        <v>0</v>
      </c>
    </row>
    <row r="125" spans="1:7" x14ac:dyDescent="0.3">
      <c r="A125" s="2">
        <v>4</v>
      </c>
      <c r="C125" s="38" t="s">
        <v>138</v>
      </c>
      <c r="D125" s="42">
        <f>TRUNC(6895,-1)</f>
        <v>6890</v>
      </c>
      <c r="E125" s="63">
        <f t="shared" si="4"/>
        <v>22770</v>
      </c>
    </row>
    <row r="126" spans="1:7" x14ac:dyDescent="0.3">
      <c r="A126" s="2">
        <v>5</v>
      </c>
      <c r="C126" s="38" t="s">
        <v>53</v>
      </c>
      <c r="D126" s="42">
        <v>400</v>
      </c>
      <c r="E126" s="63">
        <f t="shared" si="4"/>
        <v>1320</v>
      </c>
    </row>
    <row r="127" spans="1:7" x14ac:dyDescent="0.3">
      <c r="A127" s="2">
        <v>6</v>
      </c>
      <c r="C127" s="38" t="s">
        <v>56</v>
      </c>
      <c r="D127" s="42">
        <f>TRUNC(3503,-1)</f>
        <v>3500</v>
      </c>
      <c r="E127" s="63">
        <f t="shared" si="4"/>
        <v>11570</v>
      </c>
    </row>
    <row r="128" spans="1:7" x14ac:dyDescent="0.3">
      <c r="A128" s="2">
        <v>7</v>
      </c>
      <c r="C128" s="38" t="s">
        <v>46</v>
      </c>
      <c r="D128" s="42">
        <f>TRUNC(4813,-1)</f>
        <v>4810</v>
      </c>
      <c r="E128" s="63">
        <f t="shared" si="4"/>
        <v>15900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TRUNC(14988,-1)</f>
        <v>14980</v>
      </c>
      <c r="E130" s="63">
        <f t="shared" si="4"/>
        <v>49520</v>
      </c>
    </row>
    <row r="131" spans="1:7" x14ac:dyDescent="0.3">
      <c r="A131" s="2">
        <v>10</v>
      </c>
      <c r="C131" s="38" t="s">
        <v>149</v>
      </c>
      <c r="D131" s="42">
        <v>12110</v>
      </c>
      <c r="E131" s="63">
        <f t="shared" si="4"/>
        <v>40030</v>
      </c>
    </row>
    <row r="132" spans="1:7" ht="18" thickBot="1" x14ac:dyDescent="0.35">
      <c r="A132" s="2">
        <v>11</v>
      </c>
      <c r="C132" s="38" t="s">
        <v>47</v>
      </c>
      <c r="D132" s="43">
        <f>TRUNC(2465+900,-1)</f>
        <v>3360</v>
      </c>
      <c r="E132" s="64">
        <f t="shared" si="4"/>
        <v>11100</v>
      </c>
      <c r="F132" s="54" t="s">
        <v>260</v>
      </c>
    </row>
    <row r="133" spans="1:7" x14ac:dyDescent="0.3">
      <c r="A133" s="2">
        <v>12</v>
      </c>
      <c r="C133" s="27" t="s">
        <v>112</v>
      </c>
      <c r="D133" s="39">
        <f>SUM(D122:D132)</f>
        <v>47730</v>
      </c>
      <c r="E133" s="39">
        <f>SUM(E122:E132)</f>
        <v>157760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246</v>
      </c>
      <c r="C135" s="56" t="s">
        <v>243</v>
      </c>
      <c r="D135" s="57" t="s">
        <v>236</v>
      </c>
      <c r="E135" s="57" t="s">
        <v>154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124+2808+6558</f>
        <v>9490</v>
      </c>
      <c r="E137" s="63">
        <f t="shared" si="5"/>
        <v>31370</v>
      </c>
      <c r="F137" s="2" t="s">
        <v>255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TRUNC(3687,-1)</f>
        <v>3680</v>
      </c>
      <c r="E139" s="63">
        <f t="shared" si="5"/>
        <v>12160</v>
      </c>
    </row>
    <row r="140" spans="1:7" x14ac:dyDescent="0.3">
      <c r="A140" s="2">
        <v>5</v>
      </c>
      <c r="C140" s="38" t="s">
        <v>57</v>
      </c>
      <c r="D140" s="42">
        <f>TRUNC(4371,-1)</f>
        <v>4370</v>
      </c>
      <c r="E140" s="63">
        <f t="shared" si="5"/>
        <v>14440</v>
      </c>
    </row>
    <row r="141" spans="1:7" x14ac:dyDescent="0.3">
      <c r="A141" s="2">
        <v>6</v>
      </c>
      <c r="C141" s="38" t="s">
        <v>59</v>
      </c>
      <c r="D141" s="42">
        <f>TRUNC(8153,-1)</f>
        <v>8150</v>
      </c>
      <c r="E141" s="63">
        <f t="shared" si="5"/>
        <v>26940</v>
      </c>
    </row>
    <row r="142" spans="1:7" x14ac:dyDescent="0.3">
      <c r="A142" s="2">
        <v>7</v>
      </c>
      <c r="C142" s="38" t="s">
        <v>58</v>
      </c>
      <c r="D142" s="42">
        <f>TRUNC(4248,-1)</f>
        <v>4240</v>
      </c>
      <c r="E142" s="63">
        <f t="shared" si="5"/>
        <v>14010</v>
      </c>
    </row>
    <row r="143" spans="1:7" x14ac:dyDescent="0.3">
      <c r="A143" s="2">
        <v>8</v>
      </c>
      <c r="C143" s="38" t="s">
        <v>62</v>
      </c>
      <c r="D143" s="42">
        <f>TRUNC(6377,-1)</f>
        <v>6370</v>
      </c>
      <c r="E143" s="63">
        <f t="shared" si="5"/>
        <v>21050</v>
      </c>
    </row>
    <row r="144" spans="1:7" x14ac:dyDescent="0.3">
      <c r="A144" s="2">
        <v>9</v>
      </c>
      <c r="C144" s="38" t="s">
        <v>63</v>
      </c>
      <c r="D144" s="42">
        <f>TRUNC(8988,-1)</f>
        <v>8980</v>
      </c>
      <c r="E144" s="63">
        <f t="shared" si="5"/>
        <v>29680</v>
      </c>
    </row>
    <row r="145" spans="1:7" ht="17.25" thickBot="1" x14ac:dyDescent="0.35">
      <c r="A145" s="2">
        <v>10</v>
      </c>
      <c r="C145" s="38" t="s">
        <v>149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45280</v>
      </c>
      <c r="E146" s="39">
        <f>SUM(E136:E145)</f>
        <v>149650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247</v>
      </c>
      <c r="C148" s="56" t="s">
        <v>243</v>
      </c>
      <c r="D148" s="57" t="s">
        <v>236</v>
      </c>
      <c r="E148" s="57" t="s">
        <v>154</v>
      </c>
      <c r="G148" s="55"/>
    </row>
    <row r="149" spans="1:7" x14ac:dyDescent="0.3">
      <c r="A149" s="2">
        <v>1</v>
      </c>
      <c r="C149" s="38" t="s">
        <v>48</v>
      </c>
      <c r="D149" s="40">
        <f>TRUNC(7541+3377,-1)</f>
        <v>10910</v>
      </c>
      <c r="E149" s="62">
        <f>TRUNC(+D149*3.3058,-1)</f>
        <v>36060</v>
      </c>
    </row>
    <row r="150" spans="1:7" x14ac:dyDescent="0.3">
      <c r="A150" s="2">
        <v>2</v>
      </c>
      <c r="C150" s="38" t="s">
        <v>49</v>
      </c>
      <c r="D150" s="42">
        <f>TRUNC(5621,-1)</f>
        <v>5620</v>
      </c>
      <c r="E150" s="63">
        <f>TRUNC(+D150*3.3058,-1)</f>
        <v>18570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TRUNC(2630+15+4231,-1)</f>
        <v>6870</v>
      </c>
      <c r="E152" s="63">
        <f>TRUNC(+D152*3.3058,-1)</f>
        <v>22710</v>
      </c>
      <c r="F152" s="2" t="s">
        <v>261</v>
      </c>
    </row>
    <row r="153" spans="1:7" ht="17.25" thickBot="1" x14ac:dyDescent="0.35">
      <c r="A153" s="2">
        <v>5</v>
      </c>
      <c r="C153" s="38" t="s">
        <v>149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23400</v>
      </c>
      <c r="E154" s="39">
        <f>SUM(E149:E153)</f>
        <v>77340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248</v>
      </c>
      <c r="C156" s="56" t="s">
        <v>243</v>
      </c>
      <c r="D156" s="57" t="s">
        <v>236</v>
      </c>
      <c r="E156" s="57" t="s">
        <v>154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149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2020-12-08T01:59:10Z</dcterms:modified>
</cp:coreProperties>
</file>