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4" i="4" l="1"/>
  <c r="D143" i="4"/>
  <c r="D142" i="4"/>
  <c r="D141" i="4"/>
  <c r="D131" i="4"/>
  <c r="D130" i="4"/>
  <c r="D128" i="4"/>
  <c r="D122" i="4"/>
  <c r="D118" i="4"/>
  <c r="D105" i="4"/>
  <c r="D103" i="4"/>
  <c r="D102" i="4"/>
  <c r="D100" i="4"/>
  <c r="D99" i="4"/>
  <c r="D98" i="4"/>
  <c r="D94" i="4"/>
  <c r="D93" i="4"/>
  <c r="D92" i="4"/>
  <c r="D91" i="4"/>
  <c r="D89" i="4"/>
  <c r="D73" i="4"/>
  <c r="D70" i="4"/>
  <c r="D69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<sst xmlns="http://schemas.openxmlformats.org/spreadsheetml/2006/main" count="386" uniqueCount="261">
  <si>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</si>
  <si>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</si>
  <si>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</si>
  <si>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</si>
  <si>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</si>
  <si>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</si>
  <si>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</si>
  <si>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</si>
  <si>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</si>
  <si>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</si>
  <si>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</si>
  <si>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</si>
  <si>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</si>
  <si>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</si>
  <si>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</si>
  <si>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</si>
  <si>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</si>
  <si>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</si>
  <si>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</si>
  <si>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</si>
  <si>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</si>
  <si>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</si>
  <si>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</si>
  <si>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</si>
  <si>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</si>
  <si>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</si>
  <si>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</si>
  <si>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</si>
  <si>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</si>
  <si>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</si>
  <si>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</si>
  <si>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</si>
  <si>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</si>
  <si>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</si>
  <si>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</si>
  <si>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</si>
  <si>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</si>
  <si>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</si>
  <si>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</si>
  <si>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</si>
  <si>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</si>
  <si>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</si>
  <si>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</si>
  <si>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</si>
  <si>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</si>
  <si>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</si>
  <si>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</si>
  <si>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</si>
  <si>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</si>
  <si>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</si>
  <si>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</si>
  <si>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</si>
  <si>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</si>
  <si>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</si>
  <si>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</si>
  <si>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</si>
  <si>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</si>
  <si>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</si>
  <si>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</si>
  <si>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</si>
  <si>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</si>
  <si>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</si>
  <si>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</si>
  <si>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</si>
  <si>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</si>
  <si>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</si>
  <si>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</si>
  <si>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</si>
  <si>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</si>
  <si>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</si>
  <si>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</si>
  <si>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</si>
  <si>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</si>
  <si>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</si>
  <si>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</si>
  <si>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</si>
  <si>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</si>
  <si>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</si>
  <si>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</si>
  <si>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</si>
  <si>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</si>
  <si>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</si>
  <si>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</si>
  <si>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</si>
  <si>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</si>
  <si>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</si>
  <si>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</si>
  <si>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</si>
  <si>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</si>
  <si>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</si>
  <si>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</si>
  <si>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</si>
  <si>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</si>
  <si>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</si>
  <si>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</si>
  <si>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</si>
  <si>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</si>
  <si>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</si>
  <si>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</si>
  <si>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</si>
  <si>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</si>
  <si>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</si>
  <si>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</si>
  <si>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</si>
  <si>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</si>
  <si>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</si>
  <si>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</si>
  <si>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</si>
  <si>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</si>
  <si>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</si>
  <si>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</si>
  <si>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</si>
  <si>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</si>
  <si>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</si>
  <si>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</si>
  <si>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</si>
  <si>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</si>
  <si>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</si>
  <si>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</si>
  <si>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</si>
  <si>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</si>
  <si>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</si>
  <si>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</si>
  <si>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</si>
  <si>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</si>
  <si>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</si>
  <si>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</si>
  <si>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</si>
  <si>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</si>
  <si>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</si>
  <si>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</si>
  <si>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</si>
  <si>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</si>
  <si>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</si>
  <si>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</si>
  <si>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</si>
  <si>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</si>
  <si>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</si>
  <si>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</si>
  <si>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</si>
  <si>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</si>
  <si>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</si>
  <si>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</si>
  <si>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</si>
  <si>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</si>
  <si>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</si>
  <si>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</si>
  <si>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</si>
  <si>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</si>
  <si>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</si>
  <si>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</si>
  <si>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</si>
  <si>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</si>
  <si>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</si>
  <si>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</si>
  <si>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</si>
  <si>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</si>
  <si>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</si>
  <si>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</si>
  <si>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</si>
  <si>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</si>
  <si>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</si>
  <si>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</si>
  <si>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</si>
  <si>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</si>
  <si>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</si>
  <si>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</si>
  <si>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</si>
  <si>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</si>
  <si>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</si>
  <si>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</si>
  <si>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</si>
  <si>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</si>
  <si>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</si>
  <si>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</si>
  <si>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</si>
  <si>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</si>
  <si>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</si>
  <si>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</si>
  <si>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</si>
  <si>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</si>
  <si>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</si>
  <si>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</si>
  <si>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</si>
  <si>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</si>
  <si>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</si>
  <si>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</si>
  <si>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</si>
  <si>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</si>
  <si>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</si>
  <si>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</si>
  <si>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</si>
  <si>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</si>
  <si>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</si>
  <si>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</si>
  <si>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</si>
  <si>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</si>
  <si>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</si>
  <si>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</si>
  <si>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</si>
  <si>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</si>
  <si>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</si>
  <si>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</si>
  <si>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</si>
  <si>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</si>
  <si>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</si>
  <si>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</si>
  <si>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</si>
  <si>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</si>
  <si>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</si>
  <si>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</si>
  <si>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</si>
  <si>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</si>
  <si>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</si>
  <si>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</si>
  <si>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</si>
  <si>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</si>
  <si>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</si>
  <si>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</si>
  <si>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</si>
  <si>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</si>
  <si>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</si>
  <si>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</si>
  <si>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</si>
  <si>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</si>
  <si>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</si>
  <si>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</si>
  <si>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</si>
  <si>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</si>
  <si>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</si>
  <si>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</si>
  <si>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</si>
  <si>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</si>
  <si>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</si>
  <si>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</si>
  <si>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</si>
  <si>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</si>
  <si>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</si>
  <si>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</si>
  <si>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</si>
  <si>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</si>
  <si>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</si>
  <si>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</si>
  <si>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</si>
  <si>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</si>
  <si>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</si>
  <si>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</si>
  <si>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</si>
  <si>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</si>
  <si>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 xml:space="preserve"> 융복합공학관 증축공사</t>
    <phoneticPr fontId="2" type="noConversion"/>
  </si>
  <si>
    <t>부산시</t>
  </si>
  <si>
    <t>목공사및수장공사(인테리어공사 포함)</t>
    <phoneticPr fontId="2" type="noConversion"/>
  </si>
  <si>
    <t>골재비및운반비, 작업부산물, 품질시험비, 기타공사</t>
    <phoneticPr fontId="2" type="noConversion"/>
  </si>
  <si>
    <t>공조배관공사</t>
    <phoneticPr fontId="2" type="noConversion"/>
  </si>
  <si>
    <t>CATV 및 TV 설비공사</t>
    <phoneticPr fontId="2" type="noConversion"/>
  </si>
  <si>
    <t>제연덕트설치공사,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</si>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</sst>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7076.76</v>
      </c>
      <c r="D7" s="36">
        <f>+C7/3.3058</f>
        <v>2140.7102668037992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684390</v>
      </c>
      <c r="E25" s="59">
        <f t="shared" si="0"/>
        <v>2262450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226420</v>
      </c>
      <c r="E27" s="59">
        <f t="shared" si="0"/>
        <v>748490</v>
      </c>
    </row>
    <row r="28" spans="1:5" x14ac:dyDescent="0.3">
      <c r="B28" s="2">
        <v>5</v>
      </c>
      <c r="C28" s="35" t="s">
        <v>97</v>
      </c>
      <c r="D28" s="45">
        <f>+D119</f>
        <v>262210</v>
      </c>
      <c r="E28" s="59">
        <f t="shared" si="0"/>
        <v>866810</v>
      </c>
    </row>
    <row r="29" spans="1:5" x14ac:dyDescent="0.3">
      <c r="B29" s="2">
        <v>6</v>
      </c>
      <c r="C29" s="35" t="s">
        <v>98</v>
      </c>
      <c r="D29" s="45">
        <f>+D133</f>
        <v>60450</v>
      </c>
      <c r="E29" s="59">
        <f t="shared" si="0"/>
        <v>199830</v>
      </c>
    </row>
    <row r="30" spans="1:5" x14ac:dyDescent="0.3">
      <c r="B30" s="2">
        <v>7</v>
      </c>
      <c r="C30" s="35" t="s">
        <v>99</v>
      </c>
      <c r="D30" s="45">
        <f>+D146</f>
        <v>48340</v>
      </c>
      <c r="E30" s="59">
        <f t="shared" si="0"/>
        <v>159800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352490</v>
      </c>
      <c r="E33" s="60">
        <f t="shared" si="0"/>
        <v>1165260</v>
      </c>
    </row>
    <row r="34" spans="1:7" x14ac:dyDescent="0.3">
      <c r="C34" s="35" t="s">
        <v>112</v>
      </c>
      <c r="D34" s="44">
        <f>SUM(D24:D33)</f>
        <v>1634300</v>
      </c>
      <c r="E34" s="44">
        <f>SUM(E24:E33)</f>
        <v>5402640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256</v>
      </c>
      <c r="E39" s="67" t="s">
        <v>257</v>
      </c>
      <c r="G39" s="68"/>
    </row>
    <row r="40" spans="1:7" x14ac:dyDescent="0.3">
      <c r="A40" s="2">
        <v>1</v>
      </c>
      <c r="C40" s="38" t="s">
        <v>15</v>
      </c>
      <c r="D40" s="40">
        <f>TRUNC(60623,-1)</f>
        <v>60620</v>
      </c>
      <c r="E40" s="62">
        <f t="shared" ref="E40:E59" si="1">TRUNC(+D40*3.3058,-1)</f>
        <v>200390</v>
      </c>
    </row>
    <row r="41" spans="1:7" x14ac:dyDescent="0.3">
      <c r="A41" s="2">
        <v>2</v>
      </c>
      <c r="C41" s="38" t="s">
        <v>13</v>
      </c>
      <c r="D41" s="42">
        <f>TRUNC(110322,-1)</f>
        <v>110320</v>
      </c>
      <c r="E41" s="63">
        <f t="shared" si="1"/>
        <v>364690</v>
      </c>
    </row>
    <row r="42" spans="1:7" x14ac:dyDescent="0.3">
      <c r="A42" s="2">
        <v>3</v>
      </c>
      <c r="C42" s="38" t="s">
        <v>14</v>
      </c>
      <c r="D42" s="42">
        <f>TRUNC(3586,-1)</f>
        <v>3580</v>
      </c>
      <c r="E42" s="63">
        <f t="shared" si="1"/>
        <v>11830</v>
      </c>
    </row>
    <row r="43" spans="1:7" x14ac:dyDescent="0.3">
      <c r="A43" s="2">
        <v>4</v>
      </c>
      <c r="C43" s="38" t="s">
        <v>16</v>
      </c>
      <c r="D43" s="42">
        <f>TRUNC(38293,-1)</f>
        <v>38290</v>
      </c>
      <c r="E43" s="63">
        <f t="shared" si="1"/>
        <v>126570</v>
      </c>
    </row>
    <row r="44" spans="1:7" x14ac:dyDescent="0.3">
      <c r="A44" s="2">
        <v>5</v>
      </c>
      <c r="C44" s="38" t="s">
        <v>17</v>
      </c>
      <c r="D44" s="42">
        <f>TRUNC(19335,-1)</f>
        <v>19330</v>
      </c>
      <c r="E44" s="63">
        <f t="shared" si="1"/>
        <v>63900</v>
      </c>
    </row>
    <row r="45" spans="1:7" x14ac:dyDescent="0.3">
      <c r="A45" s="2">
        <v>6</v>
      </c>
      <c r="C45" s="38" t="s">
        <v>18</v>
      </c>
      <c r="D45" s="42">
        <f>TRUNC(7739,-1)</f>
        <v>7730</v>
      </c>
      <c r="E45" s="63">
        <f t="shared" si="1"/>
        <v>25550</v>
      </c>
    </row>
    <row r="46" spans="1:7" x14ac:dyDescent="0.3">
      <c r="A46" s="2">
        <v>7</v>
      </c>
      <c r="C46" s="38" t="s">
        <v>19</v>
      </c>
      <c r="D46" s="42">
        <f>TRUNC(59978,-1)</f>
        <v>59970</v>
      </c>
      <c r="E46" s="63">
        <f t="shared" si="1"/>
        <v>198240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TRUNC(48559,-1)</f>
        <v>48550</v>
      </c>
      <c r="E48" s="63">
        <f t="shared" si="1"/>
        <v>160490</v>
      </c>
    </row>
    <row r="49" spans="1:7" x14ac:dyDescent="0.3">
      <c r="A49" s="2">
        <v>10</v>
      </c>
      <c r="C49" s="38" t="s">
        <v>22</v>
      </c>
      <c r="D49" s="42">
        <f>TRUNC(36123,-1)</f>
        <v>36120</v>
      </c>
      <c r="E49" s="63">
        <f t="shared" si="1"/>
        <v>119400</v>
      </c>
    </row>
    <row r="50" spans="1:7" x14ac:dyDescent="0.3">
      <c r="A50" s="2">
        <v>11</v>
      </c>
      <c r="C50" s="38" t="s">
        <v>155</v>
      </c>
      <c r="D50" s="42">
        <f>TRUNC(35309,-1)</f>
        <v>35300</v>
      </c>
      <c r="E50" s="63">
        <f t="shared" si="1"/>
        <v>116690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TRUNC(16978,-1)</f>
        <v>16970</v>
      </c>
      <c r="E52" s="63">
        <f t="shared" si="1"/>
        <v>56090</v>
      </c>
    </row>
    <row r="53" spans="1:7" x14ac:dyDescent="0.3">
      <c r="A53" s="2">
        <v>14</v>
      </c>
      <c r="C53" s="38" t="s">
        <v>25</v>
      </c>
      <c r="D53" s="42">
        <f>TRUNC(50336,-1)</f>
        <v>50330</v>
      </c>
      <c r="E53" s="63">
        <f t="shared" si="1"/>
        <v>166380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TRUNC(6984-318+681+1368,-1)</f>
        <v>8710</v>
      </c>
      <c r="E58" s="63">
        <f t="shared" si="1"/>
        <v>28790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TRUNC(188577,-1)</f>
        <v>188570</v>
      </c>
      <c r="E59" s="64">
        <f t="shared" si="1"/>
        <v>623370</v>
      </c>
    </row>
    <row r="60" spans="1:7" x14ac:dyDescent="0.3">
      <c r="A60" s="2">
        <v>21</v>
      </c>
      <c r="C60" s="27" t="s">
        <v>112</v>
      </c>
      <c r="D60" s="39">
        <f>SUM(D40:D59)</f>
        <v>684390</v>
      </c>
      <c r="E60" s="39">
        <f>SUM(E40:E59)</f>
        <v>2262380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TRUNC(953,-1)</f>
        <v>950</v>
      </c>
      <c r="E69" s="62">
        <f t="shared" ref="E69:E94" si="2">TRUNC(+D69*3.3058,-1)</f>
        <v>3140</v>
      </c>
    </row>
    <row r="70" spans="1:7" ht="16.5" customHeight="1" x14ac:dyDescent="0.3">
      <c r="A70" s="2">
        <v>2</v>
      </c>
      <c r="C70" s="38" t="s">
        <v>31</v>
      </c>
      <c r="D70" s="42">
        <f>TRUNC(156,-1)</f>
        <v>150</v>
      </c>
      <c r="E70" s="63">
        <f t="shared" si="2"/>
        <v>490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230</v>
      </c>
      <c r="E72" s="63">
        <f t="shared" si="2"/>
        <v>760</v>
      </c>
    </row>
    <row r="73" spans="1:7" x14ac:dyDescent="0.3">
      <c r="A73" s="2">
        <v>5</v>
      </c>
      <c r="C73" s="38" t="s">
        <v>34</v>
      </c>
      <c r="D73" s="42">
        <f>TRUNC(6745,-1)</f>
        <v>6740</v>
      </c>
      <c r="E73" s="63">
        <f t="shared" si="2"/>
        <v>22280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TRUNC(6955,-1)</f>
        <v>6950</v>
      </c>
      <c r="E89" s="63">
        <f t="shared" si="2"/>
        <v>22970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TRUNC(2224,-1)</f>
        <v>2220</v>
      </c>
      <c r="E91" s="63">
        <f t="shared" si="2"/>
        <v>7330</v>
      </c>
    </row>
    <row r="92" spans="1:7" x14ac:dyDescent="0.3">
      <c r="A92" s="2">
        <v>24</v>
      </c>
      <c r="C92" s="38" t="s">
        <v>38</v>
      </c>
      <c r="D92" s="42">
        <f>TRUNC(11727,-1)</f>
        <v>11720</v>
      </c>
      <c r="E92" s="63">
        <f t="shared" si="2"/>
        <v>38740</v>
      </c>
    </row>
    <row r="93" spans="1:7" x14ac:dyDescent="0.3">
      <c r="A93" s="2">
        <v>25</v>
      </c>
      <c r="C93" s="38" t="s">
        <v>148</v>
      </c>
      <c r="D93" s="42">
        <f>TRUNC(196105,-1)</f>
        <v>196100</v>
      </c>
      <c r="E93" s="63">
        <f t="shared" si="2"/>
        <v>648260</v>
      </c>
    </row>
    <row r="94" spans="1:7" ht="17.25" thickBot="1" x14ac:dyDescent="0.35">
      <c r="A94" s="2">
        <v>26</v>
      </c>
      <c r="C94" s="38" t="s">
        <v>47</v>
      </c>
      <c r="D94" s="43">
        <f>TRUNC(1364,-1)</f>
        <v>1360</v>
      </c>
      <c r="E94" s="64">
        <f t="shared" si="2"/>
        <v>4490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226420</v>
      </c>
      <c r="E95" s="39">
        <f>SUM(E69:E94)</f>
        <v>748460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TRUNC(2874,-1)</f>
        <v>2870</v>
      </c>
      <c r="E98" s="62">
        <f t="shared" ref="E98:E118" si="3">TRUNC(+D98*3.3058,-1)</f>
        <v>9480</v>
      </c>
    </row>
    <row r="99" spans="1:7" x14ac:dyDescent="0.3">
      <c r="A99" s="2">
        <v>2</v>
      </c>
      <c r="C99" s="38" t="s">
        <v>40</v>
      </c>
      <c r="D99" s="42">
        <f>TRUNC(1956,-1)</f>
        <v>1950</v>
      </c>
      <c r="E99" s="63">
        <f t="shared" si="3"/>
        <v>6440</v>
      </c>
    </row>
    <row r="100" spans="1:7" x14ac:dyDescent="0.3">
      <c r="A100" s="2">
        <v>3</v>
      </c>
      <c r="C100" s="38" t="s">
        <v>41</v>
      </c>
      <c r="D100" s="42">
        <f>TRUNC(32984,-1)</f>
        <v>32980</v>
      </c>
      <c r="E100" s="63">
        <f t="shared" si="3"/>
        <v>109020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TRUNC(22116,-1)</f>
        <v>22110</v>
      </c>
      <c r="E102" s="63">
        <f t="shared" si="3"/>
        <v>73090</v>
      </c>
    </row>
    <row r="103" spans="1:7" x14ac:dyDescent="0.3">
      <c r="A103" s="2">
        <v>6</v>
      </c>
      <c r="C103" s="38" t="s">
        <v>44</v>
      </c>
      <c r="D103" s="42">
        <f>TRUNC(4348,-1)</f>
        <v>4340</v>
      </c>
      <c r="E103" s="63">
        <f t="shared" si="3"/>
        <v>14340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TRUNC(4326,-1)</f>
        <v>4320</v>
      </c>
      <c r="E105" s="63">
        <f t="shared" si="3"/>
        <v>14280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190230</v>
      </c>
      <c r="E117" s="63">
        <f t="shared" si="3"/>
        <v>628860</v>
      </c>
    </row>
    <row r="118" spans="1:7" ht="17.25" thickBot="1" x14ac:dyDescent="0.35">
      <c r="A118" s="2">
        <v>21</v>
      </c>
      <c r="C118" s="38" t="s">
        <v>47</v>
      </c>
      <c r="D118" s="43">
        <f>TRUNC(3411,-1)</f>
        <v>3410</v>
      </c>
      <c r="E118" s="64">
        <f t="shared" si="3"/>
        <v>11270</v>
      </c>
    </row>
    <row r="119" spans="1:7" x14ac:dyDescent="0.3">
      <c r="A119" s="2">
        <v>22</v>
      </c>
      <c r="C119" s="27" t="s">
        <v>112</v>
      </c>
      <c r="D119" s="39">
        <f>SUM(D98:D118)</f>
        <v>262210</v>
      </c>
      <c r="E119" s="39">
        <f>SUM(E98:E118)</f>
        <v>866780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TRUNC(6432,-1)</f>
        <v>6430</v>
      </c>
      <c r="E122" s="62">
        <f t="shared" ref="E122:E132" si="4">TRUNC(+D122*3.3058,-1)</f>
        <v>21250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4990</v>
      </c>
      <c r="E125" s="63">
        <f t="shared" si="4"/>
        <v>16490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TRUNC(4228,-1)</f>
        <v>4220</v>
      </c>
      <c r="E128" s="63">
        <f t="shared" si="4"/>
        <v>13950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TRUNC(14777,-1)</f>
        <v>14770</v>
      </c>
      <c r="E130" s="63">
        <f t="shared" si="4"/>
        <v>48820</v>
      </c>
    </row>
    <row r="131" spans="1:7" x14ac:dyDescent="0.3">
      <c r="A131" s="2">
        <v>10</v>
      </c>
      <c r="C131" s="38" t="s">
        <v>148</v>
      </c>
      <c r="D131" s="42">
        <f>TRUNC(28359,-1)</f>
        <v>28350</v>
      </c>
      <c r="E131" s="63">
        <f t="shared" si="4"/>
        <v>93710</v>
      </c>
    </row>
    <row r="132" spans="1:7" ht="18" thickBot="1" x14ac:dyDescent="0.35">
      <c r="A132" s="2">
        <v>11</v>
      </c>
      <c r="C132" s="38" t="s">
        <v>47</v>
      </c>
      <c r="D132" s="43">
        <v>1690</v>
      </c>
      <c r="E132" s="64">
        <f t="shared" si="4"/>
        <v>5580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60450</v>
      </c>
      <c r="E133" s="39">
        <f>SUM(E122:E132)</f>
        <v>199800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7501+1879</f>
        <v>9380</v>
      </c>
      <c r="E137" s="63">
        <f t="shared" si="5"/>
        <v>31000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TRUNC(22721,-1)</f>
        <v>22720</v>
      </c>
      <c r="E141" s="63">
        <f t="shared" si="5"/>
        <v>75100</v>
      </c>
    </row>
    <row r="142" spans="1:7" x14ac:dyDescent="0.3">
      <c r="A142" s="2">
        <v>7</v>
      </c>
      <c r="C142" s="38" t="s">
        <v>58</v>
      </c>
      <c r="D142" s="42">
        <f>TRUNC(4168,-1)</f>
        <v>4160</v>
      </c>
      <c r="E142" s="63">
        <f t="shared" si="5"/>
        <v>13750</v>
      </c>
    </row>
    <row r="143" spans="1:7" x14ac:dyDescent="0.3">
      <c r="A143" s="2">
        <v>8</v>
      </c>
      <c r="C143" s="38" t="s">
        <v>62</v>
      </c>
      <c r="D143" s="42">
        <f>TRUNC(3629,-1)</f>
        <v>3620</v>
      </c>
      <c r="E143" s="63">
        <f t="shared" si="5"/>
        <v>11960</v>
      </c>
    </row>
    <row r="144" spans="1:7" x14ac:dyDescent="0.3">
      <c r="A144" s="2">
        <v>9</v>
      </c>
      <c r="C144" s="38" t="s">
        <v>63</v>
      </c>
      <c r="D144" s="42">
        <f>TRUNC(8467,-1)</f>
        <v>8460</v>
      </c>
      <c r="E144" s="63">
        <f t="shared" si="5"/>
        <v>27960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48340</v>
      </c>
      <c r="E146" s="39">
        <f>SUM(E136:E145)</f>
        <v>159770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2020-12-08T01:13:01Z</dcterms:modified>
</cp:coreProperties>
</file>