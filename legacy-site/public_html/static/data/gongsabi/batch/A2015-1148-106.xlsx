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2" i="4"/>
  <c r="D141" i="4"/>
  <c r="D140" i="4"/>
  <c r="D137" i="4"/>
  <c r="D132" i="4"/>
  <c r="D131" i="4"/>
  <c r="D130" i="4"/>
  <c r="D126" i="4"/>
  <c r="D125" i="4"/>
  <c r="D122" i="4"/>
  <c r="D117" i="4"/>
  <c r="D114" i="4"/>
  <c r="D105" i="4"/>
  <c r="D104" i="4"/>
  <c r="D103" i="4"/>
  <c r="D102" i="4"/>
  <c r="D100" i="4"/>
  <c r="D99" i="4"/>
  <c r="D98" i="4"/>
  <c r="D94" i="4"/>
  <c r="D93" i="4"/>
  <c r="D92" i="4"/>
  <c r="D91" i="4"/>
  <c r="D90" i="4"/>
  <c r="D89" i="4"/>
  <c r="D76" i="4"/>
  <c r="D72" i="4"/>
  <c r="D73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<sst xmlns="http://schemas.openxmlformats.org/spreadsheetml/2006/main" count="394" uniqueCount="270">
  <si>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</si>
  <si>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</si>
  <si>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</si>
  <si>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</si>
  <si>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</si>
  <si>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</si>
  <si>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</si>
  <si>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</si>
  <si>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</si>
  <si>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</si>
  <si>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</si>
  <si>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</si>
  <si>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</si>
  <si>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</si>
  <si>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</si>
  <si>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</si>
  <si>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</si>
  <si>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</si>
  <si>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</si>
  <si>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</si>
  <si>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</si>
  <si>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</si>
  <si>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</si>
  <si>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</si>
  <si>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</si>
  <si>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</si>
  <si>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</si>
  <si>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</si>
  <si>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</si>
  <si>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</si>
  <si>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</si>
  <si>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</si>
  <si>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</si>
  <si>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</si>
  <si>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</si>
  <si>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</si>
  <si>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</si>
  <si>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</si>
  <si>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</si>
  <si>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</si>
  <si>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</si>
  <si>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</si>
  <si>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</si>
  <si>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</si>
  <si>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</si>
  <si>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</si>
  <si>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</si>
  <si>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</si>
  <si>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</si>
  <si>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</si>
  <si>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</si>
  <si>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</si>
  <si>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</si>
  <si>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</si>
  <si>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</si>
  <si>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</si>
  <si>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</si>
  <si>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</si>
  <si>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</si>
  <si>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</si>
  <si>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</si>
  <si>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</si>
  <si>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</si>
  <si>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</si>
  <si>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</si>
  <si>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</si>
  <si>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</si>
  <si>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</si>
  <si>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</si>
  <si>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</si>
  <si>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</si>
  <si>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</si>
  <si>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</si>
  <si>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</si>
  <si>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</si>
  <si>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</si>
  <si>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</si>
  <si>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</si>
  <si>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</si>
  <si>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</si>
  <si>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</si>
  <si>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</si>
  <si>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</si>
  <si>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</si>
  <si>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</si>
  <si>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</si>
  <si>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</si>
  <si>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</si>
  <si>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</si>
  <si>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</si>
  <si>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</si>
  <si>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</si>
  <si>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</si>
  <si>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</si>
  <si>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</si>
  <si>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</si>
  <si>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</si>
  <si>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</si>
  <si>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</si>
  <si>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</si>
  <si>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</si>
  <si>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</si>
  <si>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</si>
  <si>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</si>
  <si>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</si>
  <si>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</si>
  <si>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</si>
  <si>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</si>
  <si>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</si>
  <si>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</si>
  <si>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</si>
  <si>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</si>
  <si>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</si>
  <si>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</si>
  <si>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</si>
  <si>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</si>
  <si>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</si>
  <si>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</si>
  <si>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</si>
  <si>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</si>
  <si>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</si>
  <si>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</si>
  <si>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</si>
  <si>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</si>
  <si>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</si>
  <si>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</si>
  <si>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</si>
  <si>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</si>
  <si>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</si>
  <si>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</si>
  <si>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</si>
  <si>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</si>
  <si>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</si>
  <si>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</si>
  <si>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</si>
  <si>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</si>
  <si>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</si>
  <si>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</si>
  <si>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</si>
  <si>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</si>
  <si>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</si>
  <si>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</si>
  <si>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</si>
  <si>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</si>
  <si>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</si>
  <si>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</si>
  <si>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</si>
  <si>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</si>
  <si>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</si>
  <si>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</si>
  <si>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</si>
  <si>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</si>
  <si>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</si>
  <si>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</si>
  <si>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</si>
  <si>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</si>
  <si>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</si>
  <si>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</si>
  <si>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</si>
  <si>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</si>
  <si>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</si>
  <si>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</si>
  <si>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</si>
  <si>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</si>
  <si>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</si>
  <si>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</si>
  <si>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</si>
  <si>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</si>
  <si>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</si>
  <si>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</si>
  <si>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</si>
  <si>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</si>
  <si>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</si>
  <si>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</si>
  <si>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</si>
  <si>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</si>
  <si>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</si>
  <si>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</si>
  <si>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</si>
  <si>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</si>
  <si>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</si>
  <si>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</si>
  <si>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</si>
  <si>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</si>
  <si>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</si>
  <si>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</si>
  <si>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</si>
  <si>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</si>
  <si>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</si>
  <si>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</si>
  <si>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</si>
  <si>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</si>
  <si>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</si>
  <si>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</si>
  <si>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</si>
  <si>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</si>
  <si>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</si>
  <si>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</si>
  <si>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</si>
  <si>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</si>
  <si>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</si>
  <si>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</si>
  <si>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</si>
  <si>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</si>
  <si>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</si>
  <si>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</si>
  <si>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</si>
  <si>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</si>
  <si>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</si>
  <si>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</si>
  <si>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</si>
  <si>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</si>
  <si>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</si>
  <si>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</si>
  <si>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</si>
  <si>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</si>
  <si>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</si>
  <si>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</si>
  <si>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</si>
  <si>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</si>
  <si>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</si>
  <si>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</si>
  <si>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</si>
  <si>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</si>
  <si>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</si>
  <si>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</si>
  <si>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</si>
  <si>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</si>
  <si>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</si>
  <si>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</si>
  <si>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</si>
  <si>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</si>
  <si>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</si>
  <si>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</si>
  <si>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</si>
  <si>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</si>
  <si>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</si>
  <si>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</si>
  <si>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</si>
  <si>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</si>
  <si>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</si>
  <si>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</si>
  <si>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</si>
  <si>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</si>
  <si>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</si>
  <si>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</si>
  <si>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</si>
  <si>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</si>
  <si>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</si>
  <si>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</si>
  <si>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</si>
  <si>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</si>
  <si>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</si>
  <si>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</si>
  <si>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</si>
  <si>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</si>
  <si>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</si>
  <si>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</si>
  <si>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</si>
  <si>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</si>
  <si>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새롬고등학교 신축공사(계속비)</t>
    <phoneticPr fontId="2" type="noConversion"/>
  </si>
  <si>
    <t>세종시</t>
  </si>
  <si>
    <t>바닥난방공사,기타공사</t>
    <phoneticPr fontId="2" type="noConversion"/>
  </si>
  <si>
    <t>옥외보안등설비공사</t>
    <phoneticPr fontId="2" type="noConversion"/>
  </si>
  <si>
    <t>펌프실배관공사,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</si>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</sst>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16821.919999999998</v>
      </c>
      <c r="D7" s="36">
        <f>+C7/3.3058</f>
        <v>5088.6079012644441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752700</v>
      </c>
      <c r="E25" s="59">
        <f t="shared" si="0"/>
        <v>2488270</v>
      </c>
    </row>
    <row r="26" spans="1:5" x14ac:dyDescent="0.3">
      <c r="B26" s="2">
        <v>3</v>
      </c>
      <c r="C26" s="35" t="s">
        <v>95</v>
      </c>
      <c r="D26" s="45">
        <f>+D66</f>
        <v>9900</v>
      </c>
      <c r="E26" s="59">
        <f t="shared" si="0"/>
        <v>32720</v>
      </c>
    </row>
    <row r="27" spans="1:5" x14ac:dyDescent="0.3">
      <c r="B27" s="2">
        <v>4</v>
      </c>
      <c r="C27" s="35" t="s">
        <v>96</v>
      </c>
      <c r="D27" s="45">
        <f>+D95</f>
        <v>176400</v>
      </c>
      <c r="E27" s="59">
        <f t="shared" si="0"/>
        <v>583140</v>
      </c>
    </row>
    <row r="28" spans="1:5" x14ac:dyDescent="0.3">
      <c r="B28" s="2">
        <v>5</v>
      </c>
      <c r="C28" s="35" t="s">
        <v>97</v>
      </c>
      <c r="D28" s="45">
        <f>+D119</f>
        <v>118930</v>
      </c>
      <c r="E28" s="59">
        <f t="shared" si="0"/>
        <v>393150</v>
      </c>
    </row>
    <row r="29" spans="1:5" x14ac:dyDescent="0.3">
      <c r="B29" s="2">
        <v>6</v>
      </c>
      <c r="C29" s="35" t="s">
        <v>98</v>
      </c>
      <c r="D29" s="45">
        <f>+D133</f>
        <v>42170</v>
      </c>
      <c r="E29" s="59">
        <f t="shared" si="0"/>
        <v>139400</v>
      </c>
    </row>
    <row r="30" spans="1:5" x14ac:dyDescent="0.3">
      <c r="B30" s="2">
        <v>7</v>
      </c>
      <c r="C30" s="35" t="s">
        <v>99</v>
      </c>
      <c r="D30" s="45">
        <f>+D146</f>
        <v>35050</v>
      </c>
      <c r="E30" s="59">
        <f t="shared" si="0"/>
        <v>115860</v>
      </c>
    </row>
    <row r="31" spans="1:5" x14ac:dyDescent="0.3">
      <c r="B31" s="2">
        <v>8</v>
      </c>
      <c r="C31" s="35" t="s">
        <v>100</v>
      </c>
      <c r="D31" s="45">
        <f>+D154</f>
        <v>23990</v>
      </c>
      <c r="E31" s="59">
        <f t="shared" si="0"/>
        <v>79300</v>
      </c>
    </row>
    <row r="32" spans="1:5" x14ac:dyDescent="0.3">
      <c r="B32" s="2">
        <v>9</v>
      </c>
      <c r="C32" s="35" t="s">
        <v>101</v>
      </c>
      <c r="D32" s="45">
        <f>+D161</f>
        <v>19800</v>
      </c>
      <c r="E32" s="59">
        <f t="shared" si="0"/>
        <v>65450</v>
      </c>
    </row>
    <row r="33" spans="1:7" x14ac:dyDescent="0.3">
      <c r="B33" s="2">
        <v>10</v>
      </c>
      <c r="C33" s="35" t="s">
        <v>154</v>
      </c>
      <c r="D33" s="53">
        <f>TRUNC(SUM(D24:D32)*0.275,-1)</f>
        <v>324200</v>
      </c>
      <c r="E33" s="60">
        <f t="shared" si="0"/>
        <v>1071740</v>
      </c>
    </row>
    <row r="34" spans="1:7" x14ac:dyDescent="0.3">
      <c r="C34" s="35" t="s">
        <v>112</v>
      </c>
      <c r="D34" s="44">
        <f>SUM(D24:D33)</f>
        <v>1503140</v>
      </c>
      <c r="E34" s="44">
        <f>SUM(E24:E33)</f>
        <v>4969030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TRUNC(47186,-1)</f>
        <v>47180</v>
      </c>
      <c r="E40" s="62">
        <f t="shared" ref="E40:E59" si="1">TRUNC(+D40*3.3058,-1)</f>
        <v>155960</v>
      </c>
    </row>
    <row r="41" spans="1:7" x14ac:dyDescent="0.3">
      <c r="A41" s="2">
        <v>2</v>
      </c>
      <c r="C41" s="38" t="s">
        <v>13</v>
      </c>
      <c r="D41" s="42">
        <f>TRUNC(123819,-1)</f>
        <v>123810</v>
      </c>
      <c r="E41" s="63">
        <f t="shared" si="1"/>
        <v>409290</v>
      </c>
    </row>
    <row r="42" spans="1:7" x14ac:dyDescent="0.3">
      <c r="A42" s="2">
        <v>3</v>
      </c>
      <c r="C42" s="38" t="s">
        <v>14</v>
      </c>
      <c r="D42" s="42">
        <f>TRUNC(5461,-1)</f>
        <v>5460</v>
      </c>
      <c r="E42" s="63">
        <f t="shared" si="1"/>
        <v>18040</v>
      </c>
    </row>
    <row r="43" spans="1:7" x14ac:dyDescent="0.3">
      <c r="A43" s="2">
        <v>4</v>
      </c>
      <c r="C43" s="38" t="s">
        <v>16</v>
      </c>
      <c r="D43" s="42">
        <f>TRUNC(45644,-1)</f>
        <v>45640</v>
      </c>
      <c r="E43" s="63">
        <f t="shared" si="1"/>
        <v>150870</v>
      </c>
    </row>
    <row r="44" spans="1:7" x14ac:dyDescent="0.3">
      <c r="A44" s="2">
        <v>5</v>
      </c>
      <c r="C44" s="38" t="s">
        <v>17</v>
      </c>
      <c r="D44" s="42">
        <f>TRUNC(20946,-1)</f>
        <v>20940</v>
      </c>
      <c r="E44" s="63">
        <f t="shared" si="1"/>
        <v>69220</v>
      </c>
    </row>
    <row r="45" spans="1:7" x14ac:dyDescent="0.3">
      <c r="A45" s="2">
        <v>6</v>
      </c>
      <c r="C45" s="38" t="s">
        <v>18</v>
      </c>
      <c r="D45" s="42">
        <f>TRUNC(8012,-1)</f>
        <v>8010</v>
      </c>
      <c r="E45" s="63">
        <f t="shared" si="1"/>
        <v>26470</v>
      </c>
    </row>
    <row r="46" spans="1:7" x14ac:dyDescent="0.3">
      <c r="A46" s="2">
        <v>7</v>
      </c>
      <c r="C46" s="38" t="s">
        <v>19</v>
      </c>
      <c r="D46" s="42">
        <f>TRUNC(54914,-1)</f>
        <v>54910</v>
      </c>
      <c r="E46" s="63">
        <f t="shared" si="1"/>
        <v>181520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TRUNC(56733,-1)</f>
        <v>56730</v>
      </c>
      <c r="E48" s="63">
        <f t="shared" si="1"/>
        <v>187530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TRUNC(14507,-1)</f>
        <v>14500</v>
      </c>
      <c r="E49" s="63">
        <f t="shared" si="1"/>
        <v>47930</v>
      </c>
    </row>
    <row r="50" spans="1:7" x14ac:dyDescent="0.3">
      <c r="A50" s="2">
        <v>11</v>
      </c>
      <c r="C50" s="38" t="s">
        <v>155</v>
      </c>
      <c r="D50" s="42">
        <f>TRUNC(46873,-1)</f>
        <v>46870</v>
      </c>
      <c r="E50" s="63">
        <f t="shared" si="1"/>
        <v>154940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TRUNC(5325,-1)</f>
        <v>5320</v>
      </c>
      <c r="E52" s="63">
        <f t="shared" si="1"/>
        <v>17580</v>
      </c>
    </row>
    <row r="53" spans="1:7" x14ac:dyDescent="0.3">
      <c r="A53" s="2">
        <v>14</v>
      </c>
      <c r="C53" s="38" t="s">
        <v>25</v>
      </c>
      <c r="D53" s="42">
        <f>TRUNC(59989,-1)</f>
        <v>59980</v>
      </c>
      <c r="E53" s="63">
        <f t="shared" si="1"/>
        <v>198280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TRUNC(11637+8116-381+7743,-1)</f>
        <v>27110</v>
      </c>
      <c r="E58" s="63">
        <f t="shared" si="1"/>
        <v>89620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TRUNC(236241,-1)</f>
        <v>236240</v>
      </c>
      <c r="E59" s="64">
        <f t="shared" si="1"/>
        <v>780960</v>
      </c>
    </row>
    <row r="60" spans="1:7" x14ac:dyDescent="0.3">
      <c r="A60" s="2">
        <v>21</v>
      </c>
      <c r="C60" s="27" t="s">
        <v>112</v>
      </c>
      <c r="D60" s="39">
        <f>SUM(D40:D59)</f>
        <v>752700</v>
      </c>
      <c r="E60" s="39">
        <f>SUM(E40:E59)</f>
        <v>2488210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TRUNC(9901,-1)</f>
        <v>9900</v>
      </c>
      <c r="E63" s="62">
        <f>TRUNC(+D63*3.3058,-1)</f>
        <v>32720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9900</v>
      </c>
      <c r="E66" s="65">
        <f>SUM(E63:E65)</f>
        <v>32720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TRUNC(6955,-1)</f>
        <v>6950</v>
      </c>
      <c r="E69" s="62">
        <f t="shared" ref="E69:E94" si="2">TRUNC(+D69*3.3058,-1)</f>
        <v>22970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TRUNC(5884,-1)</f>
        <v>5880</v>
      </c>
      <c r="E71" s="63">
        <f t="shared" si="2"/>
        <v>19430</v>
      </c>
    </row>
    <row r="72" spans="1:7" x14ac:dyDescent="0.3">
      <c r="A72" s="2">
        <v>4</v>
      </c>
      <c r="C72" s="38" t="s">
        <v>33</v>
      </c>
      <c r="D72" s="42">
        <f>TRUNC(2096,-1)</f>
        <v>2090</v>
      </c>
      <c r="E72" s="63">
        <f t="shared" si="2"/>
        <v>6900</v>
      </c>
    </row>
    <row r="73" spans="1:7" x14ac:dyDescent="0.3">
      <c r="A73" s="2">
        <v>5</v>
      </c>
      <c r="C73" s="38" t="s">
        <v>34</v>
      </c>
      <c r="D73" s="42">
        <f>TRUNC(9663,-1)</f>
        <v>9660</v>
      </c>
      <c r="E73" s="63">
        <f t="shared" si="2"/>
        <v>31930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TRUNC(45822,-1)</f>
        <v>45820</v>
      </c>
      <c r="E76" s="63">
        <f t="shared" si="2"/>
        <v>151470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TRUNC(4755,-1)</f>
        <v>4750</v>
      </c>
      <c r="E89" s="63">
        <f t="shared" si="2"/>
        <v>15700</v>
      </c>
    </row>
    <row r="90" spans="1:7" x14ac:dyDescent="0.3">
      <c r="A90" s="2">
        <v>22</v>
      </c>
      <c r="C90" s="38" t="s">
        <v>36</v>
      </c>
      <c r="D90" s="42">
        <f>TRUNC(244,-1)</f>
        <v>240</v>
      </c>
      <c r="E90" s="63">
        <f t="shared" si="2"/>
        <v>790</v>
      </c>
    </row>
    <row r="91" spans="1:7" x14ac:dyDescent="0.3">
      <c r="A91" s="2">
        <v>23</v>
      </c>
      <c r="C91" s="38" t="s">
        <v>37</v>
      </c>
      <c r="D91" s="42">
        <f>TRUNC(5723,-1)</f>
        <v>5720</v>
      </c>
      <c r="E91" s="63">
        <f t="shared" si="2"/>
        <v>18900</v>
      </c>
    </row>
    <row r="92" spans="1:7" x14ac:dyDescent="0.3">
      <c r="A92" s="2">
        <v>24</v>
      </c>
      <c r="C92" s="38" t="s">
        <v>38</v>
      </c>
      <c r="D92" s="42">
        <f>TRUNC(8449,-1)</f>
        <v>8440</v>
      </c>
      <c r="E92" s="63">
        <f t="shared" si="2"/>
        <v>27900</v>
      </c>
    </row>
    <row r="93" spans="1:7" x14ac:dyDescent="0.3">
      <c r="A93" s="2">
        <v>25</v>
      </c>
      <c r="C93" s="38" t="s">
        <v>148</v>
      </c>
      <c r="D93" s="42">
        <f>TRUNC(76531,-1)</f>
        <v>76530</v>
      </c>
      <c r="E93" s="63">
        <f t="shared" si="2"/>
        <v>252990</v>
      </c>
    </row>
    <row r="94" spans="1:7" ht="17.25" thickBot="1" x14ac:dyDescent="0.35">
      <c r="A94" s="2">
        <v>26</v>
      </c>
      <c r="C94" s="38" t="s">
        <v>47</v>
      </c>
      <c r="D94" s="43">
        <f>TRUNC(616+9706,-1)</f>
        <v>10320</v>
      </c>
      <c r="E94" s="64">
        <f t="shared" si="2"/>
        <v>34110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176400</v>
      </c>
      <c r="E95" s="39">
        <f>SUM(E69:E94)</f>
        <v>583090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TRUNC(10423,-1)</f>
        <v>10420</v>
      </c>
      <c r="E98" s="62">
        <f t="shared" ref="E98:E118" si="3">TRUNC(+D98*3.3058,-1)</f>
        <v>34440</v>
      </c>
    </row>
    <row r="99" spans="1:7" x14ac:dyDescent="0.3">
      <c r="A99" s="2">
        <v>2</v>
      </c>
      <c r="C99" s="38" t="s">
        <v>40</v>
      </c>
      <c r="D99" s="42">
        <f>TRUNC(6408,-1)</f>
        <v>6400</v>
      </c>
      <c r="E99" s="63">
        <f t="shared" si="3"/>
        <v>21150</v>
      </c>
    </row>
    <row r="100" spans="1:7" x14ac:dyDescent="0.3">
      <c r="A100" s="2">
        <v>3</v>
      </c>
      <c r="C100" s="38" t="s">
        <v>41</v>
      </c>
      <c r="D100" s="42">
        <f>TRUNC(30455,-1)</f>
        <v>30450</v>
      </c>
      <c r="E100" s="63">
        <f t="shared" si="3"/>
        <v>100660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TRUNC(9476,-1)</f>
        <v>9470</v>
      </c>
      <c r="E102" s="63">
        <f t="shared" si="3"/>
        <v>31300</v>
      </c>
    </row>
    <row r="103" spans="1:7" x14ac:dyDescent="0.3">
      <c r="A103" s="2">
        <v>6</v>
      </c>
      <c r="C103" s="38" t="s">
        <v>44</v>
      </c>
      <c r="D103" s="42">
        <f>TRUNC(4469,-1)</f>
        <v>4460</v>
      </c>
      <c r="E103" s="63">
        <f t="shared" si="3"/>
        <v>14740</v>
      </c>
    </row>
    <row r="104" spans="1:7" x14ac:dyDescent="0.3">
      <c r="A104" s="2">
        <v>7</v>
      </c>
      <c r="C104" s="38" t="s">
        <v>45</v>
      </c>
      <c r="D104" s="42">
        <f>TRUNC(2541,-1)</f>
        <v>2540</v>
      </c>
      <c r="E104" s="63">
        <f t="shared" si="3"/>
        <v>8390</v>
      </c>
    </row>
    <row r="105" spans="1:7" x14ac:dyDescent="0.3">
      <c r="A105" s="2">
        <v>8</v>
      </c>
      <c r="C105" s="38" t="s">
        <v>46</v>
      </c>
      <c r="D105" s="42">
        <f>TRUNC(6746,-1)</f>
        <v>6740</v>
      </c>
      <c r="E105" s="63">
        <f t="shared" si="3"/>
        <v>22280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TRUNC(1742,-1)</f>
        <v>1740</v>
      </c>
      <c r="E114" s="63">
        <f t="shared" si="3"/>
        <v>5750</v>
      </c>
      <c r="F114" s="2" t="s">
        <v>263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930</v>
      </c>
      <c r="E116" s="63">
        <f t="shared" si="3"/>
        <v>3070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TRUNC(45249,-1)</f>
        <v>45240</v>
      </c>
      <c r="E117" s="63">
        <f t="shared" si="3"/>
        <v>149550</v>
      </c>
    </row>
    <row r="118" spans="1:7" ht="17.25" thickBot="1" x14ac:dyDescent="0.35">
      <c r="A118" s="2">
        <v>21</v>
      </c>
      <c r="C118" s="38" t="s">
        <v>47</v>
      </c>
      <c r="D118" s="43">
        <v>540</v>
      </c>
      <c r="E118" s="64">
        <f t="shared" si="3"/>
        <v>1780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118930</v>
      </c>
      <c r="E119" s="39">
        <f>SUM(E98:E118)</f>
        <v>393110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TRUNC(2493,-1)</f>
        <v>2490</v>
      </c>
      <c r="E122" s="62">
        <f t="shared" ref="E122:E132" si="4">TRUNC(+D122*3.3058,-1)</f>
        <v>8230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TRUNC(8381,-1)</f>
        <v>8380</v>
      </c>
      <c r="E125" s="63">
        <f t="shared" si="4"/>
        <v>27700</v>
      </c>
    </row>
    <row r="126" spans="1:7" x14ac:dyDescent="0.3">
      <c r="A126" s="2">
        <v>5</v>
      </c>
      <c r="C126" s="38" t="s">
        <v>53</v>
      </c>
      <c r="D126" s="42">
        <f>TRUNC(1082,-1)</f>
        <v>1080</v>
      </c>
      <c r="E126" s="63">
        <f t="shared" si="4"/>
        <v>3570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4500</v>
      </c>
      <c r="E128" s="63">
        <f t="shared" si="4"/>
        <v>14870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TRUNC(14124,-1)</f>
        <v>14120</v>
      </c>
      <c r="E130" s="63">
        <f t="shared" si="4"/>
        <v>46670</v>
      </c>
    </row>
    <row r="131" spans="1:7" x14ac:dyDescent="0.3">
      <c r="A131" s="2">
        <v>10</v>
      </c>
      <c r="C131" s="38" t="s">
        <v>148</v>
      </c>
      <c r="D131" s="42">
        <f>TRUNC(10154,-1)</f>
        <v>10150</v>
      </c>
      <c r="E131" s="63">
        <f t="shared" si="4"/>
        <v>33550</v>
      </c>
    </row>
    <row r="132" spans="1:7" ht="18" thickBot="1" x14ac:dyDescent="0.35">
      <c r="A132" s="2">
        <v>11</v>
      </c>
      <c r="C132" s="38" t="s">
        <v>47</v>
      </c>
      <c r="D132" s="43">
        <f>TRUNC(1453,-1)</f>
        <v>1450</v>
      </c>
      <c r="E132" s="64">
        <f t="shared" si="4"/>
        <v>4790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42170</v>
      </c>
      <c r="E133" s="39">
        <f>SUM(E122:E132)</f>
        <v>139380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TRUNC(1214+12137,-1)</f>
        <v>13350</v>
      </c>
      <c r="E137" s="63">
        <f t="shared" si="5"/>
        <v>44130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TRUNC(6542,-1)</f>
        <v>6540</v>
      </c>
      <c r="E140" s="63">
        <f t="shared" si="5"/>
        <v>21610</v>
      </c>
    </row>
    <row r="141" spans="1:7" x14ac:dyDescent="0.3">
      <c r="A141" s="2">
        <v>6</v>
      </c>
      <c r="C141" s="38" t="s">
        <v>59</v>
      </c>
      <c r="D141" s="42">
        <f>TRUNC(4364,-1)</f>
        <v>4360</v>
      </c>
      <c r="E141" s="63">
        <f t="shared" si="5"/>
        <v>14410</v>
      </c>
    </row>
    <row r="142" spans="1:7" x14ac:dyDescent="0.3">
      <c r="A142" s="2">
        <v>7</v>
      </c>
      <c r="C142" s="38" t="s">
        <v>58</v>
      </c>
      <c r="D142" s="42">
        <f>TRUNC(4054,-1)</f>
        <v>4050</v>
      </c>
      <c r="E142" s="63">
        <f t="shared" si="5"/>
        <v>13380</v>
      </c>
    </row>
    <row r="143" spans="1:7" x14ac:dyDescent="0.3">
      <c r="A143" s="2">
        <v>8</v>
      </c>
      <c r="C143" s="38" t="s">
        <v>62</v>
      </c>
      <c r="D143" s="42">
        <v>1890</v>
      </c>
      <c r="E143" s="63">
        <f t="shared" si="5"/>
        <v>6240</v>
      </c>
    </row>
    <row r="144" spans="1:7" x14ac:dyDescent="0.3">
      <c r="A144" s="2">
        <v>9</v>
      </c>
      <c r="C144" s="38" t="s">
        <v>63</v>
      </c>
      <c r="D144" s="42">
        <f>TRUNC(4863,-1)</f>
        <v>4860</v>
      </c>
      <c r="E144" s="63">
        <f t="shared" si="5"/>
        <v>16060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35050</v>
      </c>
      <c r="E146" s="39">
        <f>SUM(E136:E145)</f>
        <v>115830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TRUNC(4170+1178,-1)</f>
        <v>5340</v>
      </c>
      <c r="E149" s="62">
        <f>TRUNC(+D149*3.3058,-1)</f>
        <v>17650</v>
      </c>
    </row>
    <row r="150" spans="1:7" x14ac:dyDescent="0.3">
      <c r="A150" s="2">
        <v>2</v>
      </c>
      <c r="C150" s="38" t="s">
        <v>49</v>
      </c>
      <c r="D150" s="42">
        <f>TRUNC(8025,-1)</f>
        <v>8020</v>
      </c>
      <c r="E150" s="63">
        <f>TRUNC(+D150*3.3058,-1)</f>
        <v>26510</v>
      </c>
    </row>
    <row r="151" spans="1:7" x14ac:dyDescent="0.3">
      <c r="A151" s="2">
        <v>3</v>
      </c>
      <c r="C151" s="38" t="s">
        <v>50</v>
      </c>
      <c r="D151" s="42">
        <f>TRUNC(7901,-1)</f>
        <v>7900</v>
      </c>
      <c r="E151" s="63">
        <f>TRUNC(+D151*3.3058,-1)</f>
        <v>26110</v>
      </c>
    </row>
    <row r="152" spans="1:7" x14ac:dyDescent="0.3">
      <c r="A152" s="2">
        <v>4</v>
      </c>
      <c r="C152" s="38" t="s">
        <v>47</v>
      </c>
      <c r="D152" s="42">
        <f>TRUNC(2476+259,-1)</f>
        <v>2730</v>
      </c>
      <c r="E152" s="63">
        <f>TRUNC(+D152*3.3058,-1)</f>
        <v>9020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23990</v>
      </c>
      <c r="E154" s="39">
        <f>SUM(E149:E153)</f>
        <v>79290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TRUNC(15996,-1)</f>
        <v>15990</v>
      </c>
      <c r="E157" s="62">
        <f>TRUNC(+D157*3.3058,-1)</f>
        <v>52850</v>
      </c>
    </row>
    <row r="158" spans="1:7" x14ac:dyDescent="0.3">
      <c r="A158" s="2">
        <v>2</v>
      </c>
      <c r="C158" s="38" t="s">
        <v>52</v>
      </c>
      <c r="D158" s="42">
        <f>TRUNC(1911,-1)</f>
        <v>1910</v>
      </c>
      <c r="E158" s="63">
        <f>TRUNC(+D158*3.3058,-1)</f>
        <v>6310</v>
      </c>
    </row>
    <row r="159" spans="1:7" x14ac:dyDescent="0.3">
      <c r="A159" s="2">
        <v>3</v>
      </c>
      <c r="C159" s="38" t="s">
        <v>47</v>
      </c>
      <c r="D159" s="42">
        <f>TRUNC(1907,-1)</f>
        <v>1900</v>
      </c>
      <c r="E159" s="63">
        <f>TRUNC(+D159*3.3058,-1)</f>
        <v>6280</v>
      </c>
      <c r="F159" s="2" t="s">
        <v>266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19800</v>
      </c>
      <c r="E161" s="39">
        <f>SUM(E157:E160)</f>
        <v>65440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2020-12-07T10:03:22Z</dcterms:modified>
</cp:coreProperties>
</file>