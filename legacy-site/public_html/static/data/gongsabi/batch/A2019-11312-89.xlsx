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5" i="4"/>
  <c r="D124" i="4"/>
  <c r="D122" i="4"/>
  <c r="D118" i="4"/>
  <c r="D105" i="4"/>
  <c r="D104" i="4"/>
  <c r="D103" i="4"/>
  <c r="D102" i="4"/>
  <c r="D101" i="4"/>
  <c r="D100" i="4"/>
  <c r="D99" i="4"/>
  <c r="D98" i="4"/>
  <c r="D94" i="4"/>
  <c r="D92" i="4"/>
  <c r="D72" i="4"/>
  <c r="D71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<sst xmlns="http://schemas.openxmlformats.org/spreadsheetml/2006/main" count="388" uniqueCount="262">
  <si>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</si>
  <si>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</si>
  <si>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</si>
  <si>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</si>
  <si>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</si>
  <si>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</si>
  <si>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</si>
  <si>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</si>
  <si>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</si>
  <si>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</si>
  <si>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</si>
  <si>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</si>
  <si>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</si>
  <si>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</si>
  <si>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</si>
  <si>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</si>
  <si>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</si>
  <si>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</si>
  <si>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</si>
  <si>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</si>
  <si>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</si>
  <si>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</si>
  <si>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</si>
  <si>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</si>
  <si>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</si>
  <si>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</si>
  <si>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</si>
  <si>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</si>
  <si>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</si>
  <si>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</si>
  <si>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</si>
  <si>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</si>
  <si>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</si>
  <si>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</si>
  <si>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</si>
  <si>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</si>
  <si>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</si>
  <si>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</si>
  <si>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</si>
  <si>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</si>
  <si>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</si>
  <si>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</si>
  <si>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</si>
  <si>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</si>
  <si>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</si>
  <si>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</si>
  <si>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</si>
  <si>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</si>
  <si>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</si>
  <si>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</si>
  <si>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</si>
  <si>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</si>
  <si>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</si>
  <si>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</si>
  <si>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</si>
  <si>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</si>
  <si>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</si>
  <si>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</si>
  <si>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</si>
  <si>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</si>
  <si>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</si>
  <si>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</si>
  <si>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</si>
  <si>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</si>
  <si>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</si>
  <si>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</si>
  <si>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</si>
  <si>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</si>
  <si>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</si>
  <si>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</si>
  <si>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</si>
  <si>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</si>
  <si>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</si>
  <si>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</si>
  <si>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</si>
  <si>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</si>
  <si>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</si>
  <si>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</si>
  <si>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</si>
  <si>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</si>
  <si>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</si>
  <si>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</si>
  <si>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</si>
  <si>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</si>
  <si>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</si>
  <si>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</si>
  <si>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</si>
  <si>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</si>
  <si>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</si>
  <si>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</si>
  <si>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</si>
  <si>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</si>
  <si>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</si>
  <si>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</si>
  <si>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</si>
  <si>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</si>
  <si>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</si>
  <si>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</si>
  <si>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</si>
  <si>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</si>
  <si>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</si>
  <si>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</si>
  <si>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</si>
  <si>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</si>
  <si>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</si>
  <si>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</si>
  <si>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</si>
  <si>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</si>
  <si>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</si>
  <si>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</si>
  <si>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</si>
  <si>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</si>
  <si>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</si>
  <si>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</si>
  <si>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</si>
  <si>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</si>
  <si>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</si>
  <si>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</si>
  <si>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</si>
  <si>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</si>
  <si>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</si>
  <si>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</si>
  <si>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</si>
  <si>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</si>
  <si>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</si>
  <si>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</si>
  <si>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</si>
  <si>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</si>
  <si>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</si>
  <si>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</si>
  <si>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</si>
  <si>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</si>
  <si>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</si>
  <si>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</si>
  <si>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</si>
  <si>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</si>
  <si>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</si>
  <si>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</si>
  <si>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</si>
  <si>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</si>
  <si>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</si>
  <si>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</si>
  <si>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</si>
  <si>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</si>
  <si>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</si>
  <si>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</si>
  <si>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</si>
  <si>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</si>
  <si>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</si>
  <si>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</si>
  <si>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</si>
  <si>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</si>
  <si>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</si>
  <si>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</si>
  <si>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</si>
  <si>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</si>
  <si>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</si>
  <si>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</si>
  <si>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</si>
  <si>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</si>
  <si>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</si>
  <si>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</si>
  <si>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</si>
  <si>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</si>
  <si>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</si>
  <si>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</si>
  <si>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</si>
  <si>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</si>
  <si>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</si>
  <si>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</si>
  <si>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</si>
  <si>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</si>
  <si>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</si>
  <si>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</si>
  <si>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</si>
  <si>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</si>
  <si>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</si>
  <si>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</si>
  <si>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</si>
  <si>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</si>
  <si>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</si>
  <si>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</si>
  <si>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</si>
  <si>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</si>
  <si>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</si>
  <si>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</si>
  <si>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</si>
  <si>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</si>
  <si>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</si>
  <si>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</si>
  <si>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</si>
  <si>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</si>
  <si>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</si>
  <si>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</si>
  <si>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</si>
  <si>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</si>
  <si>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</si>
  <si>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</si>
  <si>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</si>
  <si>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</si>
  <si>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</si>
  <si>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</si>
  <si>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</si>
  <si>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</si>
  <si>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</si>
  <si>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</si>
  <si>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</si>
  <si>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</si>
  <si>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</si>
  <si>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</si>
  <si>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</si>
  <si>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</si>
  <si>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</si>
  <si>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</si>
  <si>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</si>
  <si>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</si>
  <si>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</si>
  <si>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</si>
  <si>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</si>
  <si>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</si>
  <si>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</si>
  <si>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</si>
  <si>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</si>
  <si>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</si>
  <si>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</si>
  <si>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</si>
  <si>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</si>
  <si>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</si>
  <si>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</si>
  <si>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</si>
  <si>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</si>
  <si>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</si>
  <si>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</si>
  <si>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</si>
  <si>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</si>
  <si>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</si>
  <si>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</si>
  <si>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</si>
  <si>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</si>
  <si>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</si>
  <si>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</si>
  <si>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</si>
  <si>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</si>
  <si>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</si>
  <si>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</si>
  <si>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</si>
  <si>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</si>
  <si>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</si>
  <si>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</si>
  <si>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</si>
  <si>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웅천중학교 교사 신축공사</t>
    <phoneticPr fontId="2" type="noConversion"/>
  </si>
  <si>
    <t>경상도</t>
  </si>
  <si>
    <t>지붕및홈통공사 포함</t>
    <phoneticPr fontId="2" type="noConversion"/>
  </si>
  <si>
    <t>목공사및수장공사(인테리어공사 포함)</t>
    <phoneticPr fontId="2" type="noConversion"/>
  </si>
  <si>
    <t>기초공사, 골재비및운반비, 품질시험비, 기타공사</t>
    <phoneticPr fontId="2" type="noConversion"/>
  </si>
  <si>
    <t>공조배관공사, 난방배관공사,바닥난방공사, 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</si>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</sst>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9933.91</v>
      </c>
      <c r="D7" s="36">
        <f>+C7/3.3058</f>
        <v>3004.9942525258634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946510</v>
      </c>
      <c r="E25" s="59">
        <f t="shared" si="0"/>
        <v>3128970</v>
      </c>
    </row>
    <row r="26" spans="1:5" x14ac:dyDescent="0.3">
      <c r="B26" s="2">
        <v>3</v>
      </c>
      <c r="C26" s="35" t="s">
        <v>95</v>
      </c>
      <c r="D26" s="45">
        <f>+D66</f>
        <v>7580</v>
      </c>
      <c r="E26" s="59">
        <f t="shared" si="0"/>
        <v>25050</v>
      </c>
    </row>
    <row r="27" spans="1:5" x14ac:dyDescent="0.3">
      <c r="B27" s="2">
        <v>4</v>
      </c>
      <c r="C27" s="35" t="s">
        <v>96</v>
      </c>
      <c r="D27" s="45">
        <f>+D95</f>
        <v>56950</v>
      </c>
      <c r="E27" s="59">
        <f t="shared" si="0"/>
        <v>188260</v>
      </c>
    </row>
    <row r="28" spans="1:5" x14ac:dyDescent="0.3">
      <c r="B28" s="2">
        <v>5</v>
      </c>
      <c r="C28" s="35" t="s">
        <v>97</v>
      </c>
      <c r="D28" s="45">
        <f>+D119</f>
        <v>158430</v>
      </c>
      <c r="E28" s="59">
        <f t="shared" si="0"/>
        <v>523730</v>
      </c>
    </row>
    <row r="29" spans="1:5" x14ac:dyDescent="0.3">
      <c r="B29" s="2">
        <v>6</v>
      </c>
      <c r="C29" s="35" t="s">
        <v>98</v>
      </c>
      <c r="D29" s="45">
        <f>+D133</f>
        <v>79120</v>
      </c>
      <c r="E29" s="59">
        <f t="shared" si="0"/>
        <v>261550</v>
      </c>
    </row>
    <row r="30" spans="1:5" x14ac:dyDescent="0.3">
      <c r="B30" s="2">
        <v>7</v>
      </c>
      <c r="C30" s="35" t="s">
        <v>99</v>
      </c>
      <c r="D30" s="45">
        <f>+D146</f>
        <v>35640</v>
      </c>
      <c r="E30" s="59">
        <f t="shared" si="0"/>
        <v>117810</v>
      </c>
    </row>
    <row r="31" spans="1:5" x14ac:dyDescent="0.3">
      <c r="B31" s="2">
        <v>8</v>
      </c>
      <c r="C31" s="35" t="s">
        <v>100</v>
      </c>
      <c r="D31" s="45">
        <f>+D154</f>
        <v>73980</v>
      </c>
      <c r="E31" s="59">
        <f t="shared" si="0"/>
        <v>244560</v>
      </c>
    </row>
    <row r="32" spans="1:5" x14ac:dyDescent="0.3">
      <c r="B32" s="2">
        <v>9</v>
      </c>
      <c r="C32" s="35" t="s">
        <v>101</v>
      </c>
      <c r="D32" s="45">
        <f>+D161</f>
        <v>31480</v>
      </c>
      <c r="E32" s="59">
        <f t="shared" si="0"/>
        <v>104060</v>
      </c>
    </row>
    <row r="33" spans="1:7" x14ac:dyDescent="0.3">
      <c r="B33" s="2">
        <v>10</v>
      </c>
      <c r="C33" s="35" t="s">
        <v>155</v>
      </c>
      <c r="D33" s="53">
        <f>TRUNC(SUM(D24:D32)*0.275,-1)</f>
        <v>382160</v>
      </c>
      <c r="E33" s="60">
        <f t="shared" si="0"/>
        <v>1263340</v>
      </c>
    </row>
    <row r="34" spans="1:7" x14ac:dyDescent="0.3">
      <c r="C34" s="35" t="s">
        <v>112</v>
      </c>
      <c r="D34" s="44">
        <f>SUM(D24:D33)</f>
        <v>1771850</v>
      </c>
      <c r="E34" s="44">
        <f>SUM(E24:E33)</f>
        <v>5857330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TRUNC(60718,-1)</f>
        <v>60710</v>
      </c>
      <c r="E40" s="62">
        <f t="shared" ref="E40:E59" si="1">TRUNC(+D40*3.3058,-1)</f>
        <v>200690</v>
      </c>
    </row>
    <row r="41" spans="1:7" x14ac:dyDescent="0.3">
      <c r="A41" s="2">
        <v>2</v>
      </c>
      <c r="C41" s="38" t="s">
        <v>13</v>
      </c>
      <c r="D41" s="42">
        <f>TRUNC(162215,-1)</f>
        <v>162210</v>
      </c>
      <c r="E41" s="63">
        <f t="shared" si="1"/>
        <v>536230</v>
      </c>
    </row>
    <row r="42" spans="1:7" x14ac:dyDescent="0.3">
      <c r="A42" s="2">
        <v>3</v>
      </c>
      <c r="C42" s="38" t="s">
        <v>14</v>
      </c>
      <c r="D42" s="42">
        <f>TRUNC(13211,-1)</f>
        <v>13210</v>
      </c>
      <c r="E42" s="63">
        <f t="shared" si="1"/>
        <v>43660</v>
      </c>
    </row>
    <row r="43" spans="1:7" x14ac:dyDescent="0.3">
      <c r="A43" s="2">
        <v>4</v>
      </c>
      <c r="C43" s="38" t="s">
        <v>16</v>
      </c>
      <c r="D43" s="42">
        <f>TRUNC(31909,-1)</f>
        <v>31900</v>
      </c>
      <c r="E43" s="63">
        <f t="shared" si="1"/>
        <v>105450</v>
      </c>
    </row>
    <row r="44" spans="1:7" x14ac:dyDescent="0.3">
      <c r="A44" s="2">
        <v>5</v>
      </c>
      <c r="C44" s="38" t="s">
        <v>17</v>
      </c>
      <c r="D44" s="42">
        <f>TRUNC(24455,-1)</f>
        <v>24450</v>
      </c>
      <c r="E44" s="63">
        <f t="shared" si="1"/>
        <v>80820</v>
      </c>
    </row>
    <row r="45" spans="1:7" x14ac:dyDescent="0.3">
      <c r="A45" s="2">
        <v>6</v>
      </c>
      <c r="C45" s="38" t="s">
        <v>18</v>
      </c>
      <c r="D45" s="42">
        <f>TRUNC(9527,-1)</f>
        <v>9520</v>
      </c>
      <c r="E45" s="63">
        <f t="shared" si="1"/>
        <v>31470</v>
      </c>
    </row>
    <row r="46" spans="1:7" x14ac:dyDescent="0.3">
      <c r="A46" s="2">
        <v>7</v>
      </c>
      <c r="C46" s="38" t="s">
        <v>19</v>
      </c>
      <c r="D46" s="42">
        <f>TRUNC(37071,-1)</f>
        <v>37070</v>
      </c>
      <c r="E46" s="63">
        <f t="shared" si="1"/>
        <v>122540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TRUNC(57025,-1)</f>
        <v>57020</v>
      </c>
      <c r="E48" s="63">
        <f t="shared" si="1"/>
        <v>188490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TRUNC(19266,-1)</f>
        <v>19260</v>
      </c>
      <c r="E49" s="63">
        <f t="shared" si="1"/>
        <v>63660</v>
      </c>
    </row>
    <row r="50" spans="1:7" x14ac:dyDescent="0.3">
      <c r="A50" s="2">
        <v>11</v>
      </c>
      <c r="C50" s="38" t="s">
        <v>156</v>
      </c>
      <c r="D50" s="42">
        <f>TRUNC(46449,-1)</f>
        <v>46440</v>
      </c>
      <c r="E50" s="63">
        <f t="shared" si="1"/>
        <v>153520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TRUNC(15456,-1)</f>
        <v>15450</v>
      </c>
      <c r="E52" s="63">
        <f t="shared" si="1"/>
        <v>51070</v>
      </c>
    </row>
    <row r="53" spans="1:7" x14ac:dyDescent="0.3">
      <c r="A53" s="2">
        <v>14</v>
      </c>
      <c r="C53" s="38" t="s">
        <v>25</v>
      </c>
      <c r="D53" s="42">
        <f>TRUNC(96141,-1)</f>
        <v>96140</v>
      </c>
      <c r="E53" s="63">
        <f t="shared" si="1"/>
        <v>317810</v>
      </c>
      <c r="F53" s="2" t="s">
        <v>253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TRUNC(17302+12583+1560+17161,-1)</f>
        <v>48600</v>
      </c>
      <c r="E58" s="63">
        <f t="shared" si="1"/>
        <v>160660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43">
        <f>TRUNC(324538,-1)</f>
        <v>324530</v>
      </c>
      <c r="E59" s="64">
        <f t="shared" si="1"/>
        <v>1072830</v>
      </c>
    </row>
    <row r="60" spans="1:7" x14ac:dyDescent="0.3">
      <c r="A60" s="2">
        <v>21</v>
      </c>
      <c r="C60" s="27" t="s">
        <v>112</v>
      </c>
      <c r="D60" s="39">
        <f>SUM(D40:D59)</f>
        <v>946510</v>
      </c>
      <c r="E60" s="39">
        <f>SUM(E40:E59)</f>
        <v>3128900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TRUNC(7588,-1)</f>
        <v>7580</v>
      </c>
      <c r="E63" s="62">
        <f>TRUNC(+D63*3.3058,-1)</f>
        <v>25050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7580</v>
      </c>
      <c r="E66" s="65">
        <f>SUM(E63:E65)</f>
        <v>25050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TRUNC(5738,-1)</f>
        <v>5730</v>
      </c>
      <c r="E69" s="62">
        <f t="shared" ref="E69:E94" si="2">TRUNC(+D69*3.3058,-1)</f>
        <v>18940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TRUNC(2921,-1)</f>
        <v>2920</v>
      </c>
      <c r="E71" s="63">
        <f t="shared" si="2"/>
        <v>9650</v>
      </c>
    </row>
    <row r="72" spans="1:7" x14ac:dyDescent="0.3">
      <c r="A72" s="2">
        <v>4</v>
      </c>
      <c r="C72" s="38" t="s">
        <v>33</v>
      </c>
      <c r="D72" s="42">
        <f>TRUNC(5356,-1)</f>
        <v>5350</v>
      </c>
      <c r="E72" s="63">
        <f t="shared" si="2"/>
        <v>17680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TRUNC(14709,-1)</f>
        <v>14700</v>
      </c>
      <c r="E92" s="63">
        <f t="shared" si="2"/>
        <v>48590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TRUNC(2455+2275+613+22913,-1)</f>
        <v>28250</v>
      </c>
      <c r="E94" s="64">
        <f t="shared" si="2"/>
        <v>93380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56950</v>
      </c>
      <c r="E95" s="39">
        <f>SUM(E69:E94)</f>
        <v>188240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TRUNC(21696,-1)</f>
        <v>21690</v>
      </c>
      <c r="E98" s="62">
        <f t="shared" ref="E98:E118" si="3">TRUNC(+D98*3.3058,-1)</f>
        <v>71700</v>
      </c>
    </row>
    <row r="99" spans="1:7" x14ac:dyDescent="0.3">
      <c r="A99" s="2">
        <v>2</v>
      </c>
      <c r="C99" s="38" t="s">
        <v>40</v>
      </c>
      <c r="D99" s="42">
        <f>TRUNC(1546,-1)</f>
        <v>1540</v>
      </c>
      <c r="E99" s="63">
        <f t="shared" si="3"/>
        <v>5090</v>
      </c>
    </row>
    <row r="100" spans="1:7" x14ac:dyDescent="0.3">
      <c r="A100" s="2">
        <v>3</v>
      </c>
      <c r="C100" s="38" t="s">
        <v>41</v>
      </c>
      <c r="D100" s="42">
        <f>TRUNC(21948,-1)</f>
        <v>21940</v>
      </c>
      <c r="E100" s="63">
        <f t="shared" si="3"/>
        <v>72520</v>
      </c>
    </row>
    <row r="101" spans="1:7" x14ac:dyDescent="0.3">
      <c r="A101" s="2">
        <v>4</v>
      </c>
      <c r="C101" s="38" t="s">
        <v>42</v>
      </c>
      <c r="D101" s="42">
        <f>TRUNC(1494,-1)</f>
        <v>1490</v>
      </c>
      <c r="E101" s="63">
        <f t="shared" si="3"/>
        <v>4920</v>
      </c>
    </row>
    <row r="102" spans="1:7" x14ac:dyDescent="0.3">
      <c r="A102" s="2">
        <v>5</v>
      </c>
      <c r="C102" s="38" t="s">
        <v>43</v>
      </c>
      <c r="D102" s="42">
        <f>TRUNC(23627,-1)</f>
        <v>23620</v>
      </c>
      <c r="E102" s="63">
        <f t="shared" si="3"/>
        <v>78080</v>
      </c>
    </row>
    <row r="103" spans="1:7" x14ac:dyDescent="0.3">
      <c r="A103" s="2">
        <v>6</v>
      </c>
      <c r="C103" s="38" t="s">
        <v>44</v>
      </c>
      <c r="D103" s="42">
        <f>TRUNC(2695,-1)</f>
        <v>2690</v>
      </c>
      <c r="E103" s="63">
        <f t="shared" si="3"/>
        <v>8890</v>
      </c>
    </row>
    <row r="104" spans="1:7" x14ac:dyDescent="0.3">
      <c r="A104" s="2">
        <v>7</v>
      </c>
      <c r="C104" s="38" t="s">
        <v>45</v>
      </c>
      <c r="D104" s="42">
        <f>TRUNC(3984,-1)</f>
        <v>3980</v>
      </c>
      <c r="E104" s="63">
        <f t="shared" si="3"/>
        <v>13150</v>
      </c>
    </row>
    <row r="105" spans="1:7" x14ac:dyDescent="0.3">
      <c r="A105" s="2">
        <v>8</v>
      </c>
      <c r="C105" s="38" t="s">
        <v>46</v>
      </c>
      <c r="D105" s="42">
        <f>TRUNC(6697,-1)</f>
        <v>6690</v>
      </c>
      <c r="E105" s="63">
        <f t="shared" si="3"/>
        <v>22110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v>73180</v>
      </c>
      <c r="E117" s="63">
        <f t="shared" si="3"/>
        <v>241910</v>
      </c>
    </row>
    <row r="118" spans="1:7" ht="17.25" thickBot="1" x14ac:dyDescent="0.35">
      <c r="A118" s="2">
        <v>21</v>
      </c>
      <c r="C118" s="38" t="s">
        <v>47</v>
      </c>
      <c r="D118" s="43">
        <f>TRUNC(1613,-1)</f>
        <v>1610</v>
      </c>
      <c r="E118" s="64">
        <f t="shared" si="3"/>
        <v>5320</v>
      </c>
    </row>
    <row r="119" spans="1:7" x14ac:dyDescent="0.3">
      <c r="A119" s="2">
        <v>22</v>
      </c>
      <c r="C119" s="27" t="s">
        <v>112</v>
      </c>
      <c r="D119" s="39">
        <f>SUM(D98:D118)</f>
        <v>158430</v>
      </c>
      <c r="E119" s="39">
        <f>SUM(E98:E118)</f>
        <v>523690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TRUNC(6124,-1)</f>
        <v>6120</v>
      </c>
      <c r="E122" s="62">
        <f t="shared" ref="E122:E132" si="4">TRUNC(+D122*3.3058,-1)</f>
        <v>20230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TRUNC(1622,-1)</f>
        <v>1620</v>
      </c>
      <c r="E124" s="63">
        <f t="shared" si="4"/>
        <v>5350</v>
      </c>
    </row>
    <row r="125" spans="1:7" x14ac:dyDescent="0.3">
      <c r="A125" s="2">
        <v>4</v>
      </c>
      <c r="C125" s="38" t="s">
        <v>138</v>
      </c>
      <c r="D125" s="42">
        <f>TRUNC(9706,-1)</f>
        <v>9700</v>
      </c>
      <c r="E125" s="63">
        <f t="shared" si="4"/>
        <v>32060</v>
      </c>
    </row>
    <row r="126" spans="1:7" x14ac:dyDescent="0.3">
      <c r="A126" s="2">
        <v>5</v>
      </c>
      <c r="C126" s="38" t="s">
        <v>53</v>
      </c>
      <c r="D126" s="42">
        <v>2420</v>
      </c>
      <c r="E126" s="63">
        <f t="shared" si="4"/>
        <v>8000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TRUNC(6207,-1)</f>
        <v>6200</v>
      </c>
      <c r="E128" s="63">
        <f t="shared" si="4"/>
        <v>20490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TRUNC(5181,-1)</f>
        <v>5180</v>
      </c>
      <c r="E130" s="63">
        <f t="shared" si="4"/>
        <v>17120</v>
      </c>
    </row>
    <row r="131" spans="1:7" x14ac:dyDescent="0.3">
      <c r="A131" s="2">
        <v>10</v>
      </c>
      <c r="C131" s="38" t="s">
        <v>149</v>
      </c>
      <c r="D131" s="42">
        <f>TRUNC(42109,-1)</f>
        <v>42100</v>
      </c>
      <c r="E131" s="63">
        <f t="shared" si="4"/>
        <v>139170</v>
      </c>
    </row>
    <row r="132" spans="1:7" ht="18" thickBot="1" x14ac:dyDescent="0.35">
      <c r="A132" s="2">
        <v>11</v>
      </c>
      <c r="C132" s="38" t="s">
        <v>47</v>
      </c>
      <c r="D132" s="43">
        <f>TRUNC(4337+1446,-1)</f>
        <v>5780</v>
      </c>
      <c r="E132" s="64">
        <f t="shared" si="4"/>
        <v>19100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79120</v>
      </c>
      <c r="E133" s="39">
        <f>SUM(E122:E132)</f>
        <v>261520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TRUNC(6188,-1)</f>
        <v>6180</v>
      </c>
      <c r="E137" s="63">
        <f t="shared" si="5"/>
        <v>20420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TRUNC(5347,-1)</f>
        <v>5340</v>
      </c>
      <c r="E140" s="63">
        <f t="shared" si="5"/>
        <v>17650</v>
      </c>
    </row>
    <row r="141" spans="1:7" x14ac:dyDescent="0.3">
      <c r="A141" s="2">
        <v>6</v>
      </c>
      <c r="C141" s="38" t="s">
        <v>59</v>
      </c>
      <c r="D141" s="42">
        <f>TRUNC(3829,-1)</f>
        <v>3820</v>
      </c>
      <c r="E141" s="63">
        <f t="shared" si="5"/>
        <v>12620</v>
      </c>
    </row>
    <row r="142" spans="1:7" x14ac:dyDescent="0.3">
      <c r="A142" s="2">
        <v>7</v>
      </c>
      <c r="C142" s="38" t="s">
        <v>58</v>
      </c>
      <c r="D142" s="42">
        <f>TRUNC(10091,-1)</f>
        <v>10090</v>
      </c>
      <c r="E142" s="63">
        <f t="shared" si="5"/>
        <v>33350</v>
      </c>
    </row>
    <row r="143" spans="1:7" x14ac:dyDescent="0.3">
      <c r="A143" s="2">
        <v>8</v>
      </c>
      <c r="C143" s="38" t="s">
        <v>62</v>
      </c>
      <c r="D143" s="42">
        <f>TRUNC(4102,-1)</f>
        <v>4100</v>
      </c>
      <c r="E143" s="63">
        <f t="shared" si="5"/>
        <v>13550</v>
      </c>
    </row>
    <row r="144" spans="1:7" x14ac:dyDescent="0.3">
      <c r="A144" s="2">
        <v>9</v>
      </c>
      <c r="C144" s="38" t="s">
        <v>63</v>
      </c>
      <c r="D144" s="42">
        <f>TRUNC(6113,-1)</f>
        <v>6110</v>
      </c>
      <c r="E144" s="63">
        <f t="shared" si="5"/>
        <v>20190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35640</v>
      </c>
      <c r="E146" s="39">
        <f>SUM(E136:E145)</f>
        <v>117780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TRUNC(9936+2847,-1)</f>
        <v>12780</v>
      </c>
      <c r="E149" s="62">
        <f>TRUNC(+D149*3.3058,-1)</f>
        <v>42240</v>
      </c>
    </row>
    <row r="150" spans="1:7" x14ac:dyDescent="0.3">
      <c r="A150" s="2">
        <v>2</v>
      </c>
      <c r="C150" s="38" t="s">
        <v>49</v>
      </c>
      <c r="D150" s="42">
        <f>TRUNC(10183,-1)</f>
        <v>10180</v>
      </c>
      <c r="E150" s="63">
        <f>TRUNC(+D150*3.3058,-1)</f>
        <v>33650</v>
      </c>
    </row>
    <row r="151" spans="1:7" x14ac:dyDescent="0.3">
      <c r="A151" s="2">
        <v>3</v>
      </c>
      <c r="C151" s="38" t="s">
        <v>50</v>
      </c>
      <c r="D151" s="42">
        <f>TRUNC(8677,-1)</f>
        <v>8670</v>
      </c>
      <c r="E151" s="63">
        <f>TRUNC(+D151*3.3058,-1)</f>
        <v>28660</v>
      </c>
    </row>
    <row r="152" spans="1:7" x14ac:dyDescent="0.3">
      <c r="A152" s="2">
        <v>4</v>
      </c>
      <c r="C152" s="38" t="s">
        <v>47</v>
      </c>
      <c r="D152" s="42">
        <f>TRUNC(7947,-1)</f>
        <v>7940</v>
      </c>
      <c r="E152" s="63">
        <f>TRUNC(+D152*3.3058,-1)</f>
        <v>26240</v>
      </c>
    </row>
    <row r="153" spans="1:7" ht="17.25" thickBot="1" x14ac:dyDescent="0.35">
      <c r="A153" s="2">
        <v>5</v>
      </c>
      <c r="C153" s="38" t="s">
        <v>149</v>
      </c>
      <c r="D153" s="43">
        <f>TRUNC(34413,-1)</f>
        <v>34410</v>
      </c>
      <c r="E153" s="64">
        <f>TRUNC(+D153*3.3058,-1)</f>
        <v>113750</v>
      </c>
    </row>
    <row r="154" spans="1:7" x14ac:dyDescent="0.3">
      <c r="A154" s="2">
        <v>6</v>
      </c>
      <c r="C154" s="27" t="s">
        <v>112</v>
      </c>
      <c r="D154" s="39">
        <f>SUM(D149:D153)</f>
        <v>73980</v>
      </c>
      <c r="E154" s="39">
        <f>SUM(E149:E153)</f>
        <v>244540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TRUNC(25082,-1)</f>
        <v>25080</v>
      </c>
      <c r="E157" s="62">
        <f>TRUNC(+D157*3.3058,-1)</f>
        <v>82900</v>
      </c>
    </row>
    <row r="158" spans="1:7" x14ac:dyDescent="0.3">
      <c r="A158" s="2">
        <v>2</v>
      </c>
      <c r="C158" s="38" t="s">
        <v>52</v>
      </c>
      <c r="D158" s="42">
        <f>TRUNC(1081,-1)</f>
        <v>1080</v>
      </c>
      <c r="E158" s="63">
        <f>TRUNC(+D158*3.3058,-1)</f>
        <v>3570</v>
      </c>
    </row>
    <row r="159" spans="1:7" x14ac:dyDescent="0.3">
      <c r="A159" s="2">
        <v>3</v>
      </c>
      <c r="C159" s="38" t="s">
        <v>47</v>
      </c>
      <c r="D159" s="42">
        <f>TRUNC(43,-1)</f>
        <v>40</v>
      </c>
      <c r="E159" s="63">
        <f>TRUNC(+D159*3.3058,-1)</f>
        <v>130</v>
      </c>
      <c r="F159" s="2" t="s">
        <v>258</v>
      </c>
    </row>
    <row r="160" spans="1:7" ht="17.25" thickBot="1" x14ac:dyDescent="0.35">
      <c r="A160" s="2">
        <v>4</v>
      </c>
      <c r="C160" s="38" t="s">
        <v>149</v>
      </c>
      <c r="D160" s="43">
        <f>TRUNC(5282,-1)</f>
        <v>5280</v>
      </c>
      <c r="E160" s="64">
        <f>TRUNC(+D160*3.3058,-1)</f>
        <v>17450</v>
      </c>
    </row>
    <row r="161" spans="1:5" x14ac:dyDescent="0.3">
      <c r="A161" s="2">
        <v>5</v>
      </c>
      <c r="C161" s="27" t="s">
        <v>112</v>
      </c>
      <c r="D161" s="39">
        <f>SUM(D157:D160)</f>
        <v>31480</v>
      </c>
      <c r="E161" s="39">
        <f>SUM(E157:E160)</f>
        <v>104050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2020-12-08T04:40:25Z</dcterms:modified>
</cp:coreProperties>
</file>