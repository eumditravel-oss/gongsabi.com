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1" i="4"/>
  <c r="D140" i="4"/>
  <c r="E123" i="4"/>
  <c r="E122" i="4"/>
  <c r="D137" i="4"/>
  <c r="D132" i="4"/>
  <c r="D130" i="4"/>
  <c r="D128" i="4"/>
  <c r="D125" i="4"/>
  <c r="D124" i="4"/>
  <c r="D122" i="4"/>
  <c r="D118" i="4"/>
  <c r="D117" i="4"/>
  <c r="D116" i="4"/>
  <c r="D114" i="4"/>
  <c r="D104" i="4"/>
  <c r="D103" i="4"/>
  <c r="D102" i="4"/>
  <c r="D101" i="4"/>
  <c r="D100" i="4"/>
  <c r="D99" i="4"/>
  <c r="D98" i="4"/>
  <c r="D94" i="4"/>
  <c r="D92" i="4"/>
  <c r="D91" i="4"/>
  <c r="D90" i="4"/>
  <c r="D89" i="4"/>
  <c r="D73" i="4"/>
  <c r="D72" i="4"/>
  <c r="D71" i="4"/>
  <c r="D70" i="4"/>
  <c r="D69" i="4"/>
  <c r="D63" i="4"/>
  <c r="D58" i="4"/>
  <c r="D59" i="4"/>
  <c r="D53" i="4"/>
  <c r="D52" i="4"/>
  <c r="D50" i="4"/>
  <c r="D49" i="4"/>
  <c r="D48" i="4"/>
  <c r="D40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<sst xmlns="http://schemas.openxmlformats.org/spreadsheetml/2006/main" count="391" uniqueCount="267">
  <si>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</si>
  <si>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</si>
  <si>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</si>
  <si>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</si>
  <si>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</si>
  <si>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</si>
  <si>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</si>
  <si>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</si>
  <si>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</si>
  <si>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</si>
  <si>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</si>
  <si>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</si>
  <si>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</si>
  <si>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</si>
  <si>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</si>
  <si>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</si>
  <si>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</si>
  <si>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</si>
  <si>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</si>
  <si>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</si>
  <si>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</si>
  <si>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</si>
  <si>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</si>
  <si>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</si>
  <si>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</si>
  <si>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</si>
  <si>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</si>
  <si>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</si>
  <si>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</si>
  <si>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</si>
  <si>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</si>
  <si>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</si>
  <si>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</si>
  <si>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</si>
  <si>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</si>
  <si>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</si>
  <si>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</si>
  <si>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</si>
  <si>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</si>
  <si>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</si>
  <si>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</si>
  <si>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</si>
  <si>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</si>
  <si>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</si>
  <si>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</si>
  <si>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</si>
  <si>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</si>
  <si>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</si>
  <si>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</si>
  <si>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</si>
  <si>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</si>
  <si>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</si>
  <si>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</si>
  <si>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</si>
  <si>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</si>
  <si>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</si>
  <si>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</si>
  <si>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</si>
  <si>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</si>
  <si>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</si>
  <si>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</si>
  <si>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</si>
  <si>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</si>
  <si>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</si>
  <si>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</si>
  <si>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</si>
  <si>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</si>
  <si>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</si>
  <si>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</si>
  <si>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</si>
  <si>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</si>
  <si>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</si>
  <si>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</si>
  <si>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</si>
  <si>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</si>
  <si>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</si>
  <si>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</si>
  <si>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</si>
  <si>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</si>
  <si>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</si>
  <si>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</si>
  <si>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</si>
  <si>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</si>
  <si>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</si>
  <si>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</si>
  <si>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</si>
  <si>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</si>
  <si>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</si>
  <si>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</si>
  <si>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</si>
  <si>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</si>
  <si>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</si>
  <si>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</si>
  <si>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</si>
  <si>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</si>
  <si>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</si>
  <si>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</si>
  <si>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</si>
  <si>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</si>
  <si>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</si>
  <si>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</si>
  <si>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</si>
  <si>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</si>
  <si>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</si>
  <si>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</si>
  <si>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</si>
  <si>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</si>
  <si>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</si>
  <si>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</si>
  <si>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</si>
  <si>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</si>
  <si>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</si>
  <si>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</si>
  <si>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</si>
  <si>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</si>
  <si>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</si>
  <si>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</si>
  <si>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</si>
  <si>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</si>
  <si>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</si>
  <si>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</si>
  <si>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</si>
  <si>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</si>
  <si>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</si>
  <si>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</si>
  <si>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</si>
  <si>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</si>
  <si>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</si>
  <si>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</si>
  <si>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</si>
  <si>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</si>
  <si>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</si>
  <si>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</si>
  <si>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</si>
  <si>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</si>
  <si>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</si>
  <si>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</si>
  <si>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</si>
  <si>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</si>
  <si>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</si>
  <si>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</si>
  <si>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</si>
  <si>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</si>
  <si>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</si>
  <si>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</si>
  <si>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</si>
  <si>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</si>
  <si>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</si>
  <si>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</si>
  <si>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</si>
  <si>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</si>
  <si>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</si>
  <si>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</si>
  <si>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</si>
  <si>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</si>
  <si>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</si>
  <si>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</si>
  <si>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</si>
  <si>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</si>
  <si>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</si>
  <si>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</si>
  <si>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</si>
  <si>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</si>
  <si>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</si>
  <si>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</si>
  <si>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</si>
  <si>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</si>
  <si>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</si>
  <si>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</si>
  <si>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</si>
  <si>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</si>
  <si>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</si>
  <si>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</si>
  <si>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</si>
  <si>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</si>
  <si>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</si>
  <si>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</si>
  <si>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</si>
  <si>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</si>
  <si>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</si>
  <si>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</si>
  <si>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</si>
  <si>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</si>
  <si>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</si>
  <si>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</si>
  <si>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</si>
  <si>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</si>
  <si>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</si>
  <si>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</si>
  <si>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</si>
  <si>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</si>
  <si>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</si>
  <si>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</si>
  <si>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</si>
  <si>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</si>
  <si>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</si>
  <si>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</si>
  <si>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</si>
  <si>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</si>
  <si>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</si>
  <si>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</si>
  <si>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</si>
  <si>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</si>
  <si>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</si>
  <si>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</si>
  <si>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</si>
  <si>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</si>
  <si>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</si>
  <si>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</si>
  <si>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</si>
  <si>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</si>
  <si>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</si>
  <si>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</si>
  <si>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</si>
  <si>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</si>
  <si>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</si>
  <si>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</si>
  <si>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</si>
  <si>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</si>
  <si>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</si>
  <si>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</si>
  <si>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</si>
  <si>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</si>
  <si>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</si>
  <si>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</si>
  <si>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</si>
  <si>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</si>
  <si>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</si>
  <si>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</si>
  <si>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</si>
  <si>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</si>
  <si>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</si>
  <si>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</si>
  <si>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</si>
  <si>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</si>
  <si>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</si>
  <si>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</si>
  <si>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</si>
  <si>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</si>
  <si>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</si>
  <si>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</si>
  <si>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</si>
  <si>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</si>
  <si>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</si>
  <si>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</si>
  <si>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</si>
  <si>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</si>
  <si>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</si>
  <si>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</si>
  <si>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</si>
  <si>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</si>
  <si>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</si>
  <si>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</si>
  <si>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</si>
  <si>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</si>
  <si>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</si>
  <si>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</si>
  <si>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</si>
  <si>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포산중학교 이전(신축)공사(장기계속)</t>
    <phoneticPr fontId="2" type="noConversion"/>
  </si>
  <si>
    <t>대구시</t>
  </si>
  <si>
    <t>기초공사, 골재비및운반비, 작업부산물, 기타공사</t>
    <phoneticPr fontId="2" type="noConversion"/>
  </si>
  <si>
    <t>공조배관공사,기타공사</t>
    <phoneticPr fontId="2" type="noConversion"/>
  </si>
  <si>
    <t>옥외보안등설비공사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</si>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</sst>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13532.52</v>
      </c>
      <c r="D7" s="36">
        <f>+C7/3.3058</f>
        <v>4093.5688789400447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807480</v>
      </c>
      <c r="E25" s="59">
        <f t="shared" si="0"/>
        <v>2669360</v>
      </c>
    </row>
    <row r="26" spans="1:5" x14ac:dyDescent="0.3">
      <c r="B26" s="2">
        <v>3</v>
      </c>
      <c r="C26" s="35" t="s">
        <v>95</v>
      </c>
      <c r="D26" s="45">
        <f>+D66</f>
        <v>2000</v>
      </c>
      <c r="E26" s="59">
        <f t="shared" si="0"/>
        <v>6610</v>
      </c>
    </row>
    <row r="27" spans="1:5" x14ac:dyDescent="0.3">
      <c r="B27" s="2">
        <v>4</v>
      </c>
      <c r="C27" s="35" t="s">
        <v>96</v>
      </c>
      <c r="D27" s="45">
        <f>+D95</f>
        <v>53090</v>
      </c>
      <c r="E27" s="59">
        <f t="shared" si="0"/>
        <v>175500</v>
      </c>
    </row>
    <row r="28" spans="1:5" x14ac:dyDescent="0.3">
      <c r="B28" s="2">
        <v>5</v>
      </c>
      <c r="C28" s="35" t="s">
        <v>97</v>
      </c>
      <c r="D28" s="45">
        <f>+D119</f>
        <v>156790</v>
      </c>
      <c r="E28" s="59">
        <f t="shared" si="0"/>
        <v>518310</v>
      </c>
    </row>
    <row r="29" spans="1:5" x14ac:dyDescent="0.3">
      <c r="B29" s="2">
        <v>6</v>
      </c>
      <c r="C29" s="35" t="s">
        <v>98</v>
      </c>
      <c r="D29" s="45">
        <f>+D133</f>
        <v>49720</v>
      </c>
      <c r="E29" s="59">
        <f t="shared" si="0"/>
        <v>164360</v>
      </c>
    </row>
    <row r="30" spans="1:5" x14ac:dyDescent="0.3">
      <c r="B30" s="2">
        <v>7</v>
      </c>
      <c r="C30" s="35" t="s">
        <v>99</v>
      </c>
      <c r="D30" s="45">
        <f>+D146</f>
        <v>28720</v>
      </c>
      <c r="E30" s="59">
        <f t="shared" si="0"/>
        <v>94940</v>
      </c>
    </row>
    <row r="31" spans="1:5" x14ac:dyDescent="0.3">
      <c r="B31" s="2">
        <v>8</v>
      </c>
      <c r="C31" s="35" t="s">
        <v>100</v>
      </c>
      <c r="D31" s="45">
        <f>+D154</f>
        <v>30700</v>
      </c>
      <c r="E31" s="59">
        <f t="shared" si="0"/>
        <v>101480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310330</v>
      </c>
      <c r="E33" s="60">
        <f t="shared" si="0"/>
        <v>1025880</v>
      </c>
    </row>
    <row r="34" spans="1:7" x14ac:dyDescent="0.3">
      <c r="C34" s="35" t="s">
        <v>112</v>
      </c>
      <c r="D34" s="44">
        <f>SUM(D24:D33)</f>
        <v>1438830</v>
      </c>
      <c r="E34" s="44">
        <f>SUM(E24:E33)</f>
        <v>4756440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TRUNC(34508,-1)</f>
        <v>34500</v>
      </c>
      <c r="E40" s="62">
        <f t="shared" ref="E40:E59" si="1">TRUNC(+D40*3.3058,-1)</f>
        <v>114050</v>
      </c>
    </row>
    <row r="41" spans="1:7" x14ac:dyDescent="0.3">
      <c r="A41" s="2">
        <v>2</v>
      </c>
      <c r="C41" s="38" t="s">
        <v>13</v>
      </c>
      <c r="D41" s="42">
        <f>TRUNC(107073,-1)</f>
        <v>107070</v>
      </c>
      <c r="E41" s="63">
        <f t="shared" si="1"/>
        <v>353950</v>
      </c>
    </row>
    <row r="42" spans="1:7" x14ac:dyDescent="0.3">
      <c r="A42" s="2">
        <v>3</v>
      </c>
      <c r="C42" s="38" t="s">
        <v>14</v>
      </c>
      <c r="D42" s="42">
        <f>TRUNC(6775,-1)</f>
        <v>6770</v>
      </c>
      <c r="E42" s="63">
        <f t="shared" si="1"/>
        <v>22380</v>
      </c>
    </row>
    <row r="43" spans="1:7" x14ac:dyDescent="0.3">
      <c r="A43" s="2">
        <v>4</v>
      </c>
      <c r="C43" s="38" t="s">
        <v>16</v>
      </c>
      <c r="D43" s="42">
        <f>TRUNC(25122,-1)</f>
        <v>25120</v>
      </c>
      <c r="E43" s="63">
        <f t="shared" si="1"/>
        <v>83040</v>
      </c>
    </row>
    <row r="44" spans="1:7" x14ac:dyDescent="0.3">
      <c r="A44" s="2">
        <v>5</v>
      </c>
      <c r="C44" s="38" t="s">
        <v>17</v>
      </c>
      <c r="D44" s="42">
        <f>TRUNC(19753,-1)</f>
        <v>19750</v>
      </c>
      <c r="E44" s="63">
        <f t="shared" si="1"/>
        <v>65280</v>
      </c>
    </row>
    <row r="45" spans="1:7" x14ac:dyDescent="0.3">
      <c r="A45" s="2">
        <v>6</v>
      </c>
      <c r="C45" s="38" t="s">
        <v>18</v>
      </c>
      <c r="D45" s="42">
        <v>14240</v>
      </c>
      <c r="E45" s="63">
        <f t="shared" si="1"/>
        <v>47070</v>
      </c>
    </row>
    <row r="46" spans="1:7" x14ac:dyDescent="0.3">
      <c r="A46" s="2">
        <v>7</v>
      </c>
      <c r="C46" s="38" t="s">
        <v>19</v>
      </c>
      <c r="D46" s="42">
        <v>41990</v>
      </c>
      <c r="E46" s="63">
        <f t="shared" si="1"/>
        <v>138810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TRUNC(99982,-1)</f>
        <v>99980</v>
      </c>
      <c r="E48" s="63">
        <f t="shared" si="1"/>
        <v>330510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TRUNC(15259,-1)</f>
        <v>15250</v>
      </c>
      <c r="E49" s="63">
        <f t="shared" si="1"/>
        <v>50410</v>
      </c>
    </row>
    <row r="50" spans="1:7" x14ac:dyDescent="0.3">
      <c r="A50" s="2">
        <v>11</v>
      </c>
      <c r="C50" s="38" t="s">
        <v>155</v>
      </c>
      <c r="D50" s="42">
        <f>TRUNC(36934,-1)</f>
        <v>36930</v>
      </c>
      <c r="E50" s="63">
        <f t="shared" si="1"/>
        <v>122080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TRUNC(8541,-1)</f>
        <v>8540</v>
      </c>
      <c r="E52" s="63">
        <f t="shared" si="1"/>
        <v>28230</v>
      </c>
    </row>
    <row r="53" spans="1:7" x14ac:dyDescent="0.3">
      <c r="A53" s="2">
        <v>14</v>
      </c>
      <c r="C53" s="38" t="s">
        <v>25</v>
      </c>
      <c r="D53" s="42">
        <f>TRUNC(65885,-1)</f>
        <v>65880</v>
      </c>
      <c r="E53" s="63">
        <f t="shared" si="1"/>
        <v>217780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TRUNC(10409+3070-670+19120,-1)</f>
        <v>31920</v>
      </c>
      <c r="E58" s="63">
        <f t="shared" si="1"/>
        <v>105520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TRUNC(299546,-1)</f>
        <v>299540</v>
      </c>
      <c r="E59" s="64">
        <f t="shared" si="1"/>
        <v>990210</v>
      </c>
    </row>
    <row r="60" spans="1:7" x14ac:dyDescent="0.3">
      <c r="A60" s="2">
        <v>21</v>
      </c>
      <c r="C60" s="27" t="s">
        <v>112</v>
      </c>
      <c r="D60" s="39">
        <f>SUM(D40:D59)</f>
        <v>807480</v>
      </c>
      <c r="E60" s="39">
        <f>SUM(E40:E59)</f>
        <v>2669320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TRUNC(2002,-1)</f>
        <v>2000</v>
      </c>
      <c r="E63" s="62">
        <f>TRUNC(+D63*3.3058,-1)</f>
        <v>6610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2000</v>
      </c>
      <c r="E66" s="65">
        <f>SUM(E63:E65)</f>
        <v>6610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TRUNC(6079,-1)</f>
        <v>6070</v>
      </c>
      <c r="E69" s="62">
        <f t="shared" ref="E69:E94" si="2">TRUNC(+D69*3.3058,-1)</f>
        <v>20060</v>
      </c>
    </row>
    <row r="70" spans="1:7" ht="16.5" customHeight="1" x14ac:dyDescent="0.3">
      <c r="A70" s="2">
        <v>2</v>
      </c>
      <c r="C70" s="38" t="s">
        <v>31</v>
      </c>
      <c r="D70" s="42">
        <f>TRUNC(1628,-1)</f>
        <v>1620</v>
      </c>
      <c r="E70" s="63">
        <f t="shared" si="2"/>
        <v>5350</v>
      </c>
    </row>
    <row r="71" spans="1:7" x14ac:dyDescent="0.3">
      <c r="A71" s="2">
        <v>3</v>
      </c>
      <c r="C71" s="38" t="s">
        <v>32</v>
      </c>
      <c r="D71" s="42">
        <f>TRUNC(4693,-1)</f>
        <v>4690</v>
      </c>
      <c r="E71" s="63">
        <f t="shared" si="2"/>
        <v>15500</v>
      </c>
    </row>
    <row r="72" spans="1:7" x14ac:dyDescent="0.3">
      <c r="A72" s="2">
        <v>4</v>
      </c>
      <c r="C72" s="38" t="s">
        <v>33</v>
      </c>
      <c r="D72" s="42">
        <f>TRUNC(3339,-1)</f>
        <v>3330</v>
      </c>
      <c r="E72" s="63">
        <f t="shared" si="2"/>
        <v>11000</v>
      </c>
    </row>
    <row r="73" spans="1:7" x14ac:dyDescent="0.3">
      <c r="A73" s="2">
        <v>5</v>
      </c>
      <c r="C73" s="38" t="s">
        <v>34</v>
      </c>
      <c r="D73" s="42">
        <f>TRUNC(13881,-1)</f>
        <v>13880</v>
      </c>
      <c r="E73" s="63">
        <f t="shared" si="2"/>
        <v>45880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TRUNC(4049,-1)</f>
        <v>4040</v>
      </c>
      <c r="E89" s="63">
        <f t="shared" si="2"/>
        <v>13350</v>
      </c>
    </row>
    <row r="90" spans="1:7" x14ac:dyDescent="0.3">
      <c r="A90" s="2">
        <v>22</v>
      </c>
      <c r="C90" s="38" t="s">
        <v>36</v>
      </c>
      <c r="D90" s="42">
        <f>TRUNC(575,-1)</f>
        <v>570</v>
      </c>
      <c r="E90" s="63">
        <f t="shared" si="2"/>
        <v>1880</v>
      </c>
    </row>
    <row r="91" spans="1:7" x14ac:dyDescent="0.3">
      <c r="A91" s="2">
        <v>23</v>
      </c>
      <c r="C91" s="38" t="s">
        <v>37</v>
      </c>
      <c r="D91" s="42">
        <f>TRUNC(3536,-1)</f>
        <v>3530</v>
      </c>
      <c r="E91" s="63">
        <f t="shared" si="2"/>
        <v>11660</v>
      </c>
    </row>
    <row r="92" spans="1:7" x14ac:dyDescent="0.3">
      <c r="A92" s="2">
        <v>24</v>
      </c>
      <c r="C92" s="38" t="s">
        <v>38</v>
      </c>
      <c r="D92" s="42">
        <f>TRUNC(9182,-1)</f>
        <v>9180</v>
      </c>
      <c r="E92" s="63">
        <f t="shared" si="2"/>
        <v>30340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TRUNC(601+5581,-1)</f>
        <v>6180</v>
      </c>
      <c r="E94" s="64">
        <f t="shared" si="2"/>
        <v>20420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53090</v>
      </c>
      <c r="E95" s="39">
        <f>SUM(E69:E94)</f>
        <v>175440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TRUNC(8615,-1)</f>
        <v>8610</v>
      </c>
      <c r="E98" s="62">
        <f t="shared" ref="E98:E118" si="3">TRUNC(+D98*3.3058,-1)</f>
        <v>28460</v>
      </c>
    </row>
    <row r="99" spans="1:7" x14ac:dyDescent="0.3">
      <c r="A99" s="2">
        <v>2</v>
      </c>
      <c r="C99" s="38" t="s">
        <v>40</v>
      </c>
      <c r="D99" s="42">
        <f>TRUNC(1367,-1)</f>
        <v>1360</v>
      </c>
      <c r="E99" s="63">
        <f t="shared" si="3"/>
        <v>4490</v>
      </c>
    </row>
    <row r="100" spans="1:7" x14ac:dyDescent="0.3">
      <c r="A100" s="2">
        <v>3</v>
      </c>
      <c r="C100" s="38" t="s">
        <v>41</v>
      </c>
      <c r="D100" s="42">
        <f>TRUNC(18518,-1)</f>
        <v>18510</v>
      </c>
      <c r="E100" s="63">
        <f t="shared" si="3"/>
        <v>61190</v>
      </c>
    </row>
    <row r="101" spans="1:7" x14ac:dyDescent="0.3">
      <c r="A101" s="2">
        <v>4</v>
      </c>
      <c r="C101" s="38" t="s">
        <v>42</v>
      </c>
      <c r="D101" s="42">
        <f>TRUNC(1685,-1)</f>
        <v>1680</v>
      </c>
      <c r="E101" s="63">
        <f t="shared" si="3"/>
        <v>5550</v>
      </c>
    </row>
    <row r="102" spans="1:7" x14ac:dyDescent="0.3">
      <c r="A102" s="2">
        <v>5</v>
      </c>
      <c r="C102" s="38" t="s">
        <v>43</v>
      </c>
      <c r="D102" s="42">
        <f>TRUNC(9888,-1)</f>
        <v>9880</v>
      </c>
      <c r="E102" s="63">
        <f t="shared" si="3"/>
        <v>32660</v>
      </c>
    </row>
    <row r="103" spans="1:7" x14ac:dyDescent="0.3">
      <c r="A103" s="2">
        <v>6</v>
      </c>
      <c r="C103" s="38" t="s">
        <v>44</v>
      </c>
      <c r="D103" s="42">
        <f>TRUNC(3591,-1)</f>
        <v>3590</v>
      </c>
      <c r="E103" s="63">
        <f t="shared" si="3"/>
        <v>11860</v>
      </c>
    </row>
    <row r="104" spans="1:7" x14ac:dyDescent="0.3">
      <c r="A104" s="2">
        <v>7</v>
      </c>
      <c r="C104" s="38" t="s">
        <v>45</v>
      </c>
      <c r="D104" s="42">
        <f>TRUNC(4058,-1)</f>
        <v>4050</v>
      </c>
      <c r="E104" s="63">
        <f t="shared" si="3"/>
        <v>13380</v>
      </c>
    </row>
    <row r="105" spans="1:7" x14ac:dyDescent="0.3">
      <c r="A105" s="2">
        <v>8</v>
      </c>
      <c r="C105" s="38" t="s">
        <v>46</v>
      </c>
      <c r="D105" s="42">
        <v>3220</v>
      </c>
      <c r="E105" s="63">
        <f t="shared" si="3"/>
        <v>10640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TRUNC(4003,-1)</f>
        <v>4000</v>
      </c>
      <c r="E114" s="63">
        <f t="shared" si="3"/>
        <v>13220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TRUNC(2888,-1)</f>
        <v>2880</v>
      </c>
      <c r="E116" s="63">
        <f t="shared" si="3"/>
        <v>9520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TRUNC(89482,-1)</f>
        <v>89480</v>
      </c>
      <c r="E117" s="63">
        <f t="shared" si="3"/>
        <v>295800</v>
      </c>
    </row>
    <row r="118" spans="1:7" ht="17.25" thickBot="1" x14ac:dyDescent="0.35">
      <c r="A118" s="2">
        <v>21</v>
      </c>
      <c r="C118" s="38" t="s">
        <v>47</v>
      </c>
      <c r="D118" s="43">
        <f>TRUNC(9537,-1)</f>
        <v>9530</v>
      </c>
      <c r="E118" s="64">
        <f t="shared" si="3"/>
        <v>31500</v>
      </c>
    </row>
    <row r="119" spans="1:7" x14ac:dyDescent="0.3">
      <c r="A119" s="2">
        <v>22</v>
      </c>
      <c r="C119" s="27" t="s">
        <v>112</v>
      </c>
      <c r="D119" s="39">
        <f>SUM(D98:D118)</f>
        <v>156790</v>
      </c>
      <c r="E119" s="39">
        <f>SUM(E98:E118)</f>
        <v>518270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TRUNC(2493,-1)</f>
        <v>2490</v>
      </c>
      <c r="E122" s="62">
        <f>TRUNC(+D122*3.3058,-1)</f>
        <v>8230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>TRUNC(+D123*3.3058,-1)</f>
        <v>0</v>
      </c>
    </row>
    <row r="124" spans="1:7" x14ac:dyDescent="0.3">
      <c r="A124" s="2">
        <v>3</v>
      </c>
      <c r="C124" s="38" t="s">
        <v>151</v>
      </c>
      <c r="D124" s="42">
        <f>TRUNC(948,-1)</f>
        <v>940</v>
      </c>
      <c r="E124" s="63">
        <f t="shared" ref="E124:E132" si="4">TRUNC(+D124*3.3058,-1)</f>
        <v>3100</v>
      </c>
    </row>
    <row r="125" spans="1:7" x14ac:dyDescent="0.3">
      <c r="A125" s="2">
        <v>4</v>
      </c>
      <c r="C125" s="38" t="s">
        <v>138</v>
      </c>
      <c r="D125" s="42">
        <f>TRUNC(6964,-1)</f>
        <v>6960</v>
      </c>
      <c r="E125" s="63">
        <f t="shared" si="4"/>
        <v>23000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TRUNC(3343,-1)</f>
        <v>3340</v>
      </c>
      <c r="E128" s="63">
        <f t="shared" si="4"/>
        <v>11040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TRUNC(15145,-1)</f>
        <v>15140</v>
      </c>
      <c r="E130" s="63">
        <f t="shared" si="4"/>
        <v>50040</v>
      </c>
    </row>
    <row r="131" spans="1:7" x14ac:dyDescent="0.3">
      <c r="A131" s="2">
        <v>10</v>
      </c>
      <c r="C131" s="38" t="s">
        <v>148</v>
      </c>
      <c r="D131" s="42">
        <v>19670</v>
      </c>
      <c r="E131" s="63">
        <f t="shared" si="4"/>
        <v>65020</v>
      </c>
    </row>
    <row r="132" spans="1:7" ht="18" thickBot="1" x14ac:dyDescent="0.35">
      <c r="A132" s="2">
        <v>11</v>
      </c>
      <c r="C132" s="38" t="s">
        <v>47</v>
      </c>
      <c r="D132" s="43">
        <f>TRUNC(1135+50,-1)</f>
        <v>1180</v>
      </c>
      <c r="E132" s="64">
        <f t="shared" si="4"/>
        <v>3900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49720</v>
      </c>
      <c r="E133" s="39">
        <f>SUM(E122:E132)</f>
        <v>164330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TRUNC(2344+50,-1)</f>
        <v>2390</v>
      </c>
      <c r="E137" s="63">
        <f t="shared" si="5"/>
        <v>7900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TRUNC(1743,-1)</f>
        <v>1740</v>
      </c>
      <c r="E140" s="63">
        <f t="shared" si="5"/>
        <v>5750</v>
      </c>
    </row>
    <row r="141" spans="1:7" x14ac:dyDescent="0.3">
      <c r="A141" s="2">
        <v>6</v>
      </c>
      <c r="C141" s="38" t="s">
        <v>59</v>
      </c>
      <c r="D141" s="42">
        <f>TRUNC(7881,-1)</f>
        <v>7880</v>
      </c>
      <c r="E141" s="63">
        <f t="shared" si="5"/>
        <v>26040</v>
      </c>
    </row>
    <row r="142" spans="1:7" x14ac:dyDescent="0.3">
      <c r="A142" s="2">
        <v>7</v>
      </c>
      <c r="C142" s="38" t="s">
        <v>58</v>
      </c>
      <c r="D142" s="42">
        <f>TRUNC(6567,-1)</f>
        <v>6560</v>
      </c>
      <c r="E142" s="63">
        <f t="shared" si="5"/>
        <v>21680</v>
      </c>
    </row>
    <row r="143" spans="1:7" x14ac:dyDescent="0.3">
      <c r="A143" s="2">
        <v>8</v>
      </c>
      <c r="C143" s="38" t="s">
        <v>62</v>
      </c>
      <c r="D143" s="42">
        <f>TRUNC(1398,-1)</f>
        <v>1390</v>
      </c>
      <c r="E143" s="63">
        <f t="shared" si="5"/>
        <v>4590</v>
      </c>
    </row>
    <row r="144" spans="1:7" x14ac:dyDescent="0.3">
      <c r="A144" s="2">
        <v>9</v>
      </c>
      <c r="C144" s="38" t="s">
        <v>63</v>
      </c>
      <c r="D144" s="42">
        <f>TRUNC(8762,-1)</f>
        <v>8760</v>
      </c>
      <c r="E144" s="63">
        <f t="shared" si="5"/>
        <v>28950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28720</v>
      </c>
      <c r="E146" s="39">
        <f>SUM(E136:E145)</f>
        <v>94910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TRUNC(9226+1645,-1)</f>
        <v>10870</v>
      </c>
      <c r="E149" s="62">
        <f>TRUNC(+D149*3.3058,-1)</f>
        <v>35930</v>
      </c>
    </row>
    <row r="150" spans="1:7" x14ac:dyDescent="0.3">
      <c r="A150" s="2">
        <v>2</v>
      </c>
      <c r="C150" s="38" t="s">
        <v>49</v>
      </c>
      <c r="D150" s="42">
        <f>TRUNC(6371,-1)</f>
        <v>6370</v>
      </c>
      <c r="E150" s="63">
        <f>TRUNC(+D150*3.3058,-1)</f>
        <v>21050</v>
      </c>
    </row>
    <row r="151" spans="1:7" x14ac:dyDescent="0.3">
      <c r="A151" s="2">
        <v>3</v>
      </c>
      <c r="C151" s="38" t="s">
        <v>50</v>
      </c>
      <c r="D151" s="42">
        <f>TRUNC(12574,-1)</f>
        <v>12570</v>
      </c>
      <c r="E151" s="63">
        <f>TRUNC(+D151*3.3058,-1)</f>
        <v>41550</v>
      </c>
    </row>
    <row r="152" spans="1:7" x14ac:dyDescent="0.3">
      <c r="A152" s="2">
        <v>4</v>
      </c>
      <c r="C152" s="38" t="s">
        <v>47</v>
      </c>
      <c r="D152" s="42">
        <f>TRUNC(895,-1)</f>
        <v>890</v>
      </c>
      <c r="E152" s="63">
        <f>TRUNC(+D152*3.3058,-1)</f>
        <v>2940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30700</v>
      </c>
      <c r="E154" s="39">
        <f>SUM(E149:E153)</f>
        <v>101470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2020-12-07T09:58:49Z</dcterms:modified>
</cp:coreProperties>
</file>