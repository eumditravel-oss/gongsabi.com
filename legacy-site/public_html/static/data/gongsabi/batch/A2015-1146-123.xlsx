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3" i="4"/>
  <c r="D92" i="4"/>
  <c r="D91" i="4"/>
  <c r="D90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4" i="4"/>
  <c r="D43" i="4"/>
  <c r="D4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<sst xmlns="http://schemas.openxmlformats.org/spreadsheetml/2006/main" count="391" uniqueCount="267">
  <si>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</si>
  <si>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</si>
  <si>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</si>
  <si>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</si>
  <si>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</si>
  <si>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</si>
  <si>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</si>
  <si>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</si>
  <si>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</si>
  <si>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</si>
  <si>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</si>
  <si>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</si>
  <si>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</si>
  <si>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</si>
  <si>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</si>
  <si>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</si>
  <si>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</si>
  <si>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</si>
  <si>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</si>
  <si>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</si>
  <si>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</si>
  <si>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</si>
  <si>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</si>
  <si>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</si>
  <si>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</si>
  <si>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</si>
  <si>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</si>
  <si>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</si>
  <si>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</si>
  <si>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</si>
  <si>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</si>
  <si>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</si>
  <si>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</si>
  <si>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</si>
  <si>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</si>
  <si>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</si>
  <si>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</si>
  <si>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</si>
  <si>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</si>
  <si>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</si>
  <si>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</si>
  <si>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</si>
  <si>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</si>
  <si>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</si>
  <si>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</si>
  <si>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</si>
  <si>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</si>
  <si>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</si>
  <si>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</si>
  <si>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</si>
  <si>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</si>
  <si>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</si>
  <si>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</si>
  <si>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</si>
  <si>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</si>
  <si>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</si>
  <si>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</si>
  <si>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</si>
  <si>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</si>
  <si>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</si>
  <si>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</si>
  <si>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</si>
  <si>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</si>
  <si>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</si>
  <si>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</si>
  <si>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</si>
  <si>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</si>
  <si>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</si>
  <si>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</si>
  <si>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</si>
  <si>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</si>
  <si>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</si>
  <si>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</si>
  <si>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</si>
  <si>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</si>
  <si>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</si>
  <si>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</si>
  <si>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</si>
  <si>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</si>
  <si>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</si>
  <si>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</si>
  <si>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</si>
  <si>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</si>
  <si>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</si>
  <si>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</si>
  <si>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</si>
  <si>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</si>
  <si>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</si>
  <si>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</si>
  <si>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</si>
  <si>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</si>
  <si>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</si>
  <si>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</si>
  <si>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</si>
  <si>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</si>
  <si>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</si>
  <si>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</si>
  <si>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</si>
  <si>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</si>
  <si>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</si>
  <si>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</si>
  <si>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</si>
  <si>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</si>
  <si>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</si>
  <si>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</si>
  <si>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</si>
  <si>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</si>
  <si>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</si>
  <si>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</si>
  <si>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</si>
  <si>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</si>
  <si>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</si>
  <si>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</si>
  <si>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</si>
  <si>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</si>
  <si>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</si>
  <si>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</si>
  <si>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</si>
  <si>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</si>
  <si>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</si>
  <si>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</si>
  <si>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</si>
  <si>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</si>
  <si>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</si>
  <si>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</si>
  <si>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</si>
  <si>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</si>
  <si>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</si>
  <si>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</si>
  <si>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</si>
  <si>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</si>
  <si>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</si>
  <si>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</si>
  <si>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</si>
  <si>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</si>
  <si>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</si>
  <si>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</si>
  <si>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</si>
  <si>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</si>
  <si>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</si>
  <si>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</si>
  <si>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</si>
  <si>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</si>
  <si>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</si>
  <si>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</si>
  <si>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</si>
  <si>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</si>
  <si>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</si>
  <si>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</si>
  <si>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</si>
  <si>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</si>
  <si>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</si>
  <si>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</si>
  <si>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</si>
  <si>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</si>
  <si>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</si>
  <si>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</si>
  <si>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</si>
  <si>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</si>
  <si>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</si>
  <si>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</si>
  <si>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</si>
  <si>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</si>
  <si>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</si>
  <si>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</si>
  <si>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</si>
  <si>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</si>
  <si>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</si>
  <si>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</si>
  <si>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</si>
  <si>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</si>
  <si>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</si>
  <si>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</si>
  <si>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</si>
  <si>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</si>
  <si>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</si>
  <si>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</si>
  <si>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</si>
  <si>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</si>
  <si>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</si>
  <si>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</si>
  <si>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</si>
  <si>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</si>
  <si>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</si>
  <si>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</si>
  <si>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</si>
  <si>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</si>
  <si>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</si>
  <si>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</si>
  <si>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</si>
  <si>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</si>
  <si>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</si>
  <si>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</si>
  <si>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</si>
  <si>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</si>
  <si>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</si>
  <si>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</si>
  <si>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</si>
  <si>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</si>
  <si>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</si>
  <si>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</si>
  <si>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</si>
  <si>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</si>
  <si>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</si>
  <si>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</si>
  <si>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</si>
  <si>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</si>
  <si>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</si>
  <si>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</si>
  <si>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</si>
  <si>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</si>
  <si>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</si>
  <si>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</si>
  <si>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</si>
  <si>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</si>
  <si>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</si>
  <si>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</si>
  <si>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</si>
  <si>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</si>
  <si>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</si>
  <si>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</si>
  <si>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</si>
  <si>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</si>
  <si>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</si>
  <si>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</si>
  <si>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</si>
  <si>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</si>
  <si>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</si>
  <si>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</si>
  <si>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</si>
  <si>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</si>
  <si>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</si>
  <si>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</si>
  <si>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</si>
  <si>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</si>
  <si>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</si>
  <si>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</si>
  <si>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</si>
  <si>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</si>
  <si>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</si>
  <si>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</si>
  <si>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</si>
  <si>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</si>
  <si>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</si>
  <si>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</si>
  <si>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</si>
  <si>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</si>
  <si>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</si>
  <si>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</si>
  <si>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</si>
  <si>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</si>
  <si>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</si>
  <si>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</si>
  <si>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</si>
  <si>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</si>
  <si>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</si>
  <si>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</si>
  <si>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</si>
  <si>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(가칭)혁신중학교 신축공사(장기계속)</t>
    <phoneticPr fontId="2" type="noConversion"/>
  </si>
  <si>
    <t>대구시</t>
  </si>
  <si>
    <t>골재비및운반비, 기타공사</t>
    <phoneticPr fontId="2" type="noConversion"/>
  </si>
  <si>
    <t>공조배관공사,난방배관공사,기타공사</t>
    <phoneticPr fontId="2" type="noConversion"/>
  </si>
  <si>
    <t>옥외보안등설비공사</t>
    <phoneticPr fontId="2" type="noConversion"/>
  </si>
  <si>
    <t>옥외소화배관공사, 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</si>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</sst>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12162.56</v>
      </c>
      <c r="D7" s="36">
        <f>+C7/3.3058</f>
        <v>3679.1578437897028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727000</v>
      </c>
      <c r="E25" s="59">
        <f t="shared" si="0"/>
        <v>2403310</v>
      </c>
    </row>
    <row r="26" spans="1:5" x14ac:dyDescent="0.3">
      <c r="B26" s="2">
        <v>3</v>
      </c>
      <c r="C26" s="35" t="s">
        <v>95</v>
      </c>
      <c r="D26" s="45">
        <f>+D66</f>
        <v>73720</v>
      </c>
      <c r="E26" s="59">
        <f t="shared" si="0"/>
        <v>243700</v>
      </c>
    </row>
    <row r="27" spans="1:5" x14ac:dyDescent="0.3">
      <c r="B27" s="2">
        <v>4</v>
      </c>
      <c r="C27" s="35" t="s">
        <v>96</v>
      </c>
      <c r="D27" s="45">
        <f>+D95</f>
        <v>150860</v>
      </c>
      <c r="E27" s="59">
        <f t="shared" si="0"/>
        <v>498710</v>
      </c>
    </row>
    <row r="28" spans="1:5" x14ac:dyDescent="0.3">
      <c r="B28" s="2">
        <v>5</v>
      </c>
      <c r="C28" s="35" t="s">
        <v>97</v>
      </c>
      <c r="D28" s="45">
        <f>+D119</f>
        <v>167410</v>
      </c>
      <c r="E28" s="59">
        <f t="shared" si="0"/>
        <v>553420</v>
      </c>
    </row>
    <row r="29" spans="1:5" x14ac:dyDescent="0.3">
      <c r="B29" s="2">
        <v>6</v>
      </c>
      <c r="C29" s="35" t="s">
        <v>98</v>
      </c>
      <c r="D29" s="45">
        <f>+D133</f>
        <v>57570</v>
      </c>
      <c r="E29" s="59">
        <f t="shared" si="0"/>
        <v>190310</v>
      </c>
    </row>
    <row r="30" spans="1:5" x14ac:dyDescent="0.3">
      <c r="B30" s="2">
        <v>7</v>
      </c>
      <c r="C30" s="35" t="s">
        <v>99</v>
      </c>
      <c r="D30" s="45">
        <f>+D146</f>
        <v>26640</v>
      </c>
      <c r="E30" s="59">
        <f t="shared" si="0"/>
        <v>88060</v>
      </c>
    </row>
    <row r="31" spans="1:5" x14ac:dyDescent="0.3">
      <c r="B31" s="2">
        <v>8</v>
      </c>
      <c r="C31" s="35" t="s">
        <v>100</v>
      </c>
      <c r="D31" s="45">
        <f>+D154</f>
        <v>66060</v>
      </c>
      <c r="E31" s="59">
        <f t="shared" si="0"/>
        <v>218380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349040</v>
      </c>
      <c r="E33" s="60">
        <f t="shared" si="0"/>
        <v>1153850</v>
      </c>
    </row>
    <row r="34" spans="1:7" x14ac:dyDescent="0.3">
      <c r="C34" s="35" t="s">
        <v>112</v>
      </c>
      <c r="D34" s="44">
        <f>SUM(D24:D33)</f>
        <v>1618300</v>
      </c>
      <c r="E34" s="44">
        <f>SUM(E24:E33)</f>
        <v>5349740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v>38450</v>
      </c>
      <c r="E40" s="62">
        <f t="shared" ref="E40:E59" si="1">TRUNC(+D40*3.3058,-1)</f>
        <v>127100</v>
      </c>
    </row>
    <row r="41" spans="1:7" x14ac:dyDescent="0.3">
      <c r="A41" s="2">
        <v>2</v>
      </c>
      <c r="C41" s="38" t="s">
        <v>13</v>
      </c>
      <c r="D41" s="42">
        <v>127690</v>
      </c>
      <c r="E41" s="63">
        <f t="shared" si="1"/>
        <v>422110</v>
      </c>
    </row>
    <row r="42" spans="1:7" x14ac:dyDescent="0.3">
      <c r="A42" s="2">
        <v>3</v>
      </c>
      <c r="C42" s="38" t="s">
        <v>14</v>
      </c>
      <c r="D42" s="42">
        <f>TRUNC(5443,-1)</f>
        <v>5440</v>
      </c>
      <c r="E42" s="63">
        <f t="shared" si="1"/>
        <v>17980</v>
      </c>
    </row>
    <row r="43" spans="1:7" x14ac:dyDescent="0.3">
      <c r="A43" s="2">
        <v>4</v>
      </c>
      <c r="C43" s="38" t="s">
        <v>16</v>
      </c>
      <c r="D43" s="42">
        <f>TRUNC(39576,-1)</f>
        <v>39570</v>
      </c>
      <c r="E43" s="63">
        <f t="shared" si="1"/>
        <v>130810</v>
      </c>
    </row>
    <row r="44" spans="1:7" x14ac:dyDescent="0.3">
      <c r="A44" s="2">
        <v>5</v>
      </c>
      <c r="C44" s="38" t="s">
        <v>17</v>
      </c>
      <c r="D44" s="42">
        <f>TRUNC(21887,-1)</f>
        <v>21880</v>
      </c>
      <c r="E44" s="63">
        <f t="shared" si="1"/>
        <v>72330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TRUNC(56662,-1)</f>
        <v>56660</v>
      </c>
      <c r="E46" s="63">
        <f t="shared" si="1"/>
        <v>187300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TRUNC(74379,-1)</f>
        <v>74370</v>
      </c>
      <c r="E48" s="63">
        <f t="shared" si="1"/>
        <v>245850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TRUNC(15203,-1)</f>
        <v>15200</v>
      </c>
      <c r="E49" s="63">
        <f t="shared" si="1"/>
        <v>50240</v>
      </c>
    </row>
    <row r="50" spans="1:7" x14ac:dyDescent="0.3">
      <c r="A50" s="2">
        <v>11</v>
      </c>
      <c r="C50" s="38" t="s">
        <v>155</v>
      </c>
      <c r="D50" s="42">
        <f>TRUNC(51525,-1)</f>
        <v>51520</v>
      </c>
      <c r="E50" s="63">
        <f t="shared" si="1"/>
        <v>170310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TRUNC(13656,-1)</f>
        <v>13650</v>
      </c>
      <c r="E52" s="63">
        <f t="shared" si="1"/>
        <v>45120</v>
      </c>
    </row>
    <row r="53" spans="1:7" x14ac:dyDescent="0.3">
      <c r="A53" s="2">
        <v>14</v>
      </c>
      <c r="C53" s="38" t="s">
        <v>25</v>
      </c>
      <c r="D53" s="42">
        <f>TRUNC(48728,-1)</f>
        <v>48720</v>
      </c>
      <c r="E53" s="63">
        <f t="shared" si="1"/>
        <v>161050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TRUNC(3480+19477,-1)</f>
        <v>22950</v>
      </c>
      <c r="E58" s="63">
        <f t="shared" si="1"/>
        <v>75860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TRUNC(210908,-1)</f>
        <v>210900</v>
      </c>
      <c r="E59" s="64">
        <f t="shared" si="1"/>
        <v>697190</v>
      </c>
    </row>
    <row r="60" spans="1:7" x14ac:dyDescent="0.3">
      <c r="A60" s="2">
        <v>21</v>
      </c>
      <c r="C60" s="27" t="s">
        <v>112</v>
      </c>
      <c r="D60" s="39">
        <f>SUM(D40:D59)</f>
        <v>727000</v>
      </c>
      <c r="E60" s="39">
        <f>SUM(E40:E59)</f>
        <v>2403250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TRUNC(73729,-1)</f>
        <v>73720</v>
      </c>
      <c r="E63" s="62">
        <f>TRUNC(+D63*3.3058,-1)</f>
        <v>243700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73720</v>
      </c>
      <c r="E66" s="65">
        <f>SUM(E63:E65)</f>
        <v>243700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TRUNC(5626,-1)</f>
        <v>5620</v>
      </c>
      <c r="E69" s="62">
        <f t="shared" ref="E69:E94" si="2">TRUNC(+D69*3.3058,-1)</f>
        <v>18570</v>
      </c>
    </row>
    <row r="70" spans="1:7" ht="16.5" customHeight="1" x14ac:dyDescent="0.3">
      <c r="A70" s="2">
        <v>2</v>
      </c>
      <c r="C70" s="38" t="s">
        <v>31</v>
      </c>
      <c r="D70" s="42">
        <f>TRUNC(2433,-1)</f>
        <v>2430</v>
      </c>
      <c r="E70" s="63">
        <f t="shared" si="2"/>
        <v>8030</v>
      </c>
    </row>
    <row r="71" spans="1:7" x14ac:dyDescent="0.3">
      <c r="A71" s="2">
        <v>3</v>
      </c>
      <c r="C71" s="38" t="s">
        <v>32</v>
      </c>
      <c r="D71" s="42">
        <f>TRUNC(4625,-1)</f>
        <v>4620</v>
      </c>
      <c r="E71" s="63">
        <f t="shared" si="2"/>
        <v>15270</v>
      </c>
    </row>
    <row r="72" spans="1:7" x14ac:dyDescent="0.3">
      <c r="A72" s="2">
        <v>4</v>
      </c>
      <c r="C72" s="38" t="s">
        <v>33</v>
      </c>
      <c r="D72" s="42">
        <f>TRUNC(4324,-1)</f>
        <v>4320</v>
      </c>
      <c r="E72" s="63">
        <f t="shared" si="2"/>
        <v>14280</v>
      </c>
    </row>
    <row r="73" spans="1:7" x14ac:dyDescent="0.3">
      <c r="A73" s="2">
        <v>5</v>
      </c>
      <c r="C73" s="38" t="s">
        <v>34</v>
      </c>
      <c r="D73" s="42">
        <f>TRUNC(16743,-1)</f>
        <v>16740</v>
      </c>
      <c r="E73" s="63">
        <f t="shared" si="2"/>
        <v>55330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TRUNC(5494,-1)</f>
        <v>5490</v>
      </c>
      <c r="E89" s="63">
        <f t="shared" si="2"/>
        <v>18140</v>
      </c>
    </row>
    <row r="90" spans="1:7" x14ac:dyDescent="0.3">
      <c r="A90" s="2">
        <v>22</v>
      </c>
      <c r="C90" s="38" t="s">
        <v>36</v>
      </c>
      <c r="D90" s="42">
        <f>TRUNC(276,-1)</f>
        <v>270</v>
      </c>
      <c r="E90" s="63">
        <f t="shared" si="2"/>
        <v>890</v>
      </c>
    </row>
    <row r="91" spans="1:7" x14ac:dyDescent="0.3">
      <c r="A91" s="2">
        <v>23</v>
      </c>
      <c r="C91" s="38" t="s">
        <v>37</v>
      </c>
      <c r="D91" s="42">
        <f>TRUNC(2879,-1)</f>
        <v>2870</v>
      </c>
      <c r="E91" s="63">
        <f t="shared" si="2"/>
        <v>9480</v>
      </c>
    </row>
    <row r="92" spans="1:7" x14ac:dyDescent="0.3">
      <c r="A92" s="2">
        <v>24</v>
      </c>
      <c r="C92" s="38" t="s">
        <v>38</v>
      </c>
      <c r="D92" s="42">
        <f>TRUNC(9151,-1)</f>
        <v>9150</v>
      </c>
      <c r="E92" s="63">
        <f t="shared" si="2"/>
        <v>30240</v>
      </c>
    </row>
    <row r="93" spans="1:7" x14ac:dyDescent="0.3">
      <c r="A93" s="2">
        <v>25</v>
      </c>
      <c r="C93" s="38" t="s">
        <v>148</v>
      </c>
      <c r="D93" s="42">
        <f>TRUNC(92851,-1)</f>
        <v>92850</v>
      </c>
      <c r="E93" s="63">
        <f t="shared" si="2"/>
        <v>306940</v>
      </c>
    </row>
    <row r="94" spans="1:7" ht="17.25" thickBot="1" x14ac:dyDescent="0.35">
      <c r="A94" s="2">
        <v>26</v>
      </c>
      <c r="C94" s="38" t="s">
        <v>47</v>
      </c>
      <c r="D94" s="43">
        <f>TRUNC(1749+381+4370,-1)</f>
        <v>6500</v>
      </c>
      <c r="E94" s="64">
        <f t="shared" si="2"/>
        <v>21480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150860</v>
      </c>
      <c r="E95" s="39">
        <f>SUM(E69:E94)</f>
        <v>498650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TRUNC(10576,-1)</f>
        <v>10570</v>
      </c>
      <c r="E98" s="62">
        <f t="shared" ref="E98:E118" si="3">TRUNC(+D98*3.3058,-1)</f>
        <v>34940</v>
      </c>
    </row>
    <row r="99" spans="1:7" x14ac:dyDescent="0.3">
      <c r="A99" s="2">
        <v>2</v>
      </c>
      <c r="C99" s="38" t="s">
        <v>40</v>
      </c>
      <c r="D99" s="42">
        <f>TRUNC(1933,-1)</f>
        <v>1930</v>
      </c>
      <c r="E99" s="63">
        <f t="shared" si="3"/>
        <v>6380</v>
      </c>
    </row>
    <row r="100" spans="1:7" x14ac:dyDescent="0.3">
      <c r="A100" s="2">
        <v>3</v>
      </c>
      <c r="C100" s="38" t="s">
        <v>41</v>
      </c>
      <c r="D100" s="42">
        <f>TRUNC(19934,-1)</f>
        <v>19930</v>
      </c>
      <c r="E100" s="63">
        <f t="shared" si="3"/>
        <v>65880</v>
      </c>
    </row>
    <row r="101" spans="1:7" x14ac:dyDescent="0.3">
      <c r="A101" s="2">
        <v>4</v>
      </c>
      <c r="C101" s="38" t="s">
        <v>42</v>
      </c>
      <c r="D101" s="42">
        <f>TRUNC(2725,-1)</f>
        <v>2720</v>
      </c>
      <c r="E101" s="63">
        <f t="shared" si="3"/>
        <v>8990</v>
      </c>
    </row>
    <row r="102" spans="1:7" x14ac:dyDescent="0.3">
      <c r="A102" s="2">
        <v>5</v>
      </c>
      <c r="C102" s="38" t="s">
        <v>43</v>
      </c>
      <c r="D102" s="42">
        <f>TRUNC(11757,-1)</f>
        <v>11750</v>
      </c>
      <c r="E102" s="63">
        <f t="shared" si="3"/>
        <v>38840</v>
      </c>
    </row>
    <row r="103" spans="1:7" x14ac:dyDescent="0.3">
      <c r="A103" s="2">
        <v>6</v>
      </c>
      <c r="C103" s="38" t="s">
        <v>44</v>
      </c>
      <c r="D103" s="42">
        <f>TRUNC(2802,-1)</f>
        <v>2800</v>
      </c>
      <c r="E103" s="63">
        <f t="shared" si="3"/>
        <v>9250</v>
      </c>
    </row>
    <row r="104" spans="1:7" x14ac:dyDescent="0.3">
      <c r="A104" s="2">
        <v>7</v>
      </c>
      <c r="C104" s="38" t="s">
        <v>45</v>
      </c>
      <c r="D104" s="42">
        <f>TRUNC(5625,-1)</f>
        <v>5620</v>
      </c>
      <c r="E104" s="63">
        <f t="shared" si="3"/>
        <v>18570</v>
      </c>
    </row>
    <row r="105" spans="1:7" x14ac:dyDescent="0.3">
      <c r="A105" s="2">
        <v>8</v>
      </c>
      <c r="C105" s="38" t="s">
        <v>46</v>
      </c>
      <c r="D105" s="42">
        <f>TRUNC(2412,-1)</f>
        <v>2410</v>
      </c>
      <c r="E105" s="63">
        <f t="shared" si="3"/>
        <v>7960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TRUNC(5095,-1)</f>
        <v>5090</v>
      </c>
      <c r="E114" s="63">
        <f t="shared" si="3"/>
        <v>16820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TRUNC(4309,-1)</f>
        <v>4300</v>
      </c>
      <c r="E116" s="63">
        <f t="shared" si="3"/>
        <v>14210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TRUNC(93996,-1)</f>
        <v>93990</v>
      </c>
      <c r="E117" s="63">
        <f t="shared" si="3"/>
        <v>310710</v>
      </c>
    </row>
    <row r="118" spans="1:7" ht="17.25" thickBot="1" x14ac:dyDescent="0.35">
      <c r="A118" s="2">
        <v>21</v>
      </c>
      <c r="C118" s="38" t="s">
        <v>47</v>
      </c>
      <c r="D118" s="43">
        <f>TRUNC(6302,-1)</f>
        <v>6300</v>
      </c>
      <c r="E118" s="64">
        <f t="shared" si="3"/>
        <v>20820</v>
      </c>
    </row>
    <row r="119" spans="1:7" x14ac:dyDescent="0.3">
      <c r="A119" s="2">
        <v>22</v>
      </c>
      <c r="C119" s="27" t="s">
        <v>112</v>
      </c>
      <c r="D119" s="39">
        <f>SUM(D98:D118)</f>
        <v>167410</v>
      </c>
      <c r="E119" s="39">
        <f>SUM(E98:E118)</f>
        <v>553370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TRUNC(2386,-1)</f>
        <v>2380</v>
      </c>
      <c r="E122" s="62">
        <f t="shared" ref="E122:E132" si="4">TRUNC(+D122*3.3058,-1)</f>
        <v>7860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TRUNC(775,-1)</f>
        <v>770</v>
      </c>
      <c r="E124" s="63">
        <f t="shared" si="4"/>
        <v>2540</v>
      </c>
    </row>
    <row r="125" spans="1:7" x14ac:dyDescent="0.3">
      <c r="A125" s="2">
        <v>4</v>
      </c>
      <c r="C125" s="38" t="s">
        <v>138</v>
      </c>
      <c r="D125" s="42">
        <f>TRUNC(9854,-1)</f>
        <v>9850</v>
      </c>
      <c r="E125" s="63">
        <f t="shared" si="4"/>
        <v>32560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TRUNC(4437,-1)</f>
        <v>4430</v>
      </c>
      <c r="E128" s="63">
        <f t="shared" si="4"/>
        <v>14640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TRUNC(14182,-1)</f>
        <v>14180</v>
      </c>
      <c r="E130" s="63">
        <f t="shared" si="4"/>
        <v>46870</v>
      </c>
    </row>
    <row r="131" spans="1:7" x14ac:dyDescent="0.3">
      <c r="A131" s="2">
        <v>10</v>
      </c>
      <c r="C131" s="38" t="s">
        <v>148</v>
      </c>
      <c r="D131" s="42">
        <f>TRUNC(22474,-1)</f>
        <v>22470</v>
      </c>
      <c r="E131" s="63">
        <f t="shared" si="4"/>
        <v>74280</v>
      </c>
    </row>
    <row r="132" spans="1:7" ht="18" thickBot="1" x14ac:dyDescent="0.35">
      <c r="A132" s="2">
        <v>11</v>
      </c>
      <c r="C132" s="38" t="s">
        <v>47</v>
      </c>
      <c r="D132" s="43">
        <f>TRUNC(3442+56,-1)</f>
        <v>3490</v>
      </c>
      <c r="E132" s="64">
        <f t="shared" si="4"/>
        <v>11530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57570</v>
      </c>
      <c r="E133" s="39">
        <f>SUM(E122:E132)</f>
        <v>190280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TRUNC(90+3012+56,-1)</f>
        <v>3150</v>
      </c>
      <c r="E137" s="63">
        <f t="shared" si="5"/>
        <v>10410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TRUNC(1643,-1)</f>
        <v>1640</v>
      </c>
      <c r="E140" s="63">
        <f t="shared" si="5"/>
        <v>5420</v>
      </c>
    </row>
    <row r="141" spans="1:7" x14ac:dyDescent="0.3">
      <c r="A141" s="2">
        <v>6</v>
      </c>
      <c r="C141" s="38" t="s">
        <v>59</v>
      </c>
      <c r="D141" s="42">
        <f>TRUNC(4834,-1)</f>
        <v>4830</v>
      </c>
      <c r="E141" s="63">
        <f t="shared" si="5"/>
        <v>15960</v>
      </c>
    </row>
    <row r="142" spans="1:7" x14ac:dyDescent="0.3">
      <c r="A142" s="2">
        <v>7</v>
      </c>
      <c r="C142" s="38" t="s">
        <v>58</v>
      </c>
      <c r="D142" s="42">
        <f>TRUNC(7332,-1)</f>
        <v>7330</v>
      </c>
      <c r="E142" s="63">
        <f t="shared" si="5"/>
        <v>24230</v>
      </c>
    </row>
    <row r="143" spans="1:7" x14ac:dyDescent="0.3">
      <c r="A143" s="2">
        <v>8</v>
      </c>
      <c r="C143" s="38" t="s">
        <v>62</v>
      </c>
      <c r="D143" s="42">
        <f>TRUNC(1892,-1)</f>
        <v>1890</v>
      </c>
      <c r="E143" s="63">
        <f t="shared" si="5"/>
        <v>6240</v>
      </c>
    </row>
    <row r="144" spans="1:7" x14ac:dyDescent="0.3">
      <c r="A144" s="2">
        <v>9</v>
      </c>
      <c r="C144" s="38" t="s">
        <v>63</v>
      </c>
      <c r="D144" s="42">
        <f>TRUNC(7803,-1)</f>
        <v>7800</v>
      </c>
      <c r="E144" s="63">
        <f t="shared" si="5"/>
        <v>25780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26640</v>
      </c>
      <c r="E146" s="39">
        <f>SUM(E136:E145)</f>
        <v>88040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TRUNC(11298+3404,-1)</f>
        <v>14700</v>
      </c>
      <c r="E149" s="62">
        <f>TRUNC(+D149*3.3058,-1)</f>
        <v>48590</v>
      </c>
    </row>
    <row r="150" spans="1:7" x14ac:dyDescent="0.3">
      <c r="A150" s="2">
        <v>2</v>
      </c>
      <c r="C150" s="38" t="s">
        <v>49</v>
      </c>
      <c r="D150" s="42">
        <f>TRUNC(9955,-1)</f>
        <v>9950</v>
      </c>
      <c r="E150" s="63">
        <f>TRUNC(+D150*3.3058,-1)</f>
        <v>32890</v>
      </c>
    </row>
    <row r="151" spans="1:7" x14ac:dyDescent="0.3">
      <c r="A151" s="2">
        <v>3</v>
      </c>
      <c r="C151" s="38" t="s">
        <v>50</v>
      </c>
      <c r="D151" s="42">
        <f>TRUNC(23154,-1)</f>
        <v>23150</v>
      </c>
      <c r="E151" s="63">
        <f>TRUNC(+D151*3.3058,-1)</f>
        <v>76520</v>
      </c>
    </row>
    <row r="152" spans="1:7" x14ac:dyDescent="0.3">
      <c r="A152" s="2">
        <v>4</v>
      </c>
      <c r="C152" s="38" t="s">
        <v>47</v>
      </c>
      <c r="D152" s="42">
        <f>TRUNC(772,-1)</f>
        <v>770</v>
      </c>
      <c r="E152" s="63">
        <f>TRUNC(+D152*3.3058,-1)</f>
        <v>2540</v>
      </c>
    </row>
    <row r="153" spans="1:7" ht="17.25" thickBot="1" x14ac:dyDescent="0.35">
      <c r="A153" s="2">
        <v>5</v>
      </c>
      <c r="C153" s="38" t="s">
        <v>148</v>
      </c>
      <c r="D153" s="43">
        <f>TRUNC(17494,-1)</f>
        <v>17490</v>
      </c>
      <c r="E153" s="64">
        <f>TRUNC(+D153*3.3058,-1)</f>
        <v>57810</v>
      </c>
    </row>
    <row r="154" spans="1:7" x14ac:dyDescent="0.3">
      <c r="A154" s="2">
        <v>6</v>
      </c>
      <c r="C154" s="27" t="s">
        <v>112</v>
      </c>
      <c r="D154" s="39">
        <f>SUM(D149:D153)</f>
        <v>66060</v>
      </c>
      <c r="E154" s="39">
        <f>SUM(E149:E153)</f>
        <v>218350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2020-12-07T09:59:08Z</dcterms:modified>
</cp:coreProperties>
</file>