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86" i="4"/>
  <c r="E87" i="4"/>
  <c r="E88" i="4"/>
  <c r="E89" i="4"/>
  <c r="E85" i="4"/>
  <c r="E79" i="4"/>
  <c r="E80" i="4"/>
  <c r="E81" i="4"/>
  <c r="E82" i="4"/>
  <c r="E83" i="4"/>
  <c r="E78" i="4"/>
  <c r="E77" i="4"/>
  <c r="E76" i="4"/>
  <c r="E75" i="4"/>
  <c r="E71" i="4"/>
  <c r="E72" i="4"/>
  <c r="E73" i="4"/>
  <c r="E70" i="4"/>
  <c r="E92" i="4"/>
  <c r="E91" i="4"/>
  <c r="E90" i="4"/>
  <c r="E84" i="4"/>
  <c r="E74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33" i="4"/>
  <c r="E161" i="4" l="1"/>
  <c r="D161" i="4"/>
  <c r="D154" i="4"/>
  <c r="D146" i="4"/>
  <c r="D30" i="4" s="1"/>
  <c r="D133" i="4"/>
  <c r="D29" i="4" s="1"/>
  <c r="E29" i="4" s="1"/>
  <c r="D119" i="4"/>
  <c r="D94" i="4"/>
  <c r="D66" i="4"/>
  <c r="D60" i="4"/>
  <c r="D32" i="4"/>
  <c r="E32" i="4" s="1"/>
  <c r="D31" i="4"/>
  <c r="E31" i="4" s="1"/>
  <c r="D26" i="4"/>
  <c r="E26" i="4" s="1"/>
  <c r="D25" i="4"/>
  <c r="E25" i="4" s="1"/>
  <c r="D24" i="4"/>
  <c r="E24" i="4" s="1"/>
  <c r="D7" i="4"/>
  <c r="D95" i="4" l="1"/>
  <c r="D27" i="4" s="1"/>
  <c r="E27" i="4" s="1"/>
  <c r="E94" i="4"/>
  <c r="E30" i="4"/>
  <c r="D28" i="4"/>
  <c r="D34" i="4"/>
  <c r="E154" i="4"/>
  <c r="E66" i="4"/>
  <c r="E60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4" i="4" l="1"/>
  <c r="E28" i="4"/>
  <c r="E95" i="4"/>
  <c r="E119" i="4"/>
  <c r="E133" i="4"/>
  <c r="E146" i="4"/>
</calcChain>
</file>

<file path=xl/sharedStrings.xml><?xml version="1.0" encoding="utf-8"?>
<sst xmlns="http://schemas.openxmlformats.org/spreadsheetml/2006/main" count="385" uniqueCount="262">
  <si>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</si>
  <si>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</si>
  <si>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</si>
  <si>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</si>
  <si>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</si>
  <si>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</si>
  <si>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</si>
  <si>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</si>
  <si>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</si>
  <si>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</si>
  <si>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</si>
  <si>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</si>
  <si>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</si>
  <si>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</si>
  <si>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</si>
  <si>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</si>
  <si>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</si>
  <si>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</si>
  <si>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</si>
  <si>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</si>
  <si>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</si>
  <si>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</si>
  <si>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</si>
  <si>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</si>
  <si>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</si>
  <si>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</si>
  <si>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</si>
  <si>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</si>
  <si>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</si>
  <si>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</si>
  <si>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</si>
  <si>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</si>
  <si>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</si>
  <si>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</si>
  <si>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</si>
  <si>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</si>
  <si>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</si>
  <si>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</si>
  <si>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</si>
  <si>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</si>
  <si>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</si>
  <si>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</si>
  <si>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</si>
  <si>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</si>
  <si>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</si>
  <si>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</si>
  <si>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</si>
  <si>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</si>
  <si>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</si>
  <si>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</si>
  <si>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</si>
  <si>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</si>
  <si>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</si>
  <si>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</si>
  <si>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</si>
  <si>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</si>
  <si>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</si>
  <si>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</si>
  <si>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</si>
  <si>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</si>
  <si>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</si>
  <si>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</si>
  <si>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</si>
  <si>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</si>
  <si>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</si>
  <si>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</si>
  <si>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</si>
  <si>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</si>
  <si>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</si>
  <si>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</si>
  <si>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</si>
  <si>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</si>
  <si>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</si>
  <si>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</si>
  <si>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</si>
  <si>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</si>
  <si>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</si>
  <si>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</si>
  <si>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</si>
  <si>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</si>
  <si>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</si>
  <si>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</si>
  <si>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</si>
  <si>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</si>
  <si>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</si>
  <si>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</si>
  <si>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</si>
  <si>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</si>
  <si>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</si>
  <si>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</si>
  <si>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</si>
  <si>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</si>
  <si>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</si>
  <si>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</si>
  <si>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</si>
  <si>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</si>
  <si>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</si>
  <si>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</si>
  <si>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</si>
  <si>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</si>
  <si>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</si>
  <si>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</si>
  <si>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</si>
  <si>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</si>
  <si>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</si>
  <si>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</si>
  <si>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</si>
  <si>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</si>
  <si>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</si>
  <si>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</si>
  <si>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</si>
  <si>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</si>
  <si>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</si>
  <si>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</si>
  <si>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</si>
  <si>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</si>
  <si>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</si>
  <si>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</si>
  <si>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</si>
  <si>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</si>
  <si>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</si>
  <si>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</si>
  <si>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</si>
  <si>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</si>
  <si>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</si>
  <si>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</si>
  <si>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</si>
  <si>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</si>
  <si>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</si>
  <si>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</si>
  <si>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</si>
  <si>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</si>
  <si>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</si>
  <si>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</si>
  <si>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</si>
  <si>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</si>
  <si>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</si>
  <si>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</si>
  <si>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</si>
  <si>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</si>
  <si>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</si>
  <si>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</si>
  <si>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</si>
  <si>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</si>
  <si>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</si>
  <si>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</si>
  <si>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</si>
  <si>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</si>
  <si>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</si>
  <si>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</si>
  <si>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</si>
  <si>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</si>
  <si>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</si>
  <si>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</si>
  <si>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</si>
  <si>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</si>
  <si>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</si>
  <si>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</si>
  <si>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</si>
  <si>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</si>
  <si>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</si>
  <si>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</si>
  <si>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</si>
  <si>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</si>
  <si>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</si>
  <si>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</si>
  <si>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</si>
  <si>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</si>
  <si>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</si>
  <si>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</si>
  <si>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</si>
  <si>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</si>
  <si>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</si>
  <si>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</si>
  <si>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</si>
  <si>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</si>
  <si>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</si>
  <si>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</si>
  <si>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</si>
  <si>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</si>
  <si>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</si>
  <si>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</si>
  <si>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</si>
  <si>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</si>
  <si>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</si>
  <si>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</si>
  <si>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</si>
  <si>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</si>
  <si>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</si>
  <si>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</si>
  <si>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</si>
  <si>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</si>
  <si>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</si>
  <si>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</si>
  <si>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</si>
  <si>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</si>
  <si>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</si>
  <si>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</si>
  <si>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</si>
  <si>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</si>
  <si>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</si>
  <si>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</si>
  <si>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</si>
  <si>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</si>
  <si>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</si>
  <si>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</si>
  <si>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</si>
  <si>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</si>
  <si>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</si>
  <si>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</si>
  <si>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</si>
  <si>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</si>
  <si>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</si>
  <si>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</si>
  <si>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</si>
  <si>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</si>
  <si>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</si>
  <si>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</si>
  <si>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</si>
  <si>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</si>
  <si>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</si>
  <si>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</si>
  <si>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</si>
  <si>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</si>
  <si>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</si>
  <si>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</si>
  <si>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</si>
  <si>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</si>
  <si>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</si>
  <si>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</si>
  <si>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</si>
  <si>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</si>
  <si>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</si>
  <si>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</si>
  <si>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</si>
  <si>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</si>
  <si>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</si>
  <si>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</si>
  <si>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원 /평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</si>
  <si>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</si>
  <si>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</si>
  <si>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</si>
  <si>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원 /평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</si>
  <si>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</si>
  <si>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</si>
  <si>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</si>
  <si>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</si>
  <si>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</si>
  <si>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</si>
  <si>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</si>
  <si>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</si>
  <si>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인천시</t>
  </si>
  <si>
    <t>평</t>
    <phoneticPr fontId="2" type="noConversion"/>
  </si>
  <si>
    <t>원/ m2</t>
    <phoneticPr fontId="2" type="noConversion"/>
  </si>
  <si>
    <t>마감공사</t>
    <phoneticPr fontId="2" type="noConversion"/>
  </si>
  <si>
    <t>기타설비</t>
    <phoneticPr fontId="2" type="noConversion"/>
  </si>
  <si>
    <t>전등전열설비</t>
    <phoneticPr fontId="2" type="noConversion"/>
  </si>
  <si>
    <t>전기소방</t>
    <phoneticPr fontId="2" type="noConversion"/>
  </si>
  <si>
    <t>인천광역시 소재 00경찰서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</si>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</sst>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4" xfId="0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33" xfId="0" applyNumberFormat="1" applyFill="1" applyBorder="1">
      <alignment vertical="center"/>
    </xf>
    <xf numFmtId="3" fontId="0" fillId="0" borderId="34" xfId="0" applyNumberFormat="1" applyFill="1" applyBorder="1">
      <alignment vertical="center"/>
    </xf>
    <xf numFmtId="0" fontId="0" fillId="0" borderId="0" xfId="0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F2" sqref="F2:G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157</v>
      </c>
      <c r="B2" s="75" t="s">
        <v>0</v>
      </c>
      <c r="C2" s="76"/>
      <c r="D2" s="75" t="s">
        <v>1</v>
      </c>
      <c r="E2" s="76"/>
      <c r="F2" s="75" t="s">
        <v>158</v>
      </c>
      <c r="G2" s="76"/>
      <c r="H2" s="75" t="s">
        <v>2</v>
      </c>
      <c r="I2" s="76"/>
      <c r="J2" s="75" t="s">
        <v>3</v>
      </c>
      <c r="K2" s="76"/>
      <c r="L2" s="75" t="s">
        <v>159</v>
      </c>
      <c r="M2" s="76"/>
      <c r="N2" s="75" t="s">
        <v>160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62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252</v>
      </c>
    </row>
    <row r="7" spans="1:4" ht="17.25" thickBot="1" x14ac:dyDescent="0.35">
      <c r="C7" s="37">
        <v>5538</v>
      </c>
      <c r="D7" s="36">
        <f>+C7/3.3058</f>
        <v>1675.2374614314235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512700</v>
      </c>
      <c r="E25" s="58">
        <f t="shared" si="0"/>
        <v>1694880</v>
      </c>
    </row>
    <row r="26" spans="1:5" x14ac:dyDescent="0.3">
      <c r="B26" s="2">
        <v>3</v>
      </c>
      <c r="C26" s="35" t="s">
        <v>95</v>
      </c>
      <c r="D26" s="45">
        <f>+D66</f>
        <v>16770</v>
      </c>
      <c r="E26" s="58">
        <f t="shared" si="0"/>
        <v>55430</v>
      </c>
    </row>
    <row r="27" spans="1:5" x14ac:dyDescent="0.3">
      <c r="B27" s="2">
        <v>4</v>
      </c>
      <c r="C27" s="35" t="s">
        <v>96</v>
      </c>
      <c r="D27" s="45">
        <f>+D95</f>
        <v>249930</v>
      </c>
      <c r="E27" s="58">
        <f t="shared" si="0"/>
        <v>826210</v>
      </c>
    </row>
    <row r="28" spans="1:5" x14ac:dyDescent="0.3">
      <c r="B28" s="2">
        <v>5</v>
      </c>
      <c r="C28" s="35" t="s">
        <v>97</v>
      </c>
      <c r="D28" s="45">
        <f>+D119</f>
        <v>39530</v>
      </c>
      <c r="E28" s="58">
        <f t="shared" si="0"/>
        <v>130670</v>
      </c>
    </row>
    <row r="29" spans="1:5" x14ac:dyDescent="0.3">
      <c r="B29" s="2">
        <v>6</v>
      </c>
      <c r="C29" s="35" t="s">
        <v>98</v>
      </c>
      <c r="D29" s="45">
        <f>+D133</f>
        <v>52500</v>
      </c>
      <c r="E29" s="58">
        <f t="shared" si="0"/>
        <v>173550</v>
      </c>
    </row>
    <row r="30" spans="1:5" x14ac:dyDescent="0.3">
      <c r="B30" s="2">
        <v>7</v>
      </c>
      <c r="C30" s="35" t="s">
        <v>99</v>
      </c>
      <c r="D30" s="45">
        <f>+D146</f>
        <v>22790</v>
      </c>
      <c r="E30" s="58">
        <f t="shared" si="0"/>
        <v>75330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8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8">
        <f t="shared" si="0"/>
        <v>0</v>
      </c>
    </row>
    <row r="33" spans="1:7" x14ac:dyDescent="0.3">
      <c r="B33" s="2">
        <v>10</v>
      </c>
      <c r="C33" s="35" t="s">
        <v>155</v>
      </c>
      <c r="D33" s="52">
        <v>395820</v>
      </c>
      <c r="E33" s="59">
        <f t="shared" si="0"/>
        <v>1308500</v>
      </c>
    </row>
    <row r="34" spans="1:7" x14ac:dyDescent="0.3">
      <c r="C34" s="35" t="s">
        <v>112</v>
      </c>
      <c r="D34" s="44">
        <f>SUM(D24:D33)</f>
        <v>1290040</v>
      </c>
      <c r="E34" s="44">
        <f>SUM(E24:E33)</f>
        <v>4264570</v>
      </c>
    </row>
    <row r="35" spans="1:7" s="54" customFormat="1" x14ac:dyDescent="0.3">
      <c r="C35" s="55"/>
      <c r="D35" s="55"/>
      <c r="E35" s="55"/>
      <c r="F35" s="53"/>
      <c r="G35" s="53"/>
    </row>
    <row r="36" spans="1:7" s="54" customFormat="1" ht="17.25" thickBot="1" x14ac:dyDescent="0.35">
      <c r="B36" s="54" t="s">
        <v>12</v>
      </c>
      <c r="C36" s="54" t="s">
        <v>239</v>
      </c>
      <c r="D36" s="55" t="s">
        <v>237</v>
      </c>
      <c r="E36" s="55" t="s">
        <v>238</v>
      </c>
      <c r="F36" s="53"/>
      <c r="G36" s="53"/>
    </row>
    <row r="37" spans="1:7" ht="17.25" thickBot="1" x14ac:dyDescent="0.35">
      <c r="C37" s="38" t="s">
        <v>143</v>
      </c>
      <c r="D37" s="60">
        <v>0</v>
      </c>
      <c r="E37" s="61">
        <f>TRUNC(+D37*3.3058,-1)</f>
        <v>0</v>
      </c>
    </row>
    <row r="39" spans="1:7" ht="17.25" thickBot="1" x14ac:dyDescent="0.35">
      <c r="B39" s="2" t="s">
        <v>144</v>
      </c>
      <c r="C39" s="2" t="s">
        <v>113</v>
      </c>
      <c r="D39" s="2" t="s">
        <v>253</v>
      </c>
      <c r="E39" s="35" t="s">
        <v>154</v>
      </c>
    </row>
    <row r="40" spans="1:7" x14ac:dyDescent="0.3">
      <c r="A40" s="2">
        <v>1</v>
      </c>
      <c r="C40" s="38" t="s">
        <v>15</v>
      </c>
      <c r="D40" s="62">
        <v>41170</v>
      </c>
      <c r="E40" s="66">
        <f t="shared" ref="E40:E59" si="1">TRUNC(+D40*3.3058,-1)</f>
        <v>136090</v>
      </c>
    </row>
    <row r="41" spans="1:7" x14ac:dyDescent="0.3">
      <c r="A41" s="2">
        <v>2</v>
      </c>
      <c r="C41" s="38" t="s">
        <v>13</v>
      </c>
      <c r="D41" s="63">
        <v>215430</v>
      </c>
      <c r="E41" s="67">
        <f t="shared" si="1"/>
        <v>712160</v>
      </c>
    </row>
    <row r="42" spans="1:7" x14ac:dyDescent="0.3">
      <c r="A42" s="2">
        <v>3</v>
      </c>
      <c r="C42" s="38" t="s">
        <v>14</v>
      </c>
      <c r="D42" s="63">
        <v>0</v>
      </c>
      <c r="E42" s="67">
        <f t="shared" si="1"/>
        <v>0</v>
      </c>
    </row>
    <row r="43" spans="1:7" x14ac:dyDescent="0.3">
      <c r="A43" s="2">
        <v>4</v>
      </c>
      <c r="C43" s="38" t="s">
        <v>16</v>
      </c>
      <c r="D43" s="63">
        <v>0</v>
      </c>
      <c r="E43" s="67">
        <f t="shared" si="1"/>
        <v>0</v>
      </c>
    </row>
    <row r="44" spans="1:7" x14ac:dyDescent="0.3">
      <c r="A44" s="2">
        <v>5</v>
      </c>
      <c r="C44" s="38" t="s">
        <v>17</v>
      </c>
      <c r="D44" s="63">
        <v>0</v>
      </c>
      <c r="E44" s="67">
        <f t="shared" si="1"/>
        <v>0</v>
      </c>
    </row>
    <row r="45" spans="1:7" x14ac:dyDescent="0.3">
      <c r="A45" s="2">
        <v>6</v>
      </c>
      <c r="C45" s="38" t="s">
        <v>18</v>
      </c>
      <c r="D45" s="63">
        <v>0</v>
      </c>
      <c r="E45" s="67">
        <f t="shared" si="1"/>
        <v>0</v>
      </c>
    </row>
    <row r="46" spans="1:7" x14ac:dyDescent="0.3">
      <c r="A46" s="2">
        <v>7</v>
      </c>
      <c r="C46" s="38" t="s">
        <v>19</v>
      </c>
      <c r="D46" s="63">
        <v>0</v>
      </c>
      <c r="E46" s="67">
        <f t="shared" si="1"/>
        <v>0</v>
      </c>
    </row>
    <row r="47" spans="1:7" x14ac:dyDescent="0.3">
      <c r="A47" s="2">
        <v>8</v>
      </c>
      <c r="C47" s="38" t="s">
        <v>20</v>
      </c>
      <c r="D47" s="63">
        <v>0</v>
      </c>
      <c r="E47" s="67">
        <f t="shared" si="1"/>
        <v>0</v>
      </c>
      <c r="F47" s="65"/>
    </row>
    <row r="48" spans="1:7" x14ac:dyDescent="0.3">
      <c r="A48" s="2">
        <v>9</v>
      </c>
      <c r="C48" s="38" t="s">
        <v>21</v>
      </c>
      <c r="D48" s="63">
        <v>0</v>
      </c>
      <c r="E48" s="67">
        <f t="shared" si="1"/>
        <v>0</v>
      </c>
    </row>
    <row r="49" spans="1:7" x14ac:dyDescent="0.3">
      <c r="A49" s="2">
        <v>10</v>
      </c>
      <c r="C49" s="38" t="s">
        <v>22</v>
      </c>
      <c r="D49" s="63">
        <v>0</v>
      </c>
      <c r="E49" s="67">
        <f t="shared" si="1"/>
        <v>0</v>
      </c>
    </row>
    <row r="50" spans="1:7" x14ac:dyDescent="0.3">
      <c r="A50" s="2">
        <v>11</v>
      </c>
      <c r="C50" s="38" t="s">
        <v>156</v>
      </c>
      <c r="D50" s="63">
        <v>0</v>
      </c>
      <c r="E50" s="67">
        <f t="shared" si="1"/>
        <v>0</v>
      </c>
    </row>
    <row r="51" spans="1:7" x14ac:dyDescent="0.3">
      <c r="A51" s="2">
        <v>12</v>
      </c>
      <c r="C51" s="38" t="s">
        <v>23</v>
      </c>
      <c r="D51" s="63">
        <v>0</v>
      </c>
      <c r="E51" s="67">
        <f t="shared" si="1"/>
        <v>0</v>
      </c>
    </row>
    <row r="52" spans="1:7" x14ac:dyDescent="0.3">
      <c r="A52" s="2">
        <v>13</v>
      </c>
      <c r="C52" s="38" t="s">
        <v>24</v>
      </c>
      <c r="D52" s="63">
        <v>0</v>
      </c>
      <c r="E52" s="67">
        <f t="shared" si="1"/>
        <v>0</v>
      </c>
    </row>
    <row r="53" spans="1:7" x14ac:dyDescent="0.3">
      <c r="A53" s="2">
        <v>14</v>
      </c>
      <c r="C53" s="38" t="s">
        <v>25</v>
      </c>
      <c r="D53" s="63">
        <v>0</v>
      </c>
      <c r="E53" s="67">
        <f t="shared" si="1"/>
        <v>0</v>
      </c>
    </row>
    <row r="54" spans="1:7" x14ac:dyDescent="0.3">
      <c r="A54" s="2">
        <v>15</v>
      </c>
      <c r="C54" s="38" t="s">
        <v>148</v>
      </c>
      <c r="D54" s="63">
        <v>0</v>
      </c>
      <c r="E54" s="67">
        <f t="shared" si="1"/>
        <v>0</v>
      </c>
    </row>
    <row r="55" spans="1:7" x14ac:dyDescent="0.3">
      <c r="A55" s="2">
        <v>16</v>
      </c>
      <c r="C55" s="38" t="s">
        <v>145</v>
      </c>
      <c r="D55" s="63">
        <v>0</v>
      </c>
      <c r="E55" s="67">
        <f t="shared" si="1"/>
        <v>0</v>
      </c>
    </row>
    <row r="56" spans="1:7" x14ac:dyDescent="0.3">
      <c r="A56" s="2">
        <v>17</v>
      </c>
      <c r="C56" s="38" t="s">
        <v>146</v>
      </c>
      <c r="D56" s="63">
        <v>0</v>
      </c>
      <c r="E56" s="67">
        <f t="shared" si="1"/>
        <v>0</v>
      </c>
    </row>
    <row r="57" spans="1:7" x14ac:dyDescent="0.3">
      <c r="A57" s="2">
        <v>18</v>
      </c>
      <c r="C57" s="38" t="s">
        <v>147</v>
      </c>
      <c r="D57" s="63">
        <v>0</v>
      </c>
      <c r="E57" s="67">
        <f t="shared" si="1"/>
        <v>0</v>
      </c>
    </row>
    <row r="58" spans="1:7" x14ac:dyDescent="0.3">
      <c r="A58" s="2">
        <v>19</v>
      </c>
      <c r="C58" s="38" t="s">
        <v>26</v>
      </c>
      <c r="D58" s="63">
        <v>256100</v>
      </c>
      <c r="E58" s="67">
        <f t="shared" si="1"/>
        <v>846610</v>
      </c>
      <c r="F58" s="2" t="s">
        <v>254</v>
      </c>
    </row>
    <row r="59" spans="1:7" ht="17.25" thickBot="1" x14ac:dyDescent="0.35">
      <c r="A59" s="2">
        <v>20</v>
      </c>
      <c r="C59" s="38" t="s">
        <v>149</v>
      </c>
      <c r="D59" s="64">
        <v>0</v>
      </c>
      <c r="E59" s="68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512700</v>
      </c>
      <c r="E60" s="39">
        <f>SUM(E40:E59)</f>
        <v>1694860</v>
      </c>
    </row>
    <row r="61" spans="1:7" s="54" customFormat="1" x14ac:dyDescent="0.3">
      <c r="C61" s="55"/>
      <c r="D61" s="55"/>
      <c r="E61" s="55"/>
      <c r="F61" s="53"/>
      <c r="G61" s="53"/>
    </row>
    <row r="62" spans="1:7" s="54" customFormat="1" ht="17.25" thickBot="1" x14ac:dyDescent="0.35">
      <c r="B62" s="54" t="s">
        <v>240</v>
      </c>
      <c r="C62" s="54" t="s">
        <v>241</v>
      </c>
      <c r="D62" s="55" t="s">
        <v>237</v>
      </c>
      <c r="E62" s="55" t="s">
        <v>242</v>
      </c>
      <c r="F62" s="53"/>
      <c r="G62" s="53"/>
    </row>
    <row r="63" spans="1:7" x14ac:dyDescent="0.3">
      <c r="A63" s="2">
        <v>1</v>
      </c>
      <c r="C63" s="38" t="s">
        <v>27</v>
      </c>
      <c r="D63" s="40">
        <v>16770</v>
      </c>
      <c r="E63" s="66">
        <f>TRUNC(+D63*3.3058,-1)</f>
        <v>55430</v>
      </c>
    </row>
    <row r="64" spans="1:7" x14ac:dyDescent="0.3">
      <c r="A64" s="2">
        <v>2</v>
      </c>
      <c r="C64" s="38" t="s">
        <v>29</v>
      </c>
      <c r="D64" s="42">
        <v>0</v>
      </c>
      <c r="E64" s="67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8">
        <f>TRUNC(+D65*3.3058,-1)</f>
        <v>0</v>
      </c>
    </row>
    <row r="66" spans="1:7" x14ac:dyDescent="0.3">
      <c r="A66" s="2">
        <v>4</v>
      </c>
      <c r="C66" s="27" t="s">
        <v>112</v>
      </c>
      <c r="D66" s="56">
        <f>SUM(D63:D65)</f>
        <v>16770</v>
      </c>
      <c r="E66" s="56">
        <f>SUM(E63:E65)</f>
        <v>55430</v>
      </c>
    </row>
    <row r="67" spans="1:7" s="54" customFormat="1" x14ac:dyDescent="0.3">
      <c r="C67" s="55"/>
      <c r="D67" s="55"/>
      <c r="E67" s="55"/>
      <c r="F67" s="53"/>
      <c r="G67" s="53"/>
    </row>
    <row r="68" spans="1:7" s="54" customFormat="1" ht="17.25" thickBot="1" x14ac:dyDescent="0.35">
      <c r="B68" s="54" t="s">
        <v>243</v>
      </c>
      <c r="C68" s="54" t="s">
        <v>244</v>
      </c>
      <c r="D68" s="55" t="s">
        <v>237</v>
      </c>
      <c r="E68" s="55" t="s">
        <v>238</v>
      </c>
      <c r="F68" s="53"/>
      <c r="G68" s="53"/>
    </row>
    <row r="69" spans="1:7" x14ac:dyDescent="0.3">
      <c r="A69" s="2">
        <v>1</v>
      </c>
      <c r="C69" s="38" t="s">
        <v>30</v>
      </c>
      <c r="D69" s="40">
        <v>0</v>
      </c>
      <c r="E69" s="66">
        <f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7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7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7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7">
        <f t="shared" si="2"/>
        <v>0</v>
      </c>
    </row>
    <row r="74" spans="1:7" x14ac:dyDescent="0.3">
      <c r="A74" s="2">
        <v>6</v>
      </c>
      <c r="C74" s="38" t="s">
        <v>177</v>
      </c>
      <c r="D74" s="42">
        <v>10870</v>
      </c>
      <c r="E74" s="67">
        <f>TRUNC(+D74*3.3058,-1)</f>
        <v>35930</v>
      </c>
    </row>
    <row r="75" spans="1:7" x14ac:dyDescent="0.3">
      <c r="A75" s="2">
        <v>7</v>
      </c>
      <c r="C75" s="38" t="s">
        <v>140</v>
      </c>
      <c r="D75" s="42">
        <v>0</v>
      </c>
      <c r="E75" s="67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7">
        <f t="shared" ref="E76:E89" si="3">TRUNC(+D76*3.3058,-1)</f>
        <v>0</v>
      </c>
    </row>
    <row r="77" spans="1:7" x14ac:dyDescent="0.3">
      <c r="A77" s="2">
        <v>9</v>
      </c>
      <c r="C77" s="38" t="s">
        <v>153</v>
      </c>
      <c r="D77" s="42">
        <v>0</v>
      </c>
      <c r="E77" s="67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7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7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7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7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7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7">
        <f t="shared" si="3"/>
        <v>0</v>
      </c>
    </row>
    <row r="84" spans="1:7" x14ac:dyDescent="0.3">
      <c r="A84" s="2">
        <v>16</v>
      </c>
      <c r="C84" s="38" t="s">
        <v>122</v>
      </c>
      <c r="D84" s="42">
        <v>34460</v>
      </c>
      <c r="E84" s="67">
        <f>TRUNC(+D84*3.3058,-1)</f>
        <v>113910</v>
      </c>
    </row>
    <row r="85" spans="1:7" x14ac:dyDescent="0.3">
      <c r="A85" s="2">
        <v>17</v>
      </c>
      <c r="C85" s="38" t="s">
        <v>123</v>
      </c>
      <c r="D85" s="42">
        <v>0</v>
      </c>
      <c r="E85" s="67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7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7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7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7">
        <f t="shared" si="3"/>
        <v>0</v>
      </c>
    </row>
    <row r="90" spans="1:7" x14ac:dyDescent="0.3">
      <c r="A90" s="2">
        <v>22</v>
      </c>
      <c r="C90" s="38" t="s">
        <v>36</v>
      </c>
      <c r="D90" s="42">
        <v>2460</v>
      </c>
      <c r="E90" s="67">
        <f>TRUNC(+D90*3.3058,-1)</f>
        <v>8130</v>
      </c>
    </row>
    <row r="91" spans="1:7" x14ac:dyDescent="0.3">
      <c r="A91" s="2">
        <v>23</v>
      </c>
      <c r="C91" s="38" t="s">
        <v>37</v>
      </c>
      <c r="D91" s="42">
        <v>3240</v>
      </c>
      <c r="E91" s="67">
        <f>TRUNC(+D91*3.3058,-1)</f>
        <v>10710</v>
      </c>
    </row>
    <row r="92" spans="1:7" x14ac:dyDescent="0.3">
      <c r="A92" s="2">
        <v>24</v>
      </c>
      <c r="C92" s="38" t="s">
        <v>38</v>
      </c>
      <c r="D92" s="42">
        <v>20800</v>
      </c>
      <c r="E92" s="67">
        <f>TRUNC(+D92*3.3058,-1)</f>
        <v>68760</v>
      </c>
    </row>
    <row r="93" spans="1:7" x14ac:dyDescent="0.3">
      <c r="A93" s="2">
        <v>25</v>
      </c>
      <c r="C93" s="38" t="s">
        <v>149</v>
      </c>
      <c r="D93" s="42">
        <v>153590</v>
      </c>
      <c r="E93" s="67">
        <f>TRUNC(+D93*3.3058,-1)</f>
        <v>507730</v>
      </c>
    </row>
    <row r="94" spans="1:7" ht="17.25" thickBot="1" x14ac:dyDescent="0.35">
      <c r="A94" s="2">
        <v>26</v>
      </c>
      <c r="C94" s="38" t="s">
        <v>47</v>
      </c>
      <c r="D94" s="43">
        <f>24510</f>
        <v>24510</v>
      </c>
      <c r="E94" s="68">
        <f>TRUNC(+D94*3.3058,-1)</f>
        <v>81020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249930</v>
      </c>
      <c r="E95" s="39">
        <f>SUM(E69:E94)</f>
        <v>826190</v>
      </c>
    </row>
    <row r="96" spans="1:7" s="54" customFormat="1" x14ac:dyDescent="0.3">
      <c r="C96" s="55"/>
      <c r="D96" s="55"/>
      <c r="E96" s="55"/>
      <c r="F96" s="53"/>
      <c r="G96" s="53"/>
    </row>
    <row r="97" spans="1:7" s="54" customFormat="1" ht="17.25" thickBot="1" x14ac:dyDescent="0.35">
      <c r="B97" s="54" t="s">
        <v>245</v>
      </c>
      <c r="C97" s="54" t="s">
        <v>244</v>
      </c>
      <c r="D97" s="55" t="s">
        <v>237</v>
      </c>
      <c r="E97" s="55" t="s">
        <v>238</v>
      </c>
      <c r="F97" s="53"/>
      <c r="G97" s="53"/>
    </row>
    <row r="98" spans="1:7" x14ac:dyDescent="0.3">
      <c r="A98" s="2">
        <v>1</v>
      </c>
      <c r="C98" s="38" t="s">
        <v>39</v>
      </c>
      <c r="D98" s="40">
        <v>0</v>
      </c>
      <c r="E98" s="66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7">
        <f t="shared" si="4"/>
        <v>0</v>
      </c>
    </row>
    <row r="100" spans="1:7" x14ac:dyDescent="0.3">
      <c r="A100" s="2">
        <v>3</v>
      </c>
      <c r="C100" s="38" t="s">
        <v>41</v>
      </c>
      <c r="D100" s="42">
        <v>19730</v>
      </c>
      <c r="E100" s="67">
        <f t="shared" si="4"/>
        <v>65220</v>
      </c>
      <c r="F100" s="2" t="s">
        <v>256</v>
      </c>
    </row>
    <row r="101" spans="1:7" x14ac:dyDescent="0.3">
      <c r="A101" s="2">
        <v>4</v>
      </c>
      <c r="C101" s="38" t="s">
        <v>42</v>
      </c>
      <c r="D101" s="42">
        <v>0</v>
      </c>
      <c r="E101" s="67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7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7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7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7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7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7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7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7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7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7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7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7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7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7">
        <f t="shared" si="4"/>
        <v>0</v>
      </c>
    </row>
    <row r="116" spans="1:7" x14ac:dyDescent="0.3">
      <c r="A116" s="2">
        <v>19</v>
      </c>
      <c r="C116" s="38" t="s">
        <v>115</v>
      </c>
      <c r="D116" s="42">
        <v>19800</v>
      </c>
      <c r="E116" s="67">
        <f t="shared" si="4"/>
        <v>65450</v>
      </c>
    </row>
    <row r="117" spans="1:7" x14ac:dyDescent="0.3">
      <c r="A117" s="2">
        <v>20</v>
      </c>
      <c r="C117" s="38" t="s">
        <v>149</v>
      </c>
      <c r="D117" s="42">
        <v>0</v>
      </c>
      <c r="E117" s="67">
        <f t="shared" si="4"/>
        <v>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8">
        <f t="shared" si="4"/>
        <v>0</v>
      </c>
    </row>
    <row r="119" spans="1:7" x14ac:dyDescent="0.3">
      <c r="A119" s="2">
        <v>22</v>
      </c>
      <c r="C119" s="27" t="s">
        <v>112</v>
      </c>
      <c r="D119" s="39">
        <f>SUM(D98:D118)</f>
        <v>39530</v>
      </c>
      <c r="E119" s="39">
        <f>SUM(E98:E118)</f>
        <v>130670</v>
      </c>
    </row>
    <row r="120" spans="1:7" s="54" customFormat="1" x14ac:dyDescent="0.3">
      <c r="C120" s="55"/>
      <c r="D120" s="55"/>
      <c r="E120" s="55"/>
      <c r="F120" s="53"/>
      <c r="G120" s="53"/>
    </row>
    <row r="121" spans="1:7" s="54" customFormat="1" ht="17.25" thickBot="1" x14ac:dyDescent="0.35">
      <c r="B121" s="54" t="s">
        <v>246</v>
      </c>
      <c r="C121" s="54" t="s">
        <v>244</v>
      </c>
      <c r="D121" s="55" t="s">
        <v>237</v>
      </c>
      <c r="E121" s="55" t="s">
        <v>238</v>
      </c>
      <c r="F121" s="53"/>
      <c r="G121" s="53"/>
    </row>
    <row r="122" spans="1:7" x14ac:dyDescent="0.3">
      <c r="A122" s="2">
        <v>1</v>
      </c>
      <c r="C122" s="38" t="s">
        <v>55</v>
      </c>
      <c r="D122" s="40">
        <v>0</v>
      </c>
      <c r="E122" s="66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7">
        <f t="shared" si="5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7">
        <f t="shared" si="5"/>
        <v>0</v>
      </c>
    </row>
    <row r="125" spans="1:7" x14ac:dyDescent="0.3">
      <c r="A125" s="2">
        <v>4</v>
      </c>
      <c r="C125" s="38" t="s">
        <v>138</v>
      </c>
      <c r="D125" s="42">
        <v>5160</v>
      </c>
      <c r="E125" s="67">
        <f t="shared" si="5"/>
        <v>17050</v>
      </c>
    </row>
    <row r="126" spans="1:7" x14ac:dyDescent="0.3">
      <c r="A126" s="2">
        <v>5</v>
      </c>
      <c r="C126" s="38" t="s">
        <v>53</v>
      </c>
      <c r="D126" s="42">
        <v>0</v>
      </c>
      <c r="E126" s="67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7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7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7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17120</v>
      </c>
      <c r="E130" s="67">
        <f t="shared" si="5"/>
        <v>56590</v>
      </c>
    </row>
    <row r="131" spans="1:7" x14ac:dyDescent="0.3">
      <c r="A131" s="2">
        <v>10</v>
      </c>
      <c r="C131" s="38" t="s">
        <v>149</v>
      </c>
      <c r="D131" s="42">
        <v>27080</v>
      </c>
      <c r="E131" s="67">
        <f t="shared" si="5"/>
        <v>89520</v>
      </c>
    </row>
    <row r="132" spans="1:7" ht="17.25" thickBot="1" x14ac:dyDescent="0.35">
      <c r="A132" s="2">
        <v>11</v>
      </c>
      <c r="C132" s="38" t="s">
        <v>47</v>
      </c>
      <c r="D132" s="43">
        <v>3140</v>
      </c>
      <c r="E132" s="68">
        <f t="shared" si="5"/>
        <v>10380</v>
      </c>
    </row>
    <row r="133" spans="1:7" x14ac:dyDescent="0.3">
      <c r="A133" s="2">
        <v>12</v>
      </c>
      <c r="C133" s="27" t="s">
        <v>112</v>
      </c>
      <c r="D133" s="39">
        <f>SUM(D122:D132)</f>
        <v>52500</v>
      </c>
      <c r="E133" s="39">
        <f>SUM(E122:E132)</f>
        <v>173540</v>
      </c>
    </row>
    <row r="134" spans="1:7" s="54" customFormat="1" x14ac:dyDescent="0.3">
      <c r="C134" s="55"/>
      <c r="D134" s="55"/>
      <c r="E134" s="55"/>
      <c r="F134" s="53"/>
      <c r="G134" s="53"/>
    </row>
    <row r="135" spans="1:7" s="54" customFormat="1" ht="17.25" thickBot="1" x14ac:dyDescent="0.35">
      <c r="B135" s="54" t="s">
        <v>247</v>
      </c>
      <c r="C135" s="54" t="s">
        <v>244</v>
      </c>
      <c r="D135" s="55" t="s">
        <v>237</v>
      </c>
      <c r="E135" s="55" t="s">
        <v>238</v>
      </c>
      <c r="F135" s="53"/>
      <c r="G135" s="53"/>
    </row>
    <row r="136" spans="1:7" x14ac:dyDescent="0.3">
      <c r="A136" s="2">
        <v>1</v>
      </c>
      <c r="C136" s="38" t="s">
        <v>131</v>
      </c>
      <c r="D136" s="40">
        <v>15340</v>
      </c>
      <c r="E136" s="66">
        <f t="shared" ref="E136:E145" si="6">TRUNC(+D136*3.3058,-1)</f>
        <v>50710</v>
      </c>
    </row>
    <row r="137" spans="1:7" x14ac:dyDescent="0.3">
      <c r="A137" s="2">
        <v>2</v>
      </c>
      <c r="C137" s="38" t="s">
        <v>47</v>
      </c>
      <c r="D137" s="42">
        <v>7450</v>
      </c>
      <c r="E137" s="67">
        <f t="shared" si="6"/>
        <v>24620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7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7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7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7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7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7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7">
        <f t="shared" si="6"/>
        <v>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8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22790</v>
      </c>
      <c r="E146" s="39">
        <f>SUM(E136:E145)</f>
        <v>75330</v>
      </c>
    </row>
    <row r="147" spans="1:7" s="54" customFormat="1" x14ac:dyDescent="0.3">
      <c r="C147" s="55"/>
      <c r="D147" s="55"/>
      <c r="E147" s="55"/>
      <c r="F147" s="53"/>
      <c r="G147" s="53"/>
    </row>
    <row r="148" spans="1:7" s="54" customFormat="1" ht="17.25" thickBot="1" x14ac:dyDescent="0.35">
      <c r="B148" s="54" t="s">
        <v>248</v>
      </c>
      <c r="C148" s="54" t="s">
        <v>244</v>
      </c>
      <c r="D148" s="55" t="s">
        <v>237</v>
      </c>
      <c r="E148" s="55" t="s">
        <v>238</v>
      </c>
      <c r="F148" s="53"/>
      <c r="G148" s="53"/>
    </row>
    <row r="149" spans="1:7" x14ac:dyDescent="0.3">
      <c r="A149" s="2">
        <v>1</v>
      </c>
      <c r="C149" s="38" t="s">
        <v>48</v>
      </c>
      <c r="D149" s="40">
        <v>0</v>
      </c>
      <c r="E149" s="66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7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7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7">
        <f>TRUNC(+D152*3.3058,-1)</f>
        <v>0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8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4" customFormat="1" x14ac:dyDescent="0.3">
      <c r="C155" s="55"/>
      <c r="D155" s="55"/>
      <c r="E155" s="55"/>
      <c r="F155" s="53"/>
      <c r="G155" s="53"/>
    </row>
    <row r="156" spans="1:7" s="54" customFormat="1" ht="17.25" thickBot="1" x14ac:dyDescent="0.35">
      <c r="B156" s="54" t="s">
        <v>249</v>
      </c>
      <c r="C156" s="54" t="s">
        <v>244</v>
      </c>
      <c r="D156" s="55" t="s">
        <v>237</v>
      </c>
      <c r="E156" s="55" t="s">
        <v>238</v>
      </c>
      <c r="F156" s="53"/>
      <c r="G156" s="53"/>
    </row>
    <row r="157" spans="1:7" x14ac:dyDescent="0.3">
      <c r="A157" s="2">
        <v>1</v>
      </c>
      <c r="C157" s="38" t="s">
        <v>51</v>
      </c>
      <c r="D157" s="40">
        <v>0</v>
      </c>
      <c r="E157" s="66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7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7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8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2020-12-07T08:50:22Z</dcterms:modified>
</cp:coreProperties>
</file>