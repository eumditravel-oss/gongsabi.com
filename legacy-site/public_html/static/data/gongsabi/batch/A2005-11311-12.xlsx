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2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95" i="4" l="1"/>
  <c r="E146" i="4"/>
  <c r="D161" i="4"/>
  <c r="D152" i="4"/>
  <c r="D146" i="4"/>
  <c r="D123" i="4"/>
  <c r="D118" i="4"/>
  <c r="E118" i="4" s="1"/>
  <c r="D117" i="4"/>
  <c r="E117" i="4" s="1"/>
  <c r="E119" i="4" s="1"/>
  <c r="D93" i="4"/>
  <c r="E93" i="4" s="1"/>
  <c r="D66" i="4"/>
  <c r="D26" i="4" s="1"/>
  <c r="E26" i="4" s="1"/>
  <c r="D59" i="4"/>
  <c r="D58" i="4"/>
  <c r="E58" i="4" s="1"/>
  <c r="D32" i="4"/>
  <c r="E32" i="4" s="1"/>
  <c r="D30" i="4"/>
  <c r="E30" i="4" s="1"/>
  <c r="D24" i="4"/>
  <c r="E24" i="4" s="1"/>
  <c r="D7" i="4"/>
  <c r="D119" i="4" l="1"/>
  <c r="D28" i="4" s="1"/>
  <c r="E28" i="4" s="1"/>
  <c r="D95" i="4"/>
  <c r="D27" i="4" s="1"/>
  <c r="E27" i="4" s="1"/>
  <c r="D133" i="4"/>
  <c r="D29" i="4" s="1"/>
  <c r="E29" i="4" s="1"/>
  <c r="E123" i="4"/>
  <c r="E133" i="4" s="1"/>
  <c r="D154" i="4"/>
  <c r="D31" i="4" s="1"/>
  <c r="E31" i="4" s="1"/>
  <c r="E152" i="4"/>
  <c r="E154" i="4" s="1"/>
  <c r="D60" i="4"/>
  <c r="D25" i="4" s="1"/>
  <c r="E25" i="4" s="1"/>
  <c r="E59" i="4"/>
  <c r="E60" i="4" s="1"/>
  <c r="D33" i="4" l="1"/>
  <c r="D34" i="4" s="1"/>
  <c r="E33" i="4"/>
  <c r="E3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<sst xmlns="http://schemas.openxmlformats.org/spreadsheetml/2006/main" count="393" uniqueCount="266">
  <si>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</si>
  <si>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</si>
  <si>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</si>
  <si>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</si>
  <si>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</si>
  <si>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</si>
  <si>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</si>
  <si>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</si>
  <si>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</si>
  <si>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</si>
  <si>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</si>
  <si>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</si>
  <si>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</si>
  <si>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</si>
  <si>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</si>
  <si>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</si>
  <si>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</si>
  <si>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</si>
  <si>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</si>
  <si>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</si>
  <si>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</si>
  <si>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</si>
  <si>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</si>
  <si>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</si>
  <si>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</si>
  <si>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</si>
  <si>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</si>
  <si>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</si>
  <si>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</si>
  <si>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</si>
  <si>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</si>
  <si>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</si>
  <si>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</si>
  <si>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</si>
  <si>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</si>
  <si>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</si>
  <si>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</si>
  <si>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</si>
  <si>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</si>
  <si>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</si>
  <si>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</si>
  <si>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</si>
  <si>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</si>
  <si>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</si>
  <si>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</si>
  <si>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</si>
  <si>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</si>
  <si>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</si>
  <si>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</si>
  <si>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</si>
  <si>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</si>
  <si>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</si>
  <si>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</si>
  <si>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</si>
  <si>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</si>
  <si>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</si>
  <si>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</si>
  <si>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</si>
  <si>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</si>
  <si>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</si>
  <si>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</si>
  <si>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</si>
  <si>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</si>
  <si>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</si>
  <si>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</si>
  <si>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</si>
  <si>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</si>
  <si>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</si>
  <si>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</si>
  <si>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</si>
  <si>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</si>
  <si>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</si>
  <si>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</si>
  <si>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</si>
  <si>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</si>
  <si>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</si>
  <si>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</si>
  <si>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</si>
  <si>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</si>
  <si>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</si>
  <si>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</si>
  <si>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</si>
  <si>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</si>
  <si>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</si>
  <si>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</si>
  <si>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</si>
  <si>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</si>
  <si>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</si>
  <si>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</si>
  <si>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</si>
  <si>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</si>
  <si>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</si>
  <si>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</si>
  <si>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</si>
  <si>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</si>
  <si>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</si>
  <si>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</si>
  <si>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</si>
  <si>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</si>
  <si>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</si>
  <si>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</si>
  <si>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</si>
  <si>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</si>
  <si>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</si>
  <si>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</si>
  <si>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</si>
  <si>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</si>
  <si>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</si>
  <si>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</si>
  <si>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</si>
  <si>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</si>
  <si>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</si>
  <si>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</si>
  <si>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</si>
  <si>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</si>
  <si>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</si>
  <si>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</si>
  <si>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</si>
  <si>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</si>
  <si>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</si>
  <si>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</si>
  <si>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</si>
  <si>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</si>
  <si>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</si>
  <si>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</si>
  <si>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</si>
  <si>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</si>
  <si>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</si>
  <si>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</si>
  <si>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</si>
  <si>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</si>
  <si>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</si>
  <si>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</si>
  <si>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</si>
  <si>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</si>
  <si>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</si>
  <si>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</si>
  <si>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</si>
  <si>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</si>
  <si>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</si>
  <si>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</si>
  <si>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</si>
  <si>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</si>
  <si>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</si>
  <si>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</si>
  <si>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</si>
  <si>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</si>
  <si>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</si>
  <si>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</si>
  <si>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</si>
  <si>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</si>
  <si>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</si>
  <si>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</si>
  <si>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</si>
  <si>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</si>
  <si>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</si>
  <si>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</si>
  <si>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</si>
  <si>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</si>
  <si>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</si>
  <si>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</si>
  <si>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</si>
  <si>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</si>
  <si>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</si>
  <si>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</si>
  <si>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</si>
  <si>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</si>
  <si>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</si>
  <si>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</si>
  <si>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</si>
  <si>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</si>
  <si>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</si>
  <si>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</si>
  <si>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</si>
  <si>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</si>
  <si>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</si>
  <si>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</si>
  <si>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</si>
  <si>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</si>
  <si>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</si>
  <si>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</si>
  <si>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</si>
  <si>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</si>
  <si>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</si>
  <si>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</si>
  <si>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</si>
  <si>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</si>
  <si>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</si>
  <si>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</si>
  <si>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</si>
  <si>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</si>
  <si>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</si>
  <si>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</si>
  <si>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</si>
  <si>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</si>
  <si>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</si>
  <si>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</si>
  <si>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</si>
  <si>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</si>
  <si>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</si>
  <si>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</si>
  <si>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</si>
  <si>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</si>
  <si>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</si>
  <si>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</si>
  <si>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</si>
  <si>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</si>
  <si>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</si>
  <si>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</si>
  <si>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</si>
  <si>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</si>
  <si>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</si>
  <si>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</si>
  <si>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</si>
  <si>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</si>
  <si>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</si>
  <si>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</si>
  <si>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</si>
  <si>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</si>
  <si>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</si>
  <si>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</si>
  <si>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</si>
  <si>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</si>
  <si>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</si>
  <si>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</si>
  <si>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</si>
  <si>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</si>
  <si>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</si>
  <si>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</si>
  <si>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</si>
  <si>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</si>
  <si>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</si>
  <si>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</si>
  <si>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</si>
  <si>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</si>
  <si>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</si>
  <si>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</si>
  <si>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</si>
  <si>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</si>
  <si>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</si>
  <si>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</si>
  <si>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</si>
  <si>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</si>
  <si>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</si>
  <si>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</si>
  <si>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</si>
  <si>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</si>
  <si>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00대학교 교사교육센터 신축공사</t>
  </si>
  <si>
    <t>충청도</t>
  </si>
  <si>
    <t>평</t>
    <phoneticPr fontId="2" type="noConversion"/>
  </si>
  <si>
    <t>원/ m2</t>
    <phoneticPr fontId="2" type="noConversion"/>
  </si>
  <si>
    <t>기초및토공사,운반및골재,부산물공제</t>
    <phoneticPr fontId="2" type="noConversion"/>
  </si>
  <si>
    <t>옥외공동구 배관공사</t>
    <phoneticPr fontId="2" type="noConversion"/>
  </si>
  <si>
    <t>냉난방배관공사</t>
    <phoneticPr fontId="2" type="noConversion"/>
  </si>
  <si>
    <t>외등공사,FAN COIL 전열공사,비상조명공사</t>
    <phoneticPr fontId="2" type="noConversion"/>
  </si>
  <si>
    <t>전화공사,LAN공사</t>
    <phoneticPr fontId="2" type="noConversion"/>
  </si>
  <si>
    <t>옥외전화공사</t>
    <phoneticPr fontId="2" type="noConversion"/>
  </si>
  <si>
    <t>공동구공,가시설공,부대공,조경공,사급자재대</t>
    <phoneticPr fontId="2" type="noConversion"/>
  </si>
  <si>
    <t>도급자설치</t>
    <phoneticPr fontId="2" type="noConversion"/>
  </si>
  <si>
    <t>스팀배관공사</t>
    <phoneticPr fontId="2" type="noConversion"/>
  </si>
  <si>
    <t>기계 소화배관공사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</si>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</sst>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6262</v>
      </c>
      <c r="D7" s="36">
        <f>+C7/3.3058</f>
        <v>1894.2464758908584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502220</v>
      </c>
      <c r="E25" s="60">
        <f t="shared" si="0"/>
        <v>1660230</v>
      </c>
    </row>
    <row r="26" spans="1:5" x14ac:dyDescent="0.3">
      <c r="B26" s="2">
        <v>3</v>
      </c>
      <c r="C26" s="35" t="s">
        <v>95</v>
      </c>
      <c r="D26" s="45">
        <f>+D66</f>
        <v>8820</v>
      </c>
      <c r="E26" s="60">
        <f t="shared" si="0"/>
        <v>29150</v>
      </c>
    </row>
    <row r="27" spans="1:5" x14ac:dyDescent="0.3">
      <c r="B27" s="2">
        <v>4</v>
      </c>
      <c r="C27" s="35" t="s">
        <v>96</v>
      </c>
      <c r="D27" s="45">
        <f>+D95</f>
        <v>97660</v>
      </c>
      <c r="E27" s="60">
        <f t="shared" si="0"/>
        <v>322840</v>
      </c>
    </row>
    <row r="28" spans="1:5" x14ac:dyDescent="0.3">
      <c r="B28" s="2">
        <v>5</v>
      </c>
      <c r="C28" s="35" t="s">
        <v>97</v>
      </c>
      <c r="D28" s="45">
        <f>+D119</f>
        <v>47800</v>
      </c>
      <c r="E28" s="60">
        <f t="shared" si="0"/>
        <v>158010</v>
      </c>
    </row>
    <row r="29" spans="1:5" x14ac:dyDescent="0.3">
      <c r="B29" s="2">
        <v>6</v>
      </c>
      <c r="C29" s="35" t="s">
        <v>98</v>
      </c>
      <c r="D29" s="45">
        <f>+D133</f>
        <v>12240</v>
      </c>
      <c r="E29" s="60">
        <f t="shared" si="0"/>
        <v>40460</v>
      </c>
    </row>
    <row r="30" spans="1:5" x14ac:dyDescent="0.3">
      <c r="B30" s="2">
        <v>7</v>
      </c>
      <c r="C30" s="35" t="s">
        <v>99</v>
      </c>
      <c r="D30" s="45">
        <f>+D146</f>
        <v>12320</v>
      </c>
      <c r="E30" s="60">
        <f t="shared" si="0"/>
        <v>40720</v>
      </c>
    </row>
    <row r="31" spans="1:5" x14ac:dyDescent="0.3">
      <c r="B31" s="2">
        <v>8</v>
      </c>
      <c r="C31" s="35" t="s">
        <v>100</v>
      </c>
      <c r="D31" s="45">
        <f>+D154</f>
        <v>122550</v>
      </c>
      <c r="E31" s="60">
        <f t="shared" si="0"/>
        <v>405120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220990</v>
      </c>
      <c r="E33" s="61">
        <f t="shared" si="0"/>
        <v>730540</v>
      </c>
    </row>
    <row r="34" spans="1:7" x14ac:dyDescent="0.3">
      <c r="C34" s="35" t="s">
        <v>112</v>
      </c>
      <c r="D34" s="44">
        <f>SUM(D24:D33)</f>
        <v>1024600</v>
      </c>
      <c r="E34" s="44">
        <f>SUM(E24:E33)</f>
        <v>3387070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v>33580</v>
      </c>
      <c r="E40" s="63">
        <f t="shared" ref="E40:E59" si="1">TRUNC(+D40*3.3058,-1)</f>
        <v>111000</v>
      </c>
    </row>
    <row r="41" spans="1:7" x14ac:dyDescent="0.3">
      <c r="A41" s="2">
        <v>2</v>
      </c>
      <c r="C41" s="38" t="s">
        <v>13</v>
      </c>
      <c r="D41" s="42">
        <v>102720</v>
      </c>
      <c r="E41" s="64">
        <f t="shared" si="1"/>
        <v>339570</v>
      </c>
    </row>
    <row r="42" spans="1:7" x14ac:dyDescent="0.3">
      <c r="A42" s="2">
        <v>3</v>
      </c>
      <c r="C42" s="38" t="s">
        <v>14</v>
      </c>
      <c r="D42" s="42">
        <v>0</v>
      </c>
      <c r="E42" s="64">
        <f t="shared" si="1"/>
        <v>0</v>
      </c>
    </row>
    <row r="43" spans="1:7" x14ac:dyDescent="0.3">
      <c r="A43" s="2">
        <v>4</v>
      </c>
      <c r="C43" s="38" t="s">
        <v>16</v>
      </c>
      <c r="D43" s="42">
        <v>45070</v>
      </c>
      <c r="E43" s="64">
        <f t="shared" si="1"/>
        <v>148990</v>
      </c>
    </row>
    <row r="44" spans="1:7" x14ac:dyDescent="0.3">
      <c r="A44" s="2">
        <v>5</v>
      </c>
      <c r="C44" s="38" t="s">
        <v>17</v>
      </c>
      <c r="D44" s="42">
        <v>14430</v>
      </c>
      <c r="E44" s="64">
        <f t="shared" si="1"/>
        <v>47700</v>
      </c>
    </row>
    <row r="45" spans="1:7" x14ac:dyDescent="0.3">
      <c r="A45" s="2">
        <v>6</v>
      </c>
      <c r="C45" s="38" t="s">
        <v>18</v>
      </c>
      <c r="D45" s="42">
        <v>6420</v>
      </c>
      <c r="E45" s="64">
        <f t="shared" si="1"/>
        <v>21220</v>
      </c>
    </row>
    <row r="46" spans="1:7" x14ac:dyDescent="0.3">
      <c r="A46" s="2">
        <v>7</v>
      </c>
      <c r="C46" s="38" t="s">
        <v>19</v>
      </c>
      <c r="D46" s="42">
        <v>47610</v>
      </c>
      <c r="E46" s="64">
        <f t="shared" si="1"/>
        <v>157380</v>
      </c>
    </row>
    <row r="47" spans="1:7" x14ac:dyDescent="0.3">
      <c r="A47" s="2">
        <v>8</v>
      </c>
      <c r="C47" s="38" t="s">
        <v>20</v>
      </c>
      <c r="D47" s="42">
        <v>50</v>
      </c>
      <c r="E47" s="64">
        <f t="shared" si="1"/>
        <v>160</v>
      </c>
    </row>
    <row r="48" spans="1:7" x14ac:dyDescent="0.3">
      <c r="A48" s="2">
        <v>9</v>
      </c>
      <c r="C48" s="38" t="s">
        <v>21</v>
      </c>
      <c r="D48" s="42">
        <v>21900</v>
      </c>
      <c r="E48" s="64">
        <f t="shared" si="1"/>
        <v>72390</v>
      </c>
    </row>
    <row r="49" spans="1:7" x14ac:dyDescent="0.3">
      <c r="A49" s="2">
        <v>10</v>
      </c>
      <c r="C49" s="38" t="s">
        <v>22</v>
      </c>
      <c r="D49" s="42">
        <v>20290</v>
      </c>
      <c r="E49" s="64">
        <f t="shared" si="1"/>
        <v>67070</v>
      </c>
    </row>
    <row r="50" spans="1:7" x14ac:dyDescent="0.3">
      <c r="A50" s="2">
        <v>11</v>
      </c>
      <c r="C50" s="38" t="s">
        <v>155</v>
      </c>
      <c r="D50" s="42">
        <v>25130</v>
      </c>
      <c r="E50" s="64">
        <f t="shared" si="1"/>
        <v>83070</v>
      </c>
    </row>
    <row r="51" spans="1:7" x14ac:dyDescent="0.3">
      <c r="A51" s="2">
        <v>12</v>
      </c>
      <c r="C51" s="38" t="s">
        <v>23</v>
      </c>
      <c r="D51" s="42">
        <v>5250</v>
      </c>
      <c r="E51" s="64">
        <f t="shared" si="1"/>
        <v>17350</v>
      </c>
    </row>
    <row r="52" spans="1:7" x14ac:dyDescent="0.3">
      <c r="A52" s="2">
        <v>13</v>
      </c>
      <c r="C52" s="38" t="s">
        <v>24</v>
      </c>
      <c r="D52" s="42">
        <v>5490</v>
      </c>
      <c r="E52" s="64">
        <f t="shared" si="1"/>
        <v>18140</v>
      </c>
    </row>
    <row r="53" spans="1:7" x14ac:dyDescent="0.3">
      <c r="A53" s="2">
        <v>14</v>
      </c>
      <c r="C53" s="38" t="s">
        <v>25</v>
      </c>
      <c r="D53" s="42">
        <v>49870</v>
      </c>
      <c r="E53" s="64">
        <f t="shared" si="1"/>
        <v>164860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2780</v>
      </c>
      <c r="E55" s="64">
        <f t="shared" si="1"/>
        <v>9190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4910+2710-500</f>
        <v>7120</v>
      </c>
      <c r="E58" s="64">
        <f t="shared" si="1"/>
        <v>23530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TRUNC(114516.288725647,-1)</f>
        <v>114510</v>
      </c>
      <c r="E59" s="65">
        <f t="shared" si="1"/>
        <v>378540</v>
      </c>
      <c r="F59" s="2" t="s">
        <v>258</v>
      </c>
    </row>
    <row r="60" spans="1:7" x14ac:dyDescent="0.3">
      <c r="A60" s="2">
        <v>21</v>
      </c>
      <c r="C60" s="27" t="s">
        <v>112</v>
      </c>
      <c r="D60" s="39">
        <f>SUM(D40:D59)</f>
        <v>502220</v>
      </c>
      <c r="E60" s="39">
        <f>SUM(E40:E59)</f>
        <v>1660160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250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8820</v>
      </c>
      <c r="E63" s="63">
        <f>TRUNC(+D63*3.3058,-1)</f>
        <v>29150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8820</v>
      </c>
      <c r="E66" s="57">
        <f>SUM(E63:E65)</f>
        <v>29150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250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7850</v>
      </c>
      <c r="E69" s="63">
        <f>TRUNC(+D69*3.3058,-1)</f>
        <v>25950</v>
      </c>
    </row>
    <row r="70" spans="1:7" ht="16.5" customHeight="1" x14ac:dyDescent="0.3">
      <c r="A70" s="2">
        <v>2</v>
      </c>
      <c r="C70" s="38" t="s">
        <v>31</v>
      </c>
      <c r="D70" s="42">
        <v>21140</v>
      </c>
      <c r="E70" s="64">
        <f>TRUNC(+D70*3.3058,-1)</f>
        <v>69880</v>
      </c>
      <c r="F70" s="2" t="s">
        <v>252</v>
      </c>
    </row>
    <row r="71" spans="1:7" x14ac:dyDescent="0.3">
      <c r="A71" s="2">
        <v>3</v>
      </c>
      <c r="C71" s="38" t="s">
        <v>32</v>
      </c>
      <c r="D71" s="42">
        <v>14970</v>
      </c>
      <c r="E71" s="64">
        <f t="shared" ref="E71:E73" si="2">TRUNC(+D71*3.3058,-1)</f>
        <v>49480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6650</v>
      </c>
      <c r="E73" s="64">
        <f t="shared" si="2"/>
        <v>21980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7060</v>
      </c>
      <c r="E81" s="64">
        <f t="shared" si="3"/>
        <v>23330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26370</v>
      </c>
      <c r="E84" s="64">
        <f>TRUNC(+D84*3.3058,-1)</f>
        <v>87170</v>
      </c>
      <c r="F84" s="2" t="s">
        <v>253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5600</v>
      </c>
      <c r="E92" s="64">
        <f>TRUNC(+D92*3.3058,-1)</f>
        <v>18510</v>
      </c>
    </row>
    <row r="93" spans="1:7" x14ac:dyDescent="0.3">
      <c r="A93" s="2">
        <v>25</v>
      </c>
      <c r="C93" s="38" t="s">
        <v>148</v>
      </c>
      <c r="D93" s="42">
        <f>TRUNC(6081.44362823379,-1)</f>
        <v>6080</v>
      </c>
      <c r="E93" s="64">
        <f>TRUNC(+D93*3.3058,-1)</f>
        <v>20090</v>
      </c>
      <c r="F93" s="2" t="s">
        <v>258</v>
      </c>
    </row>
    <row r="94" spans="1:7" ht="17.25" thickBot="1" x14ac:dyDescent="0.35">
      <c r="A94" s="2">
        <v>26</v>
      </c>
      <c r="C94" s="38" t="s">
        <v>47</v>
      </c>
      <c r="D94" s="43">
        <f>1940</f>
        <v>1940</v>
      </c>
      <c r="E94" s="65">
        <f>TRUNC(+D94*3.3058,-1)</f>
        <v>6410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97660</v>
      </c>
      <c r="E95" s="39">
        <f>SUM(E69:E94)</f>
        <v>322800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250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6020</v>
      </c>
      <c r="E98" s="63">
        <f t="shared" ref="E98:E118" si="4">TRUNC(+D98*3.3058,-1)</f>
        <v>19900</v>
      </c>
    </row>
    <row r="99" spans="1:7" x14ac:dyDescent="0.3">
      <c r="A99" s="2">
        <v>2</v>
      </c>
      <c r="C99" s="38" t="s">
        <v>40</v>
      </c>
      <c r="D99" s="42">
        <v>1570</v>
      </c>
      <c r="E99" s="64">
        <f t="shared" si="4"/>
        <v>5190</v>
      </c>
    </row>
    <row r="100" spans="1:7" x14ac:dyDescent="0.3">
      <c r="A100" s="2">
        <v>3</v>
      </c>
      <c r="C100" s="38" t="s">
        <v>41</v>
      </c>
      <c r="D100" s="42">
        <v>13290</v>
      </c>
      <c r="E100" s="64">
        <f t="shared" si="4"/>
        <v>43930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v>4730</v>
      </c>
      <c r="E102" s="64">
        <f t="shared" si="4"/>
        <v>15630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v>720</v>
      </c>
      <c r="E104" s="64">
        <f t="shared" si="4"/>
        <v>2380</v>
      </c>
    </row>
    <row r="105" spans="1:7" x14ac:dyDescent="0.3">
      <c r="A105" s="2">
        <v>8</v>
      </c>
      <c r="C105" s="38" t="s">
        <v>46</v>
      </c>
      <c r="D105" s="42">
        <v>1790</v>
      </c>
      <c r="E105" s="64">
        <f t="shared" si="4"/>
        <v>5910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4"/>
        <v>0</v>
      </c>
    </row>
    <row r="115" spans="1:7" x14ac:dyDescent="0.3">
      <c r="A115" s="2">
        <v>18</v>
      </c>
      <c r="C115" s="38" t="s">
        <v>116</v>
      </c>
      <c r="D115" s="42">
        <v>5220</v>
      </c>
      <c r="E115" s="64">
        <f t="shared" si="4"/>
        <v>17250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TRUNC(10522.0376876397,-1)</f>
        <v>10520</v>
      </c>
      <c r="E117" s="64">
        <f t="shared" si="4"/>
        <v>34770</v>
      </c>
      <c r="F117" s="2" t="s">
        <v>258</v>
      </c>
    </row>
    <row r="118" spans="1:7" ht="17.25" thickBot="1" x14ac:dyDescent="0.35">
      <c r="A118" s="2">
        <v>21</v>
      </c>
      <c r="C118" s="38" t="s">
        <v>47</v>
      </c>
      <c r="D118" s="43">
        <f>1080+1620+1240</f>
        <v>3940</v>
      </c>
      <c r="E118" s="65">
        <f t="shared" si="4"/>
        <v>13020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47800</v>
      </c>
      <c r="E119" s="39">
        <f>SUM(E98:E118)</f>
        <v>157980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250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2460</v>
      </c>
      <c r="E122" s="63">
        <f t="shared" ref="E122:E132" si="5">TRUNC(+D122*3.3058,-1)</f>
        <v>8130</v>
      </c>
    </row>
    <row r="123" spans="1:7" x14ac:dyDescent="0.3">
      <c r="A123" s="2">
        <v>2</v>
      </c>
      <c r="C123" s="38" t="s">
        <v>124</v>
      </c>
      <c r="D123" s="42">
        <f>930+530</f>
        <v>1460</v>
      </c>
      <c r="E123" s="64">
        <f t="shared" si="5"/>
        <v>4820</v>
      </c>
      <c r="F123" s="2" t="s">
        <v>255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v>4730</v>
      </c>
      <c r="E125" s="64">
        <f t="shared" si="5"/>
        <v>15630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1770</v>
      </c>
      <c r="E128" s="64">
        <f t="shared" si="5"/>
        <v>5850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5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4">
        <f t="shared" si="5"/>
        <v>0</v>
      </c>
    </row>
    <row r="132" spans="1:7" ht="17.25" thickBot="1" x14ac:dyDescent="0.35">
      <c r="A132" s="2">
        <v>11</v>
      </c>
      <c r="C132" s="38" t="s">
        <v>47</v>
      </c>
      <c r="D132" s="43">
        <v>1820</v>
      </c>
      <c r="E132" s="65">
        <f t="shared" si="5"/>
        <v>6010</v>
      </c>
      <c r="F132" s="2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12240</v>
      </c>
      <c r="E133" s="39">
        <f>SUM(E122:E132)</f>
        <v>40440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250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6600</v>
      </c>
      <c r="E136" s="63">
        <f t="shared" ref="E136:E145" si="6">TRUNC(+D136*3.3058,-1)</f>
        <v>21810</v>
      </c>
    </row>
    <row r="137" spans="1:7" x14ac:dyDescent="0.3">
      <c r="A137" s="2">
        <v>2</v>
      </c>
      <c r="C137" s="38" t="s">
        <v>47</v>
      </c>
      <c r="D137" s="42">
        <v>5720</v>
      </c>
      <c r="E137" s="64">
        <f t="shared" si="6"/>
        <v>18900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12320</v>
      </c>
      <c r="E146" s="39">
        <f>SUM(E136:E145)</f>
        <v>40710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250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14390</v>
      </c>
      <c r="E149" s="63">
        <f>TRUNC(+D149*3.3058,-1)</f>
        <v>47570</v>
      </c>
    </row>
    <row r="150" spans="1:7" x14ac:dyDescent="0.3">
      <c r="A150" s="2">
        <v>2</v>
      </c>
      <c r="C150" s="38" t="s">
        <v>49</v>
      </c>
      <c r="D150" s="42">
        <v>5890</v>
      </c>
      <c r="E150" s="64">
        <f>TRUNC(+D150*3.3058,-1)</f>
        <v>19470</v>
      </c>
    </row>
    <row r="151" spans="1:7" x14ac:dyDescent="0.3">
      <c r="A151" s="2">
        <v>3</v>
      </c>
      <c r="C151" s="38" t="s">
        <v>50</v>
      </c>
      <c r="D151" s="42">
        <v>6240</v>
      </c>
      <c r="E151" s="64">
        <f>TRUNC(+D151*3.3058,-1)</f>
        <v>20620</v>
      </c>
    </row>
    <row r="152" spans="1:7" x14ac:dyDescent="0.3">
      <c r="A152" s="2">
        <v>4</v>
      </c>
      <c r="C152" s="38" t="s">
        <v>47</v>
      </c>
      <c r="D152" s="42">
        <f>43610+21290+600+14330+16200</f>
        <v>96030</v>
      </c>
      <c r="E152" s="64">
        <f>TRUNC(+D152*3.3058,-1)</f>
        <v>317450</v>
      </c>
      <c r="F152" s="58" t="s">
        <v>257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122550</v>
      </c>
      <c r="E154" s="39">
        <f>SUM(E149:E153)</f>
        <v>405110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250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2020-12-07T09:04:20Z</dcterms:modified>
</cp:coreProperties>
</file>