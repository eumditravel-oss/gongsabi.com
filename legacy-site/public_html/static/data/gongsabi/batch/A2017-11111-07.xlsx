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9" i="4" l="1"/>
  <c r="D93" i="4"/>
  <c r="D117" i="4"/>
  <c r="D131" i="4"/>
  <c r="D153" i="4"/>
  <c r="D152" i="4" l="1"/>
  <c r="D151" i="4"/>
  <c r="D150" i="4"/>
  <c r="D149" i="4"/>
  <c r="D144" i="4"/>
  <c r="D143" i="4"/>
  <c r="D132" i="4"/>
  <c r="D130" i="4"/>
  <c r="D122" i="4"/>
  <c r="D102" i="4"/>
  <c r="D100" i="4"/>
  <c r="D99" i="4"/>
  <c r="D98" i="4"/>
  <c r="D92" i="4"/>
  <c r="D91" i="4"/>
  <c r="D90" i="4"/>
  <c r="D89" i="4"/>
  <c r="D84" i="4"/>
  <c r="D73" i="4"/>
  <c r="D72" i="4"/>
  <c r="D70" i="4"/>
  <c r="D69" i="4"/>
  <c r="D63" i="4"/>
  <c r="D58" i="4"/>
  <c r="D53" i="4"/>
  <c r="D52" i="4"/>
  <c r="D50" i="4"/>
  <c r="D49" i="4"/>
  <c r="D48" i="4"/>
  <c r="D46" i="4"/>
  <c r="D43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D34" i="4" l="1"/>
  <c r="E34" i="4"/>
</calcChain>
</file>

<file path=xl/sharedStrings.xml><?xml version="1.0" encoding="utf-8"?>
<sst xmlns="http://schemas.openxmlformats.org/spreadsheetml/2006/main" count="389" uniqueCount="262">
  <si>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</si>
  <si>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</si>
  <si>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</si>
  <si>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</si>
  <si>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</si>
  <si>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</si>
  <si>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</si>
  <si>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</si>
  <si>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</si>
  <si>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</si>
  <si>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</si>
  <si>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</si>
  <si>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</si>
  <si>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</si>
  <si>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</si>
  <si>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</si>
  <si>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</si>
  <si>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</si>
  <si>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</si>
  <si>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</si>
  <si>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</si>
  <si>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</si>
  <si>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</si>
  <si>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</si>
  <si>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</si>
  <si>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</si>
  <si>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</si>
  <si>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</si>
  <si>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</si>
  <si>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</si>
  <si>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</si>
  <si>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</si>
  <si>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</si>
  <si>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</si>
  <si>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</si>
  <si>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</si>
  <si>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</si>
  <si>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</si>
  <si>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</si>
  <si>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</si>
  <si>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</si>
  <si>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</si>
  <si>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</si>
  <si>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</si>
  <si>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</si>
  <si>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</si>
  <si>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</si>
  <si>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</si>
  <si>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</si>
  <si>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</si>
  <si>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</si>
  <si>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</si>
  <si>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</si>
  <si>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</si>
  <si>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</si>
  <si>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</si>
  <si>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</si>
  <si>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</si>
  <si>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</si>
  <si>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</si>
  <si>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</si>
  <si>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</si>
  <si>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</si>
  <si>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</si>
  <si>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</si>
  <si>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</si>
  <si>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</si>
  <si>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</si>
  <si>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</si>
  <si>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</si>
  <si>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</si>
  <si>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</si>
  <si>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</si>
  <si>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</si>
  <si>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</si>
  <si>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</si>
  <si>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</si>
  <si>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</si>
  <si>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</si>
  <si>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</si>
  <si>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</si>
  <si>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</si>
  <si>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</si>
  <si>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</si>
  <si>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</si>
  <si>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</si>
  <si>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</si>
  <si>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</si>
  <si>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</si>
  <si>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</si>
  <si>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</si>
  <si>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</si>
  <si>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</si>
  <si>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</si>
  <si>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</si>
  <si>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</si>
  <si>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</si>
  <si>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</si>
  <si>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</si>
  <si>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</si>
  <si>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</si>
  <si>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</si>
  <si>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</si>
  <si>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</si>
  <si>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</si>
  <si>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</si>
  <si>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</si>
  <si>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</si>
  <si>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</si>
  <si>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</si>
  <si>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</si>
  <si>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</si>
  <si>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</si>
  <si>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</si>
  <si>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</si>
  <si>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</si>
  <si>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</si>
  <si>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</si>
  <si>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</si>
  <si>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</si>
  <si>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</si>
  <si>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</si>
  <si>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</si>
  <si>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</si>
  <si>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</si>
  <si>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</si>
  <si>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</si>
  <si>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</si>
  <si>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</si>
  <si>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</si>
  <si>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</si>
  <si>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</si>
  <si>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</si>
  <si>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</si>
  <si>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</si>
  <si>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</si>
  <si>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</si>
  <si>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</si>
  <si>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</si>
  <si>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</si>
  <si>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</si>
  <si>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</si>
  <si>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</si>
  <si>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</si>
  <si>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</si>
  <si>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</si>
  <si>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</si>
  <si>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</si>
  <si>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</si>
  <si>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</si>
  <si>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</si>
  <si>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</si>
  <si>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</si>
  <si>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</si>
  <si>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</si>
  <si>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</si>
  <si>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</si>
  <si>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</si>
  <si>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</si>
  <si>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</si>
  <si>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</si>
  <si>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</si>
  <si>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</si>
  <si>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</si>
  <si>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</si>
  <si>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</si>
  <si>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</si>
  <si>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</si>
  <si>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</si>
  <si>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</si>
  <si>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</si>
  <si>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</si>
  <si>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</si>
  <si>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</si>
  <si>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</si>
  <si>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</si>
  <si>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</si>
  <si>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</si>
  <si>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</si>
  <si>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</si>
  <si>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</si>
  <si>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</si>
  <si>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</si>
  <si>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</si>
  <si>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</si>
  <si>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</si>
  <si>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</si>
  <si>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</si>
  <si>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</si>
  <si>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</si>
  <si>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</si>
  <si>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</si>
  <si>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</si>
  <si>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</si>
  <si>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</si>
  <si>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</si>
  <si>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</si>
  <si>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</si>
  <si>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</si>
  <si>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</si>
  <si>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</si>
  <si>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</si>
  <si>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</si>
  <si>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</si>
  <si>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</si>
  <si>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</si>
  <si>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</si>
  <si>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</si>
  <si>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</si>
  <si>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</si>
  <si>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</si>
  <si>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</si>
  <si>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</si>
  <si>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</si>
  <si>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</si>
  <si>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</si>
  <si>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</si>
  <si>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</si>
  <si>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</si>
  <si>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</si>
  <si>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</si>
  <si>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</si>
  <si>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</si>
  <si>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</si>
  <si>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</si>
  <si>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</si>
  <si>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</si>
  <si>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</si>
  <si>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</si>
  <si>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</si>
  <si>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</si>
  <si>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</si>
  <si>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</si>
  <si>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</si>
  <si>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</si>
  <si>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</si>
  <si>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</si>
  <si>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</si>
  <si>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</si>
  <si>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</si>
  <si>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</si>
  <si>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</si>
  <si>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</si>
  <si>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</si>
  <si>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</si>
  <si>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</si>
  <si>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</si>
  <si>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</si>
  <si>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국립해양생물자원관 기숙사 건립공사</t>
    <phoneticPr fontId="2" type="noConversion"/>
  </si>
  <si>
    <t>교육연구</t>
  </si>
  <si>
    <t>충청도</t>
  </si>
  <si>
    <t xml:space="preserve">(지붕및홈통공사 포함)  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</si>
  <si>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</si>
  <si>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</si>
  <si>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기초공사,골재비및운반비,작업부산물,기타공사</t>
    <phoneticPr fontId="2" type="noConversion"/>
  </si>
  <si>
    <t>CATV 및 TV 설비공사</t>
    <phoneticPr fontId="2" type="noConversion"/>
  </si>
  <si>
    <t>CCTV설비공사</t>
    <phoneticPr fontId="2" type="noConversion"/>
  </si>
  <si>
    <t>오수공사</t>
    <phoneticPr fontId="2" type="noConversion"/>
  </si>
  <si>
    <t>사급자재비,기타공사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</si>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</sst>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259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753.8</v>
      </c>
      <c r="D7" s="36">
        <f>+C7/3.3058</f>
        <v>228.02347389436747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260</v>
      </c>
    </row>
    <row r="19" spans="1:5" x14ac:dyDescent="0.3">
      <c r="A19" s="2">
        <v>9</v>
      </c>
      <c r="B19" s="2" t="s">
        <v>261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992480</v>
      </c>
      <c r="E25" s="59">
        <f t="shared" si="0"/>
        <v>3280940</v>
      </c>
    </row>
    <row r="26" spans="1:5" x14ac:dyDescent="0.3">
      <c r="B26" s="2">
        <v>3</v>
      </c>
      <c r="C26" s="35" t="s">
        <v>95</v>
      </c>
      <c r="D26" s="45">
        <f>+D66</f>
        <v>3330</v>
      </c>
      <c r="E26" s="59">
        <f t="shared" si="0"/>
        <v>11000</v>
      </c>
    </row>
    <row r="27" spans="1:5" x14ac:dyDescent="0.3">
      <c r="B27" s="2">
        <v>4</v>
      </c>
      <c r="C27" s="35" t="s">
        <v>96</v>
      </c>
      <c r="D27" s="45">
        <f>+D95</f>
        <v>164760</v>
      </c>
      <c r="E27" s="59">
        <f t="shared" si="0"/>
        <v>544660</v>
      </c>
    </row>
    <row r="28" spans="1:5" x14ac:dyDescent="0.3">
      <c r="B28" s="2">
        <v>5</v>
      </c>
      <c r="C28" s="35" t="s">
        <v>97</v>
      </c>
      <c r="D28" s="45">
        <f>+D119</f>
        <v>310960</v>
      </c>
      <c r="E28" s="59">
        <f t="shared" si="0"/>
        <v>1027970</v>
      </c>
    </row>
    <row r="29" spans="1:5" x14ac:dyDescent="0.3">
      <c r="B29" s="2">
        <v>6</v>
      </c>
      <c r="C29" s="35" t="s">
        <v>98</v>
      </c>
      <c r="D29" s="45">
        <f>+D133</f>
        <v>126910</v>
      </c>
      <c r="E29" s="59">
        <f t="shared" si="0"/>
        <v>419530</v>
      </c>
    </row>
    <row r="30" spans="1:5" x14ac:dyDescent="0.3">
      <c r="B30" s="2">
        <v>7</v>
      </c>
      <c r="C30" s="35" t="s">
        <v>99</v>
      </c>
      <c r="D30" s="45">
        <f>+D146</f>
        <v>19240</v>
      </c>
      <c r="E30" s="59">
        <f t="shared" si="0"/>
        <v>63600</v>
      </c>
    </row>
    <row r="31" spans="1:5" x14ac:dyDescent="0.3">
      <c r="B31" s="2">
        <v>8</v>
      </c>
      <c r="C31" s="35" t="s">
        <v>100</v>
      </c>
      <c r="D31" s="45">
        <f>+D154</f>
        <v>72960</v>
      </c>
      <c r="E31" s="59">
        <f t="shared" si="0"/>
        <v>241190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464920</v>
      </c>
      <c r="E33" s="60">
        <f t="shared" si="0"/>
        <v>1536930</v>
      </c>
    </row>
    <row r="34" spans="1:7" x14ac:dyDescent="0.3">
      <c r="C34" s="35" t="s">
        <v>112</v>
      </c>
      <c r="D34" s="44">
        <f>SUM(D24:D33)</f>
        <v>2155560</v>
      </c>
      <c r="E34" s="44">
        <f>SUM(E24:E33)</f>
        <v>7125820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113</v>
      </c>
      <c r="D39" s="57" t="s">
        <v>235</v>
      </c>
      <c r="E39" s="57" t="s">
        <v>153</v>
      </c>
      <c r="G39" s="55"/>
    </row>
    <row r="40" spans="1:7" x14ac:dyDescent="0.3">
      <c r="A40" s="2">
        <v>1</v>
      </c>
      <c r="C40" s="38" t="s">
        <v>15</v>
      </c>
      <c r="D40" s="40">
        <f>TRUNC(53780,-1)</f>
        <v>53780</v>
      </c>
      <c r="E40" s="62">
        <f t="shared" ref="E40:E59" si="1">TRUNC(+D40*3.3058,-1)</f>
        <v>177780</v>
      </c>
    </row>
    <row r="41" spans="1:7" x14ac:dyDescent="0.3">
      <c r="A41" s="2">
        <v>2</v>
      </c>
      <c r="C41" s="38" t="s">
        <v>13</v>
      </c>
      <c r="D41" s="42">
        <f>TRUNC(206033,-1)</f>
        <v>206030</v>
      </c>
      <c r="E41" s="63">
        <f t="shared" si="1"/>
        <v>681090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TRUNC(4629,-1)</f>
        <v>4620</v>
      </c>
      <c r="E43" s="63">
        <f t="shared" si="1"/>
        <v>15270</v>
      </c>
    </row>
    <row r="44" spans="1:7" x14ac:dyDescent="0.3">
      <c r="A44" s="2">
        <v>5</v>
      </c>
      <c r="C44" s="38" t="s">
        <v>17</v>
      </c>
      <c r="D44" s="42">
        <v>0</v>
      </c>
      <c r="E44" s="63">
        <f t="shared" si="1"/>
        <v>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f>TRUNC(42529,-1)</f>
        <v>42520</v>
      </c>
      <c r="E46" s="63">
        <f t="shared" si="1"/>
        <v>140560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TRUNC(24181,-1)</f>
        <v>24180</v>
      </c>
      <c r="E48" s="63">
        <f t="shared" si="1"/>
        <v>79930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TRUNC(79605,-1)</f>
        <v>79600</v>
      </c>
      <c r="E49" s="63">
        <f t="shared" si="1"/>
        <v>263140</v>
      </c>
    </row>
    <row r="50" spans="1:7" x14ac:dyDescent="0.3">
      <c r="A50" s="2">
        <v>11</v>
      </c>
      <c r="C50" s="38" t="s">
        <v>155</v>
      </c>
      <c r="D50" s="42">
        <f>TRUNC(39914,-1)</f>
        <v>39910</v>
      </c>
      <c r="E50" s="63">
        <f t="shared" si="1"/>
        <v>131930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TRUNC(8567,-1)</f>
        <v>8560</v>
      </c>
      <c r="E52" s="63">
        <f t="shared" si="1"/>
        <v>28290</v>
      </c>
    </row>
    <row r="53" spans="1:7" x14ac:dyDescent="0.3">
      <c r="A53" s="2">
        <v>14</v>
      </c>
      <c r="C53" s="38" t="s">
        <v>25</v>
      </c>
      <c r="D53" s="42">
        <f>TRUNC(220372,-1)</f>
        <v>220370</v>
      </c>
      <c r="E53" s="63">
        <f t="shared" si="1"/>
        <v>728490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TRUNC(64378+8182-576+86788,-1)</f>
        <v>158770</v>
      </c>
      <c r="E58" s="63">
        <f t="shared" si="1"/>
        <v>524860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TRUNC(154148,-1)</f>
        <v>154140</v>
      </c>
      <c r="E59" s="64">
        <f t="shared" si="1"/>
        <v>509550</v>
      </c>
    </row>
    <row r="60" spans="1:7" x14ac:dyDescent="0.3">
      <c r="A60" s="2">
        <v>21</v>
      </c>
      <c r="C60" s="27" t="s">
        <v>112</v>
      </c>
      <c r="D60" s="39">
        <f>SUM(D40:D59)</f>
        <v>992480</v>
      </c>
      <c r="E60" s="39">
        <f>SUM(E40:E59)</f>
        <v>3280890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TRUNC(3335,-1)</f>
        <v>3330</v>
      </c>
      <c r="E63" s="62">
        <f>TRUNC(+D63*3.3058,-1)</f>
        <v>11000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3330</v>
      </c>
      <c r="E66" s="65">
        <f>SUM(E63:E65)</f>
        <v>11000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TRUNC(31012,-1)</f>
        <v>31010</v>
      </c>
      <c r="E69" s="62">
        <f t="shared" ref="E69:E94" si="2">TRUNC(+D69*3.3058,-1)</f>
        <v>102510</v>
      </c>
    </row>
    <row r="70" spans="1:7" ht="16.5" customHeight="1" x14ac:dyDescent="0.3">
      <c r="A70" s="2">
        <v>2</v>
      </c>
      <c r="C70" s="38" t="s">
        <v>31</v>
      </c>
      <c r="D70" s="42">
        <f>TRUNC(12238,-1)</f>
        <v>12230</v>
      </c>
      <c r="E70" s="63">
        <f t="shared" si="2"/>
        <v>40420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TRUNC(21702,-1)</f>
        <v>21700</v>
      </c>
      <c r="E72" s="63">
        <f t="shared" si="2"/>
        <v>71730</v>
      </c>
    </row>
    <row r="73" spans="1:7" x14ac:dyDescent="0.3">
      <c r="A73" s="2">
        <v>5</v>
      </c>
      <c r="C73" s="38" t="s">
        <v>34</v>
      </c>
      <c r="D73" s="42">
        <f>TRUNC(19457,-1)</f>
        <v>19450</v>
      </c>
      <c r="E73" s="63">
        <f t="shared" si="2"/>
        <v>64290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f>TRUNC(33300,-1)</f>
        <v>33300</v>
      </c>
      <c r="E84" s="63">
        <f t="shared" si="2"/>
        <v>110080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TRUNC(6407,-1)</f>
        <v>6400</v>
      </c>
      <c r="E89" s="63">
        <f t="shared" si="2"/>
        <v>21150</v>
      </c>
    </row>
    <row r="90" spans="1:7" x14ac:dyDescent="0.3">
      <c r="A90" s="2">
        <v>22</v>
      </c>
      <c r="C90" s="38" t="s">
        <v>36</v>
      </c>
      <c r="D90" s="42">
        <f>TRUNC(5445,-1)</f>
        <v>5440</v>
      </c>
      <c r="E90" s="63">
        <f t="shared" si="2"/>
        <v>17980</v>
      </c>
    </row>
    <row r="91" spans="1:7" x14ac:dyDescent="0.3">
      <c r="A91" s="2">
        <v>23</v>
      </c>
      <c r="C91" s="38" t="s">
        <v>37</v>
      </c>
      <c r="D91" s="42">
        <f>TRUNC(3435,-1)</f>
        <v>3430</v>
      </c>
      <c r="E91" s="63">
        <f t="shared" si="2"/>
        <v>11330</v>
      </c>
    </row>
    <row r="92" spans="1:7" x14ac:dyDescent="0.3">
      <c r="A92" s="2">
        <v>24</v>
      </c>
      <c r="C92" s="38" t="s">
        <v>38</v>
      </c>
      <c r="D92" s="42">
        <f>TRUNC(731,-1)</f>
        <v>730</v>
      </c>
      <c r="E92" s="63">
        <f t="shared" si="2"/>
        <v>2410</v>
      </c>
    </row>
    <row r="93" spans="1:7" x14ac:dyDescent="0.3">
      <c r="A93" s="2">
        <v>25</v>
      </c>
      <c r="C93" s="38" t="s">
        <v>148</v>
      </c>
      <c r="D93" s="42">
        <f>TRUNC(31079,-1)</f>
        <v>31070</v>
      </c>
      <c r="E93" s="63">
        <f t="shared" si="2"/>
        <v>102710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 t="shared" si="2"/>
        <v>0</v>
      </c>
    </row>
    <row r="95" spans="1:7" x14ac:dyDescent="0.3">
      <c r="A95" s="2">
        <v>27</v>
      </c>
      <c r="C95" s="27" t="s">
        <v>112</v>
      </c>
      <c r="D95" s="39">
        <f>SUM(D69:D94)</f>
        <v>164760</v>
      </c>
      <c r="E95" s="39">
        <f>SUM(E69:E94)</f>
        <v>544610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TRUNC(218196,-1)</f>
        <v>218190</v>
      </c>
      <c r="E98" s="62">
        <f t="shared" ref="E98:E118" si="3">TRUNC(+D98*3.3058,-1)</f>
        <v>721290</v>
      </c>
    </row>
    <row r="99" spans="1:7" x14ac:dyDescent="0.3">
      <c r="A99" s="2">
        <v>2</v>
      </c>
      <c r="C99" s="38" t="s">
        <v>40</v>
      </c>
      <c r="D99" s="42">
        <f>TRUNC(4730,-1)</f>
        <v>4730</v>
      </c>
      <c r="E99" s="63">
        <f t="shared" si="3"/>
        <v>15630</v>
      </c>
    </row>
    <row r="100" spans="1:7" x14ac:dyDescent="0.3">
      <c r="A100" s="2">
        <v>3</v>
      </c>
      <c r="C100" s="38" t="s">
        <v>41</v>
      </c>
      <c r="D100" s="42">
        <f>TRUNC(33856,-1)</f>
        <v>33850</v>
      </c>
      <c r="E100" s="63">
        <f t="shared" si="3"/>
        <v>111900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TRUNC(27000,-1)</f>
        <v>27000</v>
      </c>
      <c r="E102" s="63">
        <f t="shared" si="3"/>
        <v>89250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TRUNC(27196,-1)</f>
        <v>27190</v>
      </c>
      <c r="E117" s="63">
        <f t="shared" si="3"/>
        <v>89880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310960</v>
      </c>
      <c r="E119" s="39">
        <f>SUM(E98:E118)</f>
        <v>1027950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TRUNC(26221,-1)</f>
        <v>26220</v>
      </c>
      <c r="E122" s="62">
        <f t="shared" ref="E122:E132" si="4">TRUNC(+D122*3.3058,-1)</f>
        <v>86670</v>
      </c>
      <c r="F122" s="2" t="s">
        <v>255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v>0</v>
      </c>
      <c r="E125" s="63">
        <f t="shared" si="4"/>
        <v>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TRUNC(62823,-1)</f>
        <v>62820</v>
      </c>
      <c r="E130" s="63">
        <f t="shared" si="4"/>
        <v>207670</v>
      </c>
    </row>
    <row r="131" spans="1:7" x14ac:dyDescent="0.3">
      <c r="A131" s="2">
        <v>10</v>
      </c>
      <c r="C131" s="38" t="s">
        <v>148</v>
      </c>
      <c r="D131" s="42">
        <f>TRUNC(26000,-1)</f>
        <v>26000</v>
      </c>
      <c r="E131" s="63">
        <f t="shared" si="4"/>
        <v>85950</v>
      </c>
    </row>
    <row r="132" spans="1:7" ht="18" thickBot="1" x14ac:dyDescent="0.35">
      <c r="A132" s="2">
        <v>11</v>
      </c>
      <c r="C132" s="38" t="s">
        <v>47</v>
      </c>
      <c r="D132" s="43">
        <f>TRUNC(11876,-1)</f>
        <v>11870</v>
      </c>
      <c r="E132" s="64">
        <f t="shared" si="4"/>
        <v>39230</v>
      </c>
      <c r="F132" s="54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126910</v>
      </c>
      <c r="E133" s="39">
        <f>SUM(E122:E132)</f>
        <v>419520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f>TRUNC(3813,-1)</f>
        <v>3810</v>
      </c>
      <c r="E143" s="63">
        <f t="shared" si="5"/>
        <v>12590</v>
      </c>
    </row>
    <row r="144" spans="1:7" x14ac:dyDescent="0.3">
      <c r="A144" s="2">
        <v>9</v>
      </c>
      <c r="C144" s="38" t="s">
        <v>63</v>
      </c>
      <c r="D144" s="42">
        <f>TRUNC(15438,-1)</f>
        <v>15430</v>
      </c>
      <c r="E144" s="63">
        <f t="shared" si="5"/>
        <v>51000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19240</v>
      </c>
      <c r="E146" s="39">
        <f>SUM(E136:E145)</f>
        <v>63590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TRUNC(12497,-1)</f>
        <v>12490</v>
      </c>
      <c r="E149" s="62">
        <f>TRUNC(+D149*3.3058,-1)</f>
        <v>41280</v>
      </c>
      <c r="F149" s="2" t="s">
        <v>257</v>
      </c>
    </row>
    <row r="150" spans="1:7" x14ac:dyDescent="0.3">
      <c r="A150" s="2">
        <v>2</v>
      </c>
      <c r="C150" s="38" t="s">
        <v>49</v>
      </c>
      <c r="D150" s="42">
        <f>TRUNC(13827,-1)</f>
        <v>13820</v>
      </c>
      <c r="E150" s="63">
        <f>TRUNC(+D150*3.3058,-1)</f>
        <v>45680</v>
      </c>
    </row>
    <row r="151" spans="1:7" x14ac:dyDescent="0.3">
      <c r="A151" s="2">
        <v>3</v>
      </c>
      <c r="C151" s="38" t="s">
        <v>50</v>
      </c>
      <c r="D151" s="42">
        <f>TRUNC(1463,-1)</f>
        <v>1460</v>
      </c>
      <c r="E151" s="63">
        <f>TRUNC(+D151*3.3058,-1)</f>
        <v>4820</v>
      </c>
    </row>
    <row r="152" spans="1:7" x14ac:dyDescent="0.3">
      <c r="A152" s="2">
        <v>4</v>
      </c>
      <c r="C152" s="38" t="s">
        <v>47</v>
      </c>
      <c r="D152" s="42">
        <f>TRUNC(30400+2291,-1)</f>
        <v>32690</v>
      </c>
      <c r="E152" s="63">
        <f>TRUNC(+D152*3.3058,-1)</f>
        <v>108060</v>
      </c>
      <c r="F152" s="2" t="s">
        <v>258</v>
      </c>
    </row>
    <row r="153" spans="1:7" ht="17.25" thickBot="1" x14ac:dyDescent="0.35">
      <c r="A153" s="2">
        <v>5</v>
      </c>
      <c r="C153" s="38" t="s">
        <v>148</v>
      </c>
      <c r="D153" s="43">
        <f>TRUNC(12509,-1)</f>
        <v>12500</v>
      </c>
      <c r="E153" s="64">
        <f>TRUNC(+D153*3.3058,-1)</f>
        <v>41320</v>
      </c>
    </row>
    <row r="154" spans="1:7" x14ac:dyDescent="0.3">
      <c r="A154" s="2">
        <v>6</v>
      </c>
      <c r="C154" s="27" t="s">
        <v>112</v>
      </c>
      <c r="D154" s="39">
        <f>SUM(D149:D153)</f>
        <v>72960</v>
      </c>
      <c r="E154" s="39">
        <f>SUM(E149:E153)</f>
        <v>241160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2020-12-08T01:52:42Z</dcterms:modified>
</cp:coreProperties>
</file>