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4" i="4"/>
  <c r="D143" i="4"/>
  <c r="D141" i="4"/>
  <c r="D132" i="4"/>
  <c r="D130" i="4"/>
  <c r="D128" i="4"/>
  <c r="D127" i="4"/>
  <c r="D126" i="4"/>
  <c r="D125" i="4"/>
  <c r="D118" i="4"/>
  <c r="D116" i="4"/>
  <c r="D105" i="4"/>
  <c r="D104" i="4"/>
  <c r="D103" i="4"/>
  <c r="D102" i="4"/>
  <c r="D101" i="4"/>
  <c r="D100" i="4"/>
  <c r="D99" i="4"/>
  <c r="D98" i="4"/>
  <c r="D94" i="4"/>
  <c r="D92" i="4"/>
  <c r="D90" i="4"/>
  <c r="D89" i="4"/>
  <c r="D76" i="4"/>
  <c r="D75" i="4"/>
  <c r="D73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<sst xmlns="http://schemas.openxmlformats.org/spreadsheetml/2006/main" count="391" uniqueCount="266">
  <si>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</si>
  <si>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</si>
  <si>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</si>
  <si>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</si>
  <si>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</si>
  <si>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</si>
  <si>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</si>
  <si>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</si>
  <si>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</si>
  <si>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</si>
  <si>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</si>
  <si>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</si>
  <si>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</si>
  <si>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</si>
  <si>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</si>
  <si>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</si>
  <si>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</si>
  <si>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</si>
  <si>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</si>
  <si>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</si>
  <si>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</si>
  <si>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</si>
  <si>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</si>
  <si>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</si>
  <si>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</si>
  <si>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</si>
  <si>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</si>
  <si>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</si>
  <si>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</si>
  <si>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</si>
  <si>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</si>
  <si>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</si>
  <si>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</si>
  <si>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</si>
  <si>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</si>
  <si>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</si>
  <si>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</si>
  <si>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</si>
  <si>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</si>
  <si>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</si>
  <si>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</si>
  <si>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</si>
  <si>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</si>
  <si>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</si>
  <si>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</si>
  <si>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</si>
  <si>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</si>
  <si>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</si>
  <si>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</si>
  <si>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</si>
  <si>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</si>
  <si>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</si>
  <si>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</si>
  <si>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</si>
  <si>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</si>
  <si>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</si>
  <si>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</si>
  <si>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</si>
  <si>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</si>
  <si>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</si>
  <si>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</si>
  <si>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</si>
  <si>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</si>
  <si>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</si>
  <si>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</si>
  <si>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</si>
  <si>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</si>
  <si>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</si>
  <si>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</si>
  <si>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</si>
  <si>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</si>
  <si>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</si>
  <si>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</si>
  <si>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</si>
  <si>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</si>
  <si>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</si>
  <si>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</si>
  <si>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</si>
  <si>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</si>
  <si>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</si>
  <si>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</si>
  <si>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</si>
  <si>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</si>
  <si>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</si>
  <si>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</si>
  <si>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</si>
  <si>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</si>
  <si>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</si>
  <si>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</si>
  <si>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</si>
  <si>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</si>
  <si>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</si>
  <si>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</si>
  <si>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</si>
  <si>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</si>
  <si>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</si>
  <si>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</si>
  <si>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</si>
  <si>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</si>
  <si>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</si>
  <si>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</si>
  <si>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</si>
  <si>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</si>
  <si>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</si>
  <si>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</si>
  <si>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</si>
  <si>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</si>
  <si>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</si>
  <si>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</si>
  <si>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</si>
  <si>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</si>
  <si>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</si>
  <si>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</si>
  <si>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</si>
  <si>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</si>
  <si>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</si>
  <si>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</si>
  <si>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</si>
  <si>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</si>
  <si>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</si>
  <si>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</si>
  <si>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</si>
  <si>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</si>
  <si>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</si>
  <si>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</si>
  <si>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</si>
  <si>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</si>
  <si>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</si>
  <si>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</si>
  <si>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</si>
  <si>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</si>
  <si>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</si>
  <si>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</si>
  <si>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</si>
  <si>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</si>
  <si>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</si>
  <si>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</si>
  <si>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</si>
  <si>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</si>
  <si>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</si>
  <si>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</si>
  <si>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</si>
  <si>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</si>
  <si>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</si>
  <si>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</si>
  <si>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</si>
  <si>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</si>
  <si>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</si>
  <si>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</si>
  <si>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</si>
  <si>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</si>
  <si>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</si>
  <si>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</si>
  <si>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</si>
  <si>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</si>
  <si>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</si>
  <si>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</si>
  <si>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</si>
  <si>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</si>
  <si>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</si>
  <si>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</si>
  <si>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</si>
  <si>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</si>
  <si>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</si>
  <si>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</si>
  <si>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</si>
  <si>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</si>
  <si>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</si>
  <si>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</si>
  <si>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</si>
  <si>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</si>
  <si>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</si>
  <si>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</si>
  <si>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</si>
  <si>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</si>
  <si>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</si>
  <si>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</si>
  <si>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</si>
  <si>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</si>
  <si>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</si>
  <si>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</si>
  <si>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</si>
  <si>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</si>
  <si>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</si>
  <si>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</si>
  <si>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</si>
  <si>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</si>
  <si>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</si>
  <si>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</si>
  <si>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</si>
  <si>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</si>
  <si>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</si>
  <si>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</si>
  <si>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</si>
  <si>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</si>
  <si>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</si>
  <si>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</si>
  <si>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</si>
  <si>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</si>
  <si>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</si>
  <si>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</si>
  <si>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</si>
  <si>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</si>
  <si>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</si>
  <si>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</si>
  <si>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</si>
  <si>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</si>
  <si>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</si>
  <si>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</si>
  <si>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</si>
  <si>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</si>
  <si>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</si>
  <si>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</si>
  <si>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</si>
  <si>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</si>
  <si>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</si>
  <si>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</si>
  <si>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</si>
  <si>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</si>
  <si>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</si>
  <si>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</si>
  <si>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</si>
  <si>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</si>
  <si>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</si>
  <si>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</si>
  <si>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</si>
  <si>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</si>
  <si>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</si>
  <si>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</si>
  <si>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</si>
  <si>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</si>
  <si>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</si>
  <si>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</si>
  <si>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</si>
  <si>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</si>
  <si>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</si>
  <si>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</si>
  <si>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</si>
  <si>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</si>
  <si>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</si>
  <si>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</si>
  <si>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</si>
  <si>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</si>
  <si>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</si>
  <si>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</si>
  <si>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</si>
  <si>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</si>
  <si>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</si>
  <si>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</si>
  <si>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(가칭)전주효천초등학교 신축공사</t>
    <phoneticPr fontId="2" type="noConversion"/>
  </si>
  <si>
    <t>전라도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</si>
  <si>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</si>
  <si>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</si>
  <si>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</si>
  <si>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 품질시험비, 기타공사</t>
    <phoneticPr fontId="2" type="noConversion"/>
  </si>
  <si>
    <t>공조배관공사, 바닥난방공사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</si>
  <si>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</si>
  <si>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</si>
  <si>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</si>
  <si>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상수도공사, 기타공사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</si>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</sst>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13690.41</v>
      </c>
      <c r="D7" s="36">
        <f>+C7/3.3058</f>
        <v>4141.3303890132493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557790</v>
      </c>
      <c r="E25" s="59">
        <f t="shared" si="0"/>
        <v>1843940</v>
      </c>
    </row>
    <row r="26" spans="1:5" x14ac:dyDescent="0.3">
      <c r="B26" s="2">
        <v>3</v>
      </c>
      <c r="C26" s="35" t="s">
        <v>95</v>
      </c>
      <c r="D26" s="45">
        <f>+D66</f>
        <v>8200</v>
      </c>
      <c r="E26" s="59">
        <f t="shared" si="0"/>
        <v>27100</v>
      </c>
    </row>
    <row r="27" spans="1:5" x14ac:dyDescent="0.3">
      <c r="B27" s="2">
        <v>4</v>
      </c>
      <c r="C27" s="35" t="s">
        <v>96</v>
      </c>
      <c r="D27" s="45">
        <f>+D95</f>
        <v>106210</v>
      </c>
      <c r="E27" s="59">
        <f t="shared" si="0"/>
        <v>351100</v>
      </c>
    </row>
    <row r="28" spans="1:5" x14ac:dyDescent="0.3">
      <c r="B28" s="2">
        <v>5</v>
      </c>
      <c r="C28" s="35" t="s">
        <v>97</v>
      </c>
      <c r="D28" s="45">
        <f>+D119</f>
        <v>171150</v>
      </c>
      <c r="E28" s="59">
        <f t="shared" si="0"/>
        <v>565780</v>
      </c>
    </row>
    <row r="29" spans="1:5" x14ac:dyDescent="0.3">
      <c r="B29" s="2">
        <v>6</v>
      </c>
      <c r="C29" s="35" t="s">
        <v>98</v>
      </c>
      <c r="D29" s="45">
        <f>+D133</f>
        <v>80120</v>
      </c>
      <c r="E29" s="59">
        <f t="shared" si="0"/>
        <v>264860</v>
      </c>
    </row>
    <row r="30" spans="1:5" x14ac:dyDescent="0.3">
      <c r="B30" s="2">
        <v>7</v>
      </c>
      <c r="C30" s="35" t="s">
        <v>99</v>
      </c>
      <c r="D30" s="45">
        <f>+D146</f>
        <v>35760</v>
      </c>
      <c r="E30" s="59">
        <f t="shared" si="0"/>
        <v>118210</v>
      </c>
    </row>
    <row r="31" spans="1:5" x14ac:dyDescent="0.3">
      <c r="B31" s="2">
        <v>8</v>
      </c>
      <c r="C31" s="35" t="s">
        <v>100</v>
      </c>
      <c r="D31" s="45">
        <f>+D154</f>
        <v>38520</v>
      </c>
      <c r="E31" s="59">
        <f t="shared" si="0"/>
        <v>127330</v>
      </c>
    </row>
    <row r="32" spans="1:5" x14ac:dyDescent="0.3">
      <c r="B32" s="2">
        <v>9</v>
      </c>
      <c r="C32" s="35" t="s">
        <v>101</v>
      </c>
      <c r="D32" s="45">
        <f>+D161</f>
        <v>31690</v>
      </c>
      <c r="E32" s="59">
        <f t="shared" si="0"/>
        <v>104760</v>
      </c>
    </row>
    <row r="33" spans="1:7" x14ac:dyDescent="0.3">
      <c r="B33" s="2">
        <v>10</v>
      </c>
      <c r="C33" s="35" t="s">
        <v>154</v>
      </c>
      <c r="D33" s="53">
        <f>TRUNC(SUM(D24:D32)*0.275,-1)</f>
        <v>283090</v>
      </c>
      <c r="E33" s="60">
        <f t="shared" si="0"/>
        <v>935830</v>
      </c>
    </row>
    <row r="34" spans="1:7" x14ac:dyDescent="0.3">
      <c r="C34" s="35" t="s">
        <v>112</v>
      </c>
      <c r="D34" s="44">
        <f>SUM(D24:D33)</f>
        <v>1312530</v>
      </c>
      <c r="E34" s="44">
        <f>SUM(E24:E33)</f>
        <v>4338910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TRUNC(36141,-1)</f>
        <v>36140</v>
      </c>
      <c r="E40" s="62">
        <f t="shared" ref="E40:E59" si="1">TRUNC(+D40*3.3058,-1)</f>
        <v>119470</v>
      </c>
    </row>
    <row r="41" spans="1:7" x14ac:dyDescent="0.3">
      <c r="A41" s="2">
        <v>2</v>
      </c>
      <c r="C41" s="38" t="s">
        <v>13</v>
      </c>
      <c r="D41" s="42">
        <f>TRUNC(131616,-1)</f>
        <v>131610</v>
      </c>
      <c r="E41" s="63">
        <f t="shared" si="1"/>
        <v>435070</v>
      </c>
    </row>
    <row r="42" spans="1:7" x14ac:dyDescent="0.3">
      <c r="A42" s="2">
        <v>3</v>
      </c>
      <c r="C42" s="38" t="s">
        <v>14</v>
      </c>
      <c r="D42" s="42">
        <f>TRUNC(22862,-1)</f>
        <v>22860</v>
      </c>
      <c r="E42" s="63">
        <f t="shared" si="1"/>
        <v>75570</v>
      </c>
    </row>
    <row r="43" spans="1:7" x14ac:dyDescent="0.3">
      <c r="A43" s="2">
        <v>4</v>
      </c>
      <c r="C43" s="38" t="s">
        <v>16</v>
      </c>
      <c r="D43" s="42">
        <f>TRUNC(37936,-1)</f>
        <v>37930</v>
      </c>
      <c r="E43" s="63">
        <f t="shared" si="1"/>
        <v>125380</v>
      </c>
    </row>
    <row r="44" spans="1:7" x14ac:dyDescent="0.3">
      <c r="A44" s="2">
        <v>5</v>
      </c>
      <c r="C44" s="38" t="s">
        <v>17</v>
      </c>
      <c r="D44" s="42">
        <f>TRUNC(14227,-1)</f>
        <v>14220</v>
      </c>
      <c r="E44" s="63">
        <f t="shared" si="1"/>
        <v>47000</v>
      </c>
    </row>
    <row r="45" spans="1:7" x14ac:dyDescent="0.3">
      <c r="A45" s="2">
        <v>6</v>
      </c>
      <c r="C45" s="38" t="s">
        <v>18</v>
      </c>
      <c r="D45" s="42">
        <f>TRUNC(12132,-1)</f>
        <v>12130</v>
      </c>
      <c r="E45" s="63">
        <f t="shared" si="1"/>
        <v>40090</v>
      </c>
    </row>
    <row r="46" spans="1:7" x14ac:dyDescent="0.3">
      <c r="A46" s="2">
        <v>7</v>
      </c>
      <c r="C46" s="38" t="s">
        <v>19</v>
      </c>
      <c r="D46" s="42">
        <f>TRUNC(9829,-1)</f>
        <v>9820</v>
      </c>
      <c r="E46" s="63">
        <f t="shared" si="1"/>
        <v>32460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TRUNC(17826,-1)</f>
        <v>17820</v>
      </c>
      <c r="E48" s="63">
        <f t="shared" si="1"/>
        <v>58900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TRUNC(18706,-1)</f>
        <v>18700</v>
      </c>
      <c r="E49" s="63">
        <f t="shared" si="1"/>
        <v>61810</v>
      </c>
    </row>
    <row r="50" spans="1:7" x14ac:dyDescent="0.3">
      <c r="A50" s="2">
        <v>11</v>
      </c>
      <c r="C50" s="38" t="s">
        <v>155</v>
      </c>
      <c r="D50" s="42">
        <f>TRUNC(38401,-1)</f>
        <v>38400</v>
      </c>
      <c r="E50" s="63">
        <f t="shared" si="1"/>
        <v>126940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TRUNC(5743,-1)</f>
        <v>5740</v>
      </c>
      <c r="E52" s="63">
        <f t="shared" si="1"/>
        <v>18970</v>
      </c>
    </row>
    <row r="53" spans="1:7" x14ac:dyDescent="0.3">
      <c r="A53" s="2">
        <v>14</v>
      </c>
      <c r="C53" s="38" t="s">
        <v>25</v>
      </c>
      <c r="D53" s="42">
        <f>TRUNC(177814,-1)</f>
        <v>177810</v>
      </c>
      <c r="E53" s="63">
        <f t="shared" si="1"/>
        <v>587800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TRUNC(14677+7929+622+11385,-1)</f>
        <v>34610</v>
      </c>
      <c r="E58" s="63">
        <f t="shared" si="1"/>
        <v>114410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557790</v>
      </c>
      <c r="E60" s="39">
        <f>SUM(E40:E59)</f>
        <v>1843870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TRUNC(8208,-1)</f>
        <v>8200</v>
      </c>
      <c r="E63" s="62">
        <f>TRUNC(+D63*3.3058,-1)</f>
        <v>27100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8200</v>
      </c>
      <c r="E66" s="65">
        <f>SUM(E63:E65)</f>
        <v>27100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TRUNC(8735,-1)</f>
        <v>8730</v>
      </c>
      <c r="E69" s="62">
        <f t="shared" ref="E69:E94" si="2">TRUNC(+D69*3.3058,-1)</f>
        <v>28850</v>
      </c>
    </row>
    <row r="70" spans="1:7" ht="16.5" customHeight="1" x14ac:dyDescent="0.3">
      <c r="A70" s="2">
        <v>2</v>
      </c>
      <c r="C70" s="38" t="s">
        <v>31</v>
      </c>
      <c r="D70" s="42">
        <f>TRUNC(2816,-1)</f>
        <v>2810</v>
      </c>
      <c r="E70" s="63">
        <f t="shared" si="2"/>
        <v>9280</v>
      </c>
    </row>
    <row r="71" spans="1:7" x14ac:dyDescent="0.3">
      <c r="A71" s="2">
        <v>3</v>
      </c>
      <c r="C71" s="38" t="s">
        <v>32</v>
      </c>
      <c r="D71" s="42">
        <v>6030</v>
      </c>
      <c r="E71" s="63">
        <f t="shared" si="2"/>
        <v>19930</v>
      </c>
    </row>
    <row r="72" spans="1:7" x14ac:dyDescent="0.3">
      <c r="A72" s="2">
        <v>4</v>
      </c>
      <c r="C72" s="38" t="s">
        <v>33</v>
      </c>
      <c r="D72" s="42">
        <v>4920</v>
      </c>
      <c r="E72" s="63">
        <f t="shared" si="2"/>
        <v>16260</v>
      </c>
    </row>
    <row r="73" spans="1:7" x14ac:dyDescent="0.3">
      <c r="A73" s="2">
        <v>5</v>
      </c>
      <c r="C73" s="38" t="s">
        <v>34</v>
      </c>
      <c r="D73" s="42">
        <f>TRUNC(18601,-1)</f>
        <v>18600</v>
      </c>
      <c r="E73" s="63">
        <f t="shared" si="2"/>
        <v>61480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TRUNC(5043,-1)</f>
        <v>5040</v>
      </c>
      <c r="E75" s="63">
        <f t="shared" si="2"/>
        <v>16660</v>
      </c>
    </row>
    <row r="76" spans="1:7" x14ac:dyDescent="0.3">
      <c r="A76" s="2">
        <v>8</v>
      </c>
      <c r="C76" s="38" t="s">
        <v>119</v>
      </c>
      <c r="D76" s="42">
        <f>TRUNC(32589,-1)</f>
        <v>32580</v>
      </c>
      <c r="E76" s="63">
        <f t="shared" si="2"/>
        <v>107700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TRUNC(5101,-1)</f>
        <v>5100</v>
      </c>
      <c r="E89" s="63">
        <f t="shared" si="2"/>
        <v>16850</v>
      </c>
    </row>
    <row r="90" spans="1:7" x14ac:dyDescent="0.3">
      <c r="A90" s="2">
        <v>22</v>
      </c>
      <c r="C90" s="38" t="s">
        <v>36</v>
      </c>
      <c r="D90" s="42">
        <f>TRUNC(4525,-1)</f>
        <v>4520</v>
      </c>
      <c r="E90" s="63">
        <f t="shared" si="2"/>
        <v>14940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TRUNC(13612,-1)</f>
        <v>13610</v>
      </c>
      <c r="E92" s="63">
        <f t="shared" si="2"/>
        <v>44990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TRUNC(2241+2033,-1)</f>
        <v>4270</v>
      </c>
      <c r="E94" s="64">
        <f t="shared" si="2"/>
        <v>14110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106210</v>
      </c>
      <c r="E95" s="39">
        <f>SUM(E69:E94)</f>
        <v>351050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TRUNC(11201,-1)</f>
        <v>11200</v>
      </c>
      <c r="E98" s="62">
        <f t="shared" ref="E98:E118" si="3">TRUNC(+D98*3.3058,-1)</f>
        <v>37020</v>
      </c>
    </row>
    <row r="99" spans="1:7" x14ac:dyDescent="0.3">
      <c r="A99" s="2">
        <v>2</v>
      </c>
      <c r="C99" s="38" t="s">
        <v>40</v>
      </c>
      <c r="D99" s="42">
        <f>TRUNC(4277,-1)</f>
        <v>4270</v>
      </c>
      <c r="E99" s="63">
        <f t="shared" si="3"/>
        <v>14110</v>
      </c>
    </row>
    <row r="100" spans="1:7" x14ac:dyDescent="0.3">
      <c r="A100" s="2">
        <v>3</v>
      </c>
      <c r="C100" s="38" t="s">
        <v>41</v>
      </c>
      <c r="D100" s="42">
        <f>TRUNC(25865,-1)</f>
        <v>25860</v>
      </c>
      <c r="E100" s="63">
        <f t="shared" si="3"/>
        <v>85480</v>
      </c>
    </row>
    <row r="101" spans="1:7" x14ac:dyDescent="0.3">
      <c r="A101" s="2">
        <v>4</v>
      </c>
      <c r="C101" s="38" t="s">
        <v>42</v>
      </c>
      <c r="D101" s="42">
        <f>TRUNC(10822,-1)</f>
        <v>10820</v>
      </c>
      <c r="E101" s="63">
        <f t="shared" si="3"/>
        <v>35760</v>
      </c>
    </row>
    <row r="102" spans="1:7" x14ac:dyDescent="0.3">
      <c r="A102" s="2">
        <v>5</v>
      </c>
      <c r="C102" s="38" t="s">
        <v>43</v>
      </c>
      <c r="D102" s="42">
        <f>TRUNC(14406,-1)</f>
        <v>14400</v>
      </c>
      <c r="E102" s="63">
        <f t="shared" si="3"/>
        <v>47600</v>
      </c>
    </row>
    <row r="103" spans="1:7" x14ac:dyDescent="0.3">
      <c r="A103" s="2">
        <v>6</v>
      </c>
      <c r="C103" s="38" t="s">
        <v>44</v>
      </c>
      <c r="D103" s="42">
        <f>TRUNC(9521,-1)</f>
        <v>9520</v>
      </c>
      <c r="E103" s="63">
        <f t="shared" si="3"/>
        <v>31470</v>
      </c>
    </row>
    <row r="104" spans="1:7" x14ac:dyDescent="0.3">
      <c r="A104" s="2">
        <v>7</v>
      </c>
      <c r="C104" s="38" t="s">
        <v>45</v>
      </c>
      <c r="D104" s="42">
        <f>TRUNC(4145,-1)</f>
        <v>4140</v>
      </c>
      <c r="E104" s="63">
        <f t="shared" si="3"/>
        <v>13680</v>
      </c>
    </row>
    <row r="105" spans="1:7" x14ac:dyDescent="0.3">
      <c r="A105" s="2">
        <v>8</v>
      </c>
      <c r="C105" s="38" t="s">
        <v>46</v>
      </c>
      <c r="D105" s="42">
        <f>TRUNC(2841,-1)</f>
        <v>2840</v>
      </c>
      <c r="E105" s="63">
        <f t="shared" si="3"/>
        <v>9380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3320</v>
      </c>
      <c r="E114" s="63">
        <f t="shared" si="3"/>
        <v>10970</v>
      </c>
      <c r="F114" s="2" t="s">
        <v>256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TRUNC(1374,-1)</f>
        <v>1370</v>
      </c>
      <c r="E116" s="63">
        <f t="shared" si="3"/>
        <v>4520</v>
      </c>
    </row>
    <row r="117" spans="1:7" x14ac:dyDescent="0.3">
      <c r="A117" s="2">
        <v>20</v>
      </c>
      <c r="C117" s="38" t="s">
        <v>148</v>
      </c>
      <c r="D117" s="42">
        <v>81370</v>
      </c>
      <c r="E117" s="63">
        <f t="shared" si="3"/>
        <v>268990</v>
      </c>
    </row>
    <row r="118" spans="1:7" ht="17.25" thickBot="1" x14ac:dyDescent="0.35">
      <c r="A118" s="2">
        <v>21</v>
      </c>
      <c r="C118" s="38" t="s">
        <v>47</v>
      </c>
      <c r="D118" s="43">
        <f>TRUNC(2045,-1)</f>
        <v>2040</v>
      </c>
      <c r="E118" s="64">
        <f t="shared" si="3"/>
        <v>6740</v>
      </c>
    </row>
    <row r="119" spans="1:7" x14ac:dyDescent="0.3">
      <c r="A119" s="2">
        <v>22</v>
      </c>
      <c r="C119" s="27" t="s">
        <v>112</v>
      </c>
      <c r="D119" s="39">
        <f>SUM(D98:D118)</f>
        <v>171150</v>
      </c>
      <c r="E119" s="39">
        <f>SUM(E98:E118)</f>
        <v>565720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3590</v>
      </c>
      <c r="E122" s="62">
        <f t="shared" ref="E122:E132" si="4">TRUNC(+D122*3.3058,-1)</f>
        <v>11860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1320</v>
      </c>
      <c r="E124" s="63">
        <f t="shared" si="4"/>
        <v>4360</v>
      </c>
    </row>
    <row r="125" spans="1:7" x14ac:dyDescent="0.3">
      <c r="A125" s="2">
        <v>4</v>
      </c>
      <c r="C125" s="38" t="s">
        <v>138</v>
      </c>
      <c r="D125" s="42">
        <f>TRUNC(6352,-1)</f>
        <v>6350</v>
      </c>
      <c r="E125" s="63">
        <f t="shared" si="4"/>
        <v>20990</v>
      </c>
    </row>
    <row r="126" spans="1:7" x14ac:dyDescent="0.3">
      <c r="A126" s="2">
        <v>5</v>
      </c>
      <c r="C126" s="38" t="s">
        <v>53</v>
      </c>
      <c r="D126" s="42">
        <f>TRUNC(3142,-1)</f>
        <v>3140</v>
      </c>
      <c r="E126" s="63">
        <f t="shared" si="4"/>
        <v>10380</v>
      </c>
    </row>
    <row r="127" spans="1:7" x14ac:dyDescent="0.3">
      <c r="A127" s="2">
        <v>6</v>
      </c>
      <c r="C127" s="38" t="s">
        <v>56</v>
      </c>
      <c r="D127" s="42">
        <f>TRUNC(1411,-1)</f>
        <v>1410</v>
      </c>
      <c r="E127" s="63">
        <f t="shared" si="4"/>
        <v>4660</v>
      </c>
    </row>
    <row r="128" spans="1:7" x14ac:dyDescent="0.3">
      <c r="A128" s="2">
        <v>7</v>
      </c>
      <c r="C128" s="38" t="s">
        <v>46</v>
      </c>
      <c r="D128" s="42">
        <f>TRUNC(5949,-1)</f>
        <v>5940</v>
      </c>
      <c r="E128" s="63">
        <f t="shared" si="4"/>
        <v>19630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TRUNC(14641,-1)</f>
        <v>14640</v>
      </c>
      <c r="E130" s="63">
        <f t="shared" si="4"/>
        <v>48390</v>
      </c>
    </row>
    <row r="131" spans="1:7" x14ac:dyDescent="0.3">
      <c r="A131" s="2">
        <v>10</v>
      </c>
      <c r="C131" s="38" t="s">
        <v>148</v>
      </c>
      <c r="D131" s="42">
        <v>43420</v>
      </c>
      <c r="E131" s="63">
        <f t="shared" si="4"/>
        <v>143530</v>
      </c>
    </row>
    <row r="132" spans="1:7" ht="18" thickBot="1" x14ac:dyDescent="0.35">
      <c r="A132" s="2">
        <v>11</v>
      </c>
      <c r="C132" s="38" t="s">
        <v>47</v>
      </c>
      <c r="D132" s="43">
        <f>TRUNC(312,-1)</f>
        <v>310</v>
      </c>
      <c r="E132" s="64">
        <f t="shared" si="4"/>
        <v>1020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80120</v>
      </c>
      <c r="E133" s="39">
        <f>SUM(E122:E132)</f>
        <v>264820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TRUNC(8576,-1)</f>
        <v>8570</v>
      </c>
      <c r="E141" s="63">
        <f t="shared" si="5"/>
        <v>28330</v>
      </c>
    </row>
    <row r="142" spans="1:7" x14ac:dyDescent="0.3">
      <c r="A142" s="2">
        <v>7</v>
      </c>
      <c r="C142" s="38" t="s">
        <v>58</v>
      </c>
      <c r="D142" s="42">
        <v>8290</v>
      </c>
      <c r="E142" s="63">
        <f t="shared" si="5"/>
        <v>27400</v>
      </c>
    </row>
    <row r="143" spans="1:7" x14ac:dyDescent="0.3">
      <c r="A143" s="2">
        <v>8</v>
      </c>
      <c r="C143" s="38" t="s">
        <v>62</v>
      </c>
      <c r="D143" s="42">
        <f>TRUNC(4769,-1)</f>
        <v>4760</v>
      </c>
      <c r="E143" s="63">
        <f t="shared" si="5"/>
        <v>15730</v>
      </c>
    </row>
    <row r="144" spans="1:7" x14ac:dyDescent="0.3">
      <c r="A144" s="2">
        <v>9</v>
      </c>
      <c r="C144" s="38" t="s">
        <v>63</v>
      </c>
      <c r="D144" s="42">
        <f>TRUNC(14143,-1)</f>
        <v>14140</v>
      </c>
      <c r="E144" s="63">
        <f t="shared" si="5"/>
        <v>46740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35760</v>
      </c>
      <c r="E146" s="39">
        <f>SUM(E136:E145)</f>
        <v>118200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TRUNC(10346+2902,-1)</f>
        <v>13240</v>
      </c>
      <c r="E149" s="62">
        <f>TRUNC(+D149*3.3058,-1)</f>
        <v>43760</v>
      </c>
    </row>
    <row r="150" spans="1:7" x14ac:dyDescent="0.3">
      <c r="A150" s="2">
        <v>2</v>
      </c>
      <c r="C150" s="38" t="s">
        <v>49</v>
      </c>
      <c r="D150" s="42">
        <f>TRUNC(14396,-1)</f>
        <v>14390</v>
      </c>
      <c r="E150" s="63">
        <f>TRUNC(+D150*3.3058,-1)</f>
        <v>47570</v>
      </c>
    </row>
    <row r="151" spans="1:7" x14ac:dyDescent="0.3">
      <c r="A151" s="2">
        <v>3</v>
      </c>
      <c r="C151" s="38" t="s">
        <v>50</v>
      </c>
      <c r="D151" s="42">
        <v>7370</v>
      </c>
      <c r="E151" s="63">
        <f>TRUNC(+D151*3.3058,-1)</f>
        <v>24360</v>
      </c>
    </row>
    <row r="152" spans="1:7" x14ac:dyDescent="0.3">
      <c r="A152" s="2">
        <v>4</v>
      </c>
      <c r="C152" s="38" t="s">
        <v>47</v>
      </c>
      <c r="D152" s="42">
        <f>TRUNC(3121+405,-1)</f>
        <v>3520</v>
      </c>
      <c r="E152" s="63">
        <f>TRUNC(+D152*3.3058,-1)</f>
        <v>11630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38520</v>
      </c>
      <c r="E154" s="39">
        <f>SUM(E149:E153)</f>
        <v>127320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TRUNC(25478,-1)</f>
        <v>25470</v>
      </c>
      <c r="E157" s="62">
        <f>TRUNC(+D157*3.3058,-1)</f>
        <v>84190</v>
      </c>
    </row>
    <row r="158" spans="1:7" x14ac:dyDescent="0.3">
      <c r="A158" s="2">
        <v>2</v>
      </c>
      <c r="C158" s="38" t="s">
        <v>52</v>
      </c>
      <c r="D158" s="42">
        <f>TRUNC(4398,-1)</f>
        <v>4390</v>
      </c>
      <c r="E158" s="63">
        <f>TRUNC(+D158*3.3058,-1)</f>
        <v>14510</v>
      </c>
    </row>
    <row r="159" spans="1:7" x14ac:dyDescent="0.3">
      <c r="A159" s="2">
        <v>3</v>
      </c>
      <c r="C159" s="38" t="s">
        <v>47</v>
      </c>
      <c r="D159" s="42">
        <f>TRUNC(1831,-1)</f>
        <v>1830</v>
      </c>
      <c r="E159" s="63">
        <f>TRUNC(+D159*3.3058,-1)</f>
        <v>6040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31690</v>
      </c>
      <c r="E161" s="39">
        <f>SUM(E157:E160)</f>
        <v>104740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2020-12-08T03:57:38Z</dcterms:modified>
</cp:coreProperties>
</file>