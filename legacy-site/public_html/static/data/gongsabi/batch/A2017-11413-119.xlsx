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49" i="4"/>
  <c r="D144" i="4"/>
  <c r="D143" i="4"/>
  <c r="D142" i="4"/>
  <c r="D132" i="4"/>
  <c r="D131" i="4"/>
  <c r="D130" i="4"/>
  <c r="D128" i="4"/>
  <c r="D125" i="4"/>
  <c r="D124" i="4"/>
  <c r="D122" i="4"/>
  <c r="D118" i="4"/>
  <c r="D116" i="4"/>
  <c r="D114" i="4"/>
  <c r="D105" i="4"/>
  <c r="D104" i="4"/>
  <c r="D103" i="4"/>
  <c r="D102" i="4"/>
  <c r="D101" i="4"/>
  <c r="D100" i="4"/>
  <c r="D99" i="4"/>
  <c r="D92" i="4"/>
  <c r="D91" i="4"/>
  <c r="D75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46" i="4"/>
  <c r="E154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<sst xmlns="http://schemas.openxmlformats.org/spreadsheetml/2006/main" count="392" uniqueCount="268">
  <si>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</si>
  <si>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</si>
  <si>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</si>
  <si>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</si>
  <si>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</si>
  <si>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</si>
  <si>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</si>
  <si>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</si>
  <si>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</si>
  <si>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</si>
  <si>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</si>
  <si>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</si>
  <si>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</si>
  <si>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</si>
  <si>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</si>
  <si>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</si>
  <si>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</si>
  <si>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</si>
  <si>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</si>
  <si>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</si>
  <si>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</si>
  <si>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</si>
  <si>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</si>
  <si>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</si>
  <si>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</si>
  <si>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</si>
  <si>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</si>
  <si>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</si>
  <si>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</si>
  <si>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</si>
  <si>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</si>
  <si>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</si>
  <si>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</si>
  <si>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</si>
  <si>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</si>
  <si>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</si>
  <si>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</si>
  <si>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</si>
  <si>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</si>
  <si>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</si>
  <si>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</si>
  <si>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</si>
  <si>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</si>
  <si>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</si>
  <si>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</si>
  <si>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</si>
  <si>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</si>
  <si>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</si>
  <si>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</si>
  <si>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</si>
  <si>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</si>
  <si>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</si>
  <si>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</si>
  <si>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</si>
  <si>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</si>
  <si>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</si>
  <si>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</si>
  <si>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</si>
  <si>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</si>
  <si>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</si>
  <si>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</si>
  <si>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</si>
  <si>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</si>
  <si>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</si>
  <si>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</si>
  <si>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</si>
  <si>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</si>
  <si>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</si>
  <si>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</si>
  <si>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</si>
  <si>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</si>
  <si>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</si>
  <si>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</si>
  <si>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</si>
  <si>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</si>
  <si>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</si>
  <si>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</si>
  <si>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</si>
  <si>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</si>
  <si>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</si>
  <si>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</si>
  <si>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</si>
  <si>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</si>
  <si>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</si>
  <si>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</si>
  <si>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</si>
  <si>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</si>
  <si>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</si>
  <si>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</si>
  <si>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</si>
  <si>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</si>
  <si>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</si>
  <si>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</si>
  <si>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</si>
  <si>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</si>
  <si>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</si>
  <si>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</si>
  <si>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</si>
  <si>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</si>
  <si>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</si>
  <si>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</si>
  <si>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</si>
  <si>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</si>
  <si>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</si>
  <si>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</si>
  <si>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</si>
  <si>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</si>
  <si>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</si>
  <si>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</si>
  <si>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</si>
  <si>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</si>
  <si>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</si>
  <si>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</si>
  <si>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</si>
  <si>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</si>
  <si>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</si>
  <si>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</si>
  <si>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</si>
  <si>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</si>
  <si>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</si>
  <si>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</si>
  <si>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</si>
  <si>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</si>
  <si>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</si>
  <si>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</si>
  <si>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</si>
  <si>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</si>
  <si>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</si>
  <si>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</si>
  <si>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</si>
  <si>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</si>
  <si>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</si>
  <si>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</si>
  <si>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</si>
  <si>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</si>
  <si>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</si>
  <si>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</si>
  <si>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</si>
  <si>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</si>
  <si>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</si>
  <si>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</si>
  <si>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</si>
  <si>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</si>
  <si>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</si>
  <si>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</si>
  <si>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</si>
  <si>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</si>
  <si>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</si>
  <si>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</si>
  <si>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</si>
  <si>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</si>
  <si>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</si>
  <si>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</si>
  <si>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</si>
  <si>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</si>
  <si>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</si>
  <si>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</si>
  <si>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</si>
  <si>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</si>
  <si>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</si>
  <si>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</si>
  <si>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</si>
  <si>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</si>
  <si>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</si>
  <si>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</si>
  <si>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</si>
  <si>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</si>
  <si>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</si>
  <si>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</si>
  <si>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</si>
  <si>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</si>
  <si>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</si>
  <si>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</si>
  <si>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</si>
  <si>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</si>
  <si>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</si>
  <si>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</si>
  <si>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</si>
  <si>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</si>
  <si>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</si>
  <si>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</si>
  <si>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</si>
  <si>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</si>
  <si>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</si>
  <si>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</si>
  <si>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</si>
  <si>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</si>
  <si>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</si>
  <si>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</si>
  <si>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</si>
  <si>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</si>
  <si>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</si>
  <si>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</si>
  <si>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</si>
  <si>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</si>
  <si>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</si>
  <si>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</si>
  <si>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</si>
  <si>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</si>
  <si>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</si>
  <si>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</si>
  <si>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</si>
  <si>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</si>
  <si>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</si>
  <si>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</si>
  <si>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</si>
  <si>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</si>
  <si>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</si>
  <si>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</si>
  <si>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</si>
  <si>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</si>
  <si>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</si>
  <si>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</si>
  <si>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</si>
  <si>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</si>
  <si>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</si>
  <si>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</si>
  <si>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</si>
  <si>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</si>
  <si>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</si>
  <si>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</si>
  <si>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</si>
  <si>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</si>
  <si>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</si>
  <si>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</si>
  <si>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</si>
  <si>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</si>
  <si>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</si>
  <si>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</si>
  <si>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</si>
  <si>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</si>
  <si>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</si>
  <si>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</si>
  <si>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</si>
  <si>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</si>
  <si>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</si>
  <si>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</si>
  <si>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</si>
  <si>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</si>
  <si>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</si>
  <si>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</si>
  <si>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</si>
  <si>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</si>
  <si>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</si>
  <si>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</si>
  <si>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</si>
  <si>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</si>
  <si>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</si>
  <si>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</si>
  <si>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</si>
  <si>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</si>
  <si>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</si>
  <si>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</si>
  <si>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</si>
  <si>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</si>
  <si>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</si>
  <si>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(가칭)군산산들초등학교 신축공사</t>
    <phoneticPr fontId="2" type="noConversion"/>
  </si>
  <si>
    <t>전라도</t>
  </si>
  <si>
    <t>기초공사, 골재비및운반비, 작업부산물, 품질시험비, 기타공사</t>
    <phoneticPr fontId="2" type="noConversion"/>
  </si>
  <si>
    <t>바닥난방공사</t>
    <phoneticPr fontId="2" type="noConversion"/>
  </si>
  <si>
    <t>CCTV설비공사, 주차관제설비공사, 기타공사</t>
    <phoneticPr fontId="2" type="noConversion"/>
  </si>
  <si>
    <t>상수도공사, 운반비, 기타공사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</si>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</sst>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10926.54</v>
      </c>
      <c r="D7" s="36">
        <f>+C7/3.3058</f>
        <v>3305.2634763143569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1066600</v>
      </c>
      <c r="E25" s="59">
        <f t="shared" si="0"/>
        <v>3525960</v>
      </c>
    </row>
    <row r="26" spans="1:5" x14ac:dyDescent="0.3">
      <c r="B26" s="2">
        <v>3</v>
      </c>
      <c r="C26" s="35" t="s">
        <v>95</v>
      </c>
      <c r="D26" s="45">
        <f>+D66</f>
        <v>13090</v>
      </c>
      <c r="E26" s="59">
        <f t="shared" si="0"/>
        <v>43270</v>
      </c>
    </row>
    <row r="27" spans="1:5" x14ac:dyDescent="0.3">
      <c r="B27" s="2">
        <v>4</v>
      </c>
      <c r="C27" s="35" t="s">
        <v>96</v>
      </c>
      <c r="D27" s="45">
        <f>+D95</f>
        <v>52500</v>
      </c>
      <c r="E27" s="59">
        <f t="shared" si="0"/>
        <v>173550</v>
      </c>
    </row>
    <row r="28" spans="1:5" x14ac:dyDescent="0.3">
      <c r="B28" s="2">
        <v>5</v>
      </c>
      <c r="C28" s="35" t="s">
        <v>97</v>
      </c>
      <c r="D28" s="45">
        <f>+D119</f>
        <v>202190</v>
      </c>
      <c r="E28" s="59">
        <f t="shared" si="0"/>
        <v>668390</v>
      </c>
    </row>
    <row r="29" spans="1:5" x14ac:dyDescent="0.3">
      <c r="B29" s="2">
        <v>6</v>
      </c>
      <c r="C29" s="35" t="s">
        <v>98</v>
      </c>
      <c r="D29" s="45">
        <f>+D133</f>
        <v>89520</v>
      </c>
      <c r="E29" s="59">
        <f t="shared" si="0"/>
        <v>295930</v>
      </c>
    </row>
    <row r="30" spans="1:5" x14ac:dyDescent="0.3">
      <c r="B30" s="2">
        <v>7</v>
      </c>
      <c r="C30" s="35" t="s">
        <v>99</v>
      </c>
      <c r="D30" s="45">
        <f>+D146</f>
        <v>40300</v>
      </c>
      <c r="E30" s="59">
        <f t="shared" si="0"/>
        <v>133220</v>
      </c>
    </row>
    <row r="31" spans="1:5" x14ac:dyDescent="0.3">
      <c r="B31" s="2">
        <v>8</v>
      </c>
      <c r="C31" s="35" t="s">
        <v>100</v>
      </c>
      <c r="D31" s="45">
        <f>+D154</f>
        <v>52910</v>
      </c>
      <c r="E31" s="59">
        <f t="shared" si="0"/>
        <v>174900</v>
      </c>
    </row>
    <row r="32" spans="1:5" x14ac:dyDescent="0.3">
      <c r="B32" s="2">
        <v>9</v>
      </c>
      <c r="C32" s="35" t="s">
        <v>101</v>
      </c>
      <c r="D32" s="45">
        <f>+D161</f>
        <v>26670</v>
      </c>
      <c r="E32" s="59">
        <f t="shared" si="0"/>
        <v>88160</v>
      </c>
    </row>
    <row r="33" spans="1:7" x14ac:dyDescent="0.3">
      <c r="B33" s="2">
        <v>10</v>
      </c>
      <c r="C33" s="35" t="s">
        <v>154</v>
      </c>
      <c r="D33" s="53">
        <f>TRUNC(SUM(D24:D32)*0.275,-1)</f>
        <v>424530</v>
      </c>
      <c r="E33" s="60">
        <f t="shared" si="0"/>
        <v>1403410</v>
      </c>
    </row>
    <row r="34" spans="1:7" x14ac:dyDescent="0.3">
      <c r="C34" s="35" t="s">
        <v>112</v>
      </c>
      <c r="D34" s="44">
        <f>SUM(D24:D33)</f>
        <v>1968310</v>
      </c>
      <c r="E34" s="44">
        <f>SUM(E24:E33)</f>
        <v>6506790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262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TRUNC(41121,-1)</f>
        <v>41120</v>
      </c>
      <c r="E40" s="62">
        <f t="shared" ref="E40:E59" si="1">TRUNC(+D40*3.3058,-1)</f>
        <v>135930</v>
      </c>
    </row>
    <row r="41" spans="1:7" x14ac:dyDescent="0.3">
      <c r="A41" s="2">
        <v>2</v>
      </c>
      <c r="C41" s="38" t="s">
        <v>13</v>
      </c>
      <c r="D41" s="42">
        <f>TRUNC(140237,-1)</f>
        <v>140230</v>
      </c>
      <c r="E41" s="63">
        <f t="shared" si="1"/>
        <v>463570</v>
      </c>
    </row>
    <row r="42" spans="1:7" x14ac:dyDescent="0.3">
      <c r="A42" s="2">
        <v>3</v>
      </c>
      <c r="C42" s="38" t="s">
        <v>14</v>
      </c>
      <c r="D42" s="42">
        <f>TRUNC(10132,-1)</f>
        <v>10130</v>
      </c>
      <c r="E42" s="63">
        <f t="shared" si="1"/>
        <v>33480</v>
      </c>
    </row>
    <row r="43" spans="1:7" x14ac:dyDescent="0.3">
      <c r="A43" s="2">
        <v>4</v>
      </c>
      <c r="C43" s="38" t="s">
        <v>16</v>
      </c>
      <c r="D43" s="42">
        <f>TRUNC(36556,-1)</f>
        <v>36550</v>
      </c>
      <c r="E43" s="63">
        <f t="shared" si="1"/>
        <v>120820</v>
      </c>
    </row>
    <row r="44" spans="1:7" x14ac:dyDescent="0.3">
      <c r="A44" s="2">
        <v>5</v>
      </c>
      <c r="C44" s="38" t="s">
        <v>17</v>
      </c>
      <c r="D44" s="42">
        <f>TRUNC(19185,-1)</f>
        <v>19180</v>
      </c>
      <c r="E44" s="63">
        <f t="shared" si="1"/>
        <v>63400</v>
      </c>
    </row>
    <row r="45" spans="1:7" x14ac:dyDescent="0.3">
      <c r="A45" s="2">
        <v>6</v>
      </c>
      <c r="C45" s="38" t="s">
        <v>18</v>
      </c>
      <c r="D45" s="42">
        <f>TRUNC(7103,-1)</f>
        <v>7100</v>
      </c>
      <c r="E45" s="63">
        <f t="shared" si="1"/>
        <v>23470</v>
      </c>
    </row>
    <row r="46" spans="1:7" x14ac:dyDescent="0.3">
      <c r="A46" s="2">
        <v>7</v>
      </c>
      <c r="C46" s="38" t="s">
        <v>19</v>
      </c>
      <c r="D46" s="42">
        <f>TRUNC(44461,-1)</f>
        <v>44460</v>
      </c>
      <c r="E46" s="63">
        <f t="shared" si="1"/>
        <v>146970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TRUNC(35354,-1)</f>
        <v>35350</v>
      </c>
      <c r="E48" s="63">
        <f t="shared" si="1"/>
        <v>116860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TRUNC(19115,-1)</f>
        <v>19110</v>
      </c>
      <c r="E49" s="63">
        <f t="shared" si="1"/>
        <v>63170</v>
      </c>
    </row>
    <row r="50" spans="1:7" x14ac:dyDescent="0.3">
      <c r="A50" s="2">
        <v>11</v>
      </c>
      <c r="C50" s="38" t="s">
        <v>155</v>
      </c>
      <c r="D50" s="42">
        <f>TRUNC(44666,-1)</f>
        <v>44660</v>
      </c>
      <c r="E50" s="63">
        <f t="shared" si="1"/>
        <v>147630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TRUNC(15797,-1)</f>
        <v>15790</v>
      </c>
      <c r="E52" s="63">
        <f t="shared" si="1"/>
        <v>52190</v>
      </c>
    </row>
    <row r="53" spans="1:7" x14ac:dyDescent="0.3">
      <c r="A53" s="2">
        <v>14</v>
      </c>
      <c r="C53" s="38" t="s">
        <v>25</v>
      </c>
      <c r="D53" s="42">
        <f>TRUNC(135908,-1)</f>
        <v>135900</v>
      </c>
      <c r="E53" s="63">
        <f t="shared" si="1"/>
        <v>449250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TRUNC(76194+13489-528+714+30447,-1)</f>
        <v>120310</v>
      </c>
      <c r="E58" s="63">
        <f t="shared" si="1"/>
        <v>397720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TRUNC(396712,-1)</f>
        <v>396710</v>
      </c>
      <c r="E59" s="64">
        <f t="shared" si="1"/>
        <v>1311440</v>
      </c>
    </row>
    <row r="60" spans="1:7" x14ac:dyDescent="0.3">
      <c r="A60" s="2">
        <v>21</v>
      </c>
      <c r="C60" s="27" t="s">
        <v>112</v>
      </c>
      <c r="D60" s="39">
        <f>SUM(D40:D59)</f>
        <v>1066600</v>
      </c>
      <c r="E60" s="39">
        <f>SUM(E40:E59)</f>
        <v>3525900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TRUNC(13092,-1)</f>
        <v>13090</v>
      </c>
      <c r="E63" s="62">
        <f>TRUNC(+D63*3.3058,-1)</f>
        <v>43270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13090</v>
      </c>
      <c r="E66" s="65">
        <f>SUM(E63:E65)</f>
        <v>43270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TRUNC(6357,-1)</f>
        <v>6350</v>
      </c>
      <c r="E69" s="62">
        <f t="shared" ref="E69:E94" si="2">TRUNC(+D69*3.3058,-1)</f>
        <v>20990</v>
      </c>
    </row>
    <row r="70" spans="1:7" ht="16.5" customHeight="1" x14ac:dyDescent="0.3">
      <c r="A70" s="2">
        <v>2</v>
      </c>
      <c r="C70" s="38" t="s">
        <v>31</v>
      </c>
      <c r="D70" s="42">
        <f>TRUNC(1761,-1)</f>
        <v>1760</v>
      </c>
      <c r="E70" s="63">
        <f t="shared" si="2"/>
        <v>5810</v>
      </c>
    </row>
    <row r="71" spans="1:7" x14ac:dyDescent="0.3">
      <c r="A71" s="2">
        <v>3</v>
      </c>
      <c r="C71" s="38" t="s">
        <v>32</v>
      </c>
      <c r="D71" s="42">
        <f>TRUNC(5072,-1)</f>
        <v>5070</v>
      </c>
      <c r="E71" s="63">
        <f t="shared" si="2"/>
        <v>16760</v>
      </c>
    </row>
    <row r="72" spans="1:7" x14ac:dyDescent="0.3">
      <c r="A72" s="2">
        <v>4</v>
      </c>
      <c r="C72" s="38" t="s">
        <v>33</v>
      </c>
      <c r="D72" s="42">
        <f>TRUNC(4009,-1)</f>
        <v>4000</v>
      </c>
      <c r="E72" s="63">
        <f t="shared" si="2"/>
        <v>13220</v>
      </c>
    </row>
    <row r="73" spans="1:7" x14ac:dyDescent="0.3">
      <c r="A73" s="2">
        <v>5</v>
      </c>
      <c r="C73" s="38" t="s">
        <v>34</v>
      </c>
      <c r="D73" s="42">
        <f>TRUNC(11012,-1)</f>
        <v>11010</v>
      </c>
      <c r="E73" s="63">
        <f t="shared" si="2"/>
        <v>36390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TRUNC(765,-1)</f>
        <v>760</v>
      </c>
      <c r="E75" s="63">
        <f t="shared" si="2"/>
        <v>2510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4280</v>
      </c>
      <c r="E89" s="63">
        <f t="shared" si="2"/>
        <v>14140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TRUNC(5868,-1)</f>
        <v>5860</v>
      </c>
      <c r="E91" s="63">
        <f t="shared" si="2"/>
        <v>19370</v>
      </c>
    </row>
    <row r="92" spans="1:7" x14ac:dyDescent="0.3">
      <c r="A92" s="2">
        <v>24</v>
      </c>
      <c r="C92" s="38" t="s">
        <v>38</v>
      </c>
      <c r="D92" s="42">
        <f>TRUNC(9327,-1)</f>
        <v>9320</v>
      </c>
      <c r="E92" s="63">
        <f t="shared" si="2"/>
        <v>30810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4090</v>
      </c>
      <c r="E94" s="64">
        <f t="shared" si="2"/>
        <v>13520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52500</v>
      </c>
      <c r="E95" s="39">
        <f>SUM(E69:E94)</f>
        <v>173520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12520</v>
      </c>
      <c r="E98" s="62">
        <f t="shared" ref="E98:E118" si="3">TRUNC(+D98*3.3058,-1)</f>
        <v>41380</v>
      </c>
    </row>
    <row r="99" spans="1:7" x14ac:dyDescent="0.3">
      <c r="A99" s="2">
        <v>2</v>
      </c>
      <c r="C99" s="38" t="s">
        <v>40</v>
      </c>
      <c r="D99" s="42">
        <f>TRUNC(3522,-1)</f>
        <v>3520</v>
      </c>
      <c r="E99" s="63">
        <f t="shared" si="3"/>
        <v>11630</v>
      </c>
    </row>
    <row r="100" spans="1:7" x14ac:dyDescent="0.3">
      <c r="A100" s="2">
        <v>3</v>
      </c>
      <c r="C100" s="38" t="s">
        <v>41</v>
      </c>
      <c r="D100" s="42">
        <f>TRUNC(26395,-1)</f>
        <v>26390</v>
      </c>
      <c r="E100" s="63">
        <f t="shared" si="3"/>
        <v>87240</v>
      </c>
    </row>
    <row r="101" spans="1:7" x14ac:dyDescent="0.3">
      <c r="A101" s="2">
        <v>4</v>
      </c>
      <c r="C101" s="38" t="s">
        <v>42</v>
      </c>
      <c r="D101" s="42">
        <f>TRUNC(7984,-1)</f>
        <v>7980</v>
      </c>
      <c r="E101" s="63">
        <f t="shared" si="3"/>
        <v>26380</v>
      </c>
    </row>
    <row r="102" spans="1:7" x14ac:dyDescent="0.3">
      <c r="A102" s="2">
        <v>5</v>
      </c>
      <c r="C102" s="38" t="s">
        <v>43</v>
      </c>
      <c r="D102" s="42">
        <f>TRUNC(14712,-1)</f>
        <v>14710</v>
      </c>
      <c r="E102" s="63">
        <f t="shared" si="3"/>
        <v>48620</v>
      </c>
    </row>
    <row r="103" spans="1:7" x14ac:dyDescent="0.3">
      <c r="A103" s="2">
        <v>6</v>
      </c>
      <c r="C103" s="38" t="s">
        <v>44</v>
      </c>
      <c r="D103" s="42">
        <f>TRUNC(6537,-1)</f>
        <v>6530</v>
      </c>
      <c r="E103" s="63">
        <f t="shared" si="3"/>
        <v>21580</v>
      </c>
    </row>
    <row r="104" spans="1:7" x14ac:dyDescent="0.3">
      <c r="A104" s="2">
        <v>7</v>
      </c>
      <c r="C104" s="38" t="s">
        <v>45</v>
      </c>
      <c r="D104" s="42">
        <f>TRUNC(4312,-1)</f>
        <v>4310</v>
      </c>
      <c r="E104" s="63">
        <f t="shared" si="3"/>
        <v>14240</v>
      </c>
    </row>
    <row r="105" spans="1:7" x14ac:dyDescent="0.3">
      <c r="A105" s="2">
        <v>8</v>
      </c>
      <c r="C105" s="38" t="s">
        <v>46</v>
      </c>
      <c r="D105" s="42">
        <f>TRUNC(5102,-1)</f>
        <v>5100</v>
      </c>
      <c r="E105" s="63">
        <f t="shared" si="3"/>
        <v>16850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TRUNC(2108,-1)</f>
        <v>2100</v>
      </c>
      <c r="E114" s="63">
        <f t="shared" si="3"/>
        <v>6940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TRUNC(2496,-1)</f>
        <v>2490</v>
      </c>
      <c r="E116" s="63">
        <f t="shared" si="3"/>
        <v>8230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114750</v>
      </c>
      <c r="E117" s="63">
        <f t="shared" si="3"/>
        <v>379340</v>
      </c>
    </row>
    <row r="118" spans="1:7" ht="17.25" thickBot="1" x14ac:dyDescent="0.35">
      <c r="A118" s="2">
        <v>21</v>
      </c>
      <c r="C118" s="38" t="s">
        <v>47</v>
      </c>
      <c r="D118" s="43">
        <f>TRUNC(1793,-1)</f>
        <v>1790</v>
      </c>
      <c r="E118" s="64">
        <f t="shared" si="3"/>
        <v>5910</v>
      </c>
    </row>
    <row r="119" spans="1:7" x14ac:dyDescent="0.3">
      <c r="A119" s="2">
        <v>22</v>
      </c>
      <c r="C119" s="27" t="s">
        <v>112</v>
      </c>
      <c r="D119" s="39">
        <f>SUM(D98:D118)</f>
        <v>202190</v>
      </c>
      <c r="E119" s="39">
        <f>SUM(E98:E118)</f>
        <v>668340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TRUNC(4741,-1)</f>
        <v>4740</v>
      </c>
      <c r="E122" s="62">
        <f t="shared" ref="E122:E132" si="4">TRUNC(+D122*3.3058,-1)</f>
        <v>15660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TRUNC(1669,-1)</f>
        <v>1660</v>
      </c>
      <c r="E124" s="63">
        <f t="shared" si="4"/>
        <v>5480</v>
      </c>
    </row>
    <row r="125" spans="1:7" x14ac:dyDescent="0.3">
      <c r="A125" s="2">
        <v>4</v>
      </c>
      <c r="C125" s="38" t="s">
        <v>138</v>
      </c>
      <c r="D125" s="42">
        <f>TRUNC(8064,-1)</f>
        <v>8060</v>
      </c>
      <c r="E125" s="63">
        <f t="shared" si="4"/>
        <v>26640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TRUNC(5566,-1)</f>
        <v>5560</v>
      </c>
      <c r="E128" s="63">
        <f t="shared" si="4"/>
        <v>18380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TRUNC(18407,-1)</f>
        <v>18400</v>
      </c>
      <c r="E130" s="63">
        <f t="shared" si="4"/>
        <v>60820</v>
      </c>
    </row>
    <row r="131" spans="1:7" x14ac:dyDescent="0.3">
      <c r="A131" s="2">
        <v>10</v>
      </c>
      <c r="C131" s="38" t="s">
        <v>148</v>
      </c>
      <c r="D131" s="42">
        <f>TRUNC(47242,-1)</f>
        <v>47240</v>
      </c>
      <c r="E131" s="63">
        <f t="shared" si="4"/>
        <v>156160</v>
      </c>
    </row>
    <row r="132" spans="1:7" ht="18" thickBot="1" x14ac:dyDescent="0.35">
      <c r="A132" s="2">
        <v>11</v>
      </c>
      <c r="C132" s="38" t="s">
        <v>47</v>
      </c>
      <c r="D132" s="43">
        <f>TRUNC(2395+275+1193,-1)</f>
        <v>3860</v>
      </c>
      <c r="E132" s="64">
        <f t="shared" si="4"/>
        <v>12760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89520</v>
      </c>
      <c r="E133" s="39">
        <f>SUM(E122:E132)</f>
        <v>295900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TRUNC(21155,-1)</f>
        <v>21150</v>
      </c>
      <c r="E142" s="63">
        <f t="shared" si="5"/>
        <v>69910</v>
      </c>
    </row>
    <row r="143" spans="1:7" x14ac:dyDescent="0.3">
      <c r="A143" s="2">
        <v>8</v>
      </c>
      <c r="C143" s="38" t="s">
        <v>62</v>
      </c>
      <c r="D143" s="42">
        <f>TRUNC(3809,-1)</f>
        <v>3800</v>
      </c>
      <c r="E143" s="63">
        <f t="shared" si="5"/>
        <v>12560</v>
      </c>
    </row>
    <row r="144" spans="1:7" x14ac:dyDescent="0.3">
      <c r="A144" s="2">
        <v>9</v>
      </c>
      <c r="C144" s="38" t="s">
        <v>63</v>
      </c>
      <c r="D144" s="42">
        <f>TRUNC(15353,-1)</f>
        <v>15350</v>
      </c>
      <c r="E144" s="63">
        <f t="shared" si="5"/>
        <v>50740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40300</v>
      </c>
      <c r="E146" s="39">
        <f>SUM(E136:E145)</f>
        <v>133210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TRUNC(11240+2638,-1)</f>
        <v>13870</v>
      </c>
      <c r="E149" s="62">
        <f>TRUNC(+D149*3.3058,-1)</f>
        <v>45850</v>
      </c>
    </row>
    <row r="150" spans="1:7" x14ac:dyDescent="0.3">
      <c r="A150" s="2">
        <v>2</v>
      </c>
      <c r="C150" s="38" t="s">
        <v>49</v>
      </c>
      <c r="D150" s="42">
        <v>18630</v>
      </c>
      <c r="E150" s="63">
        <f>TRUNC(+D150*3.3058,-1)</f>
        <v>61580</v>
      </c>
    </row>
    <row r="151" spans="1:7" x14ac:dyDescent="0.3">
      <c r="A151" s="2">
        <v>3</v>
      </c>
      <c r="C151" s="38" t="s">
        <v>50</v>
      </c>
      <c r="D151" s="42">
        <f>TRUNC(7149,-1)</f>
        <v>7140</v>
      </c>
      <c r="E151" s="63">
        <f>TRUNC(+D151*3.3058,-1)</f>
        <v>23600</v>
      </c>
    </row>
    <row r="152" spans="1:7" x14ac:dyDescent="0.3">
      <c r="A152" s="2">
        <v>4</v>
      </c>
      <c r="C152" s="38" t="s">
        <v>47</v>
      </c>
      <c r="D152" s="42">
        <f>TRUNC(4958+66+8252,-1)</f>
        <v>13270</v>
      </c>
      <c r="E152" s="63">
        <f>TRUNC(+D152*3.3058,-1)</f>
        <v>43860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52910</v>
      </c>
      <c r="E154" s="39">
        <f>SUM(E149:E153)</f>
        <v>174890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TRUNC(12479,-1)</f>
        <v>12470</v>
      </c>
      <c r="E157" s="62">
        <f>TRUNC(+D157*3.3058,-1)</f>
        <v>41220</v>
      </c>
    </row>
    <row r="158" spans="1:7" x14ac:dyDescent="0.3">
      <c r="A158" s="2">
        <v>2</v>
      </c>
      <c r="C158" s="38" t="s">
        <v>52</v>
      </c>
      <c r="D158" s="42">
        <f>TRUNC(10441,-1)</f>
        <v>10440</v>
      </c>
      <c r="E158" s="63">
        <f>TRUNC(+D158*3.3058,-1)</f>
        <v>34510</v>
      </c>
    </row>
    <row r="159" spans="1:7" x14ac:dyDescent="0.3">
      <c r="A159" s="2">
        <v>3</v>
      </c>
      <c r="C159" s="38" t="s">
        <v>47</v>
      </c>
      <c r="D159" s="42">
        <f>TRUNC(3634+135,-1)</f>
        <v>3760</v>
      </c>
      <c r="E159" s="63">
        <f>TRUNC(+D159*3.3058,-1)</f>
        <v>12420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26670</v>
      </c>
      <c r="E161" s="39">
        <f>SUM(E157:E160)</f>
        <v>88150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2020-12-08T01:56:39Z</dcterms:modified>
</cp:coreProperties>
</file>