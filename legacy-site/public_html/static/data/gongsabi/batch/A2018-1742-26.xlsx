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60" i="4" l="1"/>
  <c r="D153" i="4"/>
  <c r="D131" i="4"/>
  <c r="D117" i="4"/>
  <c r="D9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75" i="4"/>
  <c r="D92" i="4"/>
  <c r="D91" i="4"/>
  <c r="D90" i="4"/>
  <c r="D89" i="4"/>
  <c r="D73" i="4"/>
  <c r="D72" i="4"/>
  <c r="D71" i="4"/>
  <c r="D70" i="4"/>
  <c r="D69" i="4"/>
  <c r="D101" i="4"/>
  <c r="D100" i="4"/>
  <c r="D99" i="4"/>
  <c r="D114" i="4"/>
  <c r="D98" i="4"/>
  <c r="D116" i="4"/>
  <c r="D118" i="4"/>
  <c r="D105" i="4"/>
  <c r="D104" i="4"/>
  <c r="D103" i="4"/>
  <c r="D102" i="4"/>
  <c r="D128" i="4"/>
  <c r="D127" i="4"/>
  <c r="D132" i="4"/>
  <c r="D124" i="4"/>
  <c r="D125" i="4"/>
  <c r="D122" i="4"/>
  <c r="D130" i="4"/>
  <c r="D126" i="4"/>
  <c r="D144" i="4"/>
  <c r="D143" i="4"/>
  <c r="D139" i="4"/>
  <c r="D141" i="4"/>
  <c r="D137" i="4"/>
  <c r="D142" i="4"/>
  <c r="D140" i="4"/>
  <c r="D65" i="4"/>
  <c r="D63" i="4"/>
  <c r="D152" i="4"/>
  <c r="D151" i="4"/>
  <c r="D150" i="4"/>
  <c r="D149" i="4"/>
  <c r="D159" i="4"/>
  <c r="D158" i="4"/>
  <c r="D157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60" i="4"/>
  <c r="E95" i="4"/>
  <c r="E119" i="4"/>
  <c r="E133" i="4"/>
  <c r="E146" i="4"/>
  <c r="E154" i="4"/>
  <c r="D161" i="4"/>
  <c r="D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2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<sst xmlns="http://schemas.openxmlformats.org/spreadsheetml/2006/main" count="395" uniqueCount="270">
  <si>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</si>
  <si>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</si>
  <si>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</si>
  <si>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</si>
  <si>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</si>
  <si>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</si>
  <si>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</si>
  <si>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</si>
  <si>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</si>
  <si>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</si>
  <si>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</si>
  <si>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</si>
  <si>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</si>
  <si>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</si>
  <si>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</si>
  <si>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</si>
  <si>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</si>
  <si>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</si>
  <si>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</si>
  <si>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</si>
  <si>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</si>
  <si>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</si>
  <si>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</si>
  <si>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</si>
  <si>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</si>
  <si>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</si>
  <si>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</si>
  <si>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</si>
  <si>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</si>
  <si>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</si>
  <si>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</si>
  <si>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</si>
  <si>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</si>
  <si>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</si>
  <si>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</si>
  <si>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</si>
  <si>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</si>
  <si>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</si>
  <si>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</si>
  <si>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</si>
  <si>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</si>
  <si>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</si>
  <si>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</si>
  <si>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</si>
  <si>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</si>
  <si>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</si>
  <si>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</si>
  <si>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</si>
  <si>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</si>
  <si>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</si>
  <si>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</si>
  <si>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</si>
  <si>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</si>
  <si>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</si>
  <si>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</si>
  <si>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</si>
  <si>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</si>
  <si>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</si>
  <si>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</si>
  <si>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</si>
  <si>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</si>
  <si>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</si>
  <si>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</si>
  <si>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</si>
  <si>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</si>
  <si>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</si>
  <si>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</si>
  <si>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</si>
  <si>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</si>
  <si>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</si>
  <si>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</si>
  <si>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</si>
  <si>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</si>
  <si>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</si>
  <si>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</si>
  <si>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</si>
  <si>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</si>
  <si>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</si>
  <si>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</si>
  <si>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</si>
  <si>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</si>
  <si>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</si>
  <si>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</si>
  <si>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</si>
  <si>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</si>
  <si>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</si>
  <si>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</si>
  <si>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</si>
  <si>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</si>
  <si>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</si>
  <si>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</si>
  <si>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</si>
  <si>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</si>
  <si>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</si>
  <si>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</si>
  <si>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</si>
  <si>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</si>
  <si>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</si>
  <si>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</si>
  <si>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</si>
  <si>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</si>
  <si>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</si>
  <si>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</si>
  <si>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</si>
  <si>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</si>
  <si>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</si>
  <si>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</si>
  <si>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</si>
  <si>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</si>
  <si>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</si>
  <si>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</si>
  <si>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</si>
  <si>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</si>
  <si>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</si>
  <si>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</si>
  <si>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</si>
  <si>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</si>
  <si>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</si>
  <si>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</si>
  <si>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</si>
  <si>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</si>
  <si>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</si>
  <si>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</si>
  <si>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</si>
  <si>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</si>
  <si>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</si>
  <si>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</si>
  <si>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</si>
  <si>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</si>
  <si>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</si>
  <si>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</si>
  <si>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</si>
  <si>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</si>
  <si>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</si>
  <si>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</si>
  <si>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</si>
  <si>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</si>
  <si>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</si>
  <si>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</si>
  <si>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</si>
  <si>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</si>
  <si>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</si>
  <si>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</si>
  <si>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</si>
  <si>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</si>
  <si>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</si>
  <si>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</si>
  <si>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</si>
  <si>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</si>
  <si>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</si>
  <si>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</si>
  <si>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</si>
  <si>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</si>
  <si>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</si>
  <si>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</si>
  <si>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</si>
  <si>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</si>
  <si>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</si>
  <si>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</si>
  <si>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</si>
  <si>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</si>
  <si>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</si>
  <si>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</si>
  <si>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</si>
  <si>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</si>
  <si>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</si>
  <si>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</si>
  <si>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</si>
  <si>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</si>
  <si>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</si>
  <si>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</si>
  <si>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</si>
  <si>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</si>
  <si>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</si>
  <si>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</si>
  <si>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</si>
  <si>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</si>
  <si>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</si>
  <si>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</si>
  <si>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</si>
  <si>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</si>
  <si>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</si>
  <si>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</si>
  <si>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</si>
  <si>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</si>
  <si>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</si>
  <si>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</si>
  <si>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</si>
  <si>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</si>
  <si>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</si>
  <si>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</si>
  <si>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</si>
  <si>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</si>
  <si>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</si>
  <si>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</si>
  <si>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</si>
  <si>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</si>
  <si>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</si>
  <si>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</si>
  <si>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</si>
  <si>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</si>
  <si>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</si>
  <si>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</si>
  <si>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</si>
  <si>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</si>
  <si>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</si>
  <si>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</si>
  <si>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</si>
  <si>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</si>
  <si>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</si>
  <si>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</si>
  <si>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</si>
  <si>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</si>
  <si>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</si>
  <si>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</si>
  <si>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</si>
  <si>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</si>
  <si>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</si>
  <si>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</si>
  <si>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</si>
  <si>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</si>
  <si>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</si>
  <si>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</si>
  <si>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</si>
  <si>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</si>
  <si>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</si>
  <si>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</si>
  <si>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</si>
  <si>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</si>
  <si>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</si>
  <si>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</si>
  <si>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</si>
  <si>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</si>
  <si>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</si>
  <si>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</si>
  <si>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</si>
  <si>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</si>
  <si>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</si>
  <si>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</si>
  <si>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</si>
  <si>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</si>
  <si>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</si>
  <si>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</si>
  <si>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</si>
  <si>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</si>
  <si>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</si>
  <si>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</si>
  <si>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</si>
  <si>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서부복지타운 및 서부실내체육관 건립공사</t>
    <phoneticPr fontId="2" type="noConversion"/>
  </si>
  <si>
    <t>기타</t>
  </si>
  <si>
    <t>경기도</t>
  </si>
  <si>
    <t>기초공사,해체및철거공사,골재비및운반비,작업부산물,품질시험비,기타공사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</si>
  <si>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</si>
  <si>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</si>
  <si>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 xml:space="preserve">목공사및수장공사(인테리어공사 포함)  </t>
    <phoneticPr fontId="2" type="noConversion"/>
  </si>
  <si>
    <t>전기인입 및 수변전 설비공사</t>
    <phoneticPr fontId="2" type="noConversion"/>
  </si>
  <si>
    <t xml:space="preserve">원격검침 설비공사,기타공사 </t>
    <phoneticPr fontId="2" type="noConversion"/>
  </si>
  <si>
    <t>CATV 및 TV 설비공사</t>
    <phoneticPr fontId="2" type="noConversion"/>
  </si>
  <si>
    <t>CCTV설비공사,주차관제설비공사</t>
    <phoneticPr fontId="2" type="noConversion"/>
  </si>
  <si>
    <t>옥외소화배관공사,펌프실배관공사</t>
    <phoneticPr fontId="2" type="noConversion"/>
  </si>
  <si>
    <t>우수공사,오수공사</t>
    <phoneticPr fontId="2" type="noConversion"/>
  </si>
  <si>
    <t>상수도공사,사급자재비,운반비,기타공사</t>
    <phoneticPr fontId="2" type="noConversion"/>
  </si>
  <si>
    <t>포장공사,기타공사</t>
    <phoneticPr fontId="2" type="noConversion"/>
  </si>
  <si>
    <t>조경시설물</t>
    <phoneticPr fontId="2" type="noConversion"/>
  </si>
  <si>
    <t>원/ m2</t>
  </si>
  <si>
    <t>원 /평</t>
  </si>
  <si>
    <t>공조배관공사,난방배관공사,바닥난방공사,우수처리시설공사,기타공사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</si>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</sst>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10859.45</v>
      </c>
      <c r="D7" s="36">
        <f>+C7/3.3058</f>
        <v>3284.9688426402081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1481410</v>
      </c>
      <c r="E25" s="59">
        <f t="shared" si="0"/>
        <v>4897240</v>
      </c>
    </row>
    <row r="26" spans="1:5" x14ac:dyDescent="0.3">
      <c r="B26" s="2">
        <v>3</v>
      </c>
      <c r="C26" s="35" t="s">
        <v>95</v>
      </c>
      <c r="D26" s="45">
        <f>+D66</f>
        <v>83830</v>
      </c>
      <c r="E26" s="59">
        <f t="shared" si="0"/>
        <v>277120</v>
      </c>
    </row>
    <row r="27" spans="1:5" x14ac:dyDescent="0.3">
      <c r="B27" s="2">
        <v>4</v>
      </c>
      <c r="C27" s="35" t="s">
        <v>96</v>
      </c>
      <c r="D27" s="45">
        <f>+D95</f>
        <v>280830</v>
      </c>
      <c r="E27" s="59">
        <f t="shared" si="0"/>
        <v>928360</v>
      </c>
    </row>
    <row r="28" spans="1:5" x14ac:dyDescent="0.3">
      <c r="B28" s="2">
        <v>5</v>
      </c>
      <c r="C28" s="35" t="s">
        <v>97</v>
      </c>
      <c r="D28" s="45">
        <f>+D119</f>
        <v>425530</v>
      </c>
      <c r="E28" s="59">
        <f t="shared" si="0"/>
        <v>1406710</v>
      </c>
    </row>
    <row r="29" spans="1:5" x14ac:dyDescent="0.3">
      <c r="B29" s="2">
        <v>6</v>
      </c>
      <c r="C29" s="35" t="s">
        <v>98</v>
      </c>
      <c r="D29" s="45">
        <f>+D133</f>
        <v>164760</v>
      </c>
      <c r="E29" s="59">
        <f t="shared" si="0"/>
        <v>544660</v>
      </c>
    </row>
    <row r="30" spans="1:5" x14ac:dyDescent="0.3">
      <c r="B30" s="2">
        <v>7</v>
      </c>
      <c r="C30" s="35" t="s">
        <v>99</v>
      </c>
      <c r="D30" s="45">
        <f>+D146</f>
        <v>102080</v>
      </c>
      <c r="E30" s="59">
        <f t="shared" si="0"/>
        <v>337450</v>
      </c>
    </row>
    <row r="31" spans="1:5" x14ac:dyDescent="0.3">
      <c r="B31" s="2">
        <v>8</v>
      </c>
      <c r="C31" s="35" t="s">
        <v>100</v>
      </c>
      <c r="D31" s="45">
        <f>+D154</f>
        <v>183210</v>
      </c>
      <c r="E31" s="59">
        <f t="shared" si="0"/>
        <v>605650</v>
      </c>
    </row>
    <row r="32" spans="1:5" x14ac:dyDescent="0.3">
      <c r="B32" s="2">
        <v>9</v>
      </c>
      <c r="C32" s="35" t="s">
        <v>101</v>
      </c>
      <c r="D32" s="45">
        <f>+D161</f>
        <v>145990</v>
      </c>
      <c r="E32" s="59">
        <f t="shared" si="0"/>
        <v>482610</v>
      </c>
    </row>
    <row r="33" spans="1:7" x14ac:dyDescent="0.3">
      <c r="B33" s="2">
        <v>10</v>
      </c>
      <c r="C33" s="35" t="s">
        <v>154</v>
      </c>
      <c r="D33" s="53">
        <f>TRUNC(SUM(D24:D32)*0.275,-1)</f>
        <v>788600</v>
      </c>
      <c r="E33" s="60">
        <f t="shared" si="0"/>
        <v>2606950</v>
      </c>
    </row>
    <row r="34" spans="1:7" x14ac:dyDescent="0.3">
      <c r="C34" s="35" t="s">
        <v>112</v>
      </c>
      <c r="D34" s="44">
        <f>SUM(D24:D33)</f>
        <v>3656240</v>
      </c>
      <c r="E34" s="44">
        <f>SUM(E24:E33)</f>
        <v>12086750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264</v>
      </c>
      <c r="E39" s="67" t="s">
        <v>265</v>
      </c>
      <c r="G39" s="68"/>
    </row>
    <row r="40" spans="1:7" x14ac:dyDescent="0.3">
      <c r="A40" s="2">
        <v>1</v>
      </c>
      <c r="C40" s="38" t="s">
        <v>15</v>
      </c>
      <c r="D40" s="40">
        <f>TRUNC(92263,-1)</f>
        <v>92260</v>
      </c>
      <c r="E40" s="62">
        <f t="shared" ref="E40:E59" si="1">TRUNC(+D40*3.3058,-1)</f>
        <v>304990</v>
      </c>
    </row>
    <row r="41" spans="1:7" x14ac:dyDescent="0.3">
      <c r="A41" s="2">
        <v>2</v>
      </c>
      <c r="C41" s="38" t="s">
        <v>13</v>
      </c>
      <c r="D41" s="42">
        <f>TRUNC(170720,-1)</f>
        <v>170720</v>
      </c>
      <c r="E41" s="63">
        <f t="shared" si="1"/>
        <v>564360</v>
      </c>
    </row>
    <row r="42" spans="1:7" x14ac:dyDescent="0.3">
      <c r="A42" s="2">
        <v>3</v>
      </c>
      <c r="C42" s="38" t="s">
        <v>14</v>
      </c>
      <c r="D42" s="42">
        <f>TRUNC(72985,-1)</f>
        <v>72980</v>
      </c>
      <c r="E42" s="63">
        <f t="shared" si="1"/>
        <v>241250</v>
      </c>
    </row>
    <row r="43" spans="1:7" x14ac:dyDescent="0.3">
      <c r="A43" s="2">
        <v>4</v>
      </c>
      <c r="C43" s="38" t="s">
        <v>16</v>
      </c>
      <c r="D43" s="42">
        <f>TRUNC(10024,-1)</f>
        <v>10020</v>
      </c>
      <c r="E43" s="63">
        <f t="shared" si="1"/>
        <v>33120</v>
      </c>
    </row>
    <row r="44" spans="1:7" x14ac:dyDescent="0.3">
      <c r="A44" s="2">
        <v>5</v>
      </c>
      <c r="C44" s="38" t="s">
        <v>17</v>
      </c>
      <c r="D44" s="42">
        <f>TRUNC(34676,-1)</f>
        <v>34670</v>
      </c>
      <c r="E44" s="63">
        <f t="shared" si="1"/>
        <v>114610</v>
      </c>
    </row>
    <row r="45" spans="1:7" x14ac:dyDescent="0.3">
      <c r="A45" s="2">
        <v>6</v>
      </c>
      <c r="C45" s="38" t="s">
        <v>18</v>
      </c>
      <c r="D45" s="42">
        <f>TRUNC(12686,-1)</f>
        <v>12680</v>
      </c>
      <c r="E45" s="63">
        <f t="shared" si="1"/>
        <v>41910</v>
      </c>
    </row>
    <row r="46" spans="1:7" x14ac:dyDescent="0.3">
      <c r="A46" s="2">
        <v>7</v>
      </c>
      <c r="C46" s="38" t="s">
        <v>19</v>
      </c>
      <c r="D46" s="42">
        <f>TRUNC(5958,-1)</f>
        <v>5950</v>
      </c>
      <c r="E46" s="63">
        <f t="shared" si="1"/>
        <v>19660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TRUNC(96073,-1)</f>
        <v>96070</v>
      </c>
      <c r="E48" s="63">
        <f t="shared" si="1"/>
        <v>317580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TRUNC(13328,-1)</f>
        <v>13320</v>
      </c>
      <c r="E49" s="63">
        <f t="shared" si="1"/>
        <v>44030</v>
      </c>
    </row>
    <row r="50" spans="1:7" x14ac:dyDescent="0.3">
      <c r="A50" s="2">
        <v>11</v>
      </c>
      <c r="C50" s="38" t="s">
        <v>155</v>
      </c>
      <c r="D50" s="42">
        <f>TRUNC(77124,-1)</f>
        <v>77120</v>
      </c>
      <c r="E50" s="63">
        <f t="shared" si="1"/>
        <v>254940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TRUNC(16320,-1)</f>
        <v>16320</v>
      </c>
      <c r="E52" s="63">
        <f t="shared" si="1"/>
        <v>53950</v>
      </c>
    </row>
    <row r="53" spans="1:7" x14ac:dyDescent="0.3">
      <c r="A53" s="2">
        <v>14</v>
      </c>
      <c r="C53" s="38" t="s">
        <v>25</v>
      </c>
      <c r="D53" s="42">
        <f>TRUNC(228873,-1)</f>
        <v>228870</v>
      </c>
      <c r="E53" s="63">
        <f t="shared" si="1"/>
        <v>756590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TRUNC(37483+7970+7646-1631+7301+23193,-1)</f>
        <v>81960</v>
      </c>
      <c r="E58" s="63">
        <f t="shared" si="1"/>
        <v>270940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TRUNC(568477,-1)</f>
        <v>568470</v>
      </c>
      <c r="E59" s="64">
        <f t="shared" si="1"/>
        <v>1879240</v>
      </c>
    </row>
    <row r="60" spans="1:7" x14ac:dyDescent="0.3">
      <c r="A60" s="2">
        <v>21</v>
      </c>
      <c r="C60" s="27" t="s">
        <v>112</v>
      </c>
      <c r="D60" s="39">
        <f>SUM(D40:D59)</f>
        <v>1481410</v>
      </c>
      <c r="E60" s="39">
        <f>SUM(E40:E59)</f>
        <v>4897170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TRUNC(83142,-1)</f>
        <v>83140</v>
      </c>
      <c r="E63" s="62">
        <f>TRUNC(+D63*3.3058,-1)</f>
        <v>274840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TRUNC(693,-1)</f>
        <v>690</v>
      </c>
      <c r="E65" s="64">
        <f>TRUNC(+D65*3.3058,-1)</f>
        <v>2280</v>
      </c>
    </row>
    <row r="66" spans="1:7" x14ac:dyDescent="0.3">
      <c r="A66" s="2">
        <v>4</v>
      </c>
      <c r="C66" s="27" t="s">
        <v>112</v>
      </c>
      <c r="D66" s="39">
        <f>SUM(D63:D65)</f>
        <v>83830</v>
      </c>
      <c r="E66" s="65">
        <f>SUM(E63:E65)</f>
        <v>277120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TRUNC(17760,-1)</f>
        <v>17760</v>
      </c>
      <c r="E69" s="62">
        <f t="shared" ref="E69:E94" si="2">TRUNC(+D69*3.3058,-1)</f>
        <v>58710</v>
      </c>
    </row>
    <row r="70" spans="1:7" ht="16.5" customHeight="1" x14ac:dyDescent="0.3">
      <c r="A70" s="2">
        <v>2</v>
      </c>
      <c r="C70" s="38" t="s">
        <v>31</v>
      </c>
      <c r="D70" s="42">
        <f>TRUNC(771,-1)</f>
        <v>770</v>
      </c>
      <c r="E70" s="63">
        <f t="shared" si="2"/>
        <v>2540</v>
      </c>
    </row>
    <row r="71" spans="1:7" x14ac:dyDescent="0.3">
      <c r="A71" s="2">
        <v>3</v>
      </c>
      <c r="C71" s="38" t="s">
        <v>32</v>
      </c>
      <c r="D71" s="42">
        <f>TRUNC(5379,-1)</f>
        <v>5370</v>
      </c>
      <c r="E71" s="63">
        <f t="shared" si="2"/>
        <v>17750</v>
      </c>
    </row>
    <row r="72" spans="1:7" x14ac:dyDescent="0.3">
      <c r="A72" s="2">
        <v>4</v>
      </c>
      <c r="C72" s="38" t="s">
        <v>33</v>
      </c>
      <c r="D72" s="42">
        <f>TRUNC(12470,-1)</f>
        <v>12470</v>
      </c>
      <c r="E72" s="63">
        <f t="shared" si="2"/>
        <v>41220</v>
      </c>
    </row>
    <row r="73" spans="1:7" x14ac:dyDescent="0.3">
      <c r="A73" s="2">
        <v>5</v>
      </c>
      <c r="C73" s="38" t="s">
        <v>34</v>
      </c>
      <c r="D73" s="42">
        <f>TRUNC(12114,-1)</f>
        <v>12110</v>
      </c>
      <c r="E73" s="63">
        <f t="shared" si="2"/>
        <v>40030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TRUNC(775,-1)</f>
        <v>770</v>
      </c>
      <c r="E75" s="63">
        <f t="shared" si="2"/>
        <v>2540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TRUNC(11860,-1)</f>
        <v>11860</v>
      </c>
      <c r="E89" s="63">
        <f t="shared" si="2"/>
        <v>39200</v>
      </c>
    </row>
    <row r="90" spans="1:7" x14ac:dyDescent="0.3">
      <c r="A90" s="2">
        <v>22</v>
      </c>
      <c r="C90" s="38" t="s">
        <v>36</v>
      </c>
      <c r="D90" s="42">
        <f>TRUNC(1589,-1)</f>
        <v>1580</v>
      </c>
      <c r="E90" s="63">
        <f t="shared" si="2"/>
        <v>5220</v>
      </c>
    </row>
    <row r="91" spans="1:7" x14ac:dyDescent="0.3">
      <c r="A91" s="2">
        <v>23</v>
      </c>
      <c r="C91" s="38" t="s">
        <v>37</v>
      </c>
      <c r="D91" s="42">
        <f>TRUNC(24896,-1)</f>
        <v>24890</v>
      </c>
      <c r="E91" s="63">
        <f t="shared" si="2"/>
        <v>82280</v>
      </c>
    </row>
    <row r="92" spans="1:7" x14ac:dyDescent="0.3">
      <c r="A92" s="2">
        <v>24</v>
      </c>
      <c r="C92" s="38" t="s">
        <v>38</v>
      </c>
      <c r="D92" s="42">
        <f>TRUNC(10986,-1)</f>
        <v>10980</v>
      </c>
      <c r="E92" s="63">
        <f t="shared" si="2"/>
        <v>36290</v>
      </c>
    </row>
    <row r="93" spans="1:7" x14ac:dyDescent="0.3">
      <c r="A93" s="2">
        <v>25</v>
      </c>
      <c r="C93" s="38" t="s">
        <v>148</v>
      </c>
      <c r="D93" s="42">
        <f>TRUNC(157539,-1)</f>
        <v>157530</v>
      </c>
      <c r="E93" s="63">
        <f t="shared" si="2"/>
        <v>520760</v>
      </c>
    </row>
    <row r="94" spans="1:7" ht="17.25" thickBot="1" x14ac:dyDescent="0.35">
      <c r="A94" s="2">
        <v>26</v>
      </c>
      <c r="C94" s="38" t="s">
        <v>47</v>
      </c>
      <c r="D94" s="43">
        <f>TRUNC(1245+5889+3658+8698+5258,-1)</f>
        <v>24740</v>
      </c>
      <c r="E94" s="64">
        <f t="shared" si="2"/>
        <v>81780</v>
      </c>
      <c r="F94" s="2" t="s">
        <v>266</v>
      </c>
    </row>
    <row r="95" spans="1:7" x14ac:dyDescent="0.3">
      <c r="A95" s="2">
        <v>27</v>
      </c>
      <c r="C95" s="27" t="s">
        <v>112</v>
      </c>
      <c r="D95" s="39">
        <f>SUM(D69:D94)</f>
        <v>280830</v>
      </c>
      <c r="E95" s="39">
        <f>SUM(E69:E94)</f>
        <v>928320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TRUNC(23558,-1)</f>
        <v>23550</v>
      </c>
      <c r="E98" s="62">
        <f t="shared" ref="E98:E118" si="3">TRUNC(+D98*3.3058,-1)</f>
        <v>77850</v>
      </c>
    </row>
    <row r="99" spans="1:7" x14ac:dyDescent="0.3">
      <c r="A99" s="2">
        <v>2</v>
      </c>
      <c r="C99" s="38" t="s">
        <v>40</v>
      </c>
      <c r="D99" s="42">
        <f>TRUNC(17985,-1)</f>
        <v>17980</v>
      </c>
      <c r="E99" s="63">
        <f t="shared" si="3"/>
        <v>59430</v>
      </c>
    </row>
    <row r="100" spans="1:7" x14ac:dyDescent="0.3">
      <c r="A100" s="2">
        <v>3</v>
      </c>
      <c r="C100" s="38" t="s">
        <v>41</v>
      </c>
      <c r="D100" s="42">
        <f>TRUNC(61137,-1)</f>
        <v>61130</v>
      </c>
      <c r="E100" s="63">
        <f t="shared" si="3"/>
        <v>202080</v>
      </c>
    </row>
    <row r="101" spans="1:7" x14ac:dyDescent="0.3">
      <c r="A101" s="2">
        <v>4</v>
      </c>
      <c r="C101" s="38" t="s">
        <v>42</v>
      </c>
      <c r="D101" s="42">
        <f>TRUNC(7099,-1)</f>
        <v>7090</v>
      </c>
      <c r="E101" s="63">
        <f t="shared" si="3"/>
        <v>23430</v>
      </c>
    </row>
    <row r="102" spans="1:7" x14ac:dyDescent="0.3">
      <c r="A102" s="2">
        <v>5</v>
      </c>
      <c r="C102" s="38" t="s">
        <v>43</v>
      </c>
      <c r="D102" s="42">
        <f>TRUNC(17638,-1)</f>
        <v>17630</v>
      </c>
      <c r="E102" s="63">
        <f t="shared" si="3"/>
        <v>58280</v>
      </c>
    </row>
    <row r="103" spans="1:7" x14ac:dyDescent="0.3">
      <c r="A103" s="2">
        <v>6</v>
      </c>
      <c r="C103" s="38" t="s">
        <v>44</v>
      </c>
      <c r="D103" s="42">
        <f>TRUNC(4935,-1)</f>
        <v>4930</v>
      </c>
      <c r="E103" s="63">
        <f t="shared" si="3"/>
        <v>16290</v>
      </c>
    </row>
    <row r="104" spans="1:7" x14ac:dyDescent="0.3">
      <c r="A104" s="2">
        <v>7</v>
      </c>
      <c r="C104" s="38" t="s">
        <v>45</v>
      </c>
      <c r="D104" s="42">
        <f>TRUNC(5279,-1)</f>
        <v>5270</v>
      </c>
      <c r="E104" s="63">
        <f t="shared" si="3"/>
        <v>17420</v>
      </c>
    </row>
    <row r="105" spans="1:7" x14ac:dyDescent="0.3">
      <c r="A105" s="2">
        <v>8</v>
      </c>
      <c r="C105" s="38" t="s">
        <v>46</v>
      </c>
      <c r="D105" s="42">
        <f>TRUNC(10836,-1)</f>
        <v>10830</v>
      </c>
      <c r="E105" s="63">
        <f t="shared" si="3"/>
        <v>35800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TRUNC(4905,-1)</f>
        <v>4900</v>
      </c>
      <c r="E114" s="63">
        <f t="shared" si="3"/>
        <v>16190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TRUNC(10582,-1)</f>
        <v>10580</v>
      </c>
      <c r="E116" s="63">
        <f t="shared" si="3"/>
        <v>34970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TRUNC(251454,-1)</f>
        <v>251450</v>
      </c>
      <c r="E117" s="63">
        <f t="shared" si="3"/>
        <v>831240</v>
      </c>
    </row>
    <row r="118" spans="1:7" ht="17.25" thickBot="1" x14ac:dyDescent="0.35">
      <c r="A118" s="2">
        <v>21</v>
      </c>
      <c r="C118" s="38" t="s">
        <v>47</v>
      </c>
      <c r="D118" s="43">
        <f>TRUNC(3602+6588,-1)</f>
        <v>10190</v>
      </c>
      <c r="E118" s="64">
        <f t="shared" si="3"/>
        <v>33680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425530</v>
      </c>
      <c r="E119" s="39">
        <f>SUM(E98:E118)</f>
        <v>1406660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TRUNC(5475,-1)</f>
        <v>5470</v>
      </c>
      <c r="E122" s="62">
        <f t="shared" ref="E122:E132" si="4">TRUNC(+D122*3.3058,-1)</f>
        <v>18080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TRUNC(18009,-1)</f>
        <v>18000</v>
      </c>
      <c r="E124" s="63">
        <f t="shared" si="4"/>
        <v>59500</v>
      </c>
    </row>
    <row r="125" spans="1:7" x14ac:dyDescent="0.3">
      <c r="A125" s="2">
        <v>4</v>
      </c>
      <c r="C125" s="38" t="s">
        <v>138</v>
      </c>
      <c r="D125" s="42">
        <f>TRUNC(7744,-1)</f>
        <v>7740</v>
      </c>
      <c r="E125" s="63">
        <f t="shared" si="4"/>
        <v>25580</v>
      </c>
    </row>
    <row r="126" spans="1:7" x14ac:dyDescent="0.3">
      <c r="A126" s="2">
        <v>5</v>
      </c>
      <c r="C126" s="38" t="s">
        <v>53</v>
      </c>
      <c r="D126" s="42">
        <f>TRUNC(8024,-1)</f>
        <v>8020</v>
      </c>
      <c r="E126" s="63">
        <f t="shared" si="4"/>
        <v>26510</v>
      </c>
    </row>
    <row r="127" spans="1:7" x14ac:dyDescent="0.3">
      <c r="A127" s="2">
        <v>6</v>
      </c>
      <c r="C127" s="38" t="s">
        <v>56</v>
      </c>
      <c r="D127" s="42">
        <f>TRUNC(5306,-1)</f>
        <v>5300</v>
      </c>
      <c r="E127" s="63">
        <f t="shared" si="4"/>
        <v>17520</v>
      </c>
    </row>
    <row r="128" spans="1:7" x14ac:dyDescent="0.3">
      <c r="A128" s="2">
        <v>7</v>
      </c>
      <c r="C128" s="38" t="s">
        <v>46</v>
      </c>
      <c r="D128" s="42">
        <f>TRUNC(10615,-1)</f>
        <v>10610</v>
      </c>
      <c r="E128" s="63">
        <f t="shared" si="4"/>
        <v>35070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TRUNC(17713,-1)</f>
        <v>17710</v>
      </c>
      <c r="E130" s="63">
        <f t="shared" si="4"/>
        <v>58540</v>
      </c>
    </row>
    <row r="131" spans="1:7" x14ac:dyDescent="0.3">
      <c r="A131" s="2">
        <v>10</v>
      </c>
      <c r="C131" s="38" t="s">
        <v>148</v>
      </c>
      <c r="D131" s="42">
        <f>TRUNC(88583,-1)</f>
        <v>88580</v>
      </c>
      <c r="E131" s="63">
        <f t="shared" si="4"/>
        <v>292820</v>
      </c>
    </row>
    <row r="132" spans="1:7" ht="18" thickBot="1" x14ac:dyDescent="0.35">
      <c r="A132" s="2">
        <v>11</v>
      </c>
      <c r="C132" s="38" t="s">
        <v>47</v>
      </c>
      <c r="D132" s="43">
        <f>TRUNC(2709+627,-1)</f>
        <v>3330</v>
      </c>
      <c r="E132" s="64">
        <f t="shared" si="4"/>
        <v>11000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164760</v>
      </c>
      <c r="E133" s="39">
        <f>SUM(E122:E132)</f>
        <v>544620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TRUNC(239+4618,-1)</f>
        <v>4850</v>
      </c>
      <c r="E137" s="63">
        <f t="shared" si="5"/>
        <v>16030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TRUNC(3403,-1)</f>
        <v>3400</v>
      </c>
      <c r="E139" s="63">
        <f t="shared" si="5"/>
        <v>11230</v>
      </c>
    </row>
    <row r="140" spans="1:7" x14ac:dyDescent="0.3">
      <c r="A140" s="2">
        <v>5</v>
      </c>
      <c r="C140" s="38" t="s">
        <v>57</v>
      </c>
      <c r="D140" s="42">
        <f>TRUNC(1017,-1)</f>
        <v>1010</v>
      </c>
      <c r="E140" s="63">
        <f t="shared" si="5"/>
        <v>3330</v>
      </c>
    </row>
    <row r="141" spans="1:7" x14ac:dyDescent="0.3">
      <c r="A141" s="2">
        <v>6</v>
      </c>
      <c r="C141" s="38" t="s">
        <v>59</v>
      </c>
      <c r="D141" s="42">
        <f>TRUNC(43577,-1)</f>
        <v>43570</v>
      </c>
      <c r="E141" s="63">
        <f t="shared" si="5"/>
        <v>144030</v>
      </c>
    </row>
    <row r="142" spans="1:7" x14ac:dyDescent="0.3">
      <c r="A142" s="2">
        <v>7</v>
      </c>
      <c r="C142" s="38" t="s">
        <v>58</v>
      </c>
      <c r="D142" s="42">
        <f>TRUNC(7900,-1)</f>
        <v>7900</v>
      </c>
      <c r="E142" s="63">
        <f t="shared" si="5"/>
        <v>26110</v>
      </c>
    </row>
    <row r="143" spans="1:7" x14ac:dyDescent="0.3">
      <c r="A143" s="2">
        <v>8</v>
      </c>
      <c r="C143" s="38" t="s">
        <v>62</v>
      </c>
      <c r="D143" s="42">
        <f>TRUNC(7524,-1)</f>
        <v>7520</v>
      </c>
      <c r="E143" s="63">
        <f t="shared" si="5"/>
        <v>24850</v>
      </c>
    </row>
    <row r="144" spans="1:7" x14ac:dyDescent="0.3">
      <c r="A144" s="2">
        <v>9</v>
      </c>
      <c r="C144" s="38" t="s">
        <v>63</v>
      </c>
      <c r="D144" s="42">
        <f>TRUNC(33832,-1)</f>
        <v>33830</v>
      </c>
      <c r="E144" s="63">
        <f t="shared" si="5"/>
        <v>111830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102080</v>
      </c>
      <c r="E146" s="39">
        <f>SUM(E136:E145)</f>
        <v>337410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TRUNC(26060+1529,-1)</f>
        <v>27580</v>
      </c>
      <c r="E149" s="62">
        <f>TRUNC(+D149*3.3058,-1)</f>
        <v>91170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TRUNC(12613,-1)</f>
        <v>12610</v>
      </c>
      <c r="E150" s="63">
        <f>TRUNC(+D150*3.3058,-1)</f>
        <v>41680</v>
      </c>
    </row>
    <row r="151" spans="1:7" x14ac:dyDescent="0.3">
      <c r="A151" s="2">
        <v>3</v>
      </c>
      <c r="C151" s="38" t="s">
        <v>50</v>
      </c>
      <c r="D151" s="42">
        <f>TRUNC(27846,-1)</f>
        <v>27840</v>
      </c>
      <c r="E151" s="63">
        <f>TRUNC(+D151*3.3058,-1)</f>
        <v>92030</v>
      </c>
    </row>
    <row r="152" spans="1:7" x14ac:dyDescent="0.3">
      <c r="A152" s="2">
        <v>4</v>
      </c>
      <c r="C152" s="38" t="s">
        <v>47</v>
      </c>
      <c r="D152" s="42">
        <f>TRUNC(1237+4534+251+36785,-1)</f>
        <v>42800</v>
      </c>
      <c r="E152" s="63">
        <f>TRUNC(+D152*3.3058,-1)</f>
        <v>141480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TRUNC(72386,-1)</f>
        <v>72380</v>
      </c>
      <c r="E153" s="64">
        <f>TRUNC(+D153*3.3058,-1)</f>
        <v>239270</v>
      </c>
    </row>
    <row r="154" spans="1:7" x14ac:dyDescent="0.3">
      <c r="A154" s="2">
        <v>6</v>
      </c>
      <c r="C154" s="27" t="s">
        <v>112</v>
      </c>
      <c r="D154" s="39">
        <f>SUM(D149:D153)</f>
        <v>183210</v>
      </c>
      <c r="E154" s="39">
        <f>SUM(E149:E153)</f>
        <v>605630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TRUNC(51237,-1)</f>
        <v>51230</v>
      </c>
      <c r="E157" s="62">
        <f>TRUNC(+D157*3.3058,-1)</f>
        <v>169350</v>
      </c>
    </row>
    <row r="158" spans="1:7" x14ac:dyDescent="0.3">
      <c r="A158" s="2">
        <v>2</v>
      </c>
      <c r="C158" s="38" t="s">
        <v>52</v>
      </c>
      <c r="D158" s="42">
        <f>TRUNC(22068,-1)</f>
        <v>22060</v>
      </c>
      <c r="E158" s="63">
        <f>TRUNC(+D158*3.3058,-1)</f>
        <v>72920</v>
      </c>
      <c r="F158" s="2" t="s">
        <v>263</v>
      </c>
    </row>
    <row r="159" spans="1:7" x14ac:dyDescent="0.3">
      <c r="A159" s="2">
        <v>3</v>
      </c>
      <c r="C159" s="38" t="s">
        <v>47</v>
      </c>
      <c r="D159" s="42">
        <f>TRUNC(19405+15277,-1)</f>
        <v>34680</v>
      </c>
      <c r="E159" s="63">
        <f>TRUNC(+D159*3.3058,-1)</f>
        <v>114640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f>TRUNC(38021,-1)</f>
        <v>38020</v>
      </c>
      <c r="E160" s="64">
        <f>TRUNC(+D160*3.3058,-1)</f>
        <v>125680</v>
      </c>
    </row>
    <row r="161" spans="1:5" x14ac:dyDescent="0.3">
      <c r="A161" s="2">
        <v>5</v>
      </c>
      <c r="C161" s="27" t="s">
        <v>112</v>
      </c>
      <c r="D161" s="39">
        <f>SUM(D157:D160)</f>
        <v>145990</v>
      </c>
      <c r="E161" s="39">
        <f>SUM(E157:E160)</f>
        <v>482590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2020-12-08T02:35:02Z</dcterms:modified>
</cp:coreProperties>
</file>