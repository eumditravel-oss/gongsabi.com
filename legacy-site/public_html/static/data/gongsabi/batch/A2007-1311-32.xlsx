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1" i="4"/>
  <c r="E99" i="4"/>
  <c r="E93" i="4"/>
  <c r="E91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1" i="4"/>
  <c r="E70" i="4"/>
  <c r="E65" i="4"/>
  <c r="E64" i="4"/>
  <c r="E66" i="4" s="1"/>
  <c r="E63" i="4"/>
  <c r="E59" i="4"/>
  <c r="E57" i="4"/>
  <c r="E56" i="4"/>
  <c r="E54" i="4"/>
  <c r="E42" i="4"/>
  <c r="E146" i="4" l="1"/>
  <c r="E154" i="4"/>
  <c r="D58" i="4"/>
  <c r="E58" i="4" s="1"/>
  <c r="D84" i="4" l="1"/>
  <c r="E84" i="4" s="1"/>
  <c r="D94" i="4"/>
  <c r="E94" i="4" s="1"/>
  <c r="D53" i="4" l="1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1" i="4"/>
  <c r="E41" i="4" s="1"/>
  <c r="D40" i="4"/>
  <c r="E40" i="4" s="1"/>
  <c r="D37" i="4"/>
  <c r="E37" i="4" s="1"/>
  <c r="D72" i="4"/>
  <c r="E72" i="4" s="1"/>
  <c r="D89" i="4"/>
  <c r="E89" i="4" s="1"/>
  <c r="D73" i="4"/>
  <c r="E73" i="4" s="1"/>
  <c r="D92" i="4"/>
  <c r="E92" i="4" s="1"/>
  <c r="D69" i="4"/>
  <c r="E69" i="4" s="1"/>
  <c r="D102" i="4"/>
  <c r="E102" i="4" s="1"/>
  <c r="D100" i="4"/>
  <c r="E100" i="4" s="1"/>
  <c r="D98" i="4"/>
  <c r="E98" i="4" s="1"/>
  <c r="E119" i="4" s="1"/>
  <c r="D122" i="4"/>
  <c r="E122" i="4" s="1"/>
  <c r="D123" i="4"/>
  <c r="E123" i="4" s="1"/>
  <c r="E133" i="4" l="1"/>
  <c r="E95" i="4"/>
  <c r="E60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E27" i="4" s="1"/>
  <c r="D26" i="4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<sst xmlns="http://schemas.openxmlformats.org/spreadsheetml/2006/main" count="385" uniqueCount="320">
  <si>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</si>
  <si>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</si>
  <si>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</si>
  <si>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</si>
  <si>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</si>
  <si>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</si>
  <si>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</si>
  <si>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</si>
  <si>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</si>
  <si>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</si>
  <si>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</si>
  <si>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</si>
  <si>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</si>
  <si>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</si>
  <si>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</si>
  <si>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</si>
  <si>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</si>
  <si>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</si>
  <si>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</si>
  <si>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</si>
  <si>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</si>
  <si>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</si>
  <si>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</si>
  <si>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</si>
  <si>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</si>
  <si>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</si>
  <si>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</si>
  <si>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</si>
  <si>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</si>
  <si>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</si>
  <si>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</si>
  <si>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</si>
  <si>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</si>
  <si>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</si>
  <si>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</si>
  <si>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</si>
  <si>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</si>
  <si>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</si>
  <si>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</si>
  <si>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</si>
  <si>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</si>
  <si>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</si>
  <si>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</si>
  <si>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</si>
  <si>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</si>
  <si>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</si>
  <si>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</si>
  <si>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</si>
  <si>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</si>
  <si>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</si>
  <si>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</si>
  <si>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</si>
  <si>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</si>
  <si>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</si>
  <si>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</si>
  <si>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</si>
  <si>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</si>
  <si>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</si>
  <si>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</si>
  <si>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</si>
  <si>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</si>
  <si>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</si>
  <si>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</si>
  <si>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</si>
  <si>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</si>
  <si>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</si>
  <si>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</si>
  <si>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</si>
  <si>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</si>
  <si>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</si>
  <si>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</si>
  <si>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</si>
  <si>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</si>
  <si>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</si>
  <si>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</si>
  <si>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</si>
  <si>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</si>
  <si>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</si>
  <si>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</si>
  <si>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</si>
  <si>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</si>
  <si>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</si>
  <si>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</si>
  <si>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</si>
  <si>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</si>
  <si>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</si>
  <si>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</si>
  <si>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</si>
  <si>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</si>
  <si>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</si>
  <si>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</si>
  <si>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</si>
  <si>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</si>
  <si>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</si>
  <si>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</si>
  <si>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</si>
  <si>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</si>
  <si>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</si>
  <si>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</si>
  <si>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</si>
  <si>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</si>
  <si>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</si>
  <si>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</si>
  <si>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</si>
  <si>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</si>
  <si>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</si>
  <si>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</si>
  <si>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</si>
  <si>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</si>
  <si>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</si>
  <si>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</si>
  <si>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</si>
  <si>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</si>
  <si>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</si>
  <si>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</si>
  <si>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</si>
  <si>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</si>
  <si>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</si>
  <si>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</si>
  <si>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</si>
  <si>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</si>
  <si>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</si>
  <si>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</si>
  <si>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</si>
  <si>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</si>
  <si>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</si>
  <si>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</si>
  <si>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</si>
  <si>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</si>
  <si>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</si>
  <si>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</si>
  <si>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</si>
  <si>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</si>
  <si>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</si>
  <si>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</si>
  <si>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</si>
  <si>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</si>
  <si>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</si>
  <si>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</si>
  <si>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</si>
  <si>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</si>
  <si>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</si>
  <si>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</si>
  <si>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</si>
  <si>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</si>
  <si>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</si>
  <si>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</si>
  <si>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</si>
  <si>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</si>
  <si>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</si>
  <si>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</si>
  <si>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</si>
  <si>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</si>
  <si>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</si>
  <si>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</si>
  <si>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</si>
  <si>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</si>
  <si>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</si>
  <si>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</si>
  <si>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</si>
  <si>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</si>
  <si>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</si>
  <si>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</si>
  <si>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</si>
  <si>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</si>
  <si>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</si>
  <si>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</si>
  <si>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</si>
  <si>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</si>
  <si>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</si>
  <si>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</si>
  <si>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</si>
  <si>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</si>
  <si>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</si>
  <si>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</si>
  <si>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</si>
  <si>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</si>
  <si>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</si>
  <si>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</si>
  <si>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</si>
  <si>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</si>
  <si>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</si>
  <si>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</si>
  <si>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</si>
  <si>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</si>
  <si>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</si>
  <si>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</si>
  <si>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</si>
  <si>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</si>
  <si>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</si>
  <si>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</si>
  <si>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</si>
  <si>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</si>
  <si>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</si>
  <si>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</si>
  <si>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</si>
  <si>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</si>
  <si>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</si>
  <si>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</si>
  <si>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</si>
  <si>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</si>
  <si>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</si>
  <si>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</si>
  <si>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</si>
  <si>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</si>
  <si>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</si>
  <si>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</si>
  <si>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</si>
  <si>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</si>
  <si>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</si>
  <si>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</si>
  <si>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</si>
  <si>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</si>
  <si>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</si>
  <si>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</si>
  <si>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</si>
  <si>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</si>
  <si>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</si>
  <si>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</si>
  <si>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</si>
  <si>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</si>
  <si>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</si>
  <si>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</si>
  <si>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</si>
  <si>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</si>
  <si>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</si>
  <si>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</si>
  <si>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</si>
  <si>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</si>
  <si>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</si>
  <si>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</si>
  <si>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</si>
  <si>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</si>
  <si>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</si>
  <si>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</si>
  <si>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</si>
  <si>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</si>
  <si>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</si>
  <si>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</si>
  <si>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</si>
  <si>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</si>
  <si>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</si>
  <si>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</si>
  <si>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</si>
  <si>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</si>
  <si>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</si>
  <si>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</si>
  <si>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</si>
  <si>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</si>
  <si>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</si>
  <si>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</si>
  <si>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</si>
  <si>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</si>
  <si>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</si>
  <si>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</si>
  <si>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</si>
  <si>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</si>
  <si>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</si>
  <si>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</si>
  <si>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</si>
  <si>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</si>
  <si>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</si>
  <si>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</si>
  <si>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</si>
  <si>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</si>
  <si>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</si>
  <si>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</si>
  <si>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</si>
  <si>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</si>
  <si>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</si>
  <si>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</si>
  <si>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</si>
  <si>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</si>
  <si>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</si>
  <si>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</si>
  <si>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</si>
  <si>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</si>
  <si>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</si>
  <si>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</si>
  <si>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</si>
  <si>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</si>
  <si>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</si>
  <si>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</si>
  <si>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</si>
  <si>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</si>
  <si>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</si>
  <si>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</si>
  <si>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</si>
  <si>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</si>
  <si>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</si>
  <si>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</si>
  <si>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</si>
  <si>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</si>
  <si>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</si>
  <si>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</si>
  <si>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</si>
  <si>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</si>
  <si>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</si>
  <si>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</si>
  <si>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</si>
  <si>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</si>
  <si>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</si>
  <si>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</si>
  <si>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</si>
  <si>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</si>
  <si>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</si>
  <si>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</si>
  <si>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</si>
  <si>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구로경찰서 00지구대 신축공사</t>
  </si>
  <si>
    <t>업무</t>
  </si>
  <si>
    <t>서울</t>
  </si>
  <si>
    <t>전화설비공사</t>
    <phoneticPr fontId="2" type="noConversion"/>
  </si>
  <si>
    <t>토및지정공사,기타공사,부대공사,조경공사,철거공사,골재비,작업부산물,운반비</t>
    <phoneticPr fontId="2" type="noConversion"/>
  </si>
  <si>
    <t>냉난방설치공사</t>
    <phoneticPr fontId="2" type="noConversion"/>
  </si>
  <si>
    <t>난방배관공사</t>
    <phoneticPr fontId="2" type="noConversion"/>
  </si>
  <si>
    <t>항 목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</si>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</sst>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154</v>
      </c>
      <c r="B2" s="73" t="s">
        <v>0</v>
      </c>
      <c r="C2" s="74"/>
      <c r="D2" s="73" t="s">
        <v>1</v>
      </c>
      <c r="E2" s="74"/>
      <c r="F2" s="73" t="s">
        <v>155</v>
      </c>
      <c r="G2" s="74"/>
      <c r="H2" s="73" t="s">
        <v>2</v>
      </c>
      <c r="I2" s="74"/>
      <c r="J2" s="73" t="s">
        <v>3</v>
      </c>
      <c r="K2" s="74"/>
      <c r="L2" s="73" t="s">
        <v>156</v>
      </c>
      <c r="M2" s="74"/>
      <c r="N2" s="73" t="s">
        <v>157</v>
      </c>
      <c r="O2" s="74"/>
      <c r="P2" s="73" t="s">
        <v>158</v>
      </c>
      <c r="Q2" s="74"/>
      <c r="R2" s="67" t="s">
        <v>159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317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357</v>
      </c>
      <c r="D7" s="36">
        <f>+C7/3.3058</f>
        <v>107.99201403593683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318</v>
      </c>
    </row>
    <row r="19" spans="1:5" x14ac:dyDescent="0.3">
      <c r="A19" s="2">
        <v>9</v>
      </c>
      <c r="B19" s="2" t="s">
        <v>319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9300</v>
      </c>
      <c r="E24" s="59">
        <f t="shared" ref="E24:E33" si="0">TRUNC(+D24*3.3058,-1)</f>
        <v>30740</v>
      </c>
    </row>
    <row r="25" spans="1:5" x14ac:dyDescent="0.3">
      <c r="B25" s="2">
        <v>2</v>
      </c>
      <c r="C25" s="35" t="s">
        <v>45</v>
      </c>
      <c r="D25" s="47">
        <f>+D60</f>
        <v>571740</v>
      </c>
      <c r="E25" s="60">
        <f t="shared" si="0"/>
        <v>1890050</v>
      </c>
    </row>
    <row r="26" spans="1:5" x14ac:dyDescent="0.3">
      <c r="B26" s="2">
        <v>3</v>
      </c>
      <c r="C26" s="35" t="s">
        <v>29</v>
      </c>
      <c r="D26" s="47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30</v>
      </c>
      <c r="D27" s="47">
        <f>+D95</f>
        <v>187060</v>
      </c>
      <c r="E27" s="60">
        <f t="shared" si="0"/>
        <v>618380</v>
      </c>
    </row>
    <row r="28" spans="1:5" x14ac:dyDescent="0.3">
      <c r="B28" s="2">
        <v>5</v>
      </c>
      <c r="C28" s="35" t="s">
        <v>31</v>
      </c>
      <c r="D28" s="47">
        <f>+D119</f>
        <v>71460</v>
      </c>
      <c r="E28" s="60">
        <f t="shared" si="0"/>
        <v>236230</v>
      </c>
    </row>
    <row r="29" spans="1:5" x14ac:dyDescent="0.3">
      <c r="B29" s="2">
        <v>6</v>
      </c>
      <c r="C29" s="35" t="s">
        <v>32</v>
      </c>
      <c r="D29" s="47">
        <f>+D133</f>
        <v>36620</v>
      </c>
      <c r="E29" s="60">
        <f t="shared" si="0"/>
        <v>121050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240940</v>
      </c>
      <c r="E33" s="61">
        <f t="shared" si="0"/>
        <v>796490</v>
      </c>
    </row>
    <row r="34" spans="1:5" x14ac:dyDescent="0.3">
      <c r="C34" s="35" t="s">
        <v>46</v>
      </c>
      <c r="D34" s="46">
        <f>SUM(D24:D33)</f>
        <v>1117120</v>
      </c>
      <c r="E34" s="46">
        <f>SUM(E24:E33)</f>
        <v>3692940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TRUNC(9300.4707728521,-1)</f>
        <v>9300</v>
      </c>
      <c r="E37" s="62">
        <f>TRUNC(+D37*3.3058,-1)</f>
        <v>30740</v>
      </c>
    </row>
    <row r="38" spans="1:5" s="48" customFormat="1" x14ac:dyDescent="0.3">
      <c r="C38" s="49"/>
      <c r="D38" s="49"/>
      <c r="E38" s="49"/>
    </row>
    <row r="39" spans="1:5" s="48" customFormat="1" ht="17.25" thickBot="1" x14ac:dyDescent="0.35">
      <c r="B39" s="48" t="s">
        <v>160</v>
      </c>
      <c r="C39" s="48" t="s">
        <v>315</v>
      </c>
      <c r="D39" s="49" t="s">
        <v>151</v>
      </c>
      <c r="E39" s="49" t="s">
        <v>316</v>
      </c>
    </row>
    <row r="40" spans="1:5" x14ac:dyDescent="0.3">
      <c r="A40" s="2">
        <v>1</v>
      </c>
      <c r="C40" s="39" t="s">
        <v>75</v>
      </c>
      <c r="D40" s="42">
        <f>TRUNC(38716.0511124811,-1)</f>
        <v>38710</v>
      </c>
      <c r="E40" s="63">
        <f t="shared" ref="E40:E59" si="1">TRUNC(+D40*3.3058,-1)</f>
        <v>127960</v>
      </c>
    </row>
    <row r="41" spans="1:5" x14ac:dyDescent="0.3">
      <c r="A41" s="2">
        <v>2</v>
      </c>
      <c r="C41" s="39" t="s">
        <v>6</v>
      </c>
      <c r="D41" s="44">
        <f>TRUNC(217399.453567225,-1)</f>
        <v>217390</v>
      </c>
      <c r="E41" s="64">
        <f t="shared" si="1"/>
        <v>718640</v>
      </c>
    </row>
    <row r="42" spans="1:5" x14ac:dyDescent="0.3">
      <c r="A42" s="2">
        <v>3</v>
      </c>
      <c r="C42" s="39" t="s">
        <v>7</v>
      </c>
      <c r="D42" s="44">
        <v>0</v>
      </c>
      <c r="E42" s="64">
        <f t="shared" si="1"/>
        <v>0</v>
      </c>
    </row>
    <row r="43" spans="1:5" x14ac:dyDescent="0.3">
      <c r="A43" s="2">
        <v>4</v>
      </c>
      <c r="C43" s="39" t="s">
        <v>8</v>
      </c>
      <c r="D43" s="44">
        <f>TRUNC(13078.0306002354,-1)</f>
        <v>13070</v>
      </c>
      <c r="E43" s="64">
        <f t="shared" si="1"/>
        <v>43200</v>
      </c>
    </row>
    <row r="44" spans="1:5" x14ac:dyDescent="0.3">
      <c r="A44" s="2">
        <v>5</v>
      </c>
      <c r="C44" s="39" t="s">
        <v>9</v>
      </c>
      <c r="D44" s="44">
        <f>TRUNC(15604.3350333464,-1)</f>
        <v>15600</v>
      </c>
      <c r="E44" s="64">
        <f t="shared" si="1"/>
        <v>51570</v>
      </c>
    </row>
    <row r="45" spans="1:5" x14ac:dyDescent="0.3">
      <c r="A45" s="2">
        <v>6</v>
      </c>
      <c r="C45" s="39" t="s">
        <v>10</v>
      </c>
      <c r="D45" s="44">
        <f>TRUNC(11781.2923835678,-1)</f>
        <v>11780</v>
      </c>
      <c r="E45" s="64">
        <f t="shared" si="1"/>
        <v>38940</v>
      </c>
    </row>
    <row r="46" spans="1:5" x14ac:dyDescent="0.3">
      <c r="A46" s="2">
        <v>7</v>
      </c>
      <c r="C46" s="39" t="s">
        <v>11</v>
      </c>
      <c r="D46" s="44">
        <f>TRUNC(29248.2514151208,-1)</f>
        <v>29240</v>
      </c>
      <c r="E46" s="64">
        <f t="shared" si="1"/>
        <v>96660</v>
      </c>
    </row>
    <row r="47" spans="1:5" x14ac:dyDescent="0.3">
      <c r="A47" s="2">
        <v>8</v>
      </c>
      <c r="C47" s="39" t="s">
        <v>12</v>
      </c>
      <c r="D47" s="44">
        <f>TRUNC(817.575519811691,-1)</f>
        <v>810</v>
      </c>
      <c r="E47" s="64">
        <f t="shared" si="1"/>
        <v>2670</v>
      </c>
    </row>
    <row r="48" spans="1:5" x14ac:dyDescent="0.3">
      <c r="A48" s="2">
        <v>9</v>
      </c>
      <c r="C48" s="39" t="s">
        <v>13</v>
      </c>
      <c r="D48" s="44">
        <f>TRUNC(35420.5290590147,-1)</f>
        <v>35420</v>
      </c>
      <c r="E48" s="64">
        <f t="shared" si="1"/>
        <v>117090</v>
      </c>
    </row>
    <row r="49" spans="1:6" x14ac:dyDescent="0.3">
      <c r="A49" s="2">
        <v>10</v>
      </c>
      <c r="C49" s="39" t="s">
        <v>14</v>
      </c>
      <c r="D49" s="44">
        <f>TRUNC(22413.5823572269,-1)</f>
        <v>22410</v>
      </c>
      <c r="E49" s="64">
        <f t="shared" si="1"/>
        <v>74080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TRUNC(45554.5255842627,-1)</f>
        <v>45550</v>
      </c>
      <c r="E50" s="64">
        <f t="shared" si="1"/>
        <v>150570</v>
      </c>
      <c r="F50" s="2"/>
    </row>
    <row r="51" spans="1:6" x14ac:dyDescent="0.3">
      <c r="A51" s="2">
        <v>12</v>
      </c>
      <c r="C51" s="39" t="s">
        <v>16</v>
      </c>
      <c r="D51" s="44">
        <f>TRUNC(9541.15339348764,-1)</f>
        <v>9540</v>
      </c>
      <c r="E51" s="64">
        <f t="shared" si="1"/>
        <v>31530</v>
      </c>
    </row>
    <row r="52" spans="1:6" x14ac:dyDescent="0.3">
      <c r="A52" s="2">
        <v>13</v>
      </c>
      <c r="C52" s="39" t="s">
        <v>17</v>
      </c>
      <c r="D52" s="44">
        <f>TRUNC(6357.43989239478,-1)</f>
        <v>6350</v>
      </c>
      <c r="E52" s="64">
        <f t="shared" si="1"/>
        <v>20990</v>
      </c>
    </row>
    <row r="53" spans="1:6" x14ac:dyDescent="0.3">
      <c r="A53" s="2">
        <v>14</v>
      </c>
      <c r="C53" s="39" t="s">
        <v>18</v>
      </c>
      <c r="D53" s="44">
        <f>TRUNC(45283.1530572213,-1)</f>
        <v>45280</v>
      </c>
      <c r="E53" s="64">
        <f t="shared" si="1"/>
        <v>149680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TRUNC(5557.83220310485,-1)</f>
        <v>5550</v>
      </c>
      <c r="E55" s="64">
        <f t="shared" si="1"/>
        <v>18340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TRUNC(8080.00896710194+840.665807319397
+32866.457434288
+4743.73703973547
+17831.0710082385
+9738.94524463375
-557.795774253208
+1500.87989687833,-1)</f>
        <v>75040</v>
      </c>
      <c r="E58" s="64">
        <f t="shared" si="1"/>
        <v>248060</v>
      </c>
      <c r="F58" s="2" t="s">
        <v>312</v>
      </c>
    </row>
    <row r="59" spans="1:6" ht="17.25" thickBot="1" x14ac:dyDescent="0.35">
      <c r="A59" s="2">
        <v>20</v>
      </c>
      <c r="C59" s="39" t="s">
        <v>56</v>
      </c>
      <c r="D59" s="45">
        <v>0</v>
      </c>
      <c r="E59" s="65">
        <f t="shared" si="1"/>
        <v>0</v>
      </c>
    </row>
    <row r="60" spans="1:6" x14ac:dyDescent="0.3">
      <c r="A60" s="2">
        <v>21</v>
      </c>
      <c r="C60" s="27" t="s">
        <v>46</v>
      </c>
      <c r="D60" s="40">
        <f>SUM(D40:D59)</f>
        <v>571740</v>
      </c>
      <c r="E60" s="40">
        <f>SUM(E40:E59)</f>
        <v>1889980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v>0</v>
      </c>
      <c r="E63" s="63">
        <f>TRUNC(+D63*3.3058,-1)</f>
        <v>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0</v>
      </c>
      <c r="E66" s="66">
        <f>SUM(E63:E65)</f>
        <v>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TRUNC(9644.25264809729,-1)</f>
        <v>9640</v>
      </c>
      <c r="E69" s="63">
        <f t="shared" ref="E69:E94" si="2">TRUNC(+D69*3.3058,-1)</f>
        <v>31860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f>TRUNC(3226.22877318837,-1)</f>
        <v>3220</v>
      </c>
      <c r="E72" s="64">
        <f t="shared" si="2"/>
        <v>10640</v>
      </c>
    </row>
    <row r="73" spans="1:5" x14ac:dyDescent="0.3">
      <c r="A73" s="2">
        <v>5</v>
      </c>
      <c r="C73" s="39" t="s">
        <v>82</v>
      </c>
      <c r="D73" s="44">
        <f>TRUNC(35487.7150703357,-1)</f>
        <v>35480</v>
      </c>
      <c r="E73" s="64">
        <f t="shared" si="2"/>
        <v>117280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TRUNC(91168.45541669,-1)</f>
        <v>91160</v>
      </c>
      <c r="E84" s="64">
        <f t="shared" si="2"/>
        <v>301350</v>
      </c>
      <c r="F84" s="2" t="s">
        <v>313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f>TRUNC(9681.27276803228,-1)</f>
        <v>9680</v>
      </c>
      <c r="E89" s="64">
        <f t="shared" si="2"/>
        <v>32000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TRUNC(12669.2568514263,-1)</f>
        <v>12660</v>
      </c>
      <c r="E92" s="64">
        <f t="shared" si="2"/>
        <v>41850</v>
      </c>
    </row>
    <row r="93" spans="1:6" x14ac:dyDescent="0.3">
      <c r="A93" s="2">
        <v>25</v>
      </c>
      <c r="C93" s="39" t="s">
        <v>102</v>
      </c>
      <c r="D93" s="44">
        <v>0</v>
      </c>
      <c r="E93" s="64">
        <f t="shared" si="2"/>
        <v>0</v>
      </c>
    </row>
    <row r="94" spans="1:6" ht="17.25" thickBot="1" x14ac:dyDescent="0.35">
      <c r="A94" s="2">
        <v>26</v>
      </c>
      <c r="C94" s="39" t="s">
        <v>103</v>
      </c>
      <c r="D94" s="45">
        <f>TRUNC(25222.434568178,-1)</f>
        <v>25220</v>
      </c>
      <c r="E94" s="65">
        <f t="shared" si="2"/>
        <v>83370</v>
      </c>
      <c r="F94" s="2" t="s">
        <v>314</v>
      </c>
    </row>
    <row r="95" spans="1:6" x14ac:dyDescent="0.3">
      <c r="A95" s="2">
        <v>27</v>
      </c>
      <c r="C95" s="27" t="s">
        <v>104</v>
      </c>
      <c r="D95" s="40">
        <f>SUM(D69:D94)</f>
        <v>187060</v>
      </c>
      <c r="E95" s="40">
        <f>SUM(E69:E94)</f>
        <v>618350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f>TRUNC(22492.2854901082,-1)</f>
        <v>22490</v>
      </c>
      <c r="E98" s="63">
        <f t="shared" ref="E98:E118" si="3">TRUNC(+D98*3.3058,-1)</f>
        <v>74340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f>TRUNC(31840.0689345962,-1)</f>
        <v>31840</v>
      </c>
      <c r="E100" s="64">
        <f t="shared" si="3"/>
        <v>105250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f>TRUNC(17138.5585383623,-1)</f>
        <v>17130</v>
      </c>
      <c r="E102" s="64">
        <f t="shared" si="3"/>
        <v>56620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v>0</v>
      </c>
      <c r="E117" s="64">
        <f t="shared" si="3"/>
        <v>0</v>
      </c>
    </row>
    <row r="118" spans="1:6" ht="17.25" thickBot="1" x14ac:dyDescent="0.35">
      <c r="A118" s="2">
        <v>21</v>
      </c>
      <c r="C118" s="29" t="s">
        <v>103</v>
      </c>
      <c r="D118" s="45">
        <v>0</v>
      </c>
      <c r="E118" s="65">
        <f t="shared" si="3"/>
        <v>0</v>
      </c>
    </row>
    <row r="119" spans="1:6" x14ac:dyDescent="0.3">
      <c r="A119" s="2">
        <v>22</v>
      </c>
      <c r="C119" s="27" t="s">
        <v>104</v>
      </c>
      <c r="D119" s="40">
        <f>SUM(D98:D118)</f>
        <v>71460</v>
      </c>
      <c r="E119" s="40">
        <f>SUM(E98:E118)</f>
        <v>236210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TRUNC(17107.4426946141,-1)</f>
        <v>17100</v>
      </c>
      <c r="E122" s="63">
        <f t="shared" ref="E122:E132" si="4">TRUNC(+D122*3.3058,-1)</f>
        <v>56520</v>
      </c>
    </row>
    <row r="123" spans="1:6" x14ac:dyDescent="0.3">
      <c r="A123" s="2">
        <v>2</v>
      </c>
      <c r="C123" s="29" t="s">
        <v>127</v>
      </c>
      <c r="D123" s="44">
        <f>TRUNC(19526.0186067365,-1)</f>
        <v>19520</v>
      </c>
      <c r="E123" s="64">
        <f t="shared" si="4"/>
        <v>64520</v>
      </c>
      <c r="F123" s="2" t="s">
        <v>311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5" ht="17.25" thickBot="1" x14ac:dyDescent="0.35">
      <c r="A132" s="2">
        <v>11</v>
      </c>
      <c r="C132" s="29" t="s">
        <v>103</v>
      </c>
      <c r="D132" s="45">
        <v>0</v>
      </c>
      <c r="E132" s="65">
        <f t="shared" si="4"/>
        <v>0</v>
      </c>
    </row>
    <row r="133" spans="1:5" x14ac:dyDescent="0.3">
      <c r="A133" s="2">
        <v>12</v>
      </c>
      <c r="C133" s="41" t="s">
        <v>104</v>
      </c>
      <c r="D133" s="40">
        <f>SUM(D122:D132)</f>
        <v>36620</v>
      </c>
      <c r="E133" s="40">
        <f>SUM(E122:E132)</f>
        <v>121040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v>0</v>
      </c>
      <c r="E152" s="64">
        <f>TRUNC(+D152*3.3058,-1)</f>
        <v>0</v>
      </c>
      <c r="F152" s="37"/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0</v>
      </c>
      <c r="E154" s="40">
        <f>SUM(E149:E153)</f>
        <v>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2020-12-07T09:18:00Z</dcterms:modified>
</cp:coreProperties>
</file>