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7" i="4" l="1"/>
  <c r="E160" i="4" l="1"/>
  <c r="E158" i="4"/>
  <c r="E153" i="4"/>
  <c r="E145" i="4"/>
  <c r="E144" i="4"/>
  <c r="E143" i="4"/>
  <c r="E142" i="4"/>
  <c r="E141" i="4"/>
  <c r="E140" i="4"/>
  <c r="E139" i="4"/>
  <c r="E138" i="4"/>
  <c r="E137" i="4"/>
  <c r="E136" i="4"/>
  <c r="E129" i="4"/>
  <c r="E127" i="4"/>
  <c r="E126" i="4"/>
  <c r="E124" i="4"/>
  <c r="E116" i="4"/>
  <c r="E113" i="4"/>
  <c r="E112" i="4"/>
  <c r="E111" i="4"/>
  <c r="E110" i="4"/>
  <c r="E109" i="4"/>
  <c r="E108" i="4"/>
  <c r="E107" i="4"/>
  <c r="E106" i="4"/>
  <c r="E103" i="4"/>
  <c r="E101" i="4"/>
  <c r="E92" i="4"/>
  <c r="E91" i="4"/>
  <c r="E89" i="4"/>
  <c r="E88" i="4"/>
  <c r="E87" i="4"/>
  <c r="E86" i="4"/>
  <c r="E85" i="4"/>
  <c r="E83" i="4"/>
  <c r="E82" i="4"/>
  <c r="E80" i="4"/>
  <c r="E78" i="4"/>
  <c r="E77" i="4"/>
  <c r="E76" i="4"/>
  <c r="E74" i="4"/>
  <c r="E73" i="4"/>
  <c r="E64" i="4"/>
  <c r="E57" i="4"/>
  <c r="E56" i="4"/>
  <c r="E54" i="4"/>
  <c r="E42" i="4"/>
  <c r="E146" i="4" l="1"/>
  <c r="D59" i="4"/>
  <c r="E59" i="4" s="1"/>
  <c r="D159" i="4" l="1"/>
  <c r="E159" i="4" s="1"/>
  <c r="D157" i="4"/>
  <c r="D152" i="4"/>
  <c r="E152" i="4" s="1"/>
  <c r="D151" i="4"/>
  <c r="E151" i="4" s="1"/>
  <c r="D150" i="4"/>
  <c r="E150" i="4" s="1"/>
  <c r="D149" i="4"/>
  <c r="D146" i="4"/>
  <c r="D30" i="4" s="1"/>
  <c r="E30" i="4" s="1"/>
  <c r="D132" i="4"/>
  <c r="E132" i="4" s="1"/>
  <c r="D131" i="4"/>
  <c r="E131" i="4" s="1"/>
  <c r="D130" i="4"/>
  <c r="E130" i="4" s="1"/>
  <c r="D128" i="4"/>
  <c r="D125" i="4"/>
  <c r="E125" i="4" s="1"/>
  <c r="D123" i="4"/>
  <c r="E123" i="4" s="1"/>
  <c r="D122" i="4"/>
  <c r="E122" i="4" s="1"/>
  <c r="D118" i="4"/>
  <c r="E118" i="4" s="1"/>
  <c r="D117" i="4"/>
  <c r="E117" i="4" s="1"/>
  <c r="D115" i="4"/>
  <c r="E115" i="4" s="1"/>
  <c r="D114" i="4"/>
  <c r="E114" i="4" s="1"/>
  <c r="D105" i="4"/>
  <c r="E105" i="4" s="1"/>
  <c r="D104" i="4"/>
  <c r="E104" i="4" s="1"/>
  <c r="D102" i="4"/>
  <c r="E102" i="4" s="1"/>
  <c r="D100" i="4"/>
  <c r="D99" i="4"/>
  <c r="E99" i="4" s="1"/>
  <c r="D98" i="4"/>
  <c r="E98" i="4" s="1"/>
  <c r="D94" i="4"/>
  <c r="E94" i="4" s="1"/>
  <c r="D93" i="4"/>
  <c r="E93" i="4" s="1"/>
  <c r="D90" i="4"/>
  <c r="E90" i="4" s="1"/>
  <c r="D84" i="4"/>
  <c r="E84" i="4" s="1"/>
  <c r="D81" i="4"/>
  <c r="E81" i="4" s="1"/>
  <c r="D79" i="4"/>
  <c r="E79" i="4" s="1"/>
  <c r="D75" i="4"/>
  <c r="E75" i="4" s="1"/>
  <c r="D72" i="4"/>
  <c r="E72" i="4" s="1"/>
  <c r="D71" i="4"/>
  <c r="E71" i="4" s="1"/>
  <c r="D70" i="4"/>
  <c r="E70" i="4" s="1"/>
  <c r="D69" i="4"/>
  <c r="D65" i="4"/>
  <c r="D63" i="4"/>
  <c r="E63" i="4" s="1"/>
  <c r="D58" i="4"/>
  <c r="E58" i="4" s="1"/>
  <c r="D55" i="4"/>
  <c r="E55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1" i="4"/>
  <c r="E41" i="4" s="1"/>
  <c r="D40" i="4"/>
  <c r="D37" i="4"/>
  <c r="E37" i="4" s="1"/>
  <c r="D24" i="4"/>
  <c r="E24" i="4" s="1"/>
  <c r="D7" i="4"/>
  <c r="D60" i="4" l="1"/>
  <c r="D25" i="4" s="1"/>
  <c r="E25" i="4" s="1"/>
  <c r="E40" i="4"/>
  <c r="E60" i="4" s="1"/>
  <c r="D66" i="4"/>
  <c r="D26" i="4" s="1"/>
  <c r="E26" i="4" s="1"/>
  <c r="E65" i="4"/>
  <c r="D95" i="4"/>
  <c r="D27" i="4" s="1"/>
  <c r="E27" i="4" s="1"/>
  <c r="E69" i="4"/>
  <c r="E95" i="4" s="1"/>
  <c r="D133" i="4"/>
  <c r="D29" i="4" s="1"/>
  <c r="E29" i="4" s="1"/>
  <c r="E128" i="4"/>
  <c r="E133" i="4" s="1"/>
  <c r="D119" i="4"/>
  <c r="D28" i="4" s="1"/>
  <c r="E28" i="4" s="1"/>
  <c r="E100" i="4"/>
  <c r="E119" i="4" s="1"/>
  <c r="D154" i="4"/>
  <c r="D31" i="4" s="1"/>
  <c r="E31" i="4" s="1"/>
  <c r="E149" i="4"/>
  <c r="E154" i="4" s="1"/>
  <c r="D161" i="4"/>
  <c r="D32" i="4" s="1"/>
  <c r="E32" i="4" s="1"/>
  <c r="E157" i="4"/>
  <c r="E161" i="4" s="1"/>
  <c r="E66" i="4"/>
  <c r="D33" i="4"/>
  <c r="E33" i="4" s="1"/>
  <c r="E34" i="4" s="1"/>
  <c r="D34" i="4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<sst xmlns="http://schemas.openxmlformats.org/spreadsheetml/2006/main" count="394" uniqueCount="271">
  <si>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</si>
  <si>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</si>
  <si>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</si>
  <si>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</si>
  <si>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</si>
  <si>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</si>
  <si>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</si>
  <si>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</si>
  <si>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</si>
  <si>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</si>
  <si>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</si>
  <si>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</si>
  <si>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</si>
  <si>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</si>
  <si>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</si>
  <si>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</si>
  <si>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</si>
  <si>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</si>
  <si>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</si>
  <si>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</si>
  <si>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</si>
  <si>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</si>
  <si>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</si>
  <si>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</si>
  <si>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</si>
  <si>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</si>
  <si>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</si>
  <si>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</si>
  <si>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</si>
  <si>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</si>
  <si>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</si>
  <si>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</si>
  <si>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</si>
  <si>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</si>
  <si>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</si>
  <si>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</si>
  <si>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</si>
  <si>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</si>
  <si>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</si>
  <si>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</si>
  <si>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</si>
  <si>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</si>
  <si>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</si>
  <si>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</si>
  <si>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</si>
  <si>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</si>
  <si>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</si>
  <si>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</si>
  <si>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</si>
  <si>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</si>
  <si>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</si>
  <si>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</si>
  <si>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</si>
  <si>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</si>
  <si>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</si>
  <si>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</si>
  <si>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</si>
  <si>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</si>
  <si>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</si>
  <si>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</si>
  <si>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</si>
  <si>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</si>
  <si>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</si>
  <si>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</si>
  <si>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</si>
  <si>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</si>
  <si>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</si>
  <si>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</si>
  <si>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</si>
  <si>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</si>
  <si>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</si>
  <si>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</si>
  <si>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</si>
  <si>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</si>
  <si>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</si>
  <si>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</si>
  <si>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</si>
  <si>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</si>
  <si>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</si>
  <si>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</si>
  <si>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</si>
  <si>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</si>
  <si>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</si>
  <si>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</si>
  <si>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</si>
  <si>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</si>
  <si>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</si>
  <si>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</si>
  <si>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</si>
  <si>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</si>
  <si>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</si>
  <si>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</si>
  <si>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</si>
  <si>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</si>
  <si>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</si>
  <si>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</si>
  <si>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</si>
  <si>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</si>
  <si>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</si>
  <si>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</si>
  <si>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</si>
  <si>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</si>
  <si>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</si>
  <si>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</si>
  <si>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</si>
  <si>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</si>
  <si>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</si>
  <si>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</si>
  <si>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</si>
  <si>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</si>
  <si>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</si>
  <si>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</si>
  <si>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</si>
  <si>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</si>
  <si>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</si>
  <si>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</si>
  <si>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</si>
  <si>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</si>
  <si>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</si>
  <si>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</si>
  <si>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</si>
  <si>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</si>
  <si>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</si>
  <si>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</si>
  <si>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</si>
  <si>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</si>
  <si>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</si>
  <si>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</si>
  <si>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</si>
  <si>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</si>
  <si>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</si>
  <si>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</si>
  <si>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</si>
  <si>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</si>
  <si>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</si>
  <si>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</si>
  <si>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</si>
  <si>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</si>
  <si>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</si>
  <si>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</si>
  <si>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</si>
  <si>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</si>
  <si>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</si>
  <si>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</si>
  <si>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</si>
  <si>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</si>
  <si>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</si>
  <si>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</si>
  <si>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</si>
  <si>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</si>
  <si>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</si>
  <si>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</si>
  <si>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</si>
  <si>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</si>
  <si>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</si>
  <si>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</si>
  <si>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</si>
  <si>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</si>
  <si>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</si>
  <si>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</si>
  <si>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</si>
  <si>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</si>
  <si>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</si>
  <si>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</si>
  <si>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</si>
  <si>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</si>
  <si>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</si>
  <si>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</si>
  <si>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</si>
  <si>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</si>
  <si>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</si>
  <si>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</si>
  <si>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</si>
  <si>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</si>
  <si>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</si>
  <si>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</si>
  <si>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</si>
  <si>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</si>
  <si>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</si>
  <si>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</si>
  <si>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</si>
  <si>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</si>
  <si>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</si>
  <si>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</si>
  <si>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</si>
  <si>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</si>
  <si>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</si>
  <si>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</si>
  <si>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</si>
  <si>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</si>
  <si>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</si>
  <si>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</si>
  <si>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</si>
  <si>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</si>
  <si>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</si>
  <si>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</si>
  <si>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</si>
  <si>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</si>
  <si>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</si>
  <si>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</si>
  <si>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</si>
  <si>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</si>
  <si>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</si>
  <si>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</si>
  <si>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</si>
  <si>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</si>
  <si>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</si>
  <si>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</si>
  <si>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</si>
  <si>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</si>
  <si>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</si>
  <si>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</si>
  <si>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</si>
  <si>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</si>
  <si>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</si>
  <si>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</si>
  <si>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</si>
  <si>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</si>
  <si>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</si>
  <si>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</si>
  <si>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</si>
  <si>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</si>
  <si>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</si>
  <si>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</si>
  <si>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</si>
  <si>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</si>
  <si>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</si>
  <si>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</si>
  <si>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</si>
  <si>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</si>
  <si>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</si>
  <si>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</si>
  <si>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</si>
  <si>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</si>
  <si>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</si>
  <si>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</si>
  <si>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</si>
  <si>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</si>
  <si>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</si>
  <si>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</si>
  <si>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</si>
  <si>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</si>
  <si>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</si>
  <si>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</si>
  <si>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</si>
  <si>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</si>
  <si>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</si>
  <si>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</si>
  <si>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00우체국청사 신축공사</t>
  </si>
  <si>
    <t>충청도</t>
  </si>
  <si>
    <t>원/ m2</t>
    <phoneticPr fontId="2" type="noConversion"/>
  </si>
  <si>
    <t>원/ m2</t>
    <phoneticPr fontId="2" type="noConversion"/>
  </si>
  <si>
    <t>토및지정공사,잡공사,골재비,운반비,출입문공사,담장공사,국기게양대공사,골재비및운반비,벽체공사,조명기구공사,폐기물처리비</t>
    <phoneticPr fontId="2" type="noConversion"/>
  </si>
  <si>
    <t>방진공사</t>
    <phoneticPr fontId="2" type="noConversion"/>
  </si>
  <si>
    <t>환기닥트설치공사</t>
    <phoneticPr fontId="2" type="noConversion"/>
  </si>
  <si>
    <t>관급자</t>
    <phoneticPr fontId="2" type="noConversion"/>
  </si>
  <si>
    <t>공조배관공사,위생배관공사,히티케이블설치공사</t>
    <phoneticPr fontId="2" type="noConversion"/>
  </si>
  <si>
    <t>도급자,관급자</t>
    <phoneticPr fontId="2" type="noConversion"/>
  </si>
  <si>
    <t>주차관제설비공사,가설창고설치</t>
    <phoneticPr fontId="2" type="noConversion"/>
  </si>
  <si>
    <t>LAN장비설비</t>
  </si>
  <si>
    <t>CCTV 설비공사,교환기(키폰)설비,가설창고설치</t>
    <phoneticPr fontId="2" type="noConversion"/>
  </si>
  <si>
    <t>우수공사,오수공사</t>
    <phoneticPr fontId="2" type="noConversion"/>
  </si>
  <si>
    <t>자재비,운반비</t>
    <phoneticPr fontId="2" type="noConversion"/>
  </si>
  <si>
    <t>수목할증</t>
    <phoneticPr fontId="2" type="noConversion"/>
  </si>
  <si>
    <t>원 /평</t>
    <phoneticPr fontId="2" type="noConversion"/>
  </si>
  <si>
    <t>기계 소화배관공사, 전기 전기소방공사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</si>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</sst>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2874</v>
      </c>
      <c r="D7" s="36">
        <f>+C7/3.3058</f>
        <v>869.38108778510491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264</v>
      </c>
    </row>
    <row r="24" spans="1:5" x14ac:dyDescent="0.3">
      <c r="B24" s="2">
        <v>1</v>
      </c>
      <c r="C24" s="35" t="s">
        <v>110</v>
      </c>
      <c r="D24" s="41">
        <f>D37</f>
        <v>5430</v>
      </c>
      <c r="E24" s="59">
        <f t="shared" ref="E24:E33" si="0">TRUNC(+D24*3.3058,-1)</f>
        <v>17950</v>
      </c>
    </row>
    <row r="25" spans="1:5" x14ac:dyDescent="0.3">
      <c r="B25" s="2">
        <v>2</v>
      </c>
      <c r="C25" s="35" t="s">
        <v>111</v>
      </c>
      <c r="D25" s="45">
        <f>+D60</f>
        <v>628510</v>
      </c>
      <c r="E25" s="60">
        <f t="shared" si="0"/>
        <v>2077720</v>
      </c>
    </row>
    <row r="26" spans="1:5" x14ac:dyDescent="0.3">
      <c r="B26" s="2">
        <v>3</v>
      </c>
      <c r="C26" s="35" t="s">
        <v>95</v>
      </c>
      <c r="D26" s="45">
        <f>+D66</f>
        <v>76060</v>
      </c>
      <c r="E26" s="60">
        <f t="shared" si="0"/>
        <v>251430</v>
      </c>
    </row>
    <row r="27" spans="1:5" x14ac:dyDescent="0.3">
      <c r="B27" s="2">
        <v>4</v>
      </c>
      <c r="C27" s="35" t="s">
        <v>96</v>
      </c>
      <c r="D27" s="45">
        <f>+D95</f>
        <v>114940</v>
      </c>
      <c r="E27" s="60">
        <f t="shared" si="0"/>
        <v>379960</v>
      </c>
    </row>
    <row r="28" spans="1:5" x14ac:dyDescent="0.3">
      <c r="B28" s="2">
        <v>5</v>
      </c>
      <c r="C28" s="35" t="s">
        <v>97</v>
      </c>
      <c r="D28" s="45">
        <f>+D119</f>
        <v>150720</v>
      </c>
      <c r="E28" s="60">
        <f t="shared" si="0"/>
        <v>498250</v>
      </c>
    </row>
    <row r="29" spans="1:5" x14ac:dyDescent="0.3">
      <c r="B29" s="2">
        <v>6</v>
      </c>
      <c r="C29" s="35" t="s">
        <v>98</v>
      </c>
      <c r="D29" s="45">
        <f>+D133</f>
        <v>37960</v>
      </c>
      <c r="E29" s="60">
        <f t="shared" si="0"/>
        <v>125480</v>
      </c>
    </row>
    <row r="30" spans="1:5" x14ac:dyDescent="0.3">
      <c r="B30" s="2">
        <v>7</v>
      </c>
      <c r="C30" s="35" t="s">
        <v>99</v>
      </c>
      <c r="D30" s="45">
        <f>+D146</f>
        <v>40840</v>
      </c>
      <c r="E30" s="60">
        <f t="shared" si="0"/>
        <v>135000</v>
      </c>
    </row>
    <row r="31" spans="1:5" x14ac:dyDescent="0.3">
      <c r="B31" s="2">
        <v>8</v>
      </c>
      <c r="C31" s="35" t="s">
        <v>100</v>
      </c>
      <c r="D31" s="45">
        <f>+D154</f>
        <v>11440</v>
      </c>
      <c r="E31" s="60">
        <f t="shared" si="0"/>
        <v>37810</v>
      </c>
    </row>
    <row r="32" spans="1:5" x14ac:dyDescent="0.3">
      <c r="B32" s="2">
        <v>9</v>
      </c>
      <c r="C32" s="35" t="s">
        <v>101</v>
      </c>
      <c r="D32" s="45">
        <f>+D161</f>
        <v>3600</v>
      </c>
      <c r="E32" s="60">
        <f t="shared" si="0"/>
        <v>11900</v>
      </c>
    </row>
    <row r="33" spans="1:7" x14ac:dyDescent="0.3">
      <c r="B33" s="2">
        <v>10</v>
      </c>
      <c r="C33" s="35" t="s">
        <v>154</v>
      </c>
      <c r="D33" s="53">
        <f>TRUNC(SUM(D24:D32)*0.275,-1)</f>
        <v>294110</v>
      </c>
      <c r="E33" s="61">
        <f t="shared" si="0"/>
        <v>972260</v>
      </c>
    </row>
    <row r="34" spans="1:7" x14ac:dyDescent="0.3">
      <c r="C34" s="35" t="s">
        <v>112</v>
      </c>
      <c r="D34" s="44">
        <f>SUM(D24:D33)</f>
        <v>1363610</v>
      </c>
      <c r="E34" s="44">
        <f>SUM(E24:E33)</f>
        <v>4507760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250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f>TRUNC(5439.66457898399,-1)</f>
        <v>5430</v>
      </c>
      <c r="E37" s="62">
        <f>TRUNC(+D37*3.3058,-1)</f>
        <v>17950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241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TRUNC(24265.0427974948,-1)</f>
        <v>24260</v>
      </c>
      <c r="E40" s="63">
        <f t="shared" ref="E40:E59" si="1">TRUNC(+D40*3.3058,-1)</f>
        <v>80190</v>
      </c>
    </row>
    <row r="41" spans="1:7" x14ac:dyDescent="0.3">
      <c r="A41" s="2">
        <v>2</v>
      </c>
      <c r="C41" s="38" t="s">
        <v>13</v>
      </c>
      <c r="D41" s="42">
        <f>TRUNC(131334.021920668,-1)</f>
        <v>131330</v>
      </c>
      <c r="E41" s="64">
        <f t="shared" si="1"/>
        <v>434150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f>TRUNC(4467.00974251914,-1)</f>
        <v>4460</v>
      </c>
      <c r="E43" s="64">
        <f t="shared" si="1"/>
        <v>14740</v>
      </c>
    </row>
    <row r="44" spans="1:7" x14ac:dyDescent="0.3">
      <c r="A44" s="2">
        <v>5</v>
      </c>
      <c r="C44" s="38" t="s">
        <v>17</v>
      </c>
      <c r="D44" s="42">
        <f>TRUNC(17288.6200417537,-1)</f>
        <v>17280</v>
      </c>
      <c r="E44" s="64">
        <f t="shared" si="1"/>
        <v>57120</v>
      </c>
    </row>
    <row r="45" spans="1:7" x14ac:dyDescent="0.3">
      <c r="A45" s="2">
        <v>6</v>
      </c>
      <c r="C45" s="38" t="s">
        <v>18</v>
      </c>
      <c r="D45" s="42">
        <f>TRUNC(8558.47668754349,-1)</f>
        <v>8550</v>
      </c>
      <c r="E45" s="64">
        <f t="shared" si="1"/>
        <v>28260</v>
      </c>
    </row>
    <row r="46" spans="1:7" x14ac:dyDescent="0.3">
      <c r="A46" s="2">
        <v>7</v>
      </c>
      <c r="C46" s="38" t="s">
        <v>19</v>
      </c>
      <c r="D46" s="42">
        <f>TRUNC(5407.25260960333,-1)</f>
        <v>5400</v>
      </c>
      <c r="E46" s="64">
        <f t="shared" si="1"/>
        <v>17850</v>
      </c>
    </row>
    <row r="47" spans="1:7" x14ac:dyDescent="0.3">
      <c r="A47" s="2">
        <v>8</v>
      </c>
      <c r="C47" s="38" t="s">
        <v>20</v>
      </c>
      <c r="D47" s="42">
        <f>TRUNC(52400.8938761308,-1)</f>
        <v>52400</v>
      </c>
      <c r="E47" s="64">
        <f t="shared" si="1"/>
        <v>173220</v>
      </c>
    </row>
    <row r="48" spans="1:7" x14ac:dyDescent="0.3">
      <c r="A48" s="2">
        <v>9</v>
      </c>
      <c r="C48" s="38" t="s">
        <v>21</v>
      </c>
      <c r="D48" s="42">
        <f>TRUNC(37636.7553931802,-1)</f>
        <v>37630</v>
      </c>
      <c r="E48" s="64">
        <f t="shared" si="1"/>
        <v>124390</v>
      </c>
    </row>
    <row r="49" spans="1:7" x14ac:dyDescent="0.3">
      <c r="A49" s="2">
        <v>10</v>
      </c>
      <c r="C49" s="38" t="s">
        <v>22</v>
      </c>
      <c r="D49" s="42">
        <f>TRUNC(16784.2936673626,-1)</f>
        <v>16780</v>
      </c>
      <c r="E49" s="64">
        <f t="shared" si="1"/>
        <v>55470</v>
      </c>
    </row>
    <row r="50" spans="1:7" x14ac:dyDescent="0.3">
      <c r="A50" s="2">
        <v>11</v>
      </c>
      <c r="C50" s="38" t="s">
        <v>155</v>
      </c>
      <c r="D50" s="42">
        <f>TRUNC(64682.9606819763,-1)</f>
        <v>64680</v>
      </c>
      <c r="E50" s="64">
        <f t="shared" si="1"/>
        <v>213810</v>
      </c>
    </row>
    <row r="51" spans="1:7" x14ac:dyDescent="0.3">
      <c r="A51" s="2">
        <v>12</v>
      </c>
      <c r="C51" s="38" t="s">
        <v>23</v>
      </c>
      <c r="D51" s="42">
        <f>TRUNC(23312.0135699374,-1)</f>
        <v>23310</v>
      </c>
      <c r="E51" s="64">
        <f t="shared" si="1"/>
        <v>77050</v>
      </c>
    </row>
    <row r="52" spans="1:7" x14ac:dyDescent="0.3">
      <c r="A52" s="2">
        <v>13</v>
      </c>
      <c r="C52" s="38" t="s">
        <v>24</v>
      </c>
      <c r="D52" s="42">
        <f>TRUNC(4529.17954070981,-1)</f>
        <v>4520</v>
      </c>
      <c r="E52" s="64">
        <f t="shared" si="1"/>
        <v>14940</v>
      </c>
    </row>
    <row r="53" spans="1:7" x14ac:dyDescent="0.3">
      <c r="A53" s="2">
        <v>14</v>
      </c>
      <c r="C53" s="38" t="s">
        <v>25</v>
      </c>
      <c r="D53" s="42">
        <f>TRUNC(39034.8750869868,-1)</f>
        <v>39030</v>
      </c>
      <c r="E53" s="64">
        <f t="shared" si="1"/>
        <v>129020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TRUNC(1351.90953375087,-1)</f>
        <v>1350</v>
      </c>
      <c r="E55" s="64">
        <f t="shared" si="1"/>
        <v>4460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TRUNC(42723.9832985386+8880.04766875435+1411.79540709812+1872.41788448156+2131.58037578288+3441.91057759221+770.409881697982+98.9558107167711+6112.5173973556+5520.48608211552+1543.29088378566
+1273.1732776618,-1)</f>
        <v>75780</v>
      </c>
      <c r="E58" s="64">
        <f t="shared" si="1"/>
        <v>250510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TRUNC(121759.916492693,-1)</f>
        <v>121750</v>
      </c>
      <c r="E59" s="65">
        <f t="shared" si="1"/>
        <v>402480</v>
      </c>
    </row>
    <row r="60" spans="1:7" x14ac:dyDescent="0.3">
      <c r="A60" s="2">
        <v>21</v>
      </c>
      <c r="C60" s="27" t="s">
        <v>112</v>
      </c>
      <c r="D60" s="39">
        <f>SUM(D40:D59)</f>
        <v>628510</v>
      </c>
      <c r="E60" s="39">
        <f>SUM(E40:E59)</f>
        <v>2077660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251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TRUNC(21636.7132915797,-1)</f>
        <v>21630</v>
      </c>
      <c r="E63" s="63">
        <f>TRUNC(+D63*3.3058,-1)</f>
        <v>71500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TRUNC(54430.7776617954,-1)</f>
        <v>54430</v>
      </c>
      <c r="E65" s="65">
        <f>TRUNC(+D65*3.3058,-1)</f>
        <v>179930</v>
      </c>
    </row>
    <row r="66" spans="1:7" x14ac:dyDescent="0.3">
      <c r="A66" s="2">
        <v>4</v>
      </c>
      <c r="C66" s="27" t="s">
        <v>112</v>
      </c>
      <c r="D66" s="57">
        <f>SUM(D63:D65)</f>
        <v>76060</v>
      </c>
      <c r="E66" s="57">
        <f>SUM(E63:E65)</f>
        <v>251430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251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TRUNC(17433.7748782185,-1)</f>
        <v>17430</v>
      </c>
      <c r="E69" s="63">
        <f>TRUNC(+D69*3.3058,-1)</f>
        <v>57620</v>
      </c>
    </row>
    <row r="70" spans="1:7" ht="16.5" customHeight="1" x14ac:dyDescent="0.3">
      <c r="A70" s="2">
        <v>2</v>
      </c>
      <c r="C70" s="38" t="s">
        <v>31</v>
      </c>
      <c r="D70" s="42">
        <f>TRUNC(142.242171189979,-1)</f>
        <v>140</v>
      </c>
      <c r="E70" s="64">
        <f>TRUNC(+D70*3.3058,-1)</f>
        <v>460</v>
      </c>
    </row>
    <row r="71" spans="1:7" x14ac:dyDescent="0.3">
      <c r="A71" s="2">
        <v>3</v>
      </c>
      <c r="C71" s="38" t="s">
        <v>32</v>
      </c>
      <c r="D71" s="42">
        <f>TRUNC(3540.91858037578,-1)</f>
        <v>3540</v>
      </c>
      <c r="E71" s="64">
        <f t="shared" ref="E71:E73" si="2">TRUNC(+D71*3.3058,-1)</f>
        <v>11700</v>
      </c>
    </row>
    <row r="72" spans="1:7" x14ac:dyDescent="0.3">
      <c r="A72" s="2">
        <v>4</v>
      </c>
      <c r="C72" s="38" t="s">
        <v>33</v>
      </c>
      <c r="D72" s="42">
        <f>TRUNC(1092.48956158664,-1)</f>
        <v>1090</v>
      </c>
      <c r="E72" s="64">
        <f t="shared" si="2"/>
        <v>3600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>TRUNC(+D74*3.3058,-1)</f>
        <v>0</v>
      </c>
    </row>
    <row r="75" spans="1:7" x14ac:dyDescent="0.3">
      <c r="A75" s="2">
        <v>7</v>
      </c>
      <c r="C75" s="38" t="s">
        <v>140</v>
      </c>
      <c r="D75" s="42">
        <f>TRUNC(165.901183020181,-1)</f>
        <v>160</v>
      </c>
      <c r="E75" s="64">
        <f>TRUNC(+D75*3.3058,-1)</f>
        <v>520</v>
      </c>
      <c r="F75" s="2" t="s">
        <v>253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f>TRUNC(8262.9711203897,-1)</f>
        <v>8260</v>
      </c>
      <c r="E79" s="64">
        <f t="shared" si="3"/>
        <v>27300</v>
      </c>
      <c r="F79" s="2" t="s">
        <v>254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f>TRUNC(3527.71851078636,-1)</f>
        <v>3520</v>
      </c>
      <c r="E81" s="64">
        <f t="shared" si="3"/>
        <v>11630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f>TRUNC(46591.2463465553,-1)</f>
        <v>46590</v>
      </c>
      <c r="E84" s="64">
        <f>TRUNC(+D84*3.3058,-1)</f>
        <v>154010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f>TRUNC(2415.33402922756,-1)</f>
        <v>2410</v>
      </c>
      <c r="E90" s="64">
        <f>TRUNC(+D90*3.3058,-1)</f>
        <v>7960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0</v>
      </c>
      <c r="E92" s="64">
        <f>TRUNC(+D92*3.3058,-1)</f>
        <v>0</v>
      </c>
    </row>
    <row r="93" spans="1:7" x14ac:dyDescent="0.3">
      <c r="A93" s="2">
        <v>25</v>
      </c>
      <c r="C93" s="38" t="s">
        <v>148</v>
      </c>
      <c r="D93" s="42">
        <f>TRUNC(2152.40083507307,-1)</f>
        <v>2150</v>
      </c>
      <c r="E93" s="64">
        <f>TRUNC(+D93*3.3058,-1)</f>
        <v>7100</v>
      </c>
      <c r="F93" s="2" t="s">
        <v>255</v>
      </c>
    </row>
    <row r="94" spans="1:7" ht="17.25" thickBot="1" x14ac:dyDescent="0.35">
      <c r="A94" s="2">
        <v>26</v>
      </c>
      <c r="C94" s="38" t="s">
        <v>47</v>
      </c>
      <c r="D94" s="43">
        <f>TRUNC(2353.06610995129+23014.7275574113+4282.69624217119,-1)</f>
        <v>29650</v>
      </c>
      <c r="E94" s="65">
        <f>TRUNC(+D94*3.3058,-1)</f>
        <v>98010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114940</v>
      </c>
      <c r="E95" s="39">
        <f>SUM(E69:E94)</f>
        <v>379910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251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TRUNC(12816.6054279749,-1)</f>
        <v>12810</v>
      </c>
      <c r="E98" s="63">
        <f t="shared" ref="E98:E118" si="4">TRUNC(+D98*3.3058,-1)</f>
        <v>42340</v>
      </c>
    </row>
    <row r="99" spans="1:7" x14ac:dyDescent="0.3">
      <c r="A99" s="2">
        <v>2</v>
      </c>
      <c r="C99" s="38" t="s">
        <v>40</v>
      </c>
      <c r="D99" s="42">
        <f>TRUNC(4675.64926931106,-1)</f>
        <v>4670</v>
      </c>
      <c r="E99" s="64">
        <f t="shared" si="4"/>
        <v>15430</v>
      </c>
    </row>
    <row r="100" spans="1:7" x14ac:dyDescent="0.3">
      <c r="A100" s="2">
        <v>3</v>
      </c>
      <c r="C100" s="38" t="s">
        <v>41</v>
      </c>
      <c r="D100" s="42">
        <f>TRUNC(17259.450243563,-1)</f>
        <v>17250</v>
      </c>
      <c r="E100" s="64">
        <f t="shared" si="4"/>
        <v>57020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f>TRUNC(5379.11412665275,-1)</f>
        <v>5370</v>
      </c>
      <c r="E102" s="64">
        <f t="shared" si="4"/>
        <v>17750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f>TRUNC(1212.12560890745,-1)</f>
        <v>1210</v>
      </c>
      <c r="E104" s="64">
        <f t="shared" si="4"/>
        <v>4000</v>
      </c>
    </row>
    <row r="105" spans="1:7" x14ac:dyDescent="0.3">
      <c r="A105" s="2">
        <v>8</v>
      </c>
      <c r="C105" s="38" t="s">
        <v>46</v>
      </c>
      <c r="D105" s="42">
        <f>TRUNC(1960.9248434238,-1)</f>
        <v>1960</v>
      </c>
      <c r="E105" s="64">
        <f t="shared" si="4"/>
        <v>6470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f>TRUNC(7724.9074460682,-1)</f>
        <v>7720</v>
      </c>
      <c r="E114" s="64">
        <f t="shared" si="4"/>
        <v>25520</v>
      </c>
    </row>
    <row r="115" spans="1:7" x14ac:dyDescent="0.3">
      <c r="A115" s="2">
        <v>18</v>
      </c>
      <c r="C115" s="38" t="s">
        <v>116</v>
      </c>
      <c r="D115" s="42">
        <f>TRUNC(3371.51635351427,-1)</f>
        <v>3370</v>
      </c>
      <c r="E115" s="64">
        <f t="shared" si="4"/>
        <v>11140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f>TRUNC(16638.8307933194+77716.0751565762,-1)</f>
        <v>94350</v>
      </c>
      <c r="E117" s="64">
        <f t="shared" si="4"/>
        <v>311900</v>
      </c>
      <c r="F117" s="2" t="s">
        <v>257</v>
      </c>
    </row>
    <row r="118" spans="1:7" ht="17.25" thickBot="1" x14ac:dyDescent="0.35">
      <c r="A118" s="2">
        <v>21</v>
      </c>
      <c r="C118" s="38" t="s">
        <v>47</v>
      </c>
      <c r="D118" s="43">
        <f>TRUNC(1036.14683368128+975.991649269311,-1)</f>
        <v>2010</v>
      </c>
      <c r="E118" s="65">
        <f t="shared" si="4"/>
        <v>6640</v>
      </c>
      <c r="F118" s="2" t="s">
        <v>258</v>
      </c>
    </row>
    <row r="119" spans="1:7" x14ac:dyDescent="0.3">
      <c r="A119" s="2">
        <v>22</v>
      </c>
      <c r="C119" s="27" t="s">
        <v>112</v>
      </c>
      <c r="D119" s="39">
        <f>SUM(D98:D118)</f>
        <v>150720</v>
      </c>
      <c r="E119" s="39">
        <f>SUM(E98:E118)</f>
        <v>498210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251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TRUNC(3900.02052887961,-1)</f>
        <v>3900</v>
      </c>
      <c r="E122" s="63">
        <f t="shared" ref="E122:E132" si="5">TRUNC(+D122*3.3058,-1)</f>
        <v>12890</v>
      </c>
    </row>
    <row r="123" spans="1:7" x14ac:dyDescent="0.3">
      <c r="A123" s="2">
        <v>2</v>
      </c>
      <c r="C123" s="38" t="s">
        <v>124</v>
      </c>
      <c r="D123" s="42">
        <f>TRUNC(392.92658315936,-1)</f>
        <v>390</v>
      </c>
      <c r="E123" s="64">
        <f t="shared" si="5"/>
        <v>1280</v>
      </c>
      <c r="F123" s="2" t="s">
        <v>259</v>
      </c>
    </row>
    <row r="124" spans="1:7" x14ac:dyDescent="0.3">
      <c r="A124" s="2">
        <v>3</v>
      </c>
      <c r="C124" s="38" t="s">
        <v>151</v>
      </c>
      <c r="D124" s="42">
        <v>0</v>
      </c>
      <c r="E124" s="64">
        <f t="shared" si="5"/>
        <v>0</v>
      </c>
    </row>
    <row r="125" spans="1:7" x14ac:dyDescent="0.3">
      <c r="A125" s="2">
        <v>4</v>
      </c>
      <c r="C125" s="38" t="s">
        <v>138</v>
      </c>
      <c r="D125" s="42">
        <f>TRUNC(7064.77244258873,-1)</f>
        <v>7060</v>
      </c>
      <c r="E125" s="64">
        <f t="shared" si="5"/>
        <v>23330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f>TRUNC(1225.99756437022,-1)</f>
        <v>1220</v>
      </c>
      <c r="E128" s="64">
        <f t="shared" si="5"/>
        <v>4030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TRUNC(12836.66144746,-1)</f>
        <v>12830</v>
      </c>
      <c r="E130" s="64">
        <f t="shared" si="5"/>
        <v>42410</v>
      </c>
    </row>
    <row r="131" spans="1:7" x14ac:dyDescent="0.3">
      <c r="A131" s="2">
        <v>10</v>
      </c>
      <c r="C131" s="38" t="s">
        <v>148</v>
      </c>
      <c r="D131" s="42">
        <f>TRUNC(9088.3785664579,-1)</f>
        <v>9080</v>
      </c>
      <c r="E131" s="64">
        <f t="shared" si="5"/>
        <v>30010</v>
      </c>
    </row>
    <row r="132" spans="1:7" ht="17.25" thickBot="1" x14ac:dyDescent="0.35">
      <c r="A132" s="2">
        <v>11</v>
      </c>
      <c r="C132" s="38" t="s">
        <v>47</v>
      </c>
      <c r="D132" s="43">
        <f>TRUNC(1949.62839248434+557.739387613083+975.991649269311,-1)</f>
        <v>3480</v>
      </c>
      <c r="E132" s="65">
        <f t="shared" si="5"/>
        <v>11500</v>
      </c>
      <c r="F132" s="2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37960</v>
      </c>
      <c r="E133" s="39">
        <f>SUM(E122:E132)</f>
        <v>125450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251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6">TRUNC(+D136*3.3058,-1)</f>
        <v>0</v>
      </c>
    </row>
    <row r="137" spans="1:7" x14ac:dyDescent="0.3">
      <c r="A137" s="2">
        <v>2</v>
      </c>
      <c r="C137" s="38" t="s">
        <v>47</v>
      </c>
      <c r="D137" s="42">
        <f>TRUNC(31548.3987473904+9294.52157272095,-1)</f>
        <v>40840</v>
      </c>
      <c r="E137" s="64">
        <f t="shared" si="6"/>
        <v>135000</v>
      </c>
      <c r="F137" s="2" t="s">
        <v>265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4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4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40840</v>
      </c>
      <c r="E146" s="39">
        <f>SUM(E136:E145)</f>
        <v>135000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251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TRUNC(4061.20946416145+
483.132915796799,-1)</f>
        <v>4540</v>
      </c>
      <c r="E149" s="63">
        <f>TRUNC(+D149*3.3058,-1)</f>
        <v>15000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TRUNC(1636.76130828114,-1)</f>
        <v>1630</v>
      </c>
      <c r="E150" s="64">
        <f>TRUNC(+D150*3.3058,-1)</f>
        <v>5380</v>
      </c>
    </row>
    <row r="151" spans="1:7" x14ac:dyDescent="0.3">
      <c r="A151" s="2">
        <v>3</v>
      </c>
      <c r="C151" s="38" t="s">
        <v>50</v>
      </c>
      <c r="D151" s="42">
        <f>TRUNC(1728.77661795407,-1)</f>
        <v>1720</v>
      </c>
      <c r="E151" s="64">
        <f>TRUNC(+D151*3.3058,-1)</f>
        <v>5680</v>
      </c>
    </row>
    <row r="152" spans="1:7" x14ac:dyDescent="0.3">
      <c r="A152" s="2">
        <v>4</v>
      </c>
      <c r="C152" s="38" t="s">
        <v>47</v>
      </c>
      <c r="D152" s="42">
        <f>TRUNC(3549.56680584551+2.16945024356298,-1)</f>
        <v>3550</v>
      </c>
      <c r="E152" s="64">
        <f>TRUNC(+D152*3.3058,-1)</f>
        <v>11730</v>
      </c>
      <c r="F152" s="58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11440</v>
      </c>
      <c r="E154" s="39">
        <f>SUM(E149:E153)</f>
        <v>37790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251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TRUNC(3389.46555323591,-1)</f>
        <v>3380</v>
      </c>
      <c r="E157" s="63">
        <f>TRUNC(+D157*3.3058,-1)</f>
        <v>11170</v>
      </c>
    </row>
    <row r="158" spans="1:7" x14ac:dyDescent="0.3">
      <c r="A158" s="2">
        <v>2</v>
      </c>
      <c r="C158" s="38" t="s">
        <v>52</v>
      </c>
      <c r="D158" s="42">
        <v>0</v>
      </c>
      <c r="E158" s="64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TRUNC(223.521224773834,-1)</f>
        <v>220</v>
      </c>
      <c r="E159" s="64">
        <f>TRUNC(+D159*3.3058,-1)</f>
        <v>720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3600</v>
      </c>
      <c r="E161" s="39">
        <f>SUM(E157:E160)</f>
        <v>11890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2020-12-07T09:05:44Z</dcterms:modified>
</cp:coreProperties>
</file>