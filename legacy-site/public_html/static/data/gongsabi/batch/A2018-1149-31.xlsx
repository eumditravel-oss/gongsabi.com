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9" i="4"/>
  <c r="D157" i="4"/>
  <c r="D153" i="4"/>
  <c r="D152" i="4"/>
  <c r="D151" i="4"/>
  <c r="D150" i="4"/>
  <c r="D149" i="4"/>
  <c r="D142" i="4"/>
  <c r="D141" i="4"/>
  <c r="D140" i="4"/>
  <c r="D139" i="4"/>
  <c r="D137" i="4"/>
  <c r="D131" i="4"/>
  <c r="D130" i="4"/>
  <c r="D128" i="4"/>
  <c r="D127" i="4"/>
  <c r="D126" i="4"/>
  <c r="D125" i="4"/>
  <c r="D124" i="4"/>
  <c r="D118" i="4"/>
  <c r="D117" i="4"/>
  <c r="D116" i="4"/>
  <c r="D114" i="4"/>
  <c r="D105" i="4"/>
  <c r="D104" i="4"/>
  <c r="D103" i="4"/>
  <c r="D102" i="4"/>
  <c r="D101" i="4"/>
  <c r="D100" i="4"/>
  <c r="D94" i="4"/>
  <c r="D93" i="4"/>
  <c r="D92" i="4"/>
  <c r="D91" i="4"/>
  <c r="D89" i="4"/>
  <c r="D75" i="4"/>
  <c r="D73" i="4"/>
  <c r="D72" i="4"/>
  <c r="D71" i="4"/>
  <c r="D70" i="4"/>
  <c r="D69" i="4"/>
  <c r="D63" i="4"/>
  <c r="D59" i="4"/>
  <c r="D58" i="4"/>
  <c r="D53" i="4"/>
  <c r="D52" i="4"/>
  <c r="D50" i="4"/>
  <c r="D48" i="4"/>
  <c r="D45" i="4"/>
  <c r="D44" i="4"/>
  <c r="D43" i="4"/>
  <c r="D42" i="4"/>
  <c r="D40" i="4"/>
  <c r="D132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<sst xmlns="http://schemas.openxmlformats.org/spreadsheetml/2006/main" count="391" uniqueCount="266">
  <si>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</si>
  <si>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</si>
  <si>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</si>
  <si>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</si>
  <si>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</si>
  <si>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</si>
  <si>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</si>
  <si>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</si>
  <si>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</si>
  <si>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</si>
  <si>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</si>
  <si>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</si>
  <si>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</si>
  <si>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</si>
  <si>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</si>
  <si>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</si>
  <si>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</si>
  <si>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</si>
  <si>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</si>
  <si>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</si>
  <si>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</si>
  <si>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</si>
  <si>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</si>
  <si>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</si>
  <si>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</si>
  <si>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</si>
  <si>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</si>
  <si>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</si>
  <si>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</si>
  <si>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</si>
  <si>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</si>
  <si>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</si>
  <si>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</si>
  <si>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</si>
  <si>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</si>
  <si>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</si>
  <si>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</si>
  <si>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</si>
  <si>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</si>
  <si>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</si>
  <si>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</si>
  <si>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</si>
  <si>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</si>
  <si>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</si>
  <si>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</si>
  <si>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</si>
  <si>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</si>
  <si>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</si>
  <si>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</si>
  <si>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</si>
  <si>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</si>
  <si>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</si>
  <si>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</si>
  <si>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</si>
  <si>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</si>
  <si>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</si>
  <si>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</si>
  <si>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</si>
  <si>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</si>
  <si>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</si>
  <si>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</si>
  <si>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</si>
  <si>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</si>
  <si>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</si>
  <si>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</si>
  <si>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</si>
  <si>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</si>
  <si>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</si>
  <si>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</si>
  <si>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</si>
  <si>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</si>
  <si>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</si>
  <si>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</si>
  <si>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</si>
  <si>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</si>
  <si>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</si>
  <si>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</si>
  <si>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</si>
  <si>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</si>
  <si>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</si>
  <si>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</si>
  <si>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</si>
  <si>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</si>
  <si>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</si>
  <si>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</si>
  <si>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</si>
  <si>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</si>
  <si>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</si>
  <si>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</si>
  <si>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</si>
  <si>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</si>
  <si>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</si>
  <si>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</si>
  <si>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</si>
  <si>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</si>
  <si>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</si>
  <si>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</si>
  <si>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</si>
  <si>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</si>
  <si>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</si>
  <si>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</si>
  <si>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</si>
  <si>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</si>
  <si>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</si>
  <si>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</si>
  <si>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</si>
  <si>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</si>
  <si>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</si>
  <si>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</si>
  <si>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</si>
  <si>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</si>
  <si>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</si>
  <si>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</si>
  <si>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</si>
  <si>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</si>
  <si>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</si>
  <si>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</si>
  <si>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</si>
  <si>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</si>
  <si>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</si>
  <si>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</si>
  <si>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</si>
  <si>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</si>
  <si>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</si>
  <si>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</si>
  <si>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</si>
  <si>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</si>
  <si>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</si>
  <si>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</si>
  <si>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</si>
  <si>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</si>
  <si>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</si>
  <si>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</si>
  <si>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</si>
  <si>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</si>
  <si>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</si>
  <si>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</si>
  <si>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</si>
  <si>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</si>
  <si>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</si>
  <si>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</si>
  <si>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</si>
  <si>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</si>
  <si>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</si>
  <si>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</si>
  <si>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</si>
  <si>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</si>
  <si>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</si>
  <si>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</si>
  <si>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</si>
  <si>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</si>
  <si>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</si>
  <si>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</si>
  <si>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</si>
  <si>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</si>
  <si>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</si>
  <si>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</si>
  <si>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</si>
  <si>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</si>
  <si>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</si>
  <si>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</si>
  <si>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</si>
  <si>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</si>
  <si>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</si>
  <si>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</si>
  <si>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</si>
  <si>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</si>
  <si>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</si>
  <si>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</si>
  <si>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</si>
  <si>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</si>
  <si>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</si>
  <si>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</si>
  <si>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</si>
  <si>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</si>
  <si>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</si>
  <si>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</si>
  <si>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</si>
  <si>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</si>
  <si>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</si>
  <si>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</si>
  <si>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</si>
  <si>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</si>
  <si>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</si>
  <si>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</si>
  <si>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</si>
  <si>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</si>
  <si>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</si>
  <si>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</si>
  <si>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</si>
  <si>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</si>
  <si>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</si>
  <si>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</si>
  <si>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</si>
  <si>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</si>
  <si>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</si>
  <si>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</si>
  <si>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</si>
  <si>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</si>
  <si>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</si>
  <si>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</si>
  <si>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</si>
  <si>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</si>
  <si>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</si>
  <si>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</si>
  <si>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</si>
  <si>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</si>
  <si>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</si>
  <si>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</si>
  <si>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</si>
  <si>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</si>
  <si>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</si>
  <si>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</si>
  <si>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</si>
  <si>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</si>
  <si>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</si>
  <si>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</si>
  <si>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</si>
  <si>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</si>
  <si>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</si>
  <si>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</si>
  <si>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</si>
  <si>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</si>
  <si>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</si>
  <si>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</si>
  <si>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</si>
  <si>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</si>
  <si>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</si>
  <si>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</si>
  <si>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</si>
  <si>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</si>
  <si>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</si>
  <si>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</si>
  <si>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</si>
  <si>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</si>
  <si>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</si>
  <si>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</si>
  <si>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</si>
  <si>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</si>
  <si>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</si>
  <si>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</si>
  <si>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</si>
  <si>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</si>
  <si>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</si>
  <si>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</si>
  <si>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</si>
  <si>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</si>
  <si>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</si>
  <si>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</si>
  <si>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강원대학교 미래도서관 신축공사</t>
    <phoneticPr fontId="2" type="noConversion"/>
  </si>
  <si>
    <t>강원도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</si>
  <si>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</si>
  <si>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</si>
  <si>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</si>
  <si>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골재비및운반비, 작업부산물, 품질시험비, 기타공사</t>
    <phoneticPr fontId="2" type="noConversion"/>
  </si>
  <si>
    <t>바닥난방공사, 기타공사</t>
    <phoneticPr fontId="2" type="noConversion"/>
  </si>
  <si>
    <t>옥외보안등설비공사</t>
    <phoneticPr fontId="2" type="noConversion"/>
  </si>
  <si>
    <t>CCTV설비공사, 기타공사</t>
    <phoneticPr fontId="2" type="noConversion"/>
  </si>
  <si>
    <t>옥외소화배관공사, 펌프실배관공사</t>
    <phoneticPr fontId="2" type="noConversion"/>
  </si>
  <si>
    <t>상수도공사, 사급자재비, 운반비, 기타공사</t>
    <phoneticPr fontId="2" type="noConversion"/>
  </si>
  <si>
    <t>포장공사, 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</si>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</sst>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12002.65</v>
      </c>
      <c r="D7" s="36">
        <f>+C7/3.3058</f>
        <v>3630.7852864662109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747690</v>
      </c>
      <c r="E25" s="59">
        <f t="shared" si="0"/>
        <v>2471710</v>
      </c>
    </row>
    <row r="26" spans="1:5" x14ac:dyDescent="0.3">
      <c r="B26" s="2">
        <v>3</v>
      </c>
      <c r="C26" s="35" t="s">
        <v>95</v>
      </c>
      <c r="D26" s="45">
        <f>+D66</f>
        <v>60750</v>
      </c>
      <c r="E26" s="59">
        <f t="shared" si="0"/>
        <v>200820</v>
      </c>
    </row>
    <row r="27" spans="1:5" x14ac:dyDescent="0.3">
      <c r="B27" s="2">
        <v>4</v>
      </c>
      <c r="C27" s="35" t="s">
        <v>96</v>
      </c>
      <c r="D27" s="45">
        <f>+D95</f>
        <v>220770</v>
      </c>
      <c r="E27" s="59">
        <f t="shared" si="0"/>
        <v>729820</v>
      </c>
    </row>
    <row r="28" spans="1:5" x14ac:dyDescent="0.3">
      <c r="B28" s="2">
        <v>5</v>
      </c>
      <c r="C28" s="35" t="s">
        <v>97</v>
      </c>
      <c r="D28" s="45">
        <f>+D119</f>
        <v>225390</v>
      </c>
      <c r="E28" s="59">
        <f t="shared" si="0"/>
        <v>745090</v>
      </c>
    </row>
    <row r="29" spans="1:5" x14ac:dyDescent="0.3">
      <c r="B29" s="2">
        <v>6</v>
      </c>
      <c r="C29" s="35" t="s">
        <v>98</v>
      </c>
      <c r="D29" s="45">
        <f>+D133</f>
        <v>88700</v>
      </c>
      <c r="E29" s="59">
        <f t="shared" si="0"/>
        <v>293220</v>
      </c>
    </row>
    <row r="30" spans="1:5" x14ac:dyDescent="0.3">
      <c r="B30" s="2">
        <v>7</v>
      </c>
      <c r="C30" s="35" t="s">
        <v>99</v>
      </c>
      <c r="D30" s="45">
        <f>+D146</f>
        <v>39990</v>
      </c>
      <c r="E30" s="59">
        <f t="shared" si="0"/>
        <v>132190</v>
      </c>
    </row>
    <row r="31" spans="1:5" x14ac:dyDescent="0.3">
      <c r="B31" s="2">
        <v>8</v>
      </c>
      <c r="C31" s="35" t="s">
        <v>100</v>
      </c>
      <c r="D31" s="45">
        <f>+D154</f>
        <v>68660</v>
      </c>
      <c r="E31" s="59">
        <f t="shared" si="0"/>
        <v>226970</v>
      </c>
    </row>
    <row r="32" spans="1:5" x14ac:dyDescent="0.3">
      <c r="B32" s="2">
        <v>9</v>
      </c>
      <c r="C32" s="35" t="s">
        <v>101</v>
      </c>
      <c r="D32" s="45">
        <f>+D161</f>
        <v>41460</v>
      </c>
      <c r="E32" s="59">
        <f t="shared" si="0"/>
        <v>137050</v>
      </c>
    </row>
    <row r="33" spans="1:7" x14ac:dyDescent="0.3">
      <c r="B33" s="2">
        <v>10</v>
      </c>
      <c r="C33" s="35" t="s">
        <v>154</v>
      </c>
      <c r="D33" s="53">
        <f>TRUNC(SUM(D24:D32)*0.275,-1)</f>
        <v>410680</v>
      </c>
      <c r="E33" s="60">
        <f t="shared" si="0"/>
        <v>1357620</v>
      </c>
    </row>
    <row r="34" spans="1:7" x14ac:dyDescent="0.3">
      <c r="C34" s="35" t="s">
        <v>112</v>
      </c>
      <c r="D34" s="44">
        <f>SUM(D24:D33)</f>
        <v>1904090</v>
      </c>
      <c r="E34" s="44">
        <f>SUM(E24:E33)</f>
        <v>6294490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TRUNC(48778,-1)</f>
        <v>48770</v>
      </c>
      <c r="E40" s="62">
        <f t="shared" ref="E40:E59" si="1">TRUNC(+D40*3.3058,-1)</f>
        <v>161220</v>
      </c>
    </row>
    <row r="41" spans="1:7" x14ac:dyDescent="0.3">
      <c r="A41" s="2">
        <v>2</v>
      </c>
      <c r="C41" s="38" t="s">
        <v>13</v>
      </c>
      <c r="D41" s="42">
        <v>100600</v>
      </c>
      <c r="E41" s="63">
        <f t="shared" si="1"/>
        <v>332560</v>
      </c>
    </row>
    <row r="42" spans="1:7" x14ac:dyDescent="0.3">
      <c r="A42" s="2">
        <v>3</v>
      </c>
      <c r="C42" s="38" t="s">
        <v>14</v>
      </c>
      <c r="D42" s="42">
        <f>TRUNC(12636,-1)</f>
        <v>12630</v>
      </c>
      <c r="E42" s="63">
        <f t="shared" si="1"/>
        <v>41750</v>
      </c>
    </row>
    <row r="43" spans="1:7" x14ac:dyDescent="0.3">
      <c r="A43" s="2">
        <v>4</v>
      </c>
      <c r="C43" s="38" t="s">
        <v>16</v>
      </c>
      <c r="D43" s="42">
        <f>TRUNC(9588,-1)</f>
        <v>9580</v>
      </c>
      <c r="E43" s="63">
        <f t="shared" si="1"/>
        <v>31660</v>
      </c>
    </row>
    <row r="44" spans="1:7" x14ac:dyDescent="0.3">
      <c r="A44" s="2">
        <v>5</v>
      </c>
      <c r="C44" s="38" t="s">
        <v>17</v>
      </c>
      <c r="D44" s="42">
        <f>TRUNC(25529,-1)</f>
        <v>25520</v>
      </c>
      <c r="E44" s="63">
        <f t="shared" si="1"/>
        <v>84360</v>
      </c>
    </row>
    <row r="45" spans="1:7" x14ac:dyDescent="0.3">
      <c r="A45" s="2">
        <v>6</v>
      </c>
      <c r="C45" s="38" t="s">
        <v>18</v>
      </c>
      <c r="D45" s="42">
        <f>TRUNC(7679,-1)</f>
        <v>7670</v>
      </c>
      <c r="E45" s="63">
        <f t="shared" si="1"/>
        <v>25350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TRUNC(46881,-1)</f>
        <v>46880</v>
      </c>
      <c r="E48" s="63">
        <f t="shared" si="1"/>
        <v>154970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v>11280</v>
      </c>
      <c r="E49" s="63">
        <f t="shared" si="1"/>
        <v>37280</v>
      </c>
    </row>
    <row r="50" spans="1:7" x14ac:dyDescent="0.3">
      <c r="A50" s="2">
        <v>11</v>
      </c>
      <c r="C50" s="38" t="s">
        <v>155</v>
      </c>
      <c r="D50" s="42">
        <f>TRUNC(71888,-1)</f>
        <v>71880</v>
      </c>
      <c r="E50" s="63">
        <f t="shared" si="1"/>
        <v>237620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TRUNC(7371,-1)</f>
        <v>7370</v>
      </c>
      <c r="E52" s="63">
        <f t="shared" si="1"/>
        <v>24360</v>
      </c>
    </row>
    <row r="53" spans="1:7" x14ac:dyDescent="0.3">
      <c r="A53" s="2">
        <v>14</v>
      </c>
      <c r="C53" s="38" t="s">
        <v>25</v>
      </c>
      <c r="D53" s="42">
        <f>TRUNC(114716,-1)</f>
        <v>114710</v>
      </c>
      <c r="E53" s="63">
        <f t="shared" si="1"/>
        <v>379200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TRUNC(5396-624+721+6869,-1)</f>
        <v>12360</v>
      </c>
      <c r="E58" s="63">
        <f t="shared" si="1"/>
        <v>40850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TRUNC(278441,-1)</f>
        <v>278440</v>
      </c>
      <c r="E59" s="64">
        <f t="shared" si="1"/>
        <v>920460</v>
      </c>
    </row>
    <row r="60" spans="1:7" x14ac:dyDescent="0.3">
      <c r="A60" s="2">
        <v>21</v>
      </c>
      <c r="C60" s="27" t="s">
        <v>112</v>
      </c>
      <c r="D60" s="39">
        <f>SUM(D40:D59)</f>
        <v>747690</v>
      </c>
      <c r="E60" s="39">
        <f>SUM(E40:E59)</f>
        <v>2471640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TRUNC(60752,-1)</f>
        <v>60750</v>
      </c>
      <c r="E63" s="62">
        <f>TRUNC(+D63*3.3058,-1)</f>
        <v>200820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60750</v>
      </c>
      <c r="E66" s="65">
        <f>SUM(E63:E65)</f>
        <v>200820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TRUNC(3491,-1)</f>
        <v>3490</v>
      </c>
      <c r="E69" s="62">
        <f t="shared" ref="E69:E94" si="2">TRUNC(+D69*3.3058,-1)</f>
        <v>11530</v>
      </c>
    </row>
    <row r="70" spans="1:7" ht="16.5" customHeight="1" x14ac:dyDescent="0.3">
      <c r="A70" s="2">
        <v>2</v>
      </c>
      <c r="C70" s="38" t="s">
        <v>31</v>
      </c>
      <c r="D70" s="42">
        <f>TRUNC(186,-1)</f>
        <v>180</v>
      </c>
      <c r="E70" s="63">
        <f t="shared" si="2"/>
        <v>590</v>
      </c>
    </row>
    <row r="71" spans="1:7" x14ac:dyDescent="0.3">
      <c r="A71" s="2">
        <v>3</v>
      </c>
      <c r="C71" s="38" t="s">
        <v>32</v>
      </c>
      <c r="D71" s="42">
        <f>TRUNC(3276,-1)</f>
        <v>3270</v>
      </c>
      <c r="E71" s="63">
        <f t="shared" si="2"/>
        <v>10800</v>
      </c>
    </row>
    <row r="72" spans="1:7" x14ac:dyDescent="0.3">
      <c r="A72" s="2">
        <v>4</v>
      </c>
      <c r="C72" s="38" t="s">
        <v>33</v>
      </c>
      <c r="D72" s="42">
        <f>TRUNC(12671,-1)</f>
        <v>12670</v>
      </c>
      <c r="E72" s="63">
        <f t="shared" si="2"/>
        <v>41880</v>
      </c>
    </row>
    <row r="73" spans="1:7" x14ac:dyDescent="0.3">
      <c r="A73" s="2">
        <v>5</v>
      </c>
      <c r="C73" s="38" t="s">
        <v>34</v>
      </c>
      <c r="D73" s="42">
        <f>TRUNC(5107,-1)</f>
        <v>5100</v>
      </c>
      <c r="E73" s="63">
        <f t="shared" si="2"/>
        <v>16850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TRUNC(5385,-1)</f>
        <v>5380</v>
      </c>
      <c r="E75" s="63">
        <f t="shared" si="2"/>
        <v>17780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TRUNC(6041,-1)</f>
        <v>6040</v>
      </c>
      <c r="E89" s="63">
        <f t="shared" si="2"/>
        <v>19960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TRUNC(22735,-1)</f>
        <v>22730</v>
      </c>
      <c r="E91" s="63">
        <f t="shared" si="2"/>
        <v>75140</v>
      </c>
    </row>
    <row r="92" spans="1:7" x14ac:dyDescent="0.3">
      <c r="A92" s="2">
        <v>24</v>
      </c>
      <c r="C92" s="38" t="s">
        <v>38</v>
      </c>
      <c r="D92" s="42">
        <f>TRUNC(4654,-1)</f>
        <v>4650</v>
      </c>
      <c r="E92" s="63">
        <f t="shared" si="2"/>
        <v>15370</v>
      </c>
    </row>
    <row r="93" spans="1:7" x14ac:dyDescent="0.3">
      <c r="A93" s="2">
        <v>25</v>
      </c>
      <c r="C93" s="38" t="s">
        <v>148</v>
      </c>
      <c r="D93" s="42">
        <f>TRUNC(154504,-1)</f>
        <v>154500</v>
      </c>
      <c r="E93" s="63">
        <f t="shared" si="2"/>
        <v>510740</v>
      </c>
    </row>
    <row r="94" spans="1:7" ht="17.25" thickBot="1" x14ac:dyDescent="0.35">
      <c r="A94" s="2">
        <v>26</v>
      </c>
      <c r="C94" s="38" t="s">
        <v>47</v>
      </c>
      <c r="D94" s="43">
        <f>TRUNC(133+2628,-1)</f>
        <v>2760</v>
      </c>
      <c r="E94" s="64">
        <f t="shared" si="2"/>
        <v>9120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220770</v>
      </c>
      <c r="E95" s="39">
        <f>SUM(E69:E94)</f>
        <v>729760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22590</v>
      </c>
      <c r="E98" s="62">
        <f t="shared" ref="E98:E118" si="3">TRUNC(+D98*3.3058,-1)</f>
        <v>74670</v>
      </c>
    </row>
    <row r="99" spans="1:7" x14ac:dyDescent="0.3">
      <c r="A99" s="2">
        <v>2</v>
      </c>
      <c r="C99" s="38" t="s">
        <v>40</v>
      </c>
      <c r="D99" s="42">
        <v>3730</v>
      </c>
      <c r="E99" s="63">
        <f t="shared" si="3"/>
        <v>12330</v>
      </c>
    </row>
    <row r="100" spans="1:7" x14ac:dyDescent="0.3">
      <c r="A100" s="2">
        <v>3</v>
      </c>
      <c r="C100" s="38" t="s">
        <v>41</v>
      </c>
      <c r="D100" s="42">
        <f>TRUNC(32363,-1)</f>
        <v>32360</v>
      </c>
      <c r="E100" s="63">
        <f t="shared" si="3"/>
        <v>106970</v>
      </c>
    </row>
    <row r="101" spans="1:7" x14ac:dyDescent="0.3">
      <c r="A101" s="2">
        <v>4</v>
      </c>
      <c r="C101" s="38" t="s">
        <v>42</v>
      </c>
      <c r="D101" s="42">
        <f>TRUNC(17158,-1)</f>
        <v>17150</v>
      </c>
      <c r="E101" s="63">
        <f t="shared" si="3"/>
        <v>56690</v>
      </c>
    </row>
    <row r="102" spans="1:7" x14ac:dyDescent="0.3">
      <c r="A102" s="2">
        <v>5</v>
      </c>
      <c r="C102" s="38" t="s">
        <v>43</v>
      </c>
      <c r="D102" s="42">
        <f>TRUNC(11127,-1)</f>
        <v>11120</v>
      </c>
      <c r="E102" s="63">
        <f t="shared" si="3"/>
        <v>36760</v>
      </c>
    </row>
    <row r="103" spans="1:7" x14ac:dyDescent="0.3">
      <c r="A103" s="2">
        <v>6</v>
      </c>
      <c r="C103" s="38" t="s">
        <v>44</v>
      </c>
      <c r="D103" s="42">
        <f>TRUNC(3901,-1)</f>
        <v>3900</v>
      </c>
      <c r="E103" s="63">
        <f t="shared" si="3"/>
        <v>12890</v>
      </c>
    </row>
    <row r="104" spans="1:7" x14ac:dyDescent="0.3">
      <c r="A104" s="2">
        <v>7</v>
      </c>
      <c r="C104" s="38" t="s">
        <v>45</v>
      </c>
      <c r="D104" s="42">
        <f>TRUNC(2807,-1)</f>
        <v>2800</v>
      </c>
      <c r="E104" s="63">
        <f t="shared" si="3"/>
        <v>9250</v>
      </c>
    </row>
    <row r="105" spans="1:7" x14ac:dyDescent="0.3">
      <c r="A105" s="2">
        <v>8</v>
      </c>
      <c r="C105" s="38" t="s">
        <v>46</v>
      </c>
      <c r="D105" s="42">
        <f>TRUNC(3154,-1)</f>
        <v>3150</v>
      </c>
      <c r="E105" s="63">
        <f t="shared" si="3"/>
        <v>10410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TRUNC(4431,-1)</f>
        <v>4430</v>
      </c>
      <c r="E114" s="63">
        <f t="shared" si="3"/>
        <v>14640</v>
      </c>
      <c r="F114" s="2" t="s">
        <v>256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TRUNC(3017,-1)</f>
        <v>3010</v>
      </c>
      <c r="E116" s="63">
        <f t="shared" si="3"/>
        <v>9950</v>
      </c>
    </row>
    <row r="117" spans="1:7" x14ac:dyDescent="0.3">
      <c r="A117" s="2">
        <v>20</v>
      </c>
      <c r="C117" s="38" t="s">
        <v>148</v>
      </c>
      <c r="D117" s="42">
        <f>TRUNC(119572,-1)</f>
        <v>119570</v>
      </c>
      <c r="E117" s="63">
        <f t="shared" si="3"/>
        <v>395270</v>
      </c>
    </row>
    <row r="118" spans="1:7" ht="17.25" thickBot="1" x14ac:dyDescent="0.35">
      <c r="A118" s="2">
        <v>21</v>
      </c>
      <c r="C118" s="38" t="s">
        <v>47</v>
      </c>
      <c r="D118" s="43">
        <f>TRUNC(1584,-1)</f>
        <v>1580</v>
      </c>
      <c r="E118" s="64">
        <f t="shared" si="3"/>
        <v>5220</v>
      </c>
    </row>
    <row r="119" spans="1:7" x14ac:dyDescent="0.3">
      <c r="A119" s="2">
        <v>22</v>
      </c>
      <c r="C119" s="27" t="s">
        <v>112</v>
      </c>
      <c r="D119" s="39">
        <f>SUM(D98:D118)</f>
        <v>225390</v>
      </c>
      <c r="E119" s="39">
        <f>SUM(E98:E118)</f>
        <v>745050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TRUNC(1039,-1)</f>
        <v>1030</v>
      </c>
      <c r="E124" s="63">
        <f t="shared" si="4"/>
        <v>3400</v>
      </c>
    </row>
    <row r="125" spans="1:7" x14ac:dyDescent="0.3">
      <c r="A125" s="2">
        <v>4</v>
      </c>
      <c r="C125" s="38" t="s">
        <v>138</v>
      </c>
      <c r="D125" s="42">
        <f>TRUNC(5849,-1)</f>
        <v>5840</v>
      </c>
      <c r="E125" s="63">
        <f t="shared" si="4"/>
        <v>19300</v>
      </c>
    </row>
    <row r="126" spans="1:7" x14ac:dyDescent="0.3">
      <c r="A126" s="2">
        <v>5</v>
      </c>
      <c r="C126" s="38" t="s">
        <v>53</v>
      </c>
      <c r="D126" s="42">
        <f>TRUNC(8244,-1)</f>
        <v>8240</v>
      </c>
      <c r="E126" s="63">
        <f t="shared" si="4"/>
        <v>27230</v>
      </c>
    </row>
    <row r="127" spans="1:7" x14ac:dyDescent="0.3">
      <c r="A127" s="2">
        <v>6</v>
      </c>
      <c r="C127" s="38" t="s">
        <v>56</v>
      </c>
      <c r="D127" s="42">
        <f>TRUNC(199,-1)</f>
        <v>190</v>
      </c>
      <c r="E127" s="63">
        <f t="shared" si="4"/>
        <v>620</v>
      </c>
    </row>
    <row r="128" spans="1:7" x14ac:dyDescent="0.3">
      <c r="A128" s="2">
        <v>7</v>
      </c>
      <c r="C128" s="38" t="s">
        <v>46</v>
      </c>
      <c r="D128" s="42">
        <f>TRUNC(4521,-1)</f>
        <v>4520</v>
      </c>
      <c r="E128" s="63">
        <f t="shared" si="4"/>
        <v>14940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TRUNC(32646,-1)</f>
        <v>32640</v>
      </c>
      <c r="E130" s="63">
        <f t="shared" si="4"/>
        <v>107900</v>
      </c>
    </row>
    <row r="131" spans="1:7" x14ac:dyDescent="0.3">
      <c r="A131" s="2">
        <v>10</v>
      </c>
      <c r="C131" s="38" t="s">
        <v>148</v>
      </c>
      <c r="D131" s="42">
        <f>TRUNC(30913,-1)</f>
        <v>30910</v>
      </c>
      <c r="E131" s="63">
        <f t="shared" si="4"/>
        <v>102180</v>
      </c>
    </row>
    <row r="132" spans="1:7" ht="18" thickBot="1" x14ac:dyDescent="0.35">
      <c r="A132" s="2">
        <v>11</v>
      </c>
      <c r="C132" s="38" t="s">
        <v>47</v>
      </c>
      <c r="D132" s="43">
        <f>3862+1468</f>
        <v>5330</v>
      </c>
      <c r="E132" s="64">
        <f t="shared" si="4"/>
        <v>17610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88700</v>
      </c>
      <c r="E133" s="39">
        <f>SUM(E122:E132)</f>
        <v>293180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TRUNC(149+4030,-1)</f>
        <v>4170</v>
      </c>
      <c r="E137" s="63">
        <f t="shared" si="5"/>
        <v>13780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TRUNC(1401,-1)</f>
        <v>1400</v>
      </c>
      <c r="E139" s="63">
        <f t="shared" si="5"/>
        <v>4620</v>
      </c>
    </row>
    <row r="140" spans="1:7" x14ac:dyDescent="0.3">
      <c r="A140" s="2">
        <v>5</v>
      </c>
      <c r="C140" s="38" t="s">
        <v>57</v>
      </c>
      <c r="D140" s="42">
        <f>TRUNC(2303,-1)</f>
        <v>2300</v>
      </c>
      <c r="E140" s="63">
        <f t="shared" si="5"/>
        <v>7600</v>
      </c>
    </row>
    <row r="141" spans="1:7" x14ac:dyDescent="0.3">
      <c r="A141" s="2">
        <v>6</v>
      </c>
      <c r="C141" s="38" t="s">
        <v>59</v>
      </c>
      <c r="D141" s="42">
        <f>TRUNC(23239,-1)</f>
        <v>23230</v>
      </c>
      <c r="E141" s="63">
        <f t="shared" si="5"/>
        <v>76790</v>
      </c>
    </row>
    <row r="142" spans="1:7" x14ac:dyDescent="0.3">
      <c r="A142" s="2">
        <v>7</v>
      </c>
      <c r="C142" s="38" t="s">
        <v>58</v>
      </c>
      <c r="D142" s="42">
        <f>TRUNC(8894,-1)</f>
        <v>8890</v>
      </c>
      <c r="E142" s="63">
        <f t="shared" si="5"/>
        <v>29380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39990</v>
      </c>
      <c r="E146" s="39">
        <f>SUM(E136:E145)</f>
        <v>132170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TRUNC(5029+1882,-1)</f>
        <v>6910</v>
      </c>
      <c r="E149" s="62">
        <f>TRUNC(+D149*3.3058,-1)</f>
        <v>22840</v>
      </c>
    </row>
    <row r="150" spans="1:7" x14ac:dyDescent="0.3">
      <c r="A150" s="2">
        <v>2</v>
      </c>
      <c r="C150" s="38" t="s">
        <v>49</v>
      </c>
      <c r="D150" s="42">
        <f>TRUNC(7388,-1)</f>
        <v>7380</v>
      </c>
      <c r="E150" s="63">
        <f>TRUNC(+D150*3.3058,-1)</f>
        <v>24390</v>
      </c>
    </row>
    <row r="151" spans="1:7" x14ac:dyDescent="0.3">
      <c r="A151" s="2">
        <v>3</v>
      </c>
      <c r="C151" s="38" t="s">
        <v>50</v>
      </c>
      <c r="D151" s="42">
        <f>TRUNC(11209,-1)</f>
        <v>11200</v>
      </c>
      <c r="E151" s="63">
        <f>TRUNC(+D151*3.3058,-1)</f>
        <v>37020</v>
      </c>
    </row>
    <row r="152" spans="1:7" x14ac:dyDescent="0.3">
      <c r="A152" s="2">
        <v>4</v>
      </c>
      <c r="C152" s="38" t="s">
        <v>47</v>
      </c>
      <c r="D152" s="42">
        <f>TRUNC(667+14305+82+3893,-1)</f>
        <v>18940</v>
      </c>
      <c r="E152" s="63">
        <f>TRUNC(+D152*3.3058,-1)</f>
        <v>62610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f>TRUNC(24238,-1)</f>
        <v>24230</v>
      </c>
      <c r="E153" s="64">
        <f>TRUNC(+D153*3.3058,-1)</f>
        <v>80090</v>
      </c>
    </row>
    <row r="154" spans="1:7" x14ac:dyDescent="0.3">
      <c r="A154" s="2">
        <v>6</v>
      </c>
      <c r="C154" s="27" t="s">
        <v>112</v>
      </c>
      <c r="D154" s="39">
        <f>SUM(D149:D153)</f>
        <v>68660</v>
      </c>
      <c r="E154" s="39">
        <f>SUM(E149:E153)</f>
        <v>226950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TRUNC(25296,-1)</f>
        <v>25290</v>
      </c>
      <c r="E157" s="62">
        <f>TRUNC(+D157*3.3058,-1)</f>
        <v>83600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TRUNC(971+14147,-1)</f>
        <v>15110</v>
      </c>
      <c r="E159" s="63">
        <f>TRUNC(+D159*3.3058,-1)</f>
        <v>49950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f>TRUNC(1061,-1)</f>
        <v>1060</v>
      </c>
      <c r="E160" s="64">
        <f>TRUNC(+D160*3.3058,-1)</f>
        <v>3500</v>
      </c>
    </row>
    <row r="161" spans="1:5" x14ac:dyDescent="0.3">
      <c r="A161" s="2">
        <v>5</v>
      </c>
      <c r="C161" s="27" t="s">
        <v>112</v>
      </c>
      <c r="D161" s="39">
        <f>SUM(D157:D160)</f>
        <v>41460</v>
      </c>
      <c r="E161" s="39">
        <f>SUM(E157:E160)</f>
        <v>137050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2020-12-08T02:14:44Z</dcterms:modified>
</cp:coreProperties>
</file>