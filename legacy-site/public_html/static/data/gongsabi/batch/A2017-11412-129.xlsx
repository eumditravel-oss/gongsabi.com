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1" i="4"/>
  <c r="D150" i="4"/>
  <c r="D149" i="4"/>
  <c r="D144" i="4"/>
  <c r="D143" i="4"/>
  <c r="D142" i="4"/>
  <c r="D141" i="4"/>
  <c r="D140" i="4"/>
  <c r="D139" i="4"/>
  <c r="D137" i="4"/>
  <c r="D131" i="4"/>
  <c r="D130" i="4"/>
  <c r="D128" i="4"/>
  <c r="D126" i="4"/>
  <c r="D124" i="4"/>
  <c r="D122" i="4"/>
  <c r="D118" i="4"/>
  <c r="D117" i="4"/>
  <c r="D116" i="4"/>
  <c r="D105" i="4"/>
  <c r="D104" i="4"/>
  <c r="D103" i="4"/>
  <c r="D102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<sst xmlns="http://schemas.openxmlformats.org/spreadsheetml/2006/main" count="391" uniqueCount="265">
  <si>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</si>
  <si>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</si>
  <si>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</si>
  <si>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</si>
  <si>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</si>
  <si>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</si>
  <si>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</si>
  <si>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</si>
  <si>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</si>
  <si>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</si>
  <si>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</si>
  <si>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</si>
  <si>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</si>
  <si>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</si>
  <si>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</si>
  <si>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</si>
  <si>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</si>
  <si>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</si>
  <si>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</si>
  <si>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</si>
  <si>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</si>
  <si>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</si>
  <si>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</si>
  <si>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</si>
  <si>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</si>
  <si>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</si>
  <si>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</si>
  <si>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</si>
  <si>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</si>
  <si>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</si>
  <si>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</si>
  <si>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</si>
  <si>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</si>
  <si>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</si>
  <si>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</si>
  <si>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</si>
  <si>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</si>
  <si>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</si>
  <si>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</si>
  <si>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</si>
  <si>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</si>
  <si>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</si>
  <si>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</si>
  <si>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</si>
  <si>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</si>
  <si>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</si>
  <si>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</si>
  <si>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</si>
  <si>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</si>
  <si>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</si>
  <si>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</si>
  <si>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</si>
  <si>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</si>
  <si>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</si>
  <si>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</si>
  <si>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</si>
  <si>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</si>
  <si>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</si>
  <si>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</si>
  <si>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</si>
  <si>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</si>
  <si>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</si>
  <si>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</si>
  <si>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</si>
  <si>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</si>
  <si>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</si>
  <si>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</si>
  <si>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</si>
  <si>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</si>
  <si>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</si>
  <si>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</si>
  <si>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</si>
  <si>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</si>
  <si>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</si>
  <si>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</si>
  <si>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</si>
  <si>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</si>
  <si>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</si>
  <si>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</si>
  <si>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</si>
  <si>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</si>
  <si>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</si>
  <si>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</si>
  <si>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</si>
  <si>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</si>
  <si>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</si>
  <si>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</si>
  <si>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</si>
  <si>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</si>
  <si>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</si>
  <si>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</si>
  <si>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</si>
  <si>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</si>
  <si>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</si>
  <si>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</si>
  <si>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</si>
  <si>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</si>
  <si>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</si>
  <si>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</si>
  <si>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</si>
  <si>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</si>
  <si>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</si>
  <si>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</si>
  <si>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</si>
  <si>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</si>
  <si>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</si>
  <si>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</si>
  <si>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</si>
  <si>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</si>
  <si>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</si>
  <si>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</si>
  <si>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</si>
  <si>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</si>
  <si>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</si>
  <si>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</si>
  <si>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</si>
  <si>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</si>
  <si>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</si>
  <si>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</si>
  <si>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</si>
  <si>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</si>
  <si>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</si>
  <si>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</si>
  <si>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</si>
  <si>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</si>
  <si>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</si>
  <si>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</si>
  <si>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</si>
  <si>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</si>
  <si>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</si>
  <si>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</si>
  <si>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</si>
  <si>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</si>
  <si>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</si>
  <si>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</si>
  <si>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</si>
  <si>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</si>
  <si>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</si>
  <si>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</si>
  <si>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</si>
  <si>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</si>
  <si>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</si>
  <si>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</si>
  <si>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</si>
  <si>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</si>
  <si>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</si>
  <si>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</si>
  <si>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</si>
  <si>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</si>
  <si>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</si>
  <si>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</si>
  <si>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</si>
  <si>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</si>
  <si>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</si>
  <si>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</si>
  <si>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</si>
  <si>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</si>
  <si>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</si>
  <si>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</si>
  <si>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</si>
  <si>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</si>
  <si>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</si>
  <si>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</si>
  <si>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</si>
  <si>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</si>
  <si>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</si>
  <si>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</si>
  <si>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</si>
  <si>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</si>
  <si>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</si>
  <si>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</si>
  <si>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</si>
  <si>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</si>
  <si>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</si>
  <si>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</si>
  <si>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</si>
  <si>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</si>
  <si>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</si>
  <si>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</si>
  <si>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</si>
  <si>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</si>
  <si>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</si>
  <si>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</si>
  <si>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</si>
  <si>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</si>
  <si>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</si>
  <si>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</si>
  <si>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</si>
  <si>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</si>
  <si>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</si>
  <si>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</si>
  <si>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</si>
  <si>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</si>
  <si>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</si>
  <si>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</si>
  <si>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</si>
  <si>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</si>
  <si>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</si>
  <si>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</si>
  <si>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</si>
  <si>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</si>
  <si>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</si>
  <si>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</si>
  <si>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</si>
  <si>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</si>
  <si>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</si>
  <si>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</si>
  <si>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</si>
  <si>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</si>
  <si>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</si>
  <si>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</si>
  <si>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</si>
  <si>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</si>
  <si>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</si>
  <si>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</si>
  <si>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</si>
  <si>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</si>
  <si>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</si>
  <si>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</si>
  <si>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</si>
  <si>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</si>
  <si>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</si>
  <si>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</si>
  <si>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</si>
  <si>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</si>
  <si>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</si>
  <si>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</si>
  <si>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</si>
  <si>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</si>
  <si>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</si>
  <si>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</si>
  <si>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</si>
  <si>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</si>
  <si>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</si>
  <si>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</si>
  <si>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</si>
  <si>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</si>
  <si>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</si>
  <si>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</si>
  <si>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</si>
  <si>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</si>
  <si>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</si>
  <si>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</si>
  <si>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</si>
  <si>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</si>
  <si>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</si>
  <si>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</si>
  <si>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</si>
  <si>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</si>
  <si>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</si>
  <si>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</si>
  <si>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</si>
  <si>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</si>
  <si>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</si>
  <si>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</si>
  <si>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</si>
  <si>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교육연구</t>
  </si>
  <si>
    <t xml:space="preserve"> 양정초 교사 신축공사</t>
    <phoneticPr fontId="2" type="noConversion"/>
  </si>
  <si>
    <t>경상도</t>
  </si>
  <si>
    <t>기초공사, 골재비및운반비, 품질시험비, 기타공사</t>
    <phoneticPr fontId="2" type="noConversion"/>
  </si>
  <si>
    <t>공조배관공사, 우수처리시설공사, 바닥난방공사, 기타공사</t>
    <phoneticPr fontId="2" type="noConversion"/>
  </si>
  <si>
    <t>CCTV설비공사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</si>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</sst>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12343.94</v>
      </c>
      <c r="D7" s="36">
        <f>+C7/3.3058</f>
        <v>3734.0250468872891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814810</v>
      </c>
      <c r="E25" s="59">
        <f t="shared" si="0"/>
        <v>2693590</v>
      </c>
    </row>
    <row r="26" spans="1:5" x14ac:dyDescent="0.3">
      <c r="B26" s="2">
        <v>3</v>
      </c>
      <c r="C26" s="35" t="s">
        <v>95</v>
      </c>
      <c r="D26" s="45">
        <f>+D66</f>
        <v>4370</v>
      </c>
      <c r="E26" s="59">
        <f t="shared" si="0"/>
        <v>14440</v>
      </c>
    </row>
    <row r="27" spans="1:5" x14ac:dyDescent="0.3">
      <c r="B27" s="2">
        <v>4</v>
      </c>
      <c r="C27" s="35" t="s">
        <v>96</v>
      </c>
      <c r="D27" s="45">
        <f>+D95</f>
        <v>190390</v>
      </c>
      <c r="E27" s="59">
        <f t="shared" si="0"/>
        <v>629390</v>
      </c>
    </row>
    <row r="28" spans="1:5" x14ac:dyDescent="0.3">
      <c r="B28" s="2">
        <v>5</v>
      </c>
      <c r="C28" s="35" t="s">
        <v>97</v>
      </c>
      <c r="D28" s="45">
        <f>+D119</f>
        <v>170180</v>
      </c>
      <c r="E28" s="59">
        <f t="shared" si="0"/>
        <v>562580</v>
      </c>
    </row>
    <row r="29" spans="1:5" x14ac:dyDescent="0.3">
      <c r="B29" s="2">
        <v>6</v>
      </c>
      <c r="C29" s="35" t="s">
        <v>98</v>
      </c>
      <c r="D29" s="45">
        <f>+D133</f>
        <v>86280</v>
      </c>
      <c r="E29" s="59">
        <f t="shared" si="0"/>
        <v>285220</v>
      </c>
    </row>
    <row r="30" spans="1:5" x14ac:dyDescent="0.3">
      <c r="B30" s="2">
        <v>7</v>
      </c>
      <c r="C30" s="35" t="s">
        <v>99</v>
      </c>
      <c r="D30" s="45">
        <f>+D146</f>
        <v>35570</v>
      </c>
      <c r="E30" s="59">
        <f t="shared" si="0"/>
        <v>117580</v>
      </c>
    </row>
    <row r="31" spans="1:5" x14ac:dyDescent="0.3">
      <c r="B31" s="2">
        <v>8</v>
      </c>
      <c r="C31" s="35" t="s">
        <v>100</v>
      </c>
      <c r="D31" s="45">
        <f>+D154</f>
        <v>32720</v>
      </c>
      <c r="E31" s="59">
        <f t="shared" si="0"/>
        <v>108160</v>
      </c>
    </row>
    <row r="32" spans="1:5" x14ac:dyDescent="0.3">
      <c r="B32" s="2">
        <v>9</v>
      </c>
      <c r="C32" s="35" t="s">
        <v>101</v>
      </c>
      <c r="D32" s="45">
        <f>+D161</f>
        <v>16000</v>
      </c>
      <c r="E32" s="59">
        <f t="shared" si="0"/>
        <v>52890</v>
      </c>
    </row>
    <row r="33" spans="1:7" x14ac:dyDescent="0.3">
      <c r="B33" s="2">
        <v>10</v>
      </c>
      <c r="C33" s="35" t="s">
        <v>155</v>
      </c>
      <c r="D33" s="53">
        <f>TRUNC(SUM(D24:D32)*0.275,-1)</f>
        <v>371330</v>
      </c>
      <c r="E33" s="60">
        <f t="shared" si="0"/>
        <v>1227540</v>
      </c>
    </row>
    <row r="34" spans="1:7" x14ac:dyDescent="0.3">
      <c r="C34" s="35" t="s">
        <v>112</v>
      </c>
      <c r="D34" s="44">
        <f>SUM(D24:D33)</f>
        <v>1721650</v>
      </c>
      <c r="E34" s="44">
        <f>SUM(E24:E33)</f>
        <v>5691390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TRUNC(36245,-1)</f>
        <v>36240</v>
      </c>
      <c r="E40" s="62">
        <f t="shared" ref="E40:E59" si="1">TRUNC(+D40*3.3058,-1)</f>
        <v>119800</v>
      </c>
    </row>
    <row r="41" spans="1:7" x14ac:dyDescent="0.3">
      <c r="A41" s="2">
        <v>2</v>
      </c>
      <c r="C41" s="38" t="s">
        <v>13</v>
      </c>
      <c r="D41" s="42">
        <f>TRUNC(142621,-1)</f>
        <v>142620</v>
      </c>
      <c r="E41" s="63">
        <f t="shared" si="1"/>
        <v>471470</v>
      </c>
    </row>
    <row r="42" spans="1:7" x14ac:dyDescent="0.3">
      <c r="A42" s="2">
        <v>3</v>
      </c>
      <c r="C42" s="38" t="s">
        <v>14</v>
      </c>
      <c r="D42" s="42">
        <f>TRUNC(7498,-1)</f>
        <v>7490</v>
      </c>
      <c r="E42" s="63">
        <f t="shared" si="1"/>
        <v>24760</v>
      </c>
    </row>
    <row r="43" spans="1:7" x14ac:dyDescent="0.3">
      <c r="A43" s="2">
        <v>4</v>
      </c>
      <c r="C43" s="38" t="s">
        <v>16</v>
      </c>
      <c r="D43" s="42">
        <v>30610</v>
      </c>
      <c r="E43" s="63">
        <f t="shared" si="1"/>
        <v>101190</v>
      </c>
    </row>
    <row r="44" spans="1:7" x14ac:dyDescent="0.3">
      <c r="A44" s="2">
        <v>5</v>
      </c>
      <c r="C44" s="38" t="s">
        <v>17</v>
      </c>
      <c r="D44" s="42">
        <f>TRUNC(22461,-1)</f>
        <v>22460</v>
      </c>
      <c r="E44" s="63">
        <f t="shared" si="1"/>
        <v>74240</v>
      </c>
    </row>
    <row r="45" spans="1:7" x14ac:dyDescent="0.3">
      <c r="A45" s="2">
        <v>6</v>
      </c>
      <c r="C45" s="38" t="s">
        <v>18</v>
      </c>
      <c r="D45" s="42">
        <f>TRUNC(5808,-1)</f>
        <v>5800</v>
      </c>
      <c r="E45" s="63">
        <f t="shared" si="1"/>
        <v>19170</v>
      </c>
    </row>
    <row r="46" spans="1:7" x14ac:dyDescent="0.3">
      <c r="A46" s="2">
        <v>7</v>
      </c>
      <c r="C46" s="38" t="s">
        <v>19</v>
      </c>
      <c r="D46" s="42">
        <v>23000</v>
      </c>
      <c r="E46" s="63">
        <f t="shared" si="1"/>
        <v>76030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TRUNC(28241,-1)</f>
        <v>28240</v>
      </c>
      <c r="E48" s="63">
        <f t="shared" si="1"/>
        <v>93350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TRUNC(19141,-1)</f>
        <v>19140</v>
      </c>
      <c r="E49" s="63">
        <f t="shared" si="1"/>
        <v>63270</v>
      </c>
    </row>
    <row r="50" spans="1:7" x14ac:dyDescent="0.3">
      <c r="A50" s="2">
        <v>11</v>
      </c>
      <c r="C50" s="38" t="s">
        <v>156</v>
      </c>
      <c r="D50" s="42">
        <f>TRUNC(36836,-1)</f>
        <v>36830</v>
      </c>
      <c r="E50" s="63">
        <f t="shared" si="1"/>
        <v>121750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TRUNC(8441,-1)</f>
        <v>8440</v>
      </c>
      <c r="E52" s="63">
        <f t="shared" si="1"/>
        <v>27900</v>
      </c>
    </row>
    <row r="53" spans="1:7" x14ac:dyDescent="0.3">
      <c r="A53" s="2">
        <v>14</v>
      </c>
      <c r="C53" s="38" t="s">
        <v>25</v>
      </c>
      <c r="D53" s="42">
        <f>TRUNC(92688,-1)</f>
        <v>92680</v>
      </c>
      <c r="E53" s="63">
        <f t="shared" si="1"/>
        <v>306380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TRUNC(42122+10728+290+15456,-1)</f>
        <v>68590</v>
      </c>
      <c r="E58" s="63">
        <f t="shared" si="1"/>
        <v>226740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TRUNC(292676,-1)</f>
        <v>292670</v>
      </c>
      <c r="E59" s="64">
        <f t="shared" si="1"/>
        <v>967500</v>
      </c>
    </row>
    <row r="60" spans="1:7" x14ac:dyDescent="0.3">
      <c r="A60" s="2">
        <v>21</v>
      </c>
      <c r="C60" s="27" t="s">
        <v>112</v>
      </c>
      <c r="D60" s="39">
        <f>SUM(D40:D59)</f>
        <v>814810</v>
      </c>
      <c r="E60" s="39">
        <f>SUM(E40:E59)</f>
        <v>2693550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TRUNC(4376,-1)</f>
        <v>4370</v>
      </c>
      <c r="E63" s="62">
        <f>TRUNC(+D63*3.3058,-1)</f>
        <v>14440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4370</v>
      </c>
      <c r="E66" s="65">
        <f>SUM(E63:E65)</f>
        <v>14440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TRUNC(5872,-1)</f>
        <v>5870</v>
      </c>
      <c r="E69" s="62">
        <f t="shared" ref="E69:E94" si="2">TRUNC(+D69*3.3058,-1)</f>
        <v>19400</v>
      </c>
    </row>
    <row r="70" spans="1:7" ht="16.5" customHeight="1" x14ac:dyDescent="0.3">
      <c r="A70" s="2">
        <v>2</v>
      </c>
      <c r="C70" s="38" t="s">
        <v>31</v>
      </c>
      <c r="D70" s="42">
        <f>TRUNC(2592,-1)</f>
        <v>2590</v>
      </c>
      <c r="E70" s="63">
        <f t="shared" si="2"/>
        <v>8560</v>
      </c>
    </row>
    <row r="71" spans="1:7" x14ac:dyDescent="0.3">
      <c r="A71" s="2">
        <v>3</v>
      </c>
      <c r="C71" s="38" t="s">
        <v>32</v>
      </c>
      <c r="D71" s="42">
        <f>TRUNC(3075,-1)</f>
        <v>3070</v>
      </c>
      <c r="E71" s="63">
        <f t="shared" si="2"/>
        <v>10140</v>
      </c>
    </row>
    <row r="72" spans="1:7" x14ac:dyDescent="0.3">
      <c r="A72" s="2">
        <v>4</v>
      </c>
      <c r="C72" s="38" t="s">
        <v>33</v>
      </c>
      <c r="D72" s="42">
        <f>TRUNC(2662,-1)</f>
        <v>2660</v>
      </c>
      <c r="E72" s="63">
        <f t="shared" si="2"/>
        <v>8790</v>
      </c>
    </row>
    <row r="73" spans="1:7" x14ac:dyDescent="0.3">
      <c r="A73" s="2">
        <v>5</v>
      </c>
      <c r="C73" s="38" t="s">
        <v>34</v>
      </c>
      <c r="D73" s="42">
        <f>TRUNC(16173,-1)</f>
        <v>16170</v>
      </c>
      <c r="E73" s="63">
        <f t="shared" si="2"/>
        <v>53450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TRUNC(6467,-1)</f>
        <v>6460</v>
      </c>
      <c r="E89" s="63">
        <f t="shared" si="2"/>
        <v>21350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TRUNC(4441,-1)</f>
        <v>4440</v>
      </c>
      <c r="E91" s="63">
        <f t="shared" si="2"/>
        <v>14670</v>
      </c>
    </row>
    <row r="92" spans="1:7" x14ac:dyDescent="0.3">
      <c r="A92" s="2">
        <v>24</v>
      </c>
      <c r="C92" s="38" t="s">
        <v>38</v>
      </c>
      <c r="D92" s="42">
        <f>TRUNC(8013,-1)</f>
        <v>8010</v>
      </c>
      <c r="E92" s="63">
        <f t="shared" si="2"/>
        <v>26470</v>
      </c>
    </row>
    <row r="93" spans="1:7" x14ac:dyDescent="0.3">
      <c r="A93" s="2">
        <v>25</v>
      </c>
      <c r="C93" s="38" t="s">
        <v>149</v>
      </c>
      <c r="D93" s="42">
        <f>TRUNC(134894,-1)</f>
        <v>134890</v>
      </c>
      <c r="E93" s="63">
        <f t="shared" si="2"/>
        <v>445910</v>
      </c>
    </row>
    <row r="94" spans="1:7" ht="17.25" thickBot="1" x14ac:dyDescent="0.35">
      <c r="A94" s="2">
        <v>26</v>
      </c>
      <c r="C94" s="38" t="s">
        <v>47</v>
      </c>
      <c r="D94" s="43">
        <f>TRUNC(326+939+3962+1005,-1)</f>
        <v>6230</v>
      </c>
      <c r="E94" s="64">
        <f t="shared" si="2"/>
        <v>20590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190390</v>
      </c>
      <c r="E95" s="39">
        <f>SUM(E69:E94)</f>
        <v>629330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TRUNC(8345,-1)</f>
        <v>8340</v>
      </c>
      <c r="E98" s="62">
        <f t="shared" ref="E98:E118" si="3">TRUNC(+D98*3.3058,-1)</f>
        <v>27570</v>
      </c>
    </row>
    <row r="99" spans="1:7" x14ac:dyDescent="0.3">
      <c r="A99" s="2">
        <v>2</v>
      </c>
      <c r="C99" s="38" t="s">
        <v>40</v>
      </c>
      <c r="D99" s="42">
        <f>TRUNC(2311,-1)</f>
        <v>2310</v>
      </c>
      <c r="E99" s="63">
        <f t="shared" si="3"/>
        <v>7630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400</v>
      </c>
      <c r="E101" s="63">
        <f t="shared" si="3"/>
        <v>1320</v>
      </c>
    </row>
    <row r="102" spans="1:7" x14ac:dyDescent="0.3">
      <c r="A102" s="2">
        <v>5</v>
      </c>
      <c r="C102" s="38" t="s">
        <v>43</v>
      </c>
      <c r="D102" s="42">
        <f>TRUNC(10811,-1)</f>
        <v>10810</v>
      </c>
      <c r="E102" s="63">
        <f t="shared" si="3"/>
        <v>35730</v>
      </c>
    </row>
    <row r="103" spans="1:7" x14ac:dyDescent="0.3">
      <c r="A103" s="2">
        <v>6</v>
      </c>
      <c r="C103" s="38" t="s">
        <v>44</v>
      </c>
      <c r="D103" s="42">
        <f>TRUNC(3656,-1)</f>
        <v>3650</v>
      </c>
      <c r="E103" s="63">
        <f t="shared" si="3"/>
        <v>12060</v>
      </c>
    </row>
    <row r="104" spans="1:7" x14ac:dyDescent="0.3">
      <c r="A104" s="2">
        <v>7</v>
      </c>
      <c r="C104" s="38" t="s">
        <v>45</v>
      </c>
      <c r="D104" s="42">
        <f>TRUNC(3639,-1)</f>
        <v>3630</v>
      </c>
      <c r="E104" s="63">
        <f t="shared" si="3"/>
        <v>12000</v>
      </c>
    </row>
    <row r="105" spans="1:7" x14ac:dyDescent="0.3">
      <c r="A105" s="2">
        <v>8</v>
      </c>
      <c r="C105" s="38" t="s">
        <v>46</v>
      </c>
      <c r="D105" s="42">
        <f>TRUNC(4312,-1)</f>
        <v>4310</v>
      </c>
      <c r="E105" s="63">
        <f t="shared" si="3"/>
        <v>14240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26470</v>
      </c>
      <c r="E114" s="63">
        <f t="shared" si="3"/>
        <v>87500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TRUNC(897,-1)</f>
        <v>890</v>
      </c>
      <c r="E116" s="63">
        <f t="shared" si="3"/>
        <v>2940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TRUNC(107247,-1)</f>
        <v>107240</v>
      </c>
      <c r="E117" s="63">
        <f t="shared" si="3"/>
        <v>354510</v>
      </c>
    </row>
    <row r="118" spans="1:7" ht="17.25" thickBot="1" x14ac:dyDescent="0.35">
      <c r="A118" s="2">
        <v>21</v>
      </c>
      <c r="C118" s="38" t="s">
        <v>47</v>
      </c>
      <c r="D118" s="43">
        <f>TRUNC(2138,-1)</f>
        <v>2130</v>
      </c>
      <c r="E118" s="64">
        <f t="shared" si="3"/>
        <v>7040</v>
      </c>
    </row>
    <row r="119" spans="1:7" x14ac:dyDescent="0.3">
      <c r="A119" s="2">
        <v>22</v>
      </c>
      <c r="C119" s="27" t="s">
        <v>112</v>
      </c>
      <c r="D119" s="39">
        <f>SUM(D98:D118)</f>
        <v>170180</v>
      </c>
      <c r="E119" s="39">
        <f>SUM(E98:E118)</f>
        <v>562540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TRUNC(3886,-1)</f>
        <v>3880</v>
      </c>
      <c r="E122" s="62">
        <f t="shared" ref="E122:E132" si="4">TRUNC(+D122*3.3058,-1)</f>
        <v>12820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TRUNC(1058,-1)</f>
        <v>1050</v>
      </c>
      <c r="E124" s="63">
        <f t="shared" si="4"/>
        <v>3470</v>
      </c>
    </row>
    <row r="125" spans="1:7" x14ac:dyDescent="0.3">
      <c r="A125" s="2">
        <v>4</v>
      </c>
      <c r="C125" s="38" t="s">
        <v>138</v>
      </c>
      <c r="D125" s="42">
        <v>8320</v>
      </c>
      <c r="E125" s="63">
        <f t="shared" si="4"/>
        <v>27500</v>
      </c>
    </row>
    <row r="126" spans="1:7" x14ac:dyDescent="0.3">
      <c r="A126" s="2">
        <v>5</v>
      </c>
      <c r="C126" s="38" t="s">
        <v>53</v>
      </c>
      <c r="D126" s="42">
        <f>TRUNC(1356,-1)</f>
        <v>1350</v>
      </c>
      <c r="E126" s="63">
        <f t="shared" si="4"/>
        <v>4460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TRUNC(2072,-1)</f>
        <v>2070</v>
      </c>
      <c r="E128" s="63">
        <f t="shared" si="4"/>
        <v>6840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TRUNC(8343,-1)</f>
        <v>8340</v>
      </c>
      <c r="E130" s="63">
        <f t="shared" si="4"/>
        <v>27570</v>
      </c>
    </row>
    <row r="131" spans="1:7" x14ac:dyDescent="0.3">
      <c r="A131" s="2">
        <v>10</v>
      </c>
      <c r="C131" s="38" t="s">
        <v>149</v>
      </c>
      <c r="D131" s="42">
        <f>TRUNC(59491,-1)</f>
        <v>59490</v>
      </c>
      <c r="E131" s="63">
        <f t="shared" si="4"/>
        <v>196660</v>
      </c>
    </row>
    <row r="132" spans="1:7" ht="18" thickBot="1" x14ac:dyDescent="0.35">
      <c r="A132" s="2">
        <v>11</v>
      </c>
      <c r="C132" s="38" t="s">
        <v>47</v>
      </c>
      <c r="D132" s="43">
        <v>1780</v>
      </c>
      <c r="E132" s="64">
        <f t="shared" si="4"/>
        <v>5880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86280</v>
      </c>
      <c r="E133" s="39">
        <f>SUM(E122:E132)</f>
        <v>285200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TRUNC(116+1733+1028,-1)</f>
        <v>2870</v>
      </c>
      <c r="E137" s="63">
        <f t="shared" si="5"/>
        <v>9480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TRUNC(1338,-1)</f>
        <v>1330</v>
      </c>
      <c r="E139" s="63">
        <f t="shared" si="5"/>
        <v>4390</v>
      </c>
    </row>
    <row r="140" spans="1:7" x14ac:dyDescent="0.3">
      <c r="A140" s="2">
        <v>5</v>
      </c>
      <c r="C140" s="38" t="s">
        <v>57</v>
      </c>
      <c r="D140" s="42">
        <f>TRUNC(1117,-1)</f>
        <v>1110</v>
      </c>
      <c r="E140" s="63">
        <f t="shared" si="5"/>
        <v>3660</v>
      </c>
    </row>
    <row r="141" spans="1:7" x14ac:dyDescent="0.3">
      <c r="A141" s="2">
        <v>6</v>
      </c>
      <c r="C141" s="38" t="s">
        <v>59</v>
      </c>
      <c r="D141" s="42">
        <f>TRUNC(7944,-1)</f>
        <v>7940</v>
      </c>
      <c r="E141" s="63">
        <f t="shared" si="5"/>
        <v>26240</v>
      </c>
    </row>
    <row r="142" spans="1:7" x14ac:dyDescent="0.3">
      <c r="A142" s="2">
        <v>7</v>
      </c>
      <c r="C142" s="38" t="s">
        <v>58</v>
      </c>
      <c r="D142" s="42">
        <f>TRUNC(7363,-1)</f>
        <v>7360</v>
      </c>
      <c r="E142" s="63">
        <f t="shared" si="5"/>
        <v>24330</v>
      </c>
    </row>
    <row r="143" spans="1:7" x14ac:dyDescent="0.3">
      <c r="A143" s="2">
        <v>8</v>
      </c>
      <c r="C143" s="38" t="s">
        <v>62</v>
      </c>
      <c r="D143" s="42">
        <f>TRUNC(2221,-1)</f>
        <v>2220</v>
      </c>
      <c r="E143" s="63">
        <f t="shared" si="5"/>
        <v>7330</v>
      </c>
    </row>
    <row r="144" spans="1:7" x14ac:dyDescent="0.3">
      <c r="A144" s="2">
        <v>9</v>
      </c>
      <c r="C144" s="38" t="s">
        <v>63</v>
      </c>
      <c r="D144" s="42">
        <f>TRUNC(12747,-1)</f>
        <v>12740</v>
      </c>
      <c r="E144" s="63">
        <f t="shared" si="5"/>
        <v>42110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35570</v>
      </c>
      <c r="E146" s="39">
        <f>SUM(E136:E145)</f>
        <v>117540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TRUNC(6424+2805,-1)</f>
        <v>9220</v>
      </c>
      <c r="E149" s="62">
        <f>TRUNC(+D149*3.3058,-1)</f>
        <v>30470</v>
      </c>
    </row>
    <row r="150" spans="1:7" x14ac:dyDescent="0.3">
      <c r="A150" s="2">
        <v>2</v>
      </c>
      <c r="C150" s="38" t="s">
        <v>49</v>
      </c>
      <c r="D150" s="42">
        <f>TRUNC(10988,-1)</f>
        <v>10980</v>
      </c>
      <c r="E150" s="63">
        <f>TRUNC(+D150*3.3058,-1)</f>
        <v>36290</v>
      </c>
    </row>
    <row r="151" spans="1:7" x14ac:dyDescent="0.3">
      <c r="A151" s="2">
        <v>3</v>
      </c>
      <c r="C151" s="38" t="s">
        <v>50</v>
      </c>
      <c r="D151" s="42">
        <f>TRUNC(1361,-1)</f>
        <v>1360</v>
      </c>
      <c r="E151" s="63">
        <f>TRUNC(+D151*3.3058,-1)</f>
        <v>4490</v>
      </c>
    </row>
    <row r="152" spans="1:7" x14ac:dyDescent="0.3">
      <c r="A152" s="2">
        <v>4</v>
      </c>
      <c r="C152" s="38" t="s">
        <v>47</v>
      </c>
      <c r="D152" s="42">
        <f>TRUNC(11167,-1)</f>
        <v>11160</v>
      </c>
      <c r="E152" s="63">
        <f>TRUNC(+D152*3.3058,-1)</f>
        <v>36890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32720</v>
      </c>
      <c r="E154" s="39">
        <f>SUM(E149:E153)</f>
        <v>108140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TRUNC(14819,-1)</f>
        <v>14810</v>
      </c>
      <c r="E157" s="62">
        <f>TRUNC(+D157*3.3058,-1)</f>
        <v>48950</v>
      </c>
    </row>
    <row r="158" spans="1:7" x14ac:dyDescent="0.3">
      <c r="A158" s="2">
        <v>2</v>
      </c>
      <c r="C158" s="38" t="s">
        <v>52</v>
      </c>
      <c r="D158" s="42">
        <v>1190</v>
      </c>
      <c r="E158" s="63">
        <f>TRUNC(+D158*3.3058,-1)</f>
        <v>3930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16000</v>
      </c>
      <c r="E161" s="39">
        <f>SUM(E157:E160)</f>
        <v>52880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2020-12-08T01:57:16Z</dcterms:modified>
</cp:coreProperties>
</file>