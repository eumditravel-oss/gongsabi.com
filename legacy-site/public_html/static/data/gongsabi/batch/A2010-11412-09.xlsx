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7" i="4" l="1"/>
  <c r="D93" i="4"/>
  <c r="D153" i="4"/>
  <c r="D59" i="4"/>
  <c r="E160" i="4" l="1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40" i="4"/>
  <c r="E37" i="4"/>
  <c r="E161" i="4" l="1"/>
  <c r="E146" i="4"/>
  <c r="D152" i="4"/>
  <c r="E152" i="4" s="1"/>
  <c r="E154" i="4" l="1"/>
  <c r="D132" i="4"/>
  <c r="E132" i="4" s="1"/>
  <c r="D118" i="4"/>
  <c r="E118" i="4" s="1"/>
  <c r="D94" i="4"/>
  <c r="E94" i="4" s="1"/>
  <c r="D63" i="4"/>
  <c r="E63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95" i="4" l="1"/>
  <c r="E119" i="4"/>
  <c r="E66" i="4"/>
  <c r="E133" i="4"/>
  <c r="E60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32" i="4"/>
  <c r="E32" i="4" s="1"/>
  <c r="D31" i="4"/>
  <c r="E31" i="4" s="1"/>
  <c r="D24" i="4"/>
  <c r="E24" i="4" s="1"/>
  <c r="D7" i="4"/>
  <c r="D33" i="4" l="1"/>
  <c r="D34" i="4" l="1"/>
  <c r="E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</calcChain>
</file>

<file path=xl/sharedStrings.xml><?xml version="1.0" encoding="utf-8"?>
<sst xmlns="http://schemas.openxmlformats.org/spreadsheetml/2006/main" count="384" uniqueCount="258">
  <si>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</si>
  <si>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</si>
  <si>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</si>
  <si>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</si>
  <si>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</si>
  <si>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</si>
  <si>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</si>
  <si>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</si>
  <si>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</si>
  <si>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</si>
  <si>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</si>
  <si>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</si>
  <si>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</si>
  <si>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</si>
  <si>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</si>
  <si>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</si>
  <si>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</si>
  <si>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</si>
  <si>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</si>
  <si>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</si>
  <si>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</si>
  <si>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</si>
  <si>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</si>
  <si>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</si>
  <si>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</si>
  <si>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</si>
  <si>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</si>
  <si>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</si>
  <si>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</si>
  <si>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</si>
  <si>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</si>
  <si>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</si>
  <si>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</si>
  <si>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</si>
  <si>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</si>
  <si>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</si>
  <si>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</si>
  <si>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</si>
  <si>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</si>
  <si>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</si>
  <si>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</si>
  <si>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</si>
  <si>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</si>
  <si>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</si>
  <si>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</si>
  <si>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</si>
  <si>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</si>
  <si>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</si>
  <si>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</si>
  <si>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</si>
  <si>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</si>
  <si>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</si>
  <si>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</si>
  <si>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</si>
  <si>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</si>
  <si>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</si>
  <si>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</si>
  <si>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</si>
  <si>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</si>
  <si>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</si>
  <si>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</si>
  <si>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</si>
  <si>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</si>
  <si>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</si>
  <si>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</si>
  <si>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</si>
  <si>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</si>
  <si>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</si>
  <si>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</si>
  <si>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</si>
  <si>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</si>
  <si>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</si>
  <si>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</si>
  <si>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</si>
  <si>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</si>
  <si>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</si>
  <si>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</si>
  <si>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</si>
  <si>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</si>
  <si>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</si>
  <si>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</si>
  <si>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</si>
  <si>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</si>
  <si>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</si>
  <si>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</si>
  <si>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</si>
  <si>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</si>
  <si>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</si>
  <si>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</si>
  <si>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</si>
  <si>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</si>
  <si>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</si>
  <si>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</si>
  <si>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</si>
  <si>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</si>
  <si>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</si>
  <si>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</si>
  <si>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</si>
  <si>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</si>
  <si>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</si>
  <si>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</si>
  <si>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</si>
  <si>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</si>
  <si>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</si>
  <si>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</si>
  <si>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</si>
  <si>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</si>
  <si>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</si>
  <si>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</si>
  <si>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</si>
  <si>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</si>
  <si>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</si>
  <si>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</si>
  <si>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</si>
  <si>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</si>
  <si>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</si>
  <si>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</si>
  <si>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</si>
  <si>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</si>
  <si>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</si>
  <si>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</si>
  <si>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</si>
  <si>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</si>
  <si>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</si>
  <si>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</si>
  <si>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</si>
  <si>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</si>
  <si>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</si>
  <si>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</si>
  <si>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</si>
  <si>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</si>
  <si>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</si>
  <si>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</si>
  <si>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</si>
  <si>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</si>
  <si>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</si>
  <si>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</si>
  <si>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</si>
  <si>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</si>
  <si>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</si>
  <si>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</si>
  <si>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</si>
  <si>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</si>
  <si>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</si>
  <si>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</si>
  <si>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</si>
  <si>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</si>
  <si>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</si>
  <si>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</si>
  <si>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</si>
  <si>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</si>
  <si>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</si>
  <si>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</si>
  <si>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</si>
  <si>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</si>
  <si>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</si>
  <si>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</si>
  <si>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</si>
  <si>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</si>
  <si>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</si>
  <si>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</si>
  <si>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</si>
  <si>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</si>
  <si>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</si>
  <si>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</si>
  <si>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</si>
  <si>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</si>
  <si>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</si>
  <si>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</si>
  <si>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</si>
  <si>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</si>
  <si>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</si>
  <si>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</si>
  <si>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</si>
  <si>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</si>
  <si>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</si>
  <si>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</si>
  <si>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</si>
  <si>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</si>
  <si>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</si>
  <si>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</si>
  <si>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</si>
  <si>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</si>
  <si>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</si>
  <si>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</si>
  <si>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</si>
  <si>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</si>
  <si>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</si>
  <si>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</si>
  <si>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</si>
  <si>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</si>
  <si>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</si>
  <si>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</si>
  <si>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</si>
  <si>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</si>
  <si>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</si>
  <si>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</si>
  <si>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</si>
  <si>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</si>
  <si>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</si>
  <si>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</si>
  <si>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</si>
  <si>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</si>
  <si>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</si>
  <si>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</si>
  <si>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</si>
  <si>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</si>
  <si>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</si>
  <si>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</si>
  <si>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</si>
  <si>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</si>
  <si>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</si>
  <si>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</si>
  <si>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</si>
  <si>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</si>
  <si>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</si>
  <si>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</si>
  <si>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</si>
  <si>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</si>
  <si>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</si>
  <si>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</si>
  <si>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</si>
  <si>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</si>
  <si>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</si>
  <si>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</si>
  <si>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</si>
  <si>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</si>
  <si>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</si>
  <si>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</si>
  <si>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</si>
  <si>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</si>
  <si>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</si>
  <si>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</si>
  <si>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</si>
  <si>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</si>
  <si>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</si>
  <si>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</si>
  <si>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</si>
  <si>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</si>
  <si>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</si>
  <si>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</si>
  <si>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</si>
  <si>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</si>
  <si>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</si>
  <si>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</si>
  <si>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</si>
  <si>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</si>
  <si>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연초고등학교 신축공사</t>
  </si>
  <si>
    <t>교육연구</t>
  </si>
  <si>
    <t>기타공사,골재대 및 운반비</t>
  </si>
  <si>
    <t>토공사 및 지정공사</t>
  </si>
  <si>
    <t>부대시설공사</t>
    <phoneticPr fontId="2" type="noConversion"/>
  </si>
  <si>
    <t>원/ m2</t>
  </si>
  <si>
    <t>원 /평</t>
  </si>
  <si>
    <t>경상도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</si>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</sst>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3" sqref="A2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11147</v>
      </c>
      <c r="D7" s="36">
        <f>+C7/3.3058</f>
        <v>3371.9523262145321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256</v>
      </c>
    </row>
    <row r="19" spans="1:5" x14ac:dyDescent="0.3">
      <c r="A19" s="2">
        <v>9</v>
      </c>
      <c r="B19" s="2" t="s">
        <v>257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737540</v>
      </c>
      <c r="E25" s="60">
        <f t="shared" si="0"/>
        <v>2438150</v>
      </c>
    </row>
    <row r="26" spans="1:5" x14ac:dyDescent="0.3">
      <c r="B26" s="2">
        <v>3</v>
      </c>
      <c r="C26" s="35" t="s">
        <v>95</v>
      </c>
      <c r="D26" s="45">
        <f>+D66</f>
        <v>26770</v>
      </c>
      <c r="E26" s="60">
        <f t="shared" si="0"/>
        <v>88490</v>
      </c>
    </row>
    <row r="27" spans="1:5" x14ac:dyDescent="0.3">
      <c r="B27" s="2">
        <v>4</v>
      </c>
      <c r="C27" s="35" t="s">
        <v>96</v>
      </c>
      <c r="D27" s="45">
        <f>+D95</f>
        <v>138690</v>
      </c>
      <c r="E27" s="60">
        <f t="shared" si="0"/>
        <v>458480</v>
      </c>
    </row>
    <row r="28" spans="1:5" x14ac:dyDescent="0.3">
      <c r="B28" s="2">
        <v>5</v>
      </c>
      <c r="C28" s="35" t="s">
        <v>97</v>
      </c>
      <c r="D28" s="45">
        <f>+D119</f>
        <v>123560</v>
      </c>
      <c r="E28" s="60">
        <f t="shared" si="0"/>
        <v>408460</v>
      </c>
    </row>
    <row r="29" spans="1:5" x14ac:dyDescent="0.3">
      <c r="B29" s="2">
        <v>6</v>
      </c>
      <c r="C29" s="35" t="s">
        <v>98</v>
      </c>
      <c r="D29" s="45">
        <f>+D133</f>
        <v>18410</v>
      </c>
      <c r="E29" s="60">
        <f t="shared" si="0"/>
        <v>60850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168210</v>
      </c>
      <c r="E31" s="60">
        <f t="shared" si="0"/>
        <v>556060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333620</v>
      </c>
      <c r="E33" s="61">
        <f t="shared" si="0"/>
        <v>1102880</v>
      </c>
    </row>
    <row r="34" spans="1:7" x14ac:dyDescent="0.3">
      <c r="C34" s="35" t="s">
        <v>112</v>
      </c>
      <c r="D34" s="44">
        <f>SUM(D24:D33)</f>
        <v>1546800</v>
      </c>
      <c r="E34" s="44">
        <f>SUM(E24:E33)</f>
        <v>5113370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252</v>
      </c>
      <c r="E39" s="67" t="s">
        <v>253</v>
      </c>
      <c r="G39" s="68"/>
    </row>
    <row r="40" spans="1:7" x14ac:dyDescent="0.3">
      <c r="A40" s="2">
        <v>1</v>
      </c>
      <c r="C40" s="38" t="s">
        <v>15</v>
      </c>
      <c r="D40" s="40">
        <v>28350</v>
      </c>
      <c r="E40" s="63">
        <f t="shared" ref="E40:E59" si="1">TRUNC(+D40*3.3058,-1)</f>
        <v>93710</v>
      </c>
    </row>
    <row r="41" spans="1:7" x14ac:dyDescent="0.3">
      <c r="A41" s="2">
        <v>2</v>
      </c>
      <c r="C41" s="38" t="s">
        <v>13</v>
      </c>
      <c r="D41" s="42">
        <f>TRUNC(211566,-1)</f>
        <v>211560</v>
      </c>
      <c r="E41" s="64">
        <f t="shared" si="1"/>
        <v>699370</v>
      </c>
    </row>
    <row r="42" spans="1:7" x14ac:dyDescent="0.3">
      <c r="A42" s="2">
        <v>3</v>
      </c>
      <c r="C42" s="38" t="s">
        <v>14</v>
      </c>
      <c r="D42" s="42">
        <f>TRUNC(11025,-1)</f>
        <v>11020</v>
      </c>
      <c r="E42" s="64">
        <f t="shared" si="1"/>
        <v>36420</v>
      </c>
    </row>
    <row r="43" spans="1:7" x14ac:dyDescent="0.3">
      <c r="A43" s="2">
        <v>4</v>
      </c>
      <c r="C43" s="38" t="s">
        <v>16</v>
      </c>
      <c r="D43" s="42">
        <f>TRUNC(29967,-1)</f>
        <v>29960</v>
      </c>
      <c r="E43" s="64">
        <f t="shared" si="1"/>
        <v>99040</v>
      </c>
    </row>
    <row r="44" spans="1:7" x14ac:dyDescent="0.3">
      <c r="A44" s="2">
        <v>5</v>
      </c>
      <c r="C44" s="38" t="s">
        <v>17</v>
      </c>
      <c r="D44" s="42">
        <f>TRUNC(13764,-1)</f>
        <v>13760</v>
      </c>
      <c r="E44" s="64">
        <f t="shared" si="1"/>
        <v>45480</v>
      </c>
    </row>
    <row r="45" spans="1:7" x14ac:dyDescent="0.3">
      <c r="A45" s="2">
        <v>6</v>
      </c>
      <c r="C45" s="38" t="s">
        <v>18</v>
      </c>
      <c r="D45" s="42">
        <f>TRUNC(7575,-1)</f>
        <v>7570</v>
      </c>
      <c r="E45" s="64">
        <f t="shared" si="1"/>
        <v>25020</v>
      </c>
    </row>
    <row r="46" spans="1:7" x14ac:dyDescent="0.3">
      <c r="A46" s="2">
        <v>7</v>
      </c>
      <c r="C46" s="38" t="s">
        <v>19</v>
      </c>
      <c r="D46" s="42">
        <f>TRUNC(33501,-1)</f>
        <v>33500</v>
      </c>
      <c r="E46" s="64">
        <f t="shared" si="1"/>
        <v>110740</v>
      </c>
    </row>
    <row r="47" spans="1:7" x14ac:dyDescent="0.3">
      <c r="A47" s="2">
        <v>8</v>
      </c>
      <c r="C47" s="38" t="s">
        <v>20</v>
      </c>
      <c r="D47" s="42">
        <f>TRUNC(25442,-1)</f>
        <v>25440</v>
      </c>
      <c r="E47" s="64">
        <f t="shared" si="1"/>
        <v>84090</v>
      </c>
    </row>
    <row r="48" spans="1:7" x14ac:dyDescent="0.3">
      <c r="A48" s="2">
        <v>9</v>
      </c>
      <c r="C48" s="38" t="s">
        <v>21</v>
      </c>
      <c r="D48" s="42">
        <f>TRUNC(40459,-1)</f>
        <v>40450</v>
      </c>
      <c r="E48" s="64">
        <f t="shared" si="1"/>
        <v>133710</v>
      </c>
    </row>
    <row r="49" spans="1:7" x14ac:dyDescent="0.3">
      <c r="A49" s="2">
        <v>10</v>
      </c>
      <c r="C49" s="38" t="s">
        <v>22</v>
      </c>
      <c r="D49" s="42">
        <f>TRUNC(23367,-1)</f>
        <v>23360</v>
      </c>
      <c r="E49" s="64">
        <f t="shared" si="1"/>
        <v>77220</v>
      </c>
    </row>
    <row r="50" spans="1:7" x14ac:dyDescent="0.3">
      <c r="A50" s="2">
        <v>11</v>
      </c>
      <c r="C50" s="38" t="s">
        <v>155</v>
      </c>
      <c r="D50" s="42">
        <f>TRUNC(49236,-1)</f>
        <v>49230</v>
      </c>
      <c r="E50" s="64">
        <f t="shared" si="1"/>
        <v>162740</v>
      </c>
    </row>
    <row r="51" spans="1:7" x14ac:dyDescent="0.3">
      <c r="A51" s="2">
        <v>12</v>
      </c>
      <c r="C51" s="38" t="s">
        <v>23</v>
      </c>
      <c r="D51" s="42">
        <f>TRUNC(6602,-1)</f>
        <v>6600</v>
      </c>
      <c r="E51" s="64">
        <f t="shared" si="1"/>
        <v>21810</v>
      </c>
    </row>
    <row r="52" spans="1:7" x14ac:dyDescent="0.3">
      <c r="A52" s="2">
        <v>13</v>
      </c>
      <c r="C52" s="38" t="s">
        <v>24</v>
      </c>
      <c r="D52" s="42">
        <f>TRUNC(5965,-1)</f>
        <v>5960</v>
      </c>
      <c r="E52" s="64">
        <f t="shared" si="1"/>
        <v>19700</v>
      </c>
    </row>
    <row r="53" spans="1:7" x14ac:dyDescent="0.3">
      <c r="A53" s="2">
        <v>14</v>
      </c>
      <c r="C53" s="38" t="s">
        <v>25</v>
      </c>
      <c r="D53" s="42">
        <f>TRUNC(35410,-1)</f>
        <v>35410</v>
      </c>
      <c r="E53" s="64">
        <f t="shared" si="1"/>
        <v>117050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TRUNC(2298,-1)</f>
        <v>2290</v>
      </c>
      <c r="E55" s="64">
        <f t="shared" si="1"/>
        <v>7570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TRUNC(21901+5373,-1)</f>
        <v>27270</v>
      </c>
      <c r="E58" s="64">
        <f t="shared" si="1"/>
        <v>90140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f>TRUNC(185810.048892079,-1)</f>
        <v>185810</v>
      </c>
      <c r="E59" s="65">
        <f t="shared" si="1"/>
        <v>614250</v>
      </c>
    </row>
    <row r="60" spans="1:7" x14ac:dyDescent="0.3">
      <c r="A60" s="2">
        <v>21</v>
      </c>
      <c r="C60" s="27" t="s">
        <v>112</v>
      </c>
      <c r="D60" s="39">
        <f>SUM(D40:D59)</f>
        <v>737540</v>
      </c>
      <c r="E60" s="39">
        <f>SUM(E40:E59)</f>
        <v>2438060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235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TRUNC(26776,-1)</f>
        <v>26770</v>
      </c>
      <c r="E63" s="63">
        <f>TRUNC(+D63*3.3058,-1)</f>
        <v>88490</v>
      </c>
      <c r="F63" s="2" t="s">
        <v>250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26770</v>
      </c>
      <c r="E66" s="58">
        <f>SUM(E63:E65)</f>
        <v>88490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3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TRUNC(51375.5988158249,-1)</f>
        <v>51370</v>
      </c>
      <c r="E93" s="64">
        <f t="shared" si="2"/>
        <v>169810</v>
      </c>
    </row>
    <row r="94" spans="1:7" ht="17.25" thickBot="1" x14ac:dyDescent="0.35">
      <c r="A94" s="2">
        <v>26</v>
      </c>
      <c r="C94" s="38" t="s">
        <v>47</v>
      </c>
      <c r="D94" s="43">
        <f>TRUNC(87327,-1)</f>
        <v>87320</v>
      </c>
      <c r="E94" s="65">
        <f t="shared" si="2"/>
        <v>288660</v>
      </c>
    </row>
    <row r="95" spans="1:7" x14ac:dyDescent="0.3">
      <c r="A95" s="2">
        <v>27</v>
      </c>
      <c r="C95" s="27" t="s">
        <v>112</v>
      </c>
      <c r="D95" s="39">
        <f>SUM(D69:D94)</f>
        <v>138690</v>
      </c>
      <c r="E95" s="39">
        <f>SUM(E69:E94)</f>
        <v>458470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4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4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TRUNC(28791.0648605006,-1)</f>
        <v>28790</v>
      </c>
      <c r="E117" s="64">
        <f t="shared" si="3"/>
        <v>95170</v>
      </c>
    </row>
    <row r="118" spans="1:7" ht="17.25" thickBot="1" x14ac:dyDescent="0.35">
      <c r="A118" s="2">
        <v>21</v>
      </c>
      <c r="C118" s="38" t="s">
        <v>47</v>
      </c>
      <c r="D118" s="43">
        <f>TRUNC(94779,-1)</f>
        <v>94770</v>
      </c>
      <c r="E118" s="65">
        <f t="shared" si="3"/>
        <v>313290</v>
      </c>
    </row>
    <row r="119" spans="1:7" x14ac:dyDescent="0.3">
      <c r="A119" s="2">
        <v>22</v>
      </c>
      <c r="C119" s="27" t="s">
        <v>112</v>
      </c>
      <c r="D119" s="39">
        <f>SUM(D98:D118)</f>
        <v>123560</v>
      </c>
      <c r="E119" s="39">
        <f>SUM(E98:E118)</f>
        <v>408460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4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TRUNC(18418,-1)</f>
        <v>18410</v>
      </c>
      <c r="E132" s="65">
        <f t="shared" si="4"/>
        <v>60850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18410</v>
      </c>
      <c r="E133" s="39">
        <f>SUM(E122:E132)</f>
        <v>60850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TRUNC(156008,-1)</f>
        <v>156000</v>
      </c>
      <c r="E152" s="64">
        <f>TRUNC(+D152*3.3058,-1)</f>
        <v>515700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f>TRUNC(12219.2863550731,-1)</f>
        <v>12210</v>
      </c>
      <c r="E153" s="65">
        <f>TRUNC(+D153*3.3058,-1)</f>
        <v>40360</v>
      </c>
    </row>
    <row r="154" spans="1:7" x14ac:dyDescent="0.3">
      <c r="A154" s="2">
        <v>6</v>
      </c>
      <c r="C154" s="27" t="s">
        <v>112</v>
      </c>
      <c r="D154" s="39">
        <f>SUM(D149:D153)</f>
        <v>168210</v>
      </c>
      <c r="E154" s="39">
        <f>SUM(E149:E153)</f>
        <v>556060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2020-12-07T09:28:58Z</dcterms:modified>
</cp:coreProperties>
</file>