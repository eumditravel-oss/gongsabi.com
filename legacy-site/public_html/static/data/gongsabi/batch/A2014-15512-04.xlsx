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64" i="4"/>
  <c r="D58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7" i="4"/>
  <c r="E126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103" i="4"/>
  <c r="E101" i="4"/>
  <c r="E94" i="4"/>
  <c r="E91" i="4"/>
  <c r="E90" i="4"/>
  <c r="E88" i="4"/>
  <c r="E87" i="4"/>
  <c r="E86" i="4"/>
  <c r="E83" i="4"/>
  <c r="E82" i="4"/>
  <c r="E81" i="4"/>
  <c r="E80" i="4"/>
  <c r="E79" i="4"/>
  <c r="E76" i="4"/>
  <c r="E74" i="4"/>
  <c r="E65" i="4"/>
  <c r="E64" i="4"/>
  <c r="E63" i="4"/>
  <c r="E58" i="4"/>
  <c r="E57" i="4"/>
  <c r="E56" i="4"/>
  <c r="E54" i="4"/>
  <c r="E47" i="4"/>
  <c r="E146" i="4" l="1"/>
  <c r="E66" i="4"/>
  <c r="D132" i="4"/>
  <c r="E132" i="4" s="1"/>
  <c r="D131" i="4"/>
  <c r="E131" i="4" s="1"/>
  <c r="D130" i="4"/>
  <c r="E130" i="4" s="1"/>
  <c r="D128" i="4"/>
  <c r="E128" i="4" s="1"/>
  <c r="D125" i="4"/>
  <c r="E125" i="4" s="1"/>
  <c r="D122" i="4"/>
  <c r="E122" i="4" s="1"/>
  <c r="D117" i="4"/>
  <c r="E117" i="4" s="1"/>
  <c r="D118" i="4"/>
  <c r="E118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3" i="4"/>
  <c r="E93" i="4" s="1"/>
  <c r="D92" i="4"/>
  <c r="E92" i="4" s="1"/>
  <c r="D89" i="4"/>
  <c r="E89" i="4" s="1"/>
  <c r="D85" i="4"/>
  <c r="E85" i="4" s="1"/>
  <c r="D84" i="4"/>
  <c r="E84" i="4" s="1"/>
  <c r="D78" i="4"/>
  <c r="E78" i="4" s="1"/>
  <c r="D77" i="4"/>
  <c r="E77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159" i="4"/>
  <c r="E159" i="4" s="1"/>
  <c r="E161" i="4" s="1"/>
  <c r="D152" i="4"/>
  <c r="E152" i="4" s="1"/>
  <c r="E154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119" i="4" l="1"/>
  <c r="E133" i="4"/>
  <c r="E95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<sst xmlns="http://schemas.openxmlformats.org/spreadsheetml/2006/main" count="388" uniqueCount="263">
  <si>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</si>
  <si>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</si>
  <si>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</si>
  <si>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</si>
  <si>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</si>
  <si>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</si>
  <si>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</si>
  <si>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</si>
  <si>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</si>
  <si>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</si>
  <si>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</si>
  <si>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</si>
  <si>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</si>
  <si>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</si>
  <si>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</si>
  <si>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</si>
  <si>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</si>
  <si>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</si>
  <si>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</si>
  <si>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</si>
  <si>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</si>
  <si>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</si>
  <si>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</si>
  <si>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</si>
  <si>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</si>
  <si>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</si>
  <si>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</si>
  <si>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</si>
  <si>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</si>
  <si>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</si>
  <si>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</si>
  <si>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</si>
  <si>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</si>
  <si>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</si>
  <si>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</si>
  <si>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</si>
  <si>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</si>
  <si>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</si>
  <si>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</si>
  <si>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</si>
  <si>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</si>
  <si>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</si>
  <si>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</si>
  <si>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</si>
  <si>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</si>
  <si>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</si>
  <si>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</si>
  <si>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</si>
  <si>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</si>
  <si>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</si>
  <si>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</si>
  <si>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</si>
  <si>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</si>
  <si>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</si>
  <si>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</si>
  <si>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</si>
  <si>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</si>
  <si>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</si>
  <si>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</si>
  <si>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</si>
  <si>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</si>
  <si>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</si>
  <si>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</si>
  <si>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</si>
  <si>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</si>
  <si>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</si>
  <si>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</si>
  <si>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</si>
  <si>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</si>
  <si>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</si>
  <si>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</si>
  <si>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</si>
  <si>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</si>
  <si>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</si>
  <si>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</si>
  <si>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</si>
  <si>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</si>
  <si>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</si>
  <si>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</si>
  <si>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</si>
  <si>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</si>
  <si>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</si>
  <si>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</si>
  <si>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</si>
  <si>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</si>
  <si>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</si>
  <si>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</si>
  <si>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</si>
  <si>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</si>
  <si>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</si>
  <si>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</si>
  <si>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</si>
  <si>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</si>
  <si>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</si>
  <si>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</si>
  <si>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</si>
  <si>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</si>
  <si>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</si>
  <si>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</si>
  <si>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</si>
  <si>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</si>
  <si>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</si>
  <si>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</si>
  <si>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</si>
  <si>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</si>
  <si>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</si>
  <si>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</si>
  <si>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</si>
  <si>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</si>
  <si>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</si>
  <si>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</si>
  <si>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</si>
  <si>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</si>
  <si>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</si>
  <si>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</si>
  <si>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</si>
  <si>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</si>
  <si>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</si>
  <si>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</si>
  <si>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</si>
  <si>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</si>
  <si>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</si>
  <si>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</si>
  <si>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</si>
  <si>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</si>
  <si>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</si>
  <si>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</si>
  <si>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</si>
  <si>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</si>
  <si>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</si>
  <si>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</si>
  <si>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</si>
  <si>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</si>
  <si>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</si>
  <si>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</si>
  <si>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</si>
  <si>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</si>
  <si>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</si>
  <si>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</si>
  <si>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</si>
  <si>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</si>
  <si>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</si>
  <si>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</si>
  <si>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</si>
  <si>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</si>
  <si>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</si>
  <si>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</si>
  <si>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</si>
  <si>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</si>
  <si>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</si>
  <si>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</si>
  <si>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</si>
  <si>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</si>
  <si>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</si>
  <si>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</si>
  <si>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</si>
  <si>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</si>
  <si>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</si>
  <si>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</si>
  <si>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</si>
  <si>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</si>
  <si>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</si>
  <si>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</si>
  <si>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</si>
  <si>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</si>
  <si>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</si>
  <si>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</si>
  <si>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</si>
  <si>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</si>
  <si>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</si>
  <si>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</si>
  <si>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</si>
  <si>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</si>
  <si>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</si>
  <si>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</si>
  <si>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</si>
  <si>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</si>
  <si>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</si>
  <si>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</si>
  <si>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</si>
  <si>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</si>
  <si>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</si>
  <si>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</si>
  <si>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</si>
  <si>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</si>
  <si>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</si>
  <si>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</si>
  <si>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</si>
  <si>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</si>
  <si>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</si>
  <si>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</si>
  <si>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</si>
  <si>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</si>
  <si>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</si>
  <si>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</si>
  <si>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</si>
  <si>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</si>
  <si>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</si>
  <si>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</si>
  <si>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</si>
  <si>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</si>
  <si>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</si>
  <si>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</si>
  <si>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</si>
  <si>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</si>
  <si>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</si>
  <si>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</si>
  <si>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</si>
  <si>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</si>
  <si>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</si>
  <si>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</si>
  <si>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</si>
  <si>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</si>
  <si>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</si>
  <si>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</si>
  <si>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</si>
  <si>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</si>
  <si>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</si>
  <si>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</si>
  <si>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</si>
  <si>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</si>
  <si>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</si>
  <si>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</si>
  <si>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</si>
  <si>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</si>
  <si>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</si>
  <si>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</si>
  <si>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</si>
  <si>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</si>
  <si>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</si>
  <si>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</si>
  <si>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</si>
  <si>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</si>
  <si>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</si>
  <si>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</si>
  <si>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</si>
  <si>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</si>
  <si>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</si>
  <si>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</si>
  <si>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</si>
  <si>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</si>
  <si>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</si>
  <si>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</si>
  <si>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</si>
  <si>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</si>
  <si>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</si>
  <si>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</si>
  <si>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</si>
  <si>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00000000 표준공장 건축공사</t>
    <phoneticPr fontId="2" type="noConversion"/>
  </si>
  <si>
    <t>공장</t>
  </si>
  <si>
    <t>전라도</t>
  </si>
  <si>
    <t>부대토목공사</t>
    <phoneticPr fontId="2" type="noConversion"/>
  </si>
  <si>
    <t>부대조경공사</t>
    <phoneticPr fontId="2" type="noConversion"/>
  </si>
  <si>
    <t>원격검침공사,기타공사</t>
    <phoneticPr fontId="2" type="noConversion"/>
  </si>
  <si>
    <t>CCTV설비공사</t>
    <phoneticPr fontId="2" type="noConversion"/>
  </si>
  <si>
    <t>지정공사,데크플레이트공사,외장패널공사,잡공사,골재및운반비,품질시험비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</si>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</sst>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35149</v>
      </c>
      <c r="D7" s="36">
        <f>+C7/3.3058</f>
        <v>10632.524653639059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8460</v>
      </c>
      <c r="E24" s="58">
        <f t="shared" ref="E24:E33" si="0">TRUNC(+D24*3.3058,-1)</f>
        <v>27960</v>
      </c>
    </row>
    <row r="25" spans="1:5" x14ac:dyDescent="0.3">
      <c r="B25" s="2">
        <v>2</v>
      </c>
      <c r="C25" s="35" t="s">
        <v>111</v>
      </c>
      <c r="D25" s="45">
        <f>+D60</f>
        <v>509710</v>
      </c>
      <c r="E25" s="59">
        <f t="shared" si="0"/>
        <v>1684990</v>
      </c>
    </row>
    <row r="26" spans="1:5" x14ac:dyDescent="0.3">
      <c r="B26" s="2">
        <v>3</v>
      </c>
      <c r="C26" s="35" t="s">
        <v>95</v>
      </c>
      <c r="D26" s="45">
        <f>+D66</f>
        <v>25610</v>
      </c>
      <c r="E26" s="59">
        <f t="shared" si="0"/>
        <v>84660</v>
      </c>
    </row>
    <row r="27" spans="1:5" x14ac:dyDescent="0.3">
      <c r="B27" s="2">
        <v>4</v>
      </c>
      <c r="C27" s="35" t="s">
        <v>96</v>
      </c>
      <c r="D27" s="45">
        <f>+D95</f>
        <v>72180</v>
      </c>
      <c r="E27" s="59">
        <f t="shared" si="0"/>
        <v>238610</v>
      </c>
    </row>
    <row r="28" spans="1:5" x14ac:dyDescent="0.3">
      <c r="B28" s="2">
        <v>5</v>
      </c>
      <c r="C28" s="35" t="s">
        <v>97</v>
      </c>
      <c r="D28" s="45">
        <f>+D119</f>
        <v>83940</v>
      </c>
      <c r="E28" s="59">
        <f t="shared" si="0"/>
        <v>277480</v>
      </c>
    </row>
    <row r="29" spans="1:5" x14ac:dyDescent="0.3">
      <c r="B29" s="2">
        <v>6</v>
      </c>
      <c r="C29" s="35" t="s">
        <v>98</v>
      </c>
      <c r="D29" s="45">
        <f>+D133</f>
        <v>12560</v>
      </c>
      <c r="E29" s="59">
        <f t="shared" si="0"/>
        <v>41520</v>
      </c>
    </row>
    <row r="30" spans="1:5" x14ac:dyDescent="0.3">
      <c r="B30" s="2">
        <v>7</v>
      </c>
      <c r="C30" s="35" t="s">
        <v>99</v>
      </c>
      <c r="D30" s="45">
        <f>+D146</f>
        <v>22810</v>
      </c>
      <c r="E30" s="59">
        <f t="shared" si="0"/>
        <v>75400</v>
      </c>
    </row>
    <row r="31" spans="1:5" x14ac:dyDescent="0.3">
      <c r="B31" s="2">
        <v>8</v>
      </c>
      <c r="C31" s="35" t="s">
        <v>100</v>
      </c>
      <c r="D31" s="45">
        <f>+D154</f>
        <v>20790</v>
      </c>
      <c r="E31" s="59">
        <f t="shared" si="0"/>
        <v>68720</v>
      </c>
    </row>
    <row r="32" spans="1:5" x14ac:dyDescent="0.3">
      <c r="B32" s="2">
        <v>9</v>
      </c>
      <c r="C32" s="35" t="s">
        <v>101</v>
      </c>
      <c r="D32" s="45">
        <f>+D161</f>
        <v>6590</v>
      </c>
      <c r="E32" s="59">
        <f t="shared" si="0"/>
        <v>21780</v>
      </c>
    </row>
    <row r="33" spans="1:7" x14ac:dyDescent="0.3">
      <c r="B33" s="2">
        <v>10</v>
      </c>
      <c r="C33" s="35" t="s">
        <v>153</v>
      </c>
      <c r="D33" s="53">
        <f>TRUNC(SUM(D24:D32)*0.275,-1)</f>
        <v>209720</v>
      </c>
      <c r="E33" s="60">
        <f t="shared" si="0"/>
        <v>693290</v>
      </c>
    </row>
    <row r="34" spans="1:7" x14ac:dyDescent="0.3">
      <c r="C34" s="35" t="s">
        <v>112</v>
      </c>
      <c r="D34" s="44">
        <f>SUM(D24:D33)</f>
        <v>972370</v>
      </c>
      <c r="E34" s="44">
        <f>SUM(E24:E33)</f>
        <v>3214410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f>TRUNC(8466,-1)</f>
        <v>8460</v>
      </c>
      <c r="E37" s="61">
        <f>TRUNC(+D37*3.3058,-1)</f>
        <v>27960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TRUNC(35046,-1)</f>
        <v>35040</v>
      </c>
      <c r="E40" s="62">
        <f t="shared" ref="E40:E59" si="1">TRUNC(+D40*3.3058,-1)</f>
        <v>115830</v>
      </c>
    </row>
    <row r="41" spans="1:7" x14ac:dyDescent="0.3">
      <c r="A41" s="2">
        <v>2</v>
      </c>
      <c r="C41" s="38" t="s">
        <v>13</v>
      </c>
      <c r="D41" s="42">
        <f>TRUNC(80099,-1)</f>
        <v>80090</v>
      </c>
      <c r="E41" s="63">
        <f t="shared" si="1"/>
        <v>264760</v>
      </c>
    </row>
    <row r="42" spans="1:7" x14ac:dyDescent="0.3">
      <c r="A42" s="2">
        <v>3</v>
      </c>
      <c r="C42" s="38" t="s">
        <v>14</v>
      </c>
      <c r="D42" s="42">
        <f>TRUNC(827,-1)</f>
        <v>820</v>
      </c>
      <c r="E42" s="63">
        <f t="shared" si="1"/>
        <v>2710</v>
      </c>
    </row>
    <row r="43" spans="1:7" x14ac:dyDescent="0.3">
      <c r="A43" s="2">
        <v>4</v>
      </c>
      <c r="C43" s="38" t="s">
        <v>16</v>
      </c>
      <c r="D43" s="42">
        <f>TRUNC(5059,-1)</f>
        <v>5050</v>
      </c>
      <c r="E43" s="63">
        <f t="shared" si="1"/>
        <v>16690</v>
      </c>
    </row>
    <row r="44" spans="1:7" x14ac:dyDescent="0.3">
      <c r="A44" s="2">
        <v>5</v>
      </c>
      <c r="C44" s="38" t="s">
        <v>17</v>
      </c>
      <c r="D44" s="42">
        <f>TRUNC(17716,-1)</f>
        <v>17710</v>
      </c>
      <c r="E44" s="63">
        <f t="shared" si="1"/>
        <v>58540</v>
      </c>
    </row>
    <row r="45" spans="1:7" x14ac:dyDescent="0.3">
      <c r="A45" s="2">
        <v>6</v>
      </c>
      <c r="C45" s="38" t="s">
        <v>18</v>
      </c>
      <c r="D45" s="42">
        <f>TRUNC(3125,-1)</f>
        <v>3120</v>
      </c>
      <c r="E45" s="63">
        <f t="shared" si="1"/>
        <v>10310</v>
      </c>
    </row>
    <row r="46" spans="1:7" x14ac:dyDescent="0.3">
      <c r="A46" s="2">
        <v>7</v>
      </c>
      <c r="C46" s="38" t="s">
        <v>19</v>
      </c>
      <c r="D46" s="42">
        <f>TRUNC(5903,-1)</f>
        <v>5900</v>
      </c>
      <c r="E46" s="63">
        <f t="shared" si="1"/>
        <v>19500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TRUNC(6763,-1)</f>
        <v>6760</v>
      </c>
      <c r="E48" s="63">
        <f t="shared" si="1"/>
        <v>22340</v>
      </c>
    </row>
    <row r="49" spans="1:7" x14ac:dyDescent="0.3">
      <c r="A49" s="2">
        <v>10</v>
      </c>
      <c r="C49" s="38" t="s">
        <v>22</v>
      </c>
      <c r="D49" s="42">
        <f>TRUNC(11688,-1)</f>
        <v>11680</v>
      </c>
      <c r="E49" s="63">
        <f t="shared" si="1"/>
        <v>38610</v>
      </c>
    </row>
    <row r="50" spans="1:7" x14ac:dyDescent="0.3">
      <c r="A50" s="2">
        <v>11</v>
      </c>
      <c r="C50" s="38" t="s">
        <v>154</v>
      </c>
      <c r="D50" s="42">
        <f>TRUNC(5415,-1)</f>
        <v>5410</v>
      </c>
      <c r="E50" s="63">
        <f t="shared" si="1"/>
        <v>17880</v>
      </c>
    </row>
    <row r="51" spans="1:7" x14ac:dyDescent="0.3">
      <c r="A51" s="2">
        <v>12</v>
      </c>
      <c r="C51" s="38" t="s">
        <v>23</v>
      </c>
      <c r="D51" s="42">
        <f>TRUNC(5326,-1)</f>
        <v>5320</v>
      </c>
      <c r="E51" s="63">
        <f t="shared" si="1"/>
        <v>17580</v>
      </c>
    </row>
    <row r="52" spans="1:7" x14ac:dyDescent="0.3">
      <c r="A52" s="2">
        <v>13</v>
      </c>
      <c r="C52" s="38" t="s">
        <v>24</v>
      </c>
      <c r="D52" s="42">
        <f>TRUNC(4721,-1)</f>
        <v>4720</v>
      </c>
      <c r="E52" s="63">
        <f t="shared" si="1"/>
        <v>15600</v>
      </c>
    </row>
    <row r="53" spans="1:7" x14ac:dyDescent="0.3">
      <c r="A53" s="2">
        <v>14</v>
      </c>
      <c r="C53" s="38" t="s">
        <v>25</v>
      </c>
      <c r="D53" s="42">
        <f>TRUNC(17288,-1)</f>
        <v>17280</v>
      </c>
      <c r="E53" s="63">
        <f t="shared" si="1"/>
        <v>57120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TRUNC(1620,-1)</f>
        <v>1620</v>
      </c>
      <c r="E55" s="63">
        <f t="shared" si="1"/>
        <v>5350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TRUNC(2018+3015+29272+1882+2912+76,-1)</f>
        <v>39170</v>
      </c>
      <c r="E58" s="63">
        <f t="shared" si="1"/>
        <v>129480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TRUNC(270024,-1)</f>
        <v>270020</v>
      </c>
      <c r="E59" s="64">
        <f t="shared" si="1"/>
        <v>892630</v>
      </c>
    </row>
    <row r="60" spans="1:7" x14ac:dyDescent="0.3">
      <c r="A60" s="2">
        <v>21</v>
      </c>
      <c r="C60" s="27" t="s">
        <v>112</v>
      </c>
      <c r="D60" s="39">
        <f>SUM(D40:D59)</f>
        <v>509710</v>
      </c>
      <c r="E60" s="39">
        <f>SUM(E40:E59)</f>
        <v>1684930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TRUNC(25611,-1)</f>
        <v>25610</v>
      </c>
      <c r="E64" s="63">
        <f>TRUNC(+D64*3.3058,-1)</f>
        <v>84660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25610</v>
      </c>
      <c r="E66" s="65">
        <f>SUM(E63:E65)</f>
        <v>84660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f>TRUNC(1671,-1)</f>
        <v>1670</v>
      </c>
      <c r="E69" s="62">
        <f t="shared" ref="E69:E94" si="2">TRUNC(+D69*3.3058,-1)</f>
        <v>5520</v>
      </c>
    </row>
    <row r="70" spans="1:7" ht="16.5" customHeight="1" x14ac:dyDescent="0.3">
      <c r="A70" s="2">
        <v>2</v>
      </c>
      <c r="C70" s="38" t="s">
        <v>31</v>
      </c>
      <c r="D70" s="42">
        <f>TRUNC(694,-1)</f>
        <v>690</v>
      </c>
      <c r="E70" s="63">
        <f t="shared" si="2"/>
        <v>2280</v>
      </c>
    </row>
    <row r="71" spans="1:7" x14ac:dyDescent="0.3">
      <c r="A71" s="2">
        <v>3</v>
      </c>
      <c r="C71" s="38" t="s">
        <v>32</v>
      </c>
      <c r="D71" s="42">
        <f>TRUNC(1050,-1)</f>
        <v>1050</v>
      </c>
      <c r="E71" s="63">
        <f t="shared" si="2"/>
        <v>3470</v>
      </c>
    </row>
    <row r="72" spans="1:7" x14ac:dyDescent="0.3">
      <c r="A72" s="2">
        <v>4</v>
      </c>
      <c r="C72" s="38" t="s">
        <v>33</v>
      </c>
      <c r="D72" s="42">
        <f>TRUNC(5455,-1)</f>
        <v>5450</v>
      </c>
      <c r="E72" s="63">
        <f t="shared" si="2"/>
        <v>18010</v>
      </c>
    </row>
    <row r="73" spans="1:7" x14ac:dyDescent="0.3">
      <c r="A73" s="2">
        <v>5</v>
      </c>
      <c r="C73" s="38" t="s">
        <v>34</v>
      </c>
      <c r="D73" s="42">
        <f>TRUNC(5572,-1)</f>
        <v>5570</v>
      </c>
      <c r="E73" s="63">
        <f t="shared" si="2"/>
        <v>18410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TRUNC(48,-1)</f>
        <v>40</v>
      </c>
      <c r="E75" s="63">
        <f t="shared" si="2"/>
        <v>130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TRUNC(18208,-1)</f>
        <v>18200</v>
      </c>
      <c r="E77" s="63">
        <f t="shared" si="2"/>
        <v>60160</v>
      </c>
    </row>
    <row r="78" spans="1:7" x14ac:dyDescent="0.3">
      <c r="A78" s="2">
        <v>10</v>
      </c>
      <c r="C78" s="38" t="s">
        <v>137</v>
      </c>
      <c r="D78" s="42">
        <f>TRUNC(2560,-1)</f>
        <v>2560</v>
      </c>
      <c r="E78" s="63">
        <f t="shared" si="2"/>
        <v>8460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TRUNC(324,-1)</f>
        <v>320</v>
      </c>
      <c r="E84" s="63">
        <f t="shared" si="2"/>
        <v>1050</v>
      </c>
    </row>
    <row r="85" spans="1:7" x14ac:dyDescent="0.3">
      <c r="A85" s="2">
        <v>17</v>
      </c>
      <c r="C85" s="38" t="s">
        <v>123</v>
      </c>
      <c r="D85" s="42">
        <f>TRUNC(439,-1)</f>
        <v>430</v>
      </c>
      <c r="E85" s="63">
        <f t="shared" si="2"/>
        <v>1420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TRUNC(2130,-1)</f>
        <v>2130</v>
      </c>
      <c r="E89" s="63">
        <f t="shared" si="2"/>
        <v>7040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TRUNC(3409,-1)</f>
        <v>3400</v>
      </c>
      <c r="E92" s="63">
        <f t="shared" si="2"/>
        <v>11230</v>
      </c>
    </row>
    <row r="93" spans="1:7" x14ac:dyDescent="0.3">
      <c r="A93" s="2">
        <v>25</v>
      </c>
      <c r="C93" s="38" t="s">
        <v>148</v>
      </c>
      <c r="D93" s="42">
        <f>TRUNC(30678,-1)</f>
        <v>30670</v>
      </c>
      <c r="E93" s="63">
        <f t="shared" si="2"/>
        <v>101380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72180</v>
      </c>
      <c r="E95" s="39">
        <f>SUM(E69:E94)</f>
        <v>238560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f>TRUNC(23516,-1)</f>
        <v>23510</v>
      </c>
      <c r="E98" s="62">
        <f t="shared" ref="E98:E118" si="3">TRUNC(+D98*3.3058,-1)</f>
        <v>77710</v>
      </c>
    </row>
    <row r="99" spans="1:7" x14ac:dyDescent="0.3">
      <c r="A99" s="2">
        <v>2</v>
      </c>
      <c r="C99" s="38" t="s">
        <v>40</v>
      </c>
      <c r="D99" s="42">
        <f>TRUNC(2515,-1)</f>
        <v>2510</v>
      </c>
      <c r="E99" s="63">
        <f t="shared" si="3"/>
        <v>8290</v>
      </c>
    </row>
    <row r="100" spans="1:7" x14ac:dyDescent="0.3">
      <c r="A100" s="2">
        <v>3</v>
      </c>
      <c r="C100" s="38" t="s">
        <v>41</v>
      </c>
      <c r="D100" s="42">
        <f>TRUNC(15316,-1)</f>
        <v>15310</v>
      </c>
      <c r="E100" s="63">
        <f t="shared" si="3"/>
        <v>50610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TRUNC(1259,-1)</f>
        <v>1250</v>
      </c>
      <c r="E102" s="63">
        <f t="shared" si="3"/>
        <v>4130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TRUNC(2136,-1)</f>
        <v>2130</v>
      </c>
      <c r="E104" s="63">
        <f t="shared" si="3"/>
        <v>7040</v>
      </c>
    </row>
    <row r="105" spans="1:7" x14ac:dyDescent="0.3">
      <c r="A105" s="2">
        <v>8</v>
      </c>
      <c r="C105" s="38" t="s">
        <v>46</v>
      </c>
      <c r="D105" s="42">
        <f>TRUNC(1618,-1)</f>
        <v>1610</v>
      </c>
      <c r="E105" s="63">
        <f t="shared" si="3"/>
        <v>5320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TRUNC(1675,-1)</f>
        <v>1670</v>
      </c>
      <c r="E114" s="63">
        <f t="shared" si="3"/>
        <v>5520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TRUNC(32892,-1)</f>
        <v>32890</v>
      </c>
      <c r="E117" s="63">
        <f t="shared" si="3"/>
        <v>108720</v>
      </c>
    </row>
    <row r="118" spans="1:7" ht="17.25" thickBot="1" x14ac:dyDescent="0.35">
      <c r="A118" s="2">
        <v>21</v>
      </c>
      <c r="C118" s="38" t="s">
        <v>47</v>
      </c>
      <c r="D118" s="43">
        <f>TRUNC(1559+1509,-1)</f>
        <v>3060</v>
      </c>
      <c r="E118" s="64">
        <f t="shared" si="3"/>
        <v>10110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83940</v>
      </c>
      <c r="E119" s="39">
        <f>SUM(E98:E118)</f>
        <v>277450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f>TRUNC(1122,-1)</f>
        <v>1120</v>
      </c>
      <c r="E122" s="62">
        <f t="shared" ref="E122:E132" si="4">TRUNC(+D122*3.3058,-1)</f>
        <v>3700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TRUNC(2708,-1)</f>
        <v>2700</v>
      </c>
      <c r="E125" s="63">
        <f t="shared" si="4"/>
        <v>8920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TRUNC(378,-1)</f>
        <v>370</v>
      </c>
      <c r="E128" s="63">
        <f t="shared" si="4"/>
        <v>1220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TRUNC(5200,-1)</f>
        <v>5200</v>
      </c>
      <c r="E130" s="63">
        <f t="shared" si="4"/>
        <v>17190</v>
      </c>
    </row>
    <row r="131" spans="1:7" x14ac:dyDescent="0.3">
      <c r="A131" s="2">
        <v>10</v>
      </c>
      <c r="C131" s="38" t="s">
        <v>148</v>
      </c>
      <c r="D131" s="42">
        <f>TRUNC(2122,-1)</f>
        <v>2120</v>
      </c>
      <c r="E131" s="63">
        <f t="shared" si="4"/>
        <v>7000</v>
      </c>
    </row>
    <row r="132" spans="1:7" ht="18" thickBot="1" x14ac:dyDescent="0.35">
      <c r="A132" s="2">
        <v>11</v>
      </c>
      <c r="C132" s="38" t="s">
        <v>47</v>
      </c>
      <c r="D132" s="43">
        <f>TRUNC(1057,-1)</f>
        <v>1050</v>
      </c>
      <c r="E132" s="64">
        <f t="shared" si="4"/>
        <v>3470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12560</v>
      </c>
      <c r="E133" s="39">
        <f>SUM(E122:E132)</f>
        <v>41500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f>TRUNC(12437,-1)</f>
        <v>12430</v>
      </c>
      <c r="E136" s="62">
        <f t="shared" ref="E136:E145" si="5">TRUNC(+D136*3.3058,-1)</f>
        <v>41090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f>TRUNC(10381,-1)</f>
        <v>10380</v>
      </c>
      <c r="E137" s="63">
        <f t="shared" si="5"/>
        <v>34310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22810</v>
      </c>
      <c r="E146" s="39">
        <f>SUM(E136:E145)</f>
        <v>75400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TRUNC(20791,-1)</f>
        <v>20790</v>
      </c>
      <c r="E152" s="63">
        <f>TRUNC(+D152*3.3058,-1)</f>
        <v>68720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20790</v>
      </c>
      <c r="E154" s="39">
        <f>SUM(E149:E153)</f>
        <v>68720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TRUNC(6591,-1)</f>
        <v>6590</v>
      </c>
      <c r="E159" s="63">
        <f>TRUNC(+D159*3.3058,-1)</f>
        <v>21780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6590</v>
      </c>
      <c r="E161" s="39">
        <f>SUM(E157:E160)</f>
        <v>21780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2020-12-07T09:53:41Z</dcterms:modified>
</cp:coreProperties>
</file>