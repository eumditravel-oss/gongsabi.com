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37" i="4"/>
  <c r="D144" i="4"/>
  <c r="D143" i="4"/>
  <c r="D139" i="4"/>
  <c r="D141" i="4"/>
  <c r="D142" i="4"/>
  <c r="D140" i="4"/>
  <c r="D128" i="4"/>
  <c r="D127" i="4"/>
  <c r="D132" i="4"/>
  <c r="D124" i="4"/>
  <c r="D125" i="4"/>
  <c r="D122" i="4"/>
  <c r="D126" i="4"/>
  <c r="D117" i="4"/>
  <c r="D118" i="4"/>
  <c r="D105" i="4"/>
  <c r="D104" i="4"/>
  <c r="D103" i="4"/>
  <c r="D102" i="4"/>
  <c r="D101" i="4"/>
  <c r="D100" i="4"/>
  <c r="D99" i="4"/>
  <c r="D114" i="4"/>
  <c r="D98" i="4"/>
  <c r="D93" i="4"/>
  <c r="D94" i="4"/>
  <c r="D76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3" i="4"/>
  <c r="D131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95" i="4"/>
  <c r="E60" i="4"/>
  <c r="E133" i="4"/>
  <c r="E119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<sst xmlns="http://schemas.openxmlformats.org/spreadsheetml/2006/main" count="392" uniqueCount="267">
  <si>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</si>
  <si>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</si>
  <si>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</si>
  <si>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</si>
  <si>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</si>
  <si>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</si>
  <si>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</si>
  <si>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</si>
  <si>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</si>
  <si>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</si>
  <si>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</si>
  <si>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</si>
  <si>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</si>
  <si>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</si>
  <si>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</si>
  <si>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</si>
  <si>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</si>
  <si>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</si>
  <si>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</si>
  <si>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</si>
  <si>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</si>
  <si>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</si>
  <si>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</si>
  <si>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</si>
  <si>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</si>
  <si>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</si>
  <si>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</si>
  <si>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</si>
  <si>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</si>
  <si>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</si>
  <si>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</si>
  <si>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</si>
  <si>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</si>
  <si>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</si>
  <si>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</si>
  <si>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</si>
  <si>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</si>
  <si>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</si>
  <si>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</si>
  <si>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</si>
  <si>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</si>
  <si>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</si>
  <si>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</si>
  <si>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</si>
  <si>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</si>
  <si>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</si>
  <si>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</si>
  <si>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</si>
  <si>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</si>
  <si>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</si>
  <si>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</si>
  <si>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</si>
  <si>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</si>
  <si>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</si>
  <si>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</si>
  <si>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</si>
  <si>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</si>
  <si>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</si>
  <si>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</si>
  <si>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</si>
  <si>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</si>
  <si>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</si>
  <si>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</si>
  <si>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</si>
  <si>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</si>
  <si>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</si>
  <si>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</si>
  <si>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</si>
  <si>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</si>
  <si>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</si>
  <si>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</si>
  <si>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</si>
  <si>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</si>
  <si>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</si>
  <si>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</si>
  <si>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</si>
  <si>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</si>
  <si>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</si>
  <si>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</si>
  <si>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</si>
  <si>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</si>
  <si>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</si>
  <si>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</si>
  <si>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</si>
  <si>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</si>
  <si>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</si>
  <si>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</si>
  <si>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</si>
  <si>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</si>
  <si>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</si>
  <si>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</si>
  <si>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</si>
  <si>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</si>
  <si>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</si>
  <si>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</si>
  <si>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</si>
  <si>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</si>
  <si>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</si>
  <si>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</si>
  <si>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</si>
  <si>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</si>
  <si>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</si>
  <si>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</si>
  <si>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</si>
  <si>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</si>
  <si>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</si>
  <si>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</si>
  <si>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</si>
  <si>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</si>
  <si>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</si>
  <si>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</si>
  <si>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</si>
  <si>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</si>
  <si>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</si>
  <si>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</si>
  <si>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</si>
  <si>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</si>
  <si>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</si>
  <si>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</si>
  <si>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</si>
  <si>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</si>
  <si>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</si>
  <si>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</si>
  <si>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</si>
  <si>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</si>
  <si>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</si>
  <si>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</si>
  <si>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</si>
  <si>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</si>
  <si>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</si>
  <si>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</si>
  <si>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</si>
  <si>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</si>
  <si>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</si>
  <si>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</si>
  <si>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</si>
  <si>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</si>
  <si>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</si>
  <si>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</si>
  <si>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</si>
  <si>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</si>
  <si>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</si>
  <si>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</si>
  <si>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</si>
  <si>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</si>
  <si>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</si>
  <si>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</si>
  <si>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</si>
  <si>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</si>
  <si>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</si>
  <si>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</si>
  <si>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</si>
  <si>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</si>
  <si>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</si>
  <si>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</si>
  <si>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</si>
  <si>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</si>
  <si>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</si>
  <si>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</si>
  <si>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</si>
  <si>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</si>
  <si>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</si>
  <si>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</si>
  <si>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</si>
  <si>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</si>
  <si>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</si>
  <si>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</si>
  <si>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</si>
  <si>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</si>
  <si>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</si>
  <si>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</si>
  <si>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</si>
  <si>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</si>
  <si>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</si>
  <si>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</si>
  <si>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</si>
  <si>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</si>
  <si>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</si>
  <si>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</si>
  <si>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</si>
  <si>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</si>
  <si>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</si>
  <si>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</si>
  <si>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</si>
  <si>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</si>
  <si>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</si>
  <si>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</si>
  <si>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</si>
  <si>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</si>
  <si>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</si>
  <si>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</si>
  <si>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</si>
  <si>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</si>
  <si>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</si>
  <si>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</si>
  <si>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</si>
  <si>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</si>
  <si>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</si>
  <si>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</si>
  <si>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</si>
  <si>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</si>
  <si>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</si>
  <si>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</si>
  <si>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</si>
  <si>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</si>
  <si>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</si>
  <si>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</si>
  <si>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</si>
  <si>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</si>
  <si>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</si>
  <si>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</si>
  <si>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</si>
  <si>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</si>
  <si>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</si>
  <si>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</si>
  <si>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</si>
  <si>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</si>
  <si>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</si>
  <si>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</si>
  <si>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</si>
  <si>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</si>
  <si>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</si>
  <si>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</si>
  <si>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</si>
  <si>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</si>
  <si>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</si>
  <si>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</si>
  <si>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</si>
  <si>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</si>
  <si>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</si>
  <si>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</si>
  <si>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</si>
  <si>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</si>
  <si>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</si>
  <si>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</si>
  <si>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</si>
  <si>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</si>
  <si>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</si>
  <si>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</si>
  <si>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</si>
  <si>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</si>
  <si>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</si>
  <si>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</si>
  <si>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</si>
  <si>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</si>
  <si>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</si>
  <si>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</si>
  <si>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</si>
  <si>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(가칭)대소원2초중학교 신축공사(계속비공사)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</si>
  <si>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</si>
  <si>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</si>
  <si>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</si>
  <si>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</si>
  <si>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</si>
  <si>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</si>
  <si>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</si>
  <si>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</si>
  <si>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</si>
  <si>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</si>
  <si>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</si>
  <si>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</si>
  <si>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난방배관공사,기타공사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</si>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</sst>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13005.58</v>
      </c>
      <c r="D7" s="36">
        <f>+C7/3.3058</f>
        <v>3934.1702462338917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813530</v>
      </c>
      <c r="E25" s="59">
        <f t="shared" si="0"/>
        <v>2689360</v>
      </c>
    </row>
    <row r="26" spans="1:5" x14ac:dyDescent="0.3">
      <c r="B26" s="2">
        <v>3</v>
      </c>
      <c r="C26" s="35" t="s">
        <v>95</v>
      </c>
      <c r="D26" s="45">
        <f>+D66</f>
        <v>7820</v>
      </c>
      <c r="E26" s="59">
        <f t="shared" si="0"/>
        <v>25850</v>
      </c>
    </row>
    <row r="27" spans="1:5" x14ac:dyDescent="0.3">
      <c r="B27" s="2">
        <v>4</v>
      </c>
      <c r="C27" s="35" t="s">
        <v>96</v>
      </c>
      <c r="D27" s="45">
        <f>+D95</f>
        <v>177660</v>
      </c>
      <c r="E27" s="59">
        <f t="shared" si="0"/>
        <v>587300</v>
      </c>
    </row>
    <row r="28" spans="1:5" x14ac:dyDescent="0.3">
      <c r="B28" s="2">
        <v>5</v>
      </c>
      <c r="C28" s="35" t="s">
        <v>97</v>
      </c>
      <c r="D28" s="45">
        <f>+D119</f>
        <v>160770</v>
      </c>
      <c r="E28" s="59">
        <f t="shared" si="0"/>
        <v>531470</v>
      </c>
    </row>
    <row r="29" spans="1:5" x14ac:dyDescent="0.3">
      <c r="B29" s="2">
        <v>6</v>
      </c>
      <c r="C29" s="35" t="s">
        <v>98</v>
      </c>
      <c r="D29" s="45">
        <f>+D133</f>
        <v>53430</v>
      </c>
      <c r="E29" s="59">
        <f t="shared" si="0"/>
        <v>176620</v>
      </c>
    </row>
    <row r="30" spans="1:5" x14ac:dyDescent="0.3">
      <c r="B30" s="2">
        <v>7</v>
      </c>
      <c r="C30" s="35" t="s">
        <v>99</v>
      </c>
      <c r="D30" s="45">
        <f>+D146</f>
        <v>38310</v>
      </c>
      <c r="E30" s="59">
        <f t="shared" si="0"/>
        <v>126640</v>
      </c>
    </row>
    <row r="31" spans="1:5" x14ac:dyDescent="0.3">
      <c r="B31" s="2">
        <v>8</v>
      </c>
      <c r="C31" s="35" t="s">
        <v>100</v>
      </c>
      <c r="D31" s="45">
        <f>+D154</f>
        <v>67760</v>
      </c>
      <c r="E31" s="59">
        <f t="shared" si="0"/>
        <v>224000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362800</v>
      </c>
      <c r="E33" s="60">
        <f t="shared" si="0"/>
        <v>1199340</v>
      </c>
    </row>
    <row r="34" spans="1:7" x14ac:dyDescent="0.3">
      <c r="C34" s="35" t="s">
        <v>112</v>
      </c>
      <c r="D34" s="44">
        <f>SUM(D24:D33)</f>
        <v>1682080</v>
      </c>
      <c r="E34" s="44">
        <f>SUM(E24:E33)</f>
        <v>5560580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TRUNC(39719,-1)</f>
        <v>39710</v>
      </c>
      <c r="E40" s="62">
        <f t="shared" ref="E40:E59" si="1">TRUNC(+D40*3.3058,-1)</f>
        <v>131270</v>
      </c>
    </row>
    <row r="41" spans="1:7" x14ac:dyDescent="0.3">
      <c r="A41" s="2">
        <v>2</v>
      </c>
      <c r="C41" s="38" t="s">
        <v>13</v>
      </c>
      <c r="D41" s="42">
        <f>TRUNC(135382,-1)</f>
        <v>135380</v>
      </c>
      <c r="E41" s="63">
        <f t="shared" si="1"/>
        <v>447530</v>
      </c>
    </row>
    <row r="42" spans="1:7" x14ac:dyDescent="0.3">
      <c r="A42" s="2">
        <v>3</v>
      </c>
      <c r="C42" s="38" t="s">
        <v>14</v>
      </c>
      <c r="D42" s="42">
        <f>TRUNC(11070,-1)</f>
        <v>11070</v>
      </c>
      <c r="E42" s="63">
        <f t="shared" si="1"/>
        <v>36590</v>
      </c>
    </row>
    <row r="43" spans="1:7" x14ac:dyDescent="0.3">
      <c r="A43" s="2">
        <v>4</v>
      </c>
      <c r="C43" s="38" t="s">
        <v>16</v>
      </c>
      <c r="D43" s="42">
        <f>TRUNC(25806,-1)</f>
        <v>25800</v>
      </c>
      <c r="E43" s="63">
        <f t="shared" si="1"/>
        <v>85280</v>
      </c>
    </row>
    <row r="44" spans="1:7" x14ac:dyDescent="0.3">
      <c r="A44" s="2">
        <v>5</v>
      </c>
      <c r="C44" s="38" t="s">
        <v>17</v>
      </c>
      <c r="D44" s="42">
        <f>TRUNC(23314,-1)</f>
        <v>23310</v>
      </c>
      <c r="E44" s="63">
        <f t="shared" si="1"/>
        <v>77050</v>
      </c>
    </row>
    <row r="45" spans="1:7" x14ac:dyDescent="0.3">
      <c r="A45" s="2">
        <v>6</v>
      </c>
      <c r="C45" s="38" t="s">
        <v>18</v>
      </c>
      <c r="D45" s="42">
        <f>TRUNC(7927,-1)</f>
        <v>7920</v>
      </c>
      <c r="E45" s="63">
        <f t="shared" si="1"/>
        <v>26180</v>
      </c>
    </row>
    <row r="46" spans="1:7" x14ac:dyDescent="0.3">
      <c r="A46" s="2">
        <v>7</v>
      </c>
      <c r="C46" s="38" t="s">
        <v>19</v>
      </c>
      <c r="D46" s="42">
        <f>TRUNC(20035,-1)</f>
        <v>20030</v>
      </c>
      <c r="E46" s="63">
        <f t="shared" si="1"/>
        <v>66210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TRUNC(45912,-1)</f>
        <v>45910</v>
      </c>
      <c r="E48" s="63">
        <f t="shared" si="1"/>
        <v>151760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TRUNC(16323,-1)</f>
        <v>16320</v>
      </c>
      <c r="E49" s="63">
        <f t="shared" si="1"/>
        <v>53950</v>
      </c>
    </row>
    <row r="50" spans="1:7" x14ac:dyDescent="0.3">
      <c r="A50" s="2">
        <v>11</v>
      </c>
      <c r="C50" s="38" t="s">
        <v>155</v>
      </c>
      <c r="D50" s="42">
        <f>TRUNC(54120,-1)</f>
        <v>54120</v>
      </c>
      <c r="E50" s="63">
        <f t="shared" si="1"/>
        <v>178900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TRUNC(7524,-1)</f>
        <v>7520</v>
      </c>
      <c r="E52" s="63">
        <f t="shared" si="1"/>
        <v>24850</v>
      </c>
    </row>
    <row r="53" spans="1:7" x14ac:dyDescent="0.3">
      <c r="A53" s="2">
        <v>14</v>
      </c>
      <c r="C53" s="38" t="s">
        <v>25</v>
      </c>
      <c r="D53" s="42">
        <f>TRUNC(94091,-1)</f>
        <v>94090</v>
      </c>
      <c r="E53" s="63">
        <f t="shared" si="1"/>
        <v>311040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TRUNC(32802+3633-893+1664+7263,-1)</f>
        <v>44460</v>
      </c>
      <c r="E58" s="63">
        <f t="shared" si="1"/>
        <v>146970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TRUNC(287892,-1)</f>
        <v>287890</v>
      </c>
      <c r="E59" s="64">
        <f t="shared" si="1"/>
        <v>951700</v>
      </c>
    </row>
    <row r="60" spans="1:7" x14ac:dyDescent="0.3">
      <c r="A60" s="2">
        <v>21</v>
      </c>
      <c r="C60" s="27" t="s">
        <v>112</v>
      </c>
      <c r="D60" s="39">
        <f>SUM(D40:D59)</f>
        <v>813530</v>
      </c>
      <c r="E60" s="39">
        <f>SUM(E40:E59)</f>
        <v>2689280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TRUNC(7820,-1)</f>
        <v>7820</v>
      </c>
      <c r="E63" s="62">
        <f>TRUNC(+D63*3.3058,-1)</f>
        <v>25850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7820</v>
      </c>
      <c r="E66" s="65">
        <f>SUM(E63:E65)</f>
        <v>25850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TRUNC(10205,-1)</f>
        <v>10200</v>
      </c>
      <c r="E69" s="62">
        <f t="shared" ref="E69:E94" si="2">TRUNC(+D69*3.3058,-1)</f>
        <v>33710</v>
      </c>
    </row>
    <row r="70" spans="1:7" ht="16.5" customHeight="1" x14ac:dyDescent="0.3">
      <c r="A70" s="2">
        <v>2</v>
      </c>
      <c r="C70" s="38" t="s">
        <v>31</v>
      </c>
      <c r="D70" s="42">
        <f>TRUNC(1154,-1)</f>
        <v>1150</v>
      </c>
      <c r="E70" s="63">
        <f t="shared" si="2"/>
        <v>3800</v>
      </c>
    </row>
    <row r="71" spans="1:7" x14ac:dyDescent="0.3">
      <c r="A71" s="2">
        <v>3</v>
      </c>
      <c r="C71" s="38" t="s">
        <v>32</v>
      </c>
      <c r="D71" s="42">
        <f>TRUNC(7497,-1)</f>
        <v>7490</v>
      </c>
      <c r="E71" s="63">
        <f t="shared" si="2"/>
        <v>24760</v>
      </c>
    </row>
    <row r="72" spans="1:7" x14ac:dyDescent="0.3">
      <c r="A72" s="2">
        <v>4</v>
      </c>
      <c r="C72" s="38" t="s">
        <v>33</v>
      </c>
      <c r="D72" s="42">
        <f>TRUNC(3544,-1)</f>
        <v>3540</v>
      </c>
      <c r="E72" s="63">
        <f t="shared" si="2"/>
        <v>11700</v>
      </c>
    </row>
    <row r="73" spans="1:7" x14ac:dyDescent="0.3">
      <c r="A73" s="2">
        <v>5</v>
      </c>
      <c r="C73" s="38" t="s">
        <v>34</v>
      </c>
      <c r="D73" s="42">
        <f>TRUNC(11386,-1)</f>
        <v>11380</v>
      </c>
      <c r="E73" s="63">
        <f t="shared" si="2"/>
        <v>37620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TRUNC(21599,-1)</f>
        <v>21590</v>
      </c>
      <c r="E76" s="63">
        <f t="shared" si="2"/>
        <v>71370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TRUNC(6133,-1)</f>
        <v>6130</v>
      </c>
      <c r="E89" s="63">
        <f t="shared" si="2"/>
        <v>20260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TRUNC(4112,-1)</f>
        <v>4110</v>
      </c>
      <c r="E91" s="63">
        <f t="shared" si="2"/>
        <v>13580</v>
      </c>
    </row>
    <row r="92" spans="1:7" x14ac:dyDescent="0.3">
      <c r="A92" s="2">
        <v>24</v>
      </c>
      <c r="C92" s="38" t="s">
        <v>38</v>
      </c>
      <c r="D92" s="42">
        <f>TRUNC(11501,-1)</f>
        <v>11500</v>
      </c>
      <c r="E92" s="63">
        <f t="shared" si="2"/>
        <v>38010</v>
      </c>
    </row>
    <row r="93" spans="1:7" x14ac:dyDescent="0.3">
      <c r="A93" s="2">
        <v>25</v>
      </c>
      <c r="C93" s="38" t="s">
        <v>148</v>
      </c>
      <c r="D93" s="42">
        <f>TRUNC(96660,-1)</f>
        <v>96660</v>
      </c>
      <c r="E93" s="63">
        <f t="shared" si="2"/>
        <v>319530</v>
      </c>
    </row>
    <row r="94" spans="1:7" ht="17.25" thickBot="1" x14ac:dyDescent="0.35">
      <c r="A94" s="2">
        <v>26</v>
      </c>
      <c r="C94" s="38" t="s">
        <v>47</v>
      </c>
      <c r="D94" s="43">
        <f>TRUNC(123+3790,-1)</f>
        <v>3910</v>
      </c>
      <c r="E94" s="64">
        <f t="shared" si="2"/>
        <v>12920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177660</v>
      </c>
      <c r="E95" s="39">
        <f>SUM(E69:E94)</f>
        <v>587260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TRUNC(8921,-1)</f>
        <v>8920</v>
      </c>
      <c r="E98" s="62">
        <f t="shared" ref="E98:E118" si="3">TRUNC(+D98*3.3058,-1)</f>
        <v>29480</v>
      </c>
    </row>
    <row r="99" spans="1:7" x14ac:dyDescent="0.3">
      <c r="A99" s="2">
        <v>2</v>
      </c>
      <c r="C99" s="38" t="s">
        <v>40</v>
      </c>
      <c r="D99" s="42">
        <f>TRUNC(3446,-1)</f>
        <v>3440</v>
      </c>
      <c r="E99" s="63">
        <f t="shared" si="3"/>
        <v>11370</v>
      </c>
    </row>
    <row r="100" spans="1:7" x14ac:dyDescent="0.3">
      <c r="A100" s="2">
        <v>3</v>
      </c>
      <c r="C100" s="38" t="s">
        <v>41</v>
      </c>
      <c r="D100" s="42">
        <f>TRUNC(26882,-1)</f>
        <v>26880</v>
      </c>
      <c r="E100" s="63">
        <f t="shared" si="3"/>
        <v>88850</v>
      </c>
    </row>
    <row r="101" spans="1:7" x14ac:dyDescent="0.3">
      <c r="A101" s="2">
        <v>4</v>
      </c>
      <c r="C101" s="38" t="s">
        <v>42</v>
      </c>
      <c r="D101" s="42">
        <f>TRUNC(186,-1)</f>
        <v>180</v>
      </c>
      <c r="E101" s="63">
        <f t="shared" si="3"/>
        <v>590</v>
      </c>
    </row>
    <row r="102" spans="1:7" x14ac:dyDescent="0.3">
      <c r="A102" s="2">
        <v>5</v>
      </c>
      <c r="C102" s="38" t="s">
        <v>43</v>
      </c>
      <c r="D102" s="42">
        <f>TRUNC(18269,-1)</f>
        <v>18260</v>
      </c>
      <c r="E102" s="63">
        <f t="shared" si="3"/>
        <v>60360</v>
      </c>
    </row>
    <row r="103" spans="1:7" x14ac:dyDescent="0.3">
      <c r="A103" s="2">
        <v>6</v>
      </c>
      <c r="C103" s="38" t="s">
        <v>44</v>
      </c>
      <c r="D103" s="42">
        <f>TRUNC(4555,-1)</f>
        <v>4550</v>
      </c>
      <c r="E103" s="63">
        <f t="shared" si="3"/>
        <v>15040</v>
      </c>
    </row>
    <row r="104" spans="1:7" x14ac:dyDescent="0.3">
      <c r="A104" s="2">
        <v>7</v>
      </c>
      <c r="C104" s="38" t="s">
        <v>45</v>
      </c>
      <c r="D104" s="42">
        <f>TRUNC(2216,-1)</f>
        <v>2210</v>
      </c>
      <c r="E104" s="63">
        <f t="shared" si="3"/>
        <v>7300</v>
      </c>
    </row>
    <row r="105" spans="1:7" x14ac:dyDescent="0.3">
      <c r="A105" s="2">
        <v>8</v>
      </c>
      <c r="C105" s="38" t="s">
        <v>46</v>
      </c>
      <c r="D105" s="42">
        <f>TRUNC(8384,-1)</f>
        <v>8380</v>
      </c>
      <c r="E105" s="63">
        <f t="shared" si="3"/>
        <v>27700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TRUNC(4524,-1)</f>
        <v>4520</v>
      </c>
      <c r="E114" s="63">
        <f t="shared" si="3"/>
        <v>14940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TRUNC(82810,-1)</f>
        <v>82810</v>
      </c>
      <c r="E117" s="63">
        <f t="shared" si="3"/>
        <v>273750</v>
      </c>
    </row>
    <row r="118" spans="1:7" ht="17.25" thickBot="1" x14ac:dyDescent="0.35">
      <c r="A118" s="2">
        <v>21</v>
      </c>
      <c r="C118" s="38" t="s">
        <v>47</v>
      </c>
      <c r="D118" s="43">
        <f>TRUNC(625,-1)</f>
        <v>620</v>
      </c>
      <c r="E118" s="64">
        <f t="shared" si="3"/>
        <v>2040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160770</v>
      </c>
      <c r="E119" s="39">
        <f>SUM(E98:E118)</f>
        <v>531420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TRUNC(17236,-1)</f>
        <v>17230</v>
      </c>
      <c r="E122" s="62">
        <f t="shared" ref="E122:E132" si="4">TRUNC(+D122*3.3058,-1)</f>
        <v>56950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TRUNC(845,-1)</f>
        <v>840</v>
      </c>
      <c r="E124" s="63">
        <f t="shared" si="4"/>
        <v>2770</v>
      </c>
    </row>
    <row r="125" spans="1:7" x14ac:dyDescent="0.3">
      <c r="A125" s="2">
        <v>4</v>
      </c>
      <c r="C125" s="38" t="s">
        <v>138</v>
      </c>
      <c r="D125" s="42">
        <f>TRUNC(6430,-1)</f>
        <v>6430</v>
      </c>
      <c r="E125" s="63">
        <f t="shared" si="4"/>
        <v>21250</v>
      </c>
    </row>
    <row r="126" spans="1:7" x14ac:dyDescent="0.3">
      <c r="A126" s="2">
        <v>5</v>
      </c>
      <c r="C126" s="38" t="s">
        <v>53</v>
      </c>
      <c r="D126" s="42">
        <f>TRUNC(2182,-1)</f>
        <v>2180</v>
      </c>
      <c r="E126" s="63">
        <f t="shared" si="4"/>
        <v>7200</v>
      </c>
    </row>
    <row r="127" spans="1:7" x14ac:dyDescent="0.3">
      <c r="A127" s="2">
        <v>6</v>
      </c>
      <c r="C127" s="38" t="s">
        <v>56</v>
      </c>
      <c r="D127" s="42">
        <f>TRUNC(1569,-1)</f>
        <v>1560</v>
      </c>
      <c r="E127" s="63">
        <f t="shared" si="4"/>
        <v>5150</v>
      </c>
    </row>
    <row r="128" spans="1:7" x14ac:dyDescent="0.3">
      <c r="A128" s="2">
        <v>7</v>
      </c>
      <c r="C128" s="38" t="s">
        <v>46</v>
      </c>
      <c r="D128" s="42">
        <f>TRUNC(6331,-1)</f>
        <v>6330</v>
      </c>
      <c r="E128" s="63">
        <f t="shared" si="4"/>
        <v>20920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TRUNC(18441,-1)</f>
        <v>18440</v>
      </c>
      <c r="E131" s="63">
        <f t="shared" si="4"/>
        <v>60950</v>
      </c>
    </row>
    <row r="132" spans="1:7" ht="18" thickBot="1" x14ac:dyDescent="0.35">
      <c r="A132" s="2">
        <v>11</v>
      </c>
      <c r="C132" s="38" t="s">
        <v>47</v>
      </c>
      <c r="D132" s="43">
        <f>TRUNC(449-20,-1)</f>
        <v>420</v>
      </c>
      <c r="E132" s="64">
        <f t="shared" si="4"/>
        <v>1380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53430</v>
      </c>
      <c r="E133" s="39">
        <f>SUM(E122:E132)</f>
        <v>176570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TRUNC(2260,-1)</f>
        <v>2260</v>
      </c>
      <c r="E137" s="63">
        <f t="shared" si="5"/>
        <v>7470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TRUNC(1746,-1)</f>
        <v>1740</v>
      </c>
      <c r="E139" s="63">
        <f t="shared" si="5"/>
        <v>5750</v>
      </c>
    </row>
    <row r="140" spans="1:7" x14ac:dyDescent="0.3">
      <c r="A140" s="2">
        <v>5</v>
      </c>
      <c r="C140" s="38" t="s">
        <v>57</v>
      </c>
      <c r="D140" s="42">
        <f>TRUNC(4330,-1)</f>
        <v>4330</v>
      </c>
      <c r="E140" s="63">
        <f t="shared" si="5"/>
        <v>14310</v>
      </c>
    </row>
    <row r="141" spans="1:7" x14ac:dyDescent="0.3">
      <c r="A141" s="2">
        <v>6</v>
      </c>
      <c r="C141" s="38" t="s">
        <v>59</v>
      </c>
      <c r="D141" s="42">
        <f>TRUNC(2678,-1)</f>
        <v>2670</v>
      </c>
      <c r="E141" s="63">
        <f t="shared" si="5"/>
        <v>8820</v>
      </c>
    </row>
    <row r="142" spans="1:7" x14ac:dyDescent="0.3">
      <c r="A142" s="2">
        <v>7</v>
      </c>
      <c r="C142" s="38" t="s">
        <v>58</v>
      </c>
      <c r="D142" s="42">
        <f>TRUNC(9753,-1)</f>
        <v>9750</v>
      </c>
      <c r="E142" s="63">
        <f t="shared" si="5"/>
        <v>32230</v>
      </c>
    </row>
    <row r="143" spans="1:7" x14ac:dyDescent="0.3">
      <c r="A143" s="2">
        <v>8</v>
      </c>
      <c r="C143" s="38" t="s">
        <v>62</v>
      </c>
      <c r="D143" s="42">
        <f>TRUNC(13194,-1)</f>
        <v>13190</v>
      </c>
      <c r="E143" s="63">
        <f t="shared" si="5"/>
        <v>43600</v>
      </c>
    </row>
    <row r="144" spans="1:7" x14ac:dyDescent="0.3">
      <c r="A144" s="2">
        <v>9</v>
      </c>
      <c r="C144" s="38" t="s">
        <v>63</v>
      </c>
      <c r="D144" s="42">
        <f>TRUNC(4375,-1)</f>
        <v>4370</v>
      </c>
      <c r="E144" s="63">
        <f t="shared" si="5"/>
        <v>14440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38310</v>
      </c>
      <c r="E146" s="39">
        <f>SUM(E136:E145)</f>
        <v>126620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TRUNC(7838+3257,-1)</f>
        <v>11090</v>
      </c>
      <c r="E149" s="62">
        <f>TRUNC(+D149*3.3058,-1)</f>
        <v>36660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TRUNC(9987,-1)</f>
        <v>9980</v>
      </c>
      <c r="E150" s="63">
        <f>TRUNC(+D150*3.3058,-1)</f>
        <v>32990</v>
      </c>
    </row>
    <row r="151" spans="1:7" x14ac:dyDescent="0.3">
      <c r="A151" s="2">
        <v>3</v>
      </c>
      <c r="C151" s="38" t="s">
        <v>50</v>
      </c>
      <c r="D151" s="42">
        <f>TRUNC(12467,-1)</f>
        <v>12460</v>
      </c>
      <c r="E151" s="63">
        <f>TRUNC(+D151*3.3058,-1)</f>
        <v>41190</v>
      </c>
    </row>
    <row r="152" spans="1:7" x14ac:dyDescent="0.3">
      <c r="A152" s="2">
        <v>4</v>
      </c>
      <c r="C152" s="38" t="s">
        <v>47</v>
      </c>
      <c r="D152" s="42">
        <f>TRUNC(139+1566+147+745,-1)</f>
        <v>2590</v>
      </c>
      <c r="E152" s="63">
        <f>TRUNC(+D152*3.3058,-1)</f>
        <v>8560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TRUNC(31645,-1)</f>
        <v>31640</v>
      </c>
      <c r="E153" s="64">
        <f>TRUNC(+D153*3.3058,-1)</f>
        <v>104590</v>
      </c>
    </row>
    <row r="154" spans="1:7" x14ac:dyDescent="0.3">
      <c r="A154" s="2">
        <v>6</v>
      </c>
      <c r="C154" s="27" t="s">
        <v>112</v>
      </c>
      <c r="D154" s="39">
        <f>SUM(D149:D153)</f>
        <v>67760</v>
      </c>
      <c r="E154" s="39">
        <f>SUM(E149:E153)</f>
        <v>223990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2020-12-08T03:59:02Z</dcterms:modified>
</cp:coreProperties>
</file>