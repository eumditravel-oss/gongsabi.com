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3" i="4"/>
  <c r="E145" i="4"/>
  <c r="E141" i="4"/>
  <c r="E138" i="4"/>
  <c r="E136" i="4"/>
  <c r="E129" i="4"/>
  <c r="E127" i="4"/>
  <c r="E126" i="4"/>
  <c r="E123" i="4"/>
  <c r="E116" i="4"/>
  <c r="E113" i="4"/>
  <c r="E112" i="4"/>
  <c r="E111" i="4"/>
  <c r="E110" i="4"/>
  <c r="E109" i="4"/>
  <c r="E108" i="4"/>
  <c r="E107" i="4"/>
  <c r="E106" i="4"/>
  <c r="E94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1" i="4"/>
  <c r="E65" i="4"/>
  <c r="E64" i="4"/>
  <c r="E57" i="4"/>
  <c r="E56" i="4"/>
  <c r="E55" i="4"/>
  <c r="E54" i="4"/>
  <c r="E51" i="4"/>
  <c r="E47" i="4"/>
  <c r="E37" i="4"/>
  <c r="D144" i="4" l="1"/>
  <c r="E144" i="4" s="1"/>
  <c r="D143" i="4"/>
  <c r="E143" i="4" s="1"/>
  <c r="D142" i="4"/>
  <c r="E142" i="4" s="1"/>
  <c r="D140" i="4"/>
  <c r="E140" i="4" s="1"/>
  <c r="D139" i="4"/>
  <c r="E139" i="4" s="1"/>
  <c r="E146" i="4" s="1"/>
  <c r="D137" i="4"/>
  <c r="E137" i="4" s="1"/>
  <c r="D130" i="4"/>
  <c r="E130" i="4" s="1"/>
  <c r="D128" i="4"/>
  <c r="E128" i="4" s="1"/>
  <c r="D125" i="4"/>
  <c r="E125" i="4" s="1"/>
  <c r="E133" i="4" s="1"/>
  <c r="D124" i="4"/>
  <c r="E124" i="4" s="1"/>
  <c r="D122" i="4"/>
  <c r="E122" i="4" s="1"/>
  <c r="D118" i="4"/>
  <c r="E118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70" i="4"/>
  <c r="E70" i="4" s="1"/>
  <c r="D69" i="4"/>
  <c r="E69" i="4" s="1"/>
  <c r="E95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59" i="4"/>
  <c r="E59" i="4" s="1"/>
  <c r="D93" i="4"/>
  <c r="E93" i="4" s="1"/>
  <c r="D117" i="4"/>
  <c r="E117" i="4" s="1"/>
  <c r="D131" i="4"/>
  <c r="E131" i="4" s="1"/>
  <c r="D159" i="4"/>
  <c r="E159" i="4" s="1"/>
  <c r="D158" i="4"/>
  <c r="E158" i="4" s="1"/>
  <c r="D157" i="4"/>
  <c r="E157" i="4" s="1"/>
  <c r="D152" i="4"/>
  <c r="E152" i="4" s="1"/>
  <c r="D151" i="4"/>
  <c r="E151" i="4" s="1"/>
  <c r="D150" i="4"/>
  <c r="E150" i="4" s="1"/>
  <c r="D149" i="4"/>
  <c r="E149" i="4" s="1"/>
  <c r="D132" i="4"/>
  <c r="E132" i="4" s="1"/>
  <c r="D63" i="4"/>
  <c r="E63" i="4" s="1"/>
  <c r="E66" i="4" s="1"/>
  <c r="D58" i="4"/>
  <c r="E58" i="4" s="1"/>
  <c r="D41" i="4"/>
  <c r="E41" i="4" s="1"/>
  <c r="D40" i="4"/>
  <c r="E40" i="4" s="1"/>
  <c r="E161" i="4" l="1"/>
  <c r="E60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<sst xmlns="http://schemas.openxmlformats.org/spreadsheetml/2006/main" count="390" uniqueCount="265">
  <si>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</si>
  <si>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</si>
  <si>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</si>
  <si>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</si>
  <si>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</si>
  <si>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</si>
  <si>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</si>
  <si>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</si>
  <si>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</si>
  <si>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</si>
  <si>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</si>
  <si>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</si>
  <si>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</si>
  <si>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</si>
  <si>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</si>
  <si>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</si>
  <si>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</si>
  <si>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</si>
  <si>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</si>
  <si>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</si>
  <si>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</si>
  <si>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</si>
  <si>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</si>
  <si>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</si>
  <si>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</si>
  <si>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</si>
  <si>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</si>
  <si>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</si>
  <si>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</si>
  <si>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</si>
  <si>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</si>
  <si>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</si>
  <si>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</si>
  <si>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</si>
  <si>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</si>
  <si>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</si>
  <si>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</si>
  <si>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</si>
  <si>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</si>
  <si>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</si>
  <si>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</si>
  <si>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</si>
  <si>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</si>
  <si>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</si>
  <si>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</si>
  <si>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</si>
  <si>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</si>
  <si>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</si>
  <si>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</si>
  <si>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</si>
  <si>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</si>
  <si>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</si>
  <si>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</si>
  <si>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</si>
  <si>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</si>
  <si>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</si>
  <si>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</si>
  <si>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</si>
  <si>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</si>
  <si>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</si>
  <si>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</si>
  <si>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</si>
  <si>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</si>
  <si>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</si>
  <si>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</si>
  <si>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</si>
  <si>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</si>
  <si>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</si>
  <si>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</si>
  <si>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</si>
  <si>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</si>
  <si>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</si>
  <si>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</si>
  <si>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</si>
  <si>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</si>
  <si>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</si>
  <si>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</si>
  <si>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</si>
  <si>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</si>
  <si>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</si>
  <si>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</si>
  <si>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</si>
  <si>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</si>
  <si>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</si>
  <si>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</si>
  <si>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</si>
  <si>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</si>
  <si>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</si>
  <si>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</si>
  <si>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</si>
  <si>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</si>
  <si>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</si>
  <si>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</si>
  <si>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</si>
  <si>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</si>
  <si>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</si>
  <si>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</si>
  <si>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</si>
  <si>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</si>
  <si>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</si>
  <si>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</si>
  <si>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</si>
  <si>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</si>
  <si>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</si>
  <si>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</si>
  <si>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</si>
  <si>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</si>
  <si>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</si>
  <si>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</si>
  <si>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</si>
  <si>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</si>
  <si>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</si>
  <si>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</si>
  <si>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</si>
  <si>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</si>
  <si>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</si>
  <si>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</si>
  <si>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</si>
  <si>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</si>
  <si>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</si>
  <si>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</si>
  <si>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</si>
  <si>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</si>
  <si>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</si>
  <si>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</si>
  <si>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</si>
  <si>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</si>
  <si>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</si>
  <si>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</si>
  <si>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</si>
  <si>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</si>
  <si>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</si>
  <si>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</si>
  <si>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</si>
  <si>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</si>
  <si>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</si>
  <si>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</si>
  <si>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</si>
  <si>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</si>
  <si>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</si>
  <si>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</si>
  <si>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</si>
  <si>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</si>
  <si>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</si>
  <si>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</si>
  <si>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</si>
  <si>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</si>
  <si>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</si>
  <si>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</si>
  <si>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</si>
  <si>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</si>
  <si>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</si>
  <si>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</si>
  <si>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</si>
  <si>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</si>
  <si>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</si>
  <si>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</si>
  <si>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</si>
  <si>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</si>
  <si>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</si>
  <si>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</si>
  <si>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</si>
  <si>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</si>
  <si>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</si>
  <si>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</si>
  <si>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</si>
  <si>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</si>
  <si>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</si>
  <si>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</si>
  <si>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</si>
  <si>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</si>
  <si>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</si>
  <si>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</si>
  <si>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</si>
  <si>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</si>
  <si>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</si>
  <si>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</si>
  <si>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</si>
  <si>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</si>
  <si>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</si>
  <si>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</si>
  <si>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</si>
  <si>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</si>
  <si>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</si>
  <si>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</si>
  <si>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</si>
  <si>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</si>
  <si>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</si>
  <si>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</si>
  <si>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</si>
  <si>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</si>
  <si>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</si>
  <si>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</si>
  <si>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</si>
  <si>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</si>
  <si>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</si>
  <si>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</si>
  <si>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</si>
  <si>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</si>
  <si>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</si>
  <si>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</si>
  <si>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</si>
  <si>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</si>
  <si>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</si>
  <si>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</si>
  <si>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</si>
  <si>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</si>
  <si>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</si>
  <si>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</si>
  <si>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</si>
  <si>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</si>
  <si>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</si>
  <si>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</si>
  <si>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</si>
  <si>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</si>
  <si>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</si>
  <si>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</si>
  <si>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</si>
  <si>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</si>
  <si>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</si>
  <si>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</si>
  <si>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</si>
  <si>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</si>
  <si>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</si>
  <si>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</si>
  <si>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</si>
  <si>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</si>
  <si>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</si>
  <si>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</si>
  <si>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</si>
  <si>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</si>
  <si>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</si>
  <si>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</si>
  <si>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</si>
  <si>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</si>
  <si>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</si>
  <si>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</si>
  <si>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</si>
  <si>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</si>
  <si>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</si>
  <si>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</si>
  <si>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</si>
  <si>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</si>
  <si>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</si>
  <si>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</si>
  <si>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</si>
  <si>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</si>
  <si>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</si>
  <si>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</si>
  <si>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</si>
  <si>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새움유·초등학교 신축공사</t>
    <phoneticPr fontId="2" type="noConversion"/>
  </si>
  <si>
    <t>교육연구</t>
  </si>
  <si>
    <t>창호및유리공사</t>
    <phoneticPr fontId="2" type="noConversion"/>
  </si>
  <si>
    <t>기초공사,골재비및운반비,작업부산물,기타공사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</si>
  <si>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</si>
  <si>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</si>
  <si>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</si>
  <si>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포장공사</t>
    <phoneticPr fontId="2" type="noConversion"/>
  </si>
  <si>
    <t>세종시</t>
  </si>
  <si>
    <t>원/ m2</t>
  </si>
  <si>
    <t>원 /평</t>
  </si>
  <si>
    <t>바닥난방공사, 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</si>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</sst>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19588.169999999998</v>
      </c>
      <c r="D7" s="36">
        <f>+C7/3.3058</f>
        <v>5925.3947607235759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663360</v>
      </c>
      <c r="E25" s="59">
        <f t="shared" si="0"/>
        <v>2192930</v>
      </c>
    </row>
    <row r="26" spans="1:5" x14ac:dyDescent="0.3">
      <c r="B26" s="2">
        <v>3</v>
      </c>
      <c r="C26" s="35" t="s">
        <v>95</v>
      </c>
      <c r="D26" s="45">
        <f>+D66</f>
        <v>2780</v>
      </c>
      <c r="E26" s="59">
        <f t="shared" si="0"/>
        <v>9190</v>
      </c>
    </row>
    <row r="27" spans="1:5" x14ac:dyDescent="0.3">
      <c r="B27" s="2">
        <v>4</v>
      </c>
      <c r="C27" s="35" t="s">
        <v>96</v>
      </c>
      <c r="D27" s="45">
        <f>+D95</f>
        <v>166010</v>
      </c>
      <c r="E27" s="59">
        <f t="shared" si="0"/>
        <v>548790</v>
      </c>
    </row>
    <row r="28" spans="1:5" x14ac:dyDescent="0.3">
      <c r="B28" s="2">
        <v>5</v>
      </c>
      <c r="C28" s="35" t="s">
        <v>97</v>
      </c>
      <c r="D28" s="45">
        <f>+D119</f>
        <v>140450</v>
      </c>
      <c r="E28" s="59">
        <f t="shared" si="0"/>
        <v>464290</v>
      </c>
    </row>
    <row r="29" spans="1:5" x14ac:dyDescent="0.3">
      <c r="B29" s="2">
        <v>6</v>
      </c>
      <c r="C29" s="35" t="s">
        <v>98</v>
      </c>
      <c r="D29" s="45">
        <f>+D133</f>
        <v>51360</v>
      </c>
      <c r="E29" s="59">
        <f t="shared" si="0"/>
        <v>169780</v>
      </c>
    </row>
    <row r="30" spans="1:5" x14ac:dyDescent="0.3">
      <c r="B30" s="2">
        <v>7</v>
      </c>
      <c r="C30" s="35" t="s">
        <v>99</v>
      </c>
      <c r="D30" s="45">
        <f>+D146</f>
        <v>42770</v>
      </c>
      <c r="E30" s="59">
        <f t="shared" si="0"/>
        <v>141380</v>
      </c>
    </row>
    <row r="31" spans="1:5" x14ac:dyDescent="0.3">
      <c r="B31" s="2">
        <v>8</v>
      </c>
      <c r="C31" s="35" t="s">
        <v>100</v>
      </c>
      <c r="D31" s="45">
        <f>+D154</f>
        <v>14420</v>
      </c>
      <c r="E31" s="59">
        <f t="shared" si="0"/>
        <v>47660</v>
      </c>
    </row>
    <row r="32" spans="1:5" x14ac:dyDescent="0.3">
      <c r="B32" s="2">
        <v>9</v>
      </c>
      <c r="C32" s="35" t="s">
        <v>101</v>
      </c>
      <c r="D32" s="45">
        <f>+D161</f>
        <v>17200</v>
      </c>
      <c r="E32" s="59">
        <f t="shared" si="0"/>
        <v>56850</v>
      </c>
    </row>
    <row r="33" spans="1:7" x14ac:dyDescent="0.3">
      <c r="B33" s="2">
        <v>10</v>
      </c>
      <c r="C33" s="35" t="s">
        <v>153</v>
      </c>
      <c r="D33" s="53">
        <f>TRUNC(SUM(D24:D32)*0.275,-1)</f>
        <v>302040</v>
      </c>
      <c r="E33" s="60">
        <f t="shared" si="0"/>
        <v>998480</v>
      </c>
    </row>
    <row r="34" spans="1:7" x14ac:dyDescent="0.3">
      <c r="C34" s="35" t="s">
        <v>112</v>
      </c>
      <c r="D34" s="44">
        <f>SUM(D24:D33)</f>
        <v>1400390</v>
      </c>
      <c r="E34" s="44">
        <f>SUM(E24:E33)</f>
        <v>4629350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TRUNC(44420,-1)</f>
        <v>44420</v>
      </c>
      <c r="E40" s="62">
        <f t="shared" ref="E40:E59" si="1">TRUNC(+D40*3.3058,-1)</f>
        <v>146840</v>
      </c>
    </row>
    <row r="41" spans="1:7" x14ac:dyDescent="0.3">
      <c r="A41" s="2">
        <v>2</v>
      </c>
      <c r="C41" s="38" t="s">
        <v>13</v>
      </c>
      <c r="D41" s="42">
        <f>TRUNC(140782,-1)</f>
        <v>140780</v>
      </c>
      <c r="E41" s="63">
        <f t="shared" si="1"/>
        <v>465390</v>
      </c>
    </row>
    <row r="42" spans="1:7" x14ac:dyDescent="0.3">
      <c r="A42" s="2">
        <v>3</v>
      </c>
      <c r="C42" s="38" t="s">
        <v>14</v>
      </c>
      <c r="D42" s="42">
        <f>TRUNC(5026,-1)</f>
        <v>5020</v>
      </c>
      <c r="E42" s="63">
        <f t="shared" si="1"/>
        <v>16590</v>
      </c>
    </row>
    <row r="43" spans="1:7" x14ac:dyDescent="0.3">
      <c r="A43" s="2">
        <v>4</v>
      </c>
      <c r="C43" s="38" t="s">
        <v>16</v>
      </c>
      <c r="D43" s="42">
        <f>TRUNC(34418,-1)</f>
        <v>34410</v>
      </c>
      <c r="E43" s="63">
        <f t="shared" si="1"/>
        <v>113750</v>
      </c>
    </row>
    <row r="44" spans="1:7" x14ac:dyDescent="0.3">
      <c r="A44" s="2">
        <v>5</v>
      </c>
      <c r="C44" s="38" t="s">
        <v>17</v>
      </c>
      <c r="D44" s="42">
        <f>TRUNC(19967,-1)</f>
        <v>19960</v>
      </c>
      <c r="E44" s="63">
        <f t="shared" si="1"/>
        <v>65980</v>
      </c>
    </row>
    <row r="45" spans="1:7" x14ac:dyDescent="0.3">
      <c r="A45" s="2">
        <v>6</v>
      </c>
      <c r="C45" s="38" t="s">
        <v>18</v>
      </c>
      <c r="D45" s="42">
        <f>TRUNC(7814,-1)</f>
        <v>7810</v>
      </c>
      <c r="E45" s="63">
        <f t="shared" si="1"/>
        <v>25810</v>
      </c>
    </row>
    <row r="46" spans="1:7" x14ac:dyDescent="0.3">
      <c r="A46" s="2">
        <v>7</v>
      </c>
      <c r="C46" s="38" t="s">
        <v>19</v>
      </c>
      <c r="D46" s="42">
        <f>TRUNC(24627,-1)</f>
        <v>24620</v>
      </c>
      <c r="E46" s="63">
        <f t="shared" si="1"/>
        <v>81380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TRUNC(26473,-1)</f>
        <v>26470</v>
      </c>
      <c r="E48" s="63">
        <f t="shared" si="1"/>
        <v>87500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TRUNC(21909,-1)</f>
        <v>21900</v>
      </c>
      <c r="E49" s="63">
        <f t="shared" si="1"/>
        <v>72390</v>
      </c>
    </row>
    <row r="50" spans="1:7" x14ac:dyDescent="0.3">
      <c r="A50" s="2">
        <v>11</v>
      </c>
      <c r="C50" s="38" t="s">
        <v>154</v>
      </c>
      <c r="D50" s="42">
        <f>TRUNC(24421,-1)</f>
        <v>24420</v>
      </c>
      <c r="E50" s="63">
        <f t="shared" si="1"/>
        <v>80720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TRUNC(9966,-1)</f>
        <v>9960</v>
      </c>
      <c r="E52" s="63">
        <f t="shared" si="1"/>
        <v>32920</v>
      </c>
    </row>
    <row r="53" spans="1:7" x14ac:dyDescent="0.3">
      <c r="A53" s="2">
        <v>14</v>
      </c>
      <c r="C53" s="38" t="s">
        <v>25</v>
      </c>
      <c r="D53" s="42">
        <f>TRUNC(53492,-1)</f>
        <v>53490</v>
      </c>
      <c r="E53" s="63">
        <f t="shared" si="1"/>
        <v>176820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TRUNC(15164+6514-492+7296,-1)</f>
        <v>28480</v>
      </c>
      <c r="E58" s="63">
        <f t="shared" si="1"/>
        <v>94140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TRUNC(221629,-1)</f>
        <v>221620</v>
      </c>
      <c r="E59" s="64">
        <f t="shared" si="1"/>
        <v>732630</v>
      </c>
    </row>
    <row r="60" spans="1:7" x14ac:dyDescent="0.3">
      <c r="A60" s="2">
        <v>21</v>
      </c>
      <c r="C60" s="27" t="s">
        <v>112</v>
      </c>
      <c r="D60" s="39">
        <f>SUM(D40:D59)</f>
        <v>663360</v>
      </c>
      <c r="E60" s="39">
        <f>SUM(E40:E59)</f>
        <v>2192860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TRUNC(2783,-1)</f>
        <v>2780</v>
      </c>
      <c r="E63" s="62">
        <f>TRUNC(+D63*3.3058,-1)</f>
        <v>9190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2780</v>
      </c>
      <c r="E66" s="65">
        <f>SUM(E63:E65)</f>
        <v>9190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TRUNC(8286,-1)</f>
        <v>8280</v>
      </c>
      <c r="E69" s="62">
        <f t="shared" ref="E69:E94" si="2">TRUNC(+D69*3.3058,-1)</f>
        <v>27370</v>
      </c>
    </row>
    <row r="70" spans="1:7" ht="16.5" customHeight="1" x14ac:dyDescent="0.3">
      <c r="A70" s="2">
        <v>2</v>
      </c>
      <c r="C70" s="38" t="s">
        <v>31</v>
      </c>
      <c r="D70" s="42">
        <f>TRUNC(1182,-1)</f>
        <v>1180</v>
      </c>
      <c r="E70" s="63">
        <f t="shared" si="2"/>
        <v>3900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TRUNC(1944,-1)</f>
        <v>1940</v>
      </c>
      <c r="E72" s="63">
        <f t="shared" si="2"/>
        <v>6410</v>
      </c>
    </row>
    <row r="73" spans="1:7" x14ac:dyDescent="0.3">
      <c r="A73" s="2">
        <v>5</v>
      </c>
      <c r="C73" s="38" t="s">
        <v>34</v>
      </c>
      <c r="D73" s="42">
        <f>TRUNC(14738,-1)</f>
        <v>14730</v>
      </c>
      <c r="E73" s="63">
        <f t="shared" si="2"/>
        <v>48690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TRUNC(30737,-1)</f>
        <v>30730</v>
      </c>
      <c r="E76" s="63">
        <f t="shared" si="2"/>
        <v>101580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TRUNC(6474,-1)</f>
        <v>6470</v>
      </c>
      <c r="E89" s="63">
        <f t="shared" si="2"/>
        <v>21380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TRUNC(4138,-1)</f>
        <v>4130</v>
      </c>
      <c r="E91" s="63">
        <f t="shared" si="2"/>
        <v>13650</v>
      </c>
    </row>
    <row r="92" spans="1:7" x14ac:dyDescent="0.3">
      <c r="A92" s="2">
        <v>24</v>
      </c>
      <c r="C92" s="38" t="s">
        <v>38</v>
      </c>
      <c r="D92" s="42">
        <f>TRUNC(8041,-1)</f>
        <v>8040</v>
      </c>
      <c r="E92" s="63">
        <f t="shared" si="2"/>
        <v>26570</v>
      </c>
    </row>
    <row r="93" spans="1:7" x14ac:dyDescent="0.3">
      <c r="A93" s="2">
        <v>25</v>
      </c>
      <c r="C93" s="38" t="s">
        <v>148</v>
      </c>
      <c r="D93" s="42">
        <f>TRUNC(70152,-1)</f>
        <v>70150</v>
      </c>
      <c r="E93" s="63">
        <f t="shared" si="2"/>
        <v>231900</v>
      </c>
    </row>
    <row r="94" spans="1:7" ht="17.25" thickBot="1" x14ac:dyDescent="0.35">
      <c r="A94" s="2">
        <v>26</v>
      </c>
      <c r="C94" s="38" t="s">
        <v>47</v>
      </c>
      <c r="D94" s="43">
        <f>TRUNC(1169+6019+13176,-1)</f>
        <v>20360</v>
      </c>
      <c r="E94" s="64">
        <f t="shared" si="2"/>
        <v>67300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166010</v>
      </c>
      <c r="E95" s="39">
        <f>SUM(E69:E94)</f>
        <v>548750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TRUNC(9135,-1)</f>
        <v>9130</v>
      </c>
      <c r="E98" s="62">
        <f t="shared" ref="E98:E118" si="3">TRUNC(+D98*3.3058,-1)</f>
        <v>30180</v>
      </c>
    </row>
    <row r="99" spans="1:7" x14ac:dyDescent="0.3">
      <c r="A99" s="2">
        <v>2</v>
      </c>
      <c r="C99" s="38" t="s">
        <v>40</v>
      </c>
      <c r="D99" s="42">
        <f>TRUNC(7222,-1)</f>
        <v>7220</v>
      </c>
      <c r="E99" s="63">
        <f t="shared" si="3"/>
        <v>23860</v>
      </c>
    </row>
    <row r="100" spans="1:7" x14ac:dyDescent="0.3">
      <c r="A100" s="2">
        <v>3</v>
      </c>
      <c r="C100" s="38" t="s">
        <v>41</v>
      </c>
      <c r="D100" s="42">
        <f>TRUNC(24761,-1)</f>
        <v>24760</v>
      </c>
      <c r="E100" s="63">
        <f t="shared" si="3"/>
        <v>81850</v>
      </c>
    </row>
    <row r="101" spans="1:7" x14ac:dyDescent="0.3">
      <c r="A101" s="2">
        <v>4</v>
      </c>
      <c r="C101" s="38" t="s">
        <v>42</v>
      </c>
      <c r="D101" s="42">
        <f>TRUNC(820,-1)</f>
        <v>820</v>
      </c>
      <c r="E101" s="63">
        <f t="shared" si="3"/>
        <v>2710</v>
      </c>
    </row>
    <row r="102" spans="1:7" x14ac:dyDescent="0.3">
      <c r="A102" s="2">
        <v>5</v>
      </c>
      <c r="C102" s="38" t="s">
        <v>43</v>
      </c>
      <c r="D102" s="42">
        <f>TRUNC(12134,-1)</f>
        <v>12130</v>
      </c>
      <c r="E102" s="63">
        <f t="shared" si="3"/>
        <v>40090</v>
      </c>
    </row>
    <row r="103" spans="1:7" x14ac:dyDescent="0.3">
      <c r="A103" s="2">
        <v>6</v>
      </c>
      <c r="C103" s="38" t="s">
        <v>44</v>
      </c>
      <c r="D103" s="42">
        <f>TRUNC(5449,-1)</f>
        <v>5440</v>
      </c>
      <c r="E103" s="63">
        <f t="shared" si="3"/>
        <v>17980</v>
      </c>
    </row>
    <row r="104" spans="1:7" x14ac:dyDescent="0.3">
      <c r="A104" s="2">
        <v>7</v>
      </c>
      <c r="C104" s="38" t="s">
        <v>45</v>
      </c>
      <c r="D104" s="42">
        <f>TRUNC(2373,-1)</f>
        <v>2370</v>
      </c>
      <c r="E104" s="63">
        <f t="shared" si="3"/>
        <v>7830</v>
      </c>
    </row>
    <row r="105" spans="1:7" x14ac:dyDescent="0.3">
      <c r="A105" s="2">
        <v>8</v>
      </c>
      <c r="C105" s="38" t="s">
        <v>46</v>
      </c>
      <c r="D105" s="42">
        <f>TRUNC(4065,-1)</f>
        <v>4060</v>
      </c>
      <c r="E105" s="63">
        <f t="shared" si="3"/>
        <v>13420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TRUNC(1706,-1)</f>
        <v>1700</v>
      </c>
      <c r="E114" s="63">
        <f t="shared" si="3"/>
        <v>5610</v>
      </c>
    </row>
    <row r="115" spans="1:7" x14ac:dyDescent="0.3">
      <c r="A115" s="2">
        <v>18</v>
      </c>
      <c r="C115" s="38" t="s">
        <v>116</v>
      </c>
      <c r="D115" s="42">
        <f>TRUNC(2154,-1)</f>
        <v>2150</v>
      </c>
      <c r="E115" s="63">
        <f t="shared" si="3"/>
        <v>7100</v>
      </c>
      <c r="F115" s="2" t="s">
        <v>254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TRUNC(68969,-1)</f>
        <v>68960</v>
      </c>
      <c r="E117" s="63">
        <f t="shared" si="3"/>
        <v>227960</v>
      </c>
    </row>
    <row r="118" spans="1:7" ht="17.25" thickBot="1" x14ac:dyDescent="0.35">
      <c r="A118" s="2">
        <v>21</v>
      </c>
      <c r="C118" s="38" t="s">
        <v>47</v>
      </c>
      <c r="D118" s="43">
        <f>TRUNC(1712,-1)</f>
        <v>1710</v>
      </c>
      <c r="E118" s="64">
        <f t="shared" si="3"/>
        <v>5650</v>
      </c>
    </row>
    <row r="119" spans="1:7" x14ac:dyDescent="0.3">
      <c r="A119" s="2">
        <v>22</v>
      </c>
      <c r="C119" s="27" t="s">
        <v>112</v>
      </c>
      <c r="D119" s="39">
        <f>SUM(D98:D118)</f>
        <v>140450</v>
      </c>
      <c r="E119" s="39">
        <f>SUM(E98:E118)</f>
        <v>464240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TRUNC(3222,-1)</f>
        <v>3220</v>
      </c>
      <c r="E122" s="62">
        <f t="shared" ref="E122:E132" si="4">TRUNC(+D122*3.3058,-1)</f>
        <v>10640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TRUNC(1020,-1)</f>
        <v>1020</v>
      </c>
      <c r="E124" s="63">
        <f t="shared" si="4"/>
        <v>3370</v>
      </c>
    </row>
    <row r="125" spans="1:7" x14ac:dyDescent="0.3">
      <c r="A125" s="2">
        <v>4</v>
      </c>
      <c r="C125" s="38" t="s">
        <v>138</v>
      </c>
      <c r="D125" s="42">
        <f>TRUNC(7253,-1)</f>
        <v>7250</v>
      </c>
      <c r="E125" s="63">
        <f t="shared" si="4"/>
        <v>23960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TRUNC(4933,-1)</f>
        <v>4930</v>
      </c>
      <c r="E128" s="63">
        <f t="shared" si="4"/>
        <v>16290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TRUNC(11087,-1)</f>
        <v>11080</v>
      </c>
      <c r="E130" s="63">
        <f t="shared" si="4"/>
        <v>36620</v>
      </c>
    </row>
    <row r="131" spans="1:7" x14ac:dyDescent="0.3">
      <c r="A131" s="2">
        <v>10</v>
      </c>
      <c r="C131" s="38" t="s">
        <v>148</v>
      </c>
      <c r="D131" s="42">
        <f>TRUNC(20157,-1)</f>
        <v>20150</v>
      </c>
      <c r="E131" s="63">
        <f t="shared" si="4"/>
        <v>66610</v>
      </c>
    </row>
    <row r="132" spans="1:7" ht="18" thickBot="1" x14ac:dyDescent="0.35">
      <c r="A132" s="2">
        <v>11</v>
      </c>
      <c r="C132" s="38" t="s">
        <v>47</v>
      </c>
      <c r="D132" s="43">
        <f>TRUNC(2649+1064,-1)</f>
        <v>3710</v>
      </c>
      <c r="E132" s="64">
        <f t="shared" si="4"/>
        <v>12260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51360</v>
      </c>
      <c r="E133" s="39">
        <f>SUM(E122:E132)</f>
        <v>169750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TRUNC(7624,-1)</f>
        <v>7620</v>
      </c>
      <c r="E137" s="63">
        <f t="shared" si="5"/>
        <v>25190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TRUNC(2238,-1)</f>
        <v>2230</v>
      </c>
      <c r="E139" s="63">
        <f t="shared" si="5"/>
        <v>7370</v>
      </c>
    </row>
    <row r="140" spans="1:7" x14ac:dyDescent="0.3">
      <c r="A140" s="2">
        <v>5</v>
      </c>
      <c r="C140" s="38" t="s">
        <v>57</v>
      </c>
      <c r="D140" s="42">
        <f>TRUNC(2909,-1)</f>
        <v>2900</v>
      </c>
      <c r="E140" s="63">
        <f t="shared" si="5"/>
        <v>9580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TRUNC(16559,-1)</f>
        <v>16550</v>
      </c>
      <c r="E142" s="63">
        <f t="shared" si="5"/>
        <v>54710</v>
      </c>
    </row>
    <row r="143" spans="1:7" x14ac:dyDescent="0.3">
      <c r="A143" s="2">
        <v>8</v>
      </c>
      <c r="C143" s="38" t="s">
        <v>62</v>
      </c>
      <c r="D143" s="42">
        <f>TRUNC(5251,-1)</f>
        <v>5250</v>
      </c>
      <c r="E143" s="63">
        <f t="shared" si="5"/>
        <v>17350</v>
      </c>
    </row>
    <row r="144" spans="1:7" x14ac:dyDescent="0.3">
      <c r="A144" s="2">
        <v>9</v>
      </c>
      <c r="C144" s="38" t="s">
        <v>63</v>
      </c>
      <c r="D144" s="42">
        <f>TRUNC(8224,-1)</f>
        <v>8220</v>
      </c>
      <c r="E144" s="63">
        <f t="shared" si="5"/>
        <v>27170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42770</v>
      </c>
      <c r="E146" s="39">
        <f>SUM(E136:E145)</f>
        <v>141370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f>TRUNC(4614+1868,-1)</f>
        <v>6480</v>
      </c>
      <c r="E149" s="62">
        <f>TRUNC(+D149*3.3058,-1)</f>
        <v>21420</v>
      </c>
    </row>
    <row r="150" spans="1:7" x14ac:dyDescent="0.3">
      <c r="A150" s="2">
        <v>2</v>
      </c>
      <c r="C150" s="38" t="s">
        <v>49</v>
      </c>
      <c r="D150" s="42">
        <f>TRUNC(5320,-1)</f>
        <v>5320</v>
      </c>
      <c r="E150" s="63">
        <f>TRUNC(+D150*3.3058,-1)</f>
        <v>17580</v>
      </c>
    </row>
    <row r="151" spans="1:7" x14ac:dyDescent="0.3">
      <c r="A151" s="2">
        <v>3</v>
      </c>
      <c r="C151" s="38" t="s">
        <v>50</v>
      </c>
      <c r="D151" s="42">
        <f>TRUNC(2295,-1)</f>
        <v>2290</v>
      </c>
      <c r="E151" s="63">
        <f>TRUNC(+D151*3.3058,-1)</f>
        <v>7570</v>
      </c>
    </row>
    <row r="152" spans="1:7" x14ac:dyDescent="0.3">
      <c r="A152" s="2">
        <v>4</v>
      </c>
      <c r="C152" s="38" t="s">
        <v>47</v>
      </c>
      <c r="D152" s="42">
        <f>TRUNC(11+320,-1)</f>
        <v>330</v>
      </c>
      <c r="E152" s="63">
        <f>TRUNC(+D152*3.3058,-1)</f>
        <v>1090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14420</v>
      </c>
      <c r="E154" s="39">
        <f>SUM(E149:E153)</f>
        <v>47660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f>TRUNC(13148,-1)</f>
        <v>13140</v>
      </c>
      <c r="E157" s="62">
        <f>TRUNC(+D157*3.3058,-1)</f>
        <v>43430</v>
      </c>
    </row>
    <row r="158" spans="1:7" x14ac:dyDescent="0.3">
      <c r="A158" s="2">
        <v>2</v>
      </c>
      <c r="C158" s="38" t="s">
        <v>52</v>
      </c>
      <c r="D158" s="42">
        <f>TRUNC(2178,-1)</f>
        <v>2170</v>
      </c>
      <c r="E158" s="63">
        <f>TRUNC(+D158*3.3058,-1)</f>
        <v>7170</v>
      </c>
    </row>
    <row r="159" spans="1:7" x14ac:dyDescent="0.3">
      <c r="A159" s="2">
        <v>3</v>
      </c>
      <c r="C159" s="38" t="s">
        <v>47</v>
      </c>
      <c r="D159" s="42">
        <f>TRUNC(1892,-1)</f>
        <v>1890</v>
      </c>
      <c r="E159" s="63">
        <f>TRUNC(+D159*3.3058,-1)</f>
        <v>6240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17200</v>
      </c>
      <c r="E161" s="39">
        <f>SUM(E157:E160)</f>
        <v>56840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2020-12-08T01:16:03Z</dcterms:modified>
</cp:coreProperties>
</file>