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7" i="4"/>
  <c r="D152" i="4"/>
  <c r="D151" i="4"/>
  <c r="D150" i="4"/>
  <c r="D149" i="4"/>
  <c r="D144" i="4"/>
  <c r="D143" i="4"/>
  <c r="D142" i="4"/>
  <c r="D141" i="4"/>
  <c r="D140" i="4"/>
  <c r="D139" i="4"/>
  <c r="D132" i="4"/>
  <c r="D131" i="4"/>
  <c r="D130" i="4"/>
  <c r="D128" i="4"/>
  <c r="D125" i="4"/>
  <c r="D124" i="4"/>
  <c r="D122" i="4"/>
  <c r="D118" i="4"/>
  <c r="D117" i="4"/>
  <c r="D116" i="4"/>
  <c r="D105" i="4"/>
  <c r="D103" i="4"/>
  <c r="D102" i="4"/>
  <c r="D99" i="4"/>
  <c r="D98" i="4"/>
  <c r="D94" i="4"/>
  <c r="D92" i="4"/>
  <c r="D91" i="4"/>
  <c r="D89" i="4"/>
  <c r="D76" i="4"/>
  <c r="D69" i="4"/>
  <c r="D63" i="4"/>
  <c r="D59" i="4"/>
  <c r="D58" i="4"/>
  <c r="D53" i="4"/>
  <c r="D52" i="4"/>
  <c r="D50" i="4"/>
  <c r="D48" i="4"/>
  <c r="D46" i="4"/>
  <c r="D45" i="4"/>
  <c r="D44" i="4"/>
  <c r="D43" i="4"/>
  <c r="D42" i="4"/>
  <c r="D40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54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E34" i="4" l="1"/>
  <c r="D34" i="4"/>
</calcChain>
</file>

<file path=xl/sharedStrings.xml><?xml version="1.0" encoding="utf-8"?>
<sst xmlns="http://schemas.openxmlformats.org/spreadsheetml/2006/main" count="392" uniqueCount="269">
  <si>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</si>
  <si>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</si>
  <si>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</si>
  <si>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</si>
  <si>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</si>
  <si>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</si>
  <si>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</si>
  <si>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</si>
  <si>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</si>
  <si>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</si>
  <si>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</si>
  <si>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</si>
  <si>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</si>
  <si>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</si>
  <si>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</si>
  <si>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</si>
  <si>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</si>
  <si>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</si>
  <si>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</si>
  <si>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</si>
  <si>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</si>
  <si>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</si>
  <si>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</si>
  <si>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</si>
  <si>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</si>
  <si>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</si>
  <si>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</si>
  <si>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</si>
  <si>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</si>
  <si>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</si>
  <si>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</si>
  <si>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</si>
  <si>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</si>
  <si>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</si>
  <si>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</si>
  <si>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</si>
  <si>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</si>
  <si>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</si>
  <si>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</si>
  <si>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</si>
  <si>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</si>
  <si>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</si>
  <si>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</si>
  <si>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</si>
  <si>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</si>
  <si>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</si>
  <si>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</si>
  <si>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</si>
  <si>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</si>
  <si>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</si>
  <si>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</si>
  <si>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</si>
  <si>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</si>
  <si>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</si>
  <si>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</si>
  <si>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</si>
  <si>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</si>
  <si>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</si>
  <si>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</si>
  <si>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</si>
  <si>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</si>
  <si>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</si>
  <si>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</si>
  <si>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</si>
  <si>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</si>
  <si>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</si>
  <si>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</si>
  <si>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</si>
  <si>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</si>
  <si>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</si>
  <si>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</si>
  <si>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</si>
  <si>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</si>
  <si>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</si>
  <si>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</si>
  <si>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</si>
  <si>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</si>
  <si>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</si>
  <si>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</si>
  <si>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</si>
  <si>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</si>
  <si>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</si>
  <si>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</si>
  <si>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</si>
  <si>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</si>
  <si>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</si>
  <si>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</si>
  <si>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</si>
  <si>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</si>
  <si>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</si>
  <si>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</si>
  <si>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</si>
  <si>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</si>
  <si>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</si>
  <si>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</si>
  <si>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</si>
  <si>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</si>
  <si>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</si>
  <si>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</si>
  <si>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</si>
  <si>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</si>
  <si>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</si>
  <si>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</si>
  <si>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</si>
  <si>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</si>
  <si>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</si>
  <si>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</si>
  <si>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</si>
  <si>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</si>
  <si>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</si>
  <si>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</si>
  <si>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</si>
  <si>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</si>
  <si>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</si>
  <si>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</si>
  <si>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</si>
  <si>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</si>
  <si>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</si>
  <si>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</si>
  <si>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</si>
  <si>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</si>
  <si>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</si>
  <si>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</si>
  <si>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</si>
  <si>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</si>
  <si>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</si>
  <si>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</si>
  <si>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</si>
  <si>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</si>
  <si>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</si>
  <si>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</si>
  <si>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</si>
  <si>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</si>
  <si>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</si>
  <si>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</si>
  <si>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</si>
  <si>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</si>
  <si>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</si>
  <si>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</si>
  <si>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</si>
  <si>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</si>
  <si>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</si>
  <si>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</si>
  <si>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</si>
  <si>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</si>
  <si>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</si>
  <si>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</si>
  <si>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</si>
  <si>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</si>
  <si>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</si>
  <si>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</si>
  <si>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</si>
  <si>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</si>
  <si>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</si>
  <si>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</si>
  <si>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</si>
  <si>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</si>
  <si>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</si>
  <si>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</si>
  <si>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</si>
  <si>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</si>
  <si>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</si>
  <si>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</si>
  <si>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</si>
  <si>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</si>
  <si>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</si>
  <si>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</si>
  <si>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</si>
  <si>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</si>
  <si>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</si>
  <si>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</si>
  <si>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</si>
  <si>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</si>
  <si>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</si>
  <si>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</si>
  <si>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</si>
  <si>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</si>
  <si>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</si>
  <si>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</si>
  <si>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</si>
  <si>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</si>
  <si>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</si>
  <si>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</si>
  <si>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</si>
  <si>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</si>
  <si>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</si>
  <si>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</si>
  <si>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</si>
  <si>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</si>
  <si>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</si>
  <si>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</si>
  <si>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</si>
  <si>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</si>
  <si>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</si>
  <si>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</si>
  <si>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</si>
  <si>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</si>
  <si>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</si>
  <si>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</si>
  <si>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</si>
  <si>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</si>
  <si>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</si>
  <si>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</si>
  <si>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</si>
  <si>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</si>
  <si>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</si>
  <si>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</si>
  <si>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</si>
  <si>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</si>
  <si>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</si>
  <si>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</si>
  <si>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</si>
  <si>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</si>
  <si>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</si>
  <si>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</si>
  <si>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</si>
  <si>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</si>
  <si>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</si>
  <si>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</si>
  <si>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</si>
  <si>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</si>
  <si>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</si>
  <si>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</si>
  <si>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</si>
  <si>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</si>
  <si>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</si>
  <si>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</si>
  <si>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</si>
  <si>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</si>
  <si>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</si>
  <si>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</si>
  <si>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</si>
  <si>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</si>
  <si>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</si>
  <si>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</si>
  <si>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</si>
  <si>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</si>
  <si>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</si>
  <si>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</si>
  <si>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</si>
  <si>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</si>
  <si>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</si>
  <si>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</si>
  <si>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</si>
  <si>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</si>
  <si>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</si>
  <si>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</si>
  <si>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</si>
  <si>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</si>
  <si>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</si>
  <si>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</si>
  <si>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공조배관공사, 바닥난방공사, 기타공사</t>
    <phoneticPr fontId="2" type="noConversion"/>
  </si>
  <si>
    <t>옥외보안등설비공사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</si>
  <si>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</si>
  <si>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</si>
  <si>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포장공사, 기타공사</t>
    <phoneticPr fontId="2" type="noConversion"/>
  </si>
  <si>
    <t>교육연구</t>
  </si>
  <si>
    <t>건축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</si>
  <si>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</si>
  <si>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</si>
  <si>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</si>
  <si>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 xml:space="preserve"> 가칭 천안성성초등학교 교사신축공사</t>
    <phoneticPr fontId="2" type="noConversion"/>
  </si>
  <si>
    <t>충청도</t>
  </si>
  <si>
    <t>기초공사, 골재비및운반비, 작업부산물, 기타공사</t>
    <phoneticPr fontId="2" type="noConversion"/>
  </si>
  <si>
    <t>CCTV설비공사</t>
    <phoneticPr fontId="2" type="noConversion"/>
  </si>
  <si>
    <t>운반비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</si>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</sst>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266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261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256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14639.4</v>
      </c>
      <c r="D7" s="36">
        <f>+C7/3.3058</f>
        <v>4428.3985722064244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262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207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267</v>
      </c>
    </row>
    <row r="19" spans="1:5" x14ac:dyDescent="0.3">
      <c r="A19" s="2">
        <v>9</v>
      </c>
      <c r="B19" s="2" t="s">
        <v>268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760880</v>
      </c>
      <c r="E25" s="59">
        <f t="shared" si="0"/>
        <v>2515310</v>
      </c>
    </row>
    <row r="26" spans="1:5" x14ac:dyDescent="0.3">
      <c r="B26" s="2">
        <v>3</v>
      </c>
      <c r="C26" s="35" t="s">
        <v>95</v>
      </c>
      <c r="D26" s="45">
        <f>+D66</f>
        <v>2900</v>
      </c>
      <c r="E26" s="59">
        <f t="shared" si="0"/>
        <v>9580</v>
      </c>
    </row>
    <row r="27" spans="1:5" x14ac:dyDescent="0.3">
      <c r="B27" s="2">
        <v>4</v>
      </c>
      <c r="C27" s="35" t="s">
        <v>96</v>
      </c>
      <c r="D27" s="45">
        <f>+D95</f>
        <v>80170</v>
      </c>
      <c r="E27" s="59">
        <f t="shared" si="0"/>
        <v>265020</v>
      </c>
    </row>
    <row r="28" spans="1:5" x14ac:dyDescent="0.3">
      <c r="B28" s="2">
        <v>5</v>
      </c>
      <c r="C28" s="35" t="s">
        <v>97</v>
      </c>
      <c r="D28" s="45">
        <f>+D119</f>
        <v>128200</v>
      </c>
      <c r="E28" s="59">
        <f t="shared" si="0"/>
        <v>423800</v>
      </c>
    </row>
    <row r="29" spans="1:5" x14ac:dyDescent="0.3">
      <c r="B29" s="2">
        <v>6</v>
      </c>
      <c r="C29" s="35" t="s">
        <v>98</v>
      </c>
      <c r="D29" s="45">
        <f>+D133</f>
        <v>68440</v>
      </c>
      <c r="E29" s="59">
        <f t="shared" si="0"/>
        <v>226240</v>
      </c>
    </row>
    <row r="30" spans="1:5" x14ac:dyDescent="0.3">
      <c r="B30" s="2">
        <v>7</v>
      </c>
      <c r="C30" s="35" t="s">
        <v>99</v>
      </c>
      <c r="D30" s="45">
        <f>+D146</f>
        <v>37990</v>
      </c>
      <c r="E30" s="59">
        <f t="shared" si="0"/>
        <v>125580</v>
      </c>
    </row>
    <row r="31" spans="1:5" x14ac:dyDescent="0.3">
      <c r="B31" s="2">
        <v>8</v>
      </c>
      <c r="C31" s="35" t="s">
        <v>100</v>
      </c>
      <c r="D31" s="45">
        <f>+D154</f>
        <v>21790</v>
      </c>
      <c r="E31" s="59">
        <f t="shared" si="0"/>
        <v>72030</v>
      </c>
    </row>
    <row r="32" spans="1:5" x14ac:dyDescent="0.3">
      <c r="B32" s="2">
        <v>9</v>
      </c>
      <c r="C32" s="35" t="s">
        <v>101</v>
      </c>
      <c r="D32" s="45">
        <f>+D161</f>
        <v>18240</v>
      </c>
      <c r="E32" s="59">
        <f t="shared" si="0"/>
        <v>60290</v>
      </c>
    </row>
    <row r="33" spans="1:7" x14ac:dyDescent="0.3">
      <c r="B33" s="2">
        <v>10</v>
      </c>
      <c r="C33" s="35" t="s">
        <v>154</v>
      </c>
      <c r="D33" s="53">
        <f>TRUNC(SUM(D24:D32)*0.275,-1)</f>
        <v>307610</v>
      </c>
      <c r="E33" s="60">
        <f t="shared" si="0"/>
        <v>1016890</v>
      </c>
    </row>
    <row r="34" spans="1:7" x14ac:dyDescent="0.3">
      <c r="C34" s="35" t="s">
        <v>112</v>
      </c>
      <c r="D34" s="44">
        <f>SUM(D24:D33)</f>
        <v>1426220</v>
      </c>
      <c r="E34" s="44">
        <f>SUM(E24:E33)</f>
        <v>4714740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257</v>
      </c>
      <c r="C39" s="56" t="s">
        <v>258</v>
      </c>
      <c r="D39" s="57" t="s">
        <v>259</v>
      </c>
      <c r="E39" s="57" t="s">
        <v>260</v>
      </c>
      <c r="G39" s="55"/>
    </row>
    <row r="40" spans="1:7" x14ac:dyDescent="0.3">
      <c r="A40" s="2">
        <v>1</v>
      </c>
      <c r="C40" s="38" t="s">
        <v>15</v>
      </c>
      <c r="D40" s="40">
        <f>TRUNC(22256,-1)</f>
        <v>22250</v>
      </c>
      <c r="E40" s="62">
        <f t="shared" ref="E40:E59" si="1">TRUNC(+D40*3.3058,-1)</f>
        <v>73550</v>
      </c>
    </row>
    <row r="41" spans="1:7" x14ac:dyDescent="0.3">
      <c r="A41" s="2">
        <v>2</v>
      </c>
      <c r="C41" s="38" t="s">
        <v>13</v>
      </c>
      <c r="D41" s="42">
        <v>125290</v>
      </c>
      <c r="E41" s="63">
        <f t="shared" si="1"/>
        <v>414180</v>
      </c>
    </row>
    <row r="42" spans="1:7" x14ac:dyDescent="0.3">
      <c r="A42" s="2">
        <v>3</v>
      </c>
      <c r="C42" s="38" t="s">
        <v>14</v>
      </c>
      <c r="D42" s="42">
        <f>TRUNC(14694,-1)</f>
        <v>14690</v>
      </c>
      <c r="E42" s="63">
        <f t="shared" si="1"/>
        <v>48560</v>
      </c>
    </row>
    <row r="43" spans="1:7" x14ac:dyDescent="0.3">
      <c r="A43" s="2">
        <v>4</v>
      </c>
      <c r="C43" s="38" t="s">
        <v>16</v>
      </c>
      <c r="D43" s="42">
        <f>TRUNC(36214,-1)</f>
        <v>36210</v>
      </c>
      <c r="E43" s="63">
        <f t="shared" si="1"/>
        <v>119700</v>
      </c>
    </row>
    <row r="44" spans="1:7" x14ac:dyDescent="0.3">
      <c r="A44" s="2">
        <v>5</v>
      </c>
      <c r="C44" s="38" t="s">
        <v>17</v>
      </c>
      <c r="D44" s="42">
        <f>TRUNC(10394,-1)</f>
        <v>10390</v>
      </c>
      <c r="E44" s="63">
        <f t="shared" si="1"/>
        <v>34340</v>
      </c>
    </row>
    <row r="45" spans="1:7" x14ac:dyDescent="0.3">
      <c r="A45" s="2">
        <v>6</v>
      </c>
      <c r="C45" s="38" t="s">
        <v>18</v>
      </c>
      <c r="D45" s="42">
        <f>TRUNC(9647,-1)</f>
        <v>9640</v>
      </c>
      <c r="E45" s="63">
        <f t="shared" si="1"/>
        <v>31860</v>
      </c>
    </row>
    <row r="46" spans="1:7" x14ac:dyDescent="0.3">
      <c r="A46" s="2">
        <v>7</v>
      </c>
      <c r="C46" s="38" t="s">
        <v>19</v>
      </c>
      <c r="D46" s="42">
        <f>TRUNC(28614,-1)</f>
        <v>28610</v>
      </c>
      <c r="E46" s="63">
        <f t="shared" si="1"/>
        <v>94570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TRUNC(76904,-1)</f>
        <v>76900</v>
      </c>
      <c r="E48" s="63">
        <f t="shared" si="1"/>
        <v>254210</v>
      </c>
      <c r="F48" s="2" t="s">
        <v>248</v>
      </c>
    </row>
    <row r="49" spans="1:7" x14ac:dyDescent="0.3">
      <c r="A49" s="2">
        <v>10</v>
      </c>
      <c r="C49" s="38" t="s">
        <v>22</v>
      </c>
      <c r="D49" s="42">
        <v>11700</v>
      </c>
      <c r="E49" s="63">
        <f t="shared" si="1"/>
        <v>38670</v>
      </c>
    </row>
    <row r="50" spans="1:7" x14ac:dyDescent="0.3">
      <c r="A50" s="2">
        <v>11</v>
      </c>
      <c r="C50" s="38" t="s">
        <v>155</v>
      </c>
      <c r="D50" s="42">
        <f>TRUNC(41404,-1)</f>
        <v>41400</v>
      </c>
      <c r="E50" s="63">
        <f t="shared" si="1"/>
        <v>136860</v>
      </c>
      <c r="F50" s="2" t="s">
        <v>249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TRUNC(7554,-1)</f>
        <v>7550</v>
      </c>
      <c r="E52" s="63">
        <f t="shared" si="1"/>
        <v>24950</v>
      </c>
    </row>
    <row r="53" spans="1:7" x14ac:dyDescent="0.3">
      <c r="A53" s="2">
        <v>14</v>
      </c>
      <c r="C53" s="38" t="s">
        <v>25</v>
      </c>
      <c r="D53" s="42">
        <f>TRUNC(37305,-1)</f>
        <v>37300</v>
      </c>
      <c r="E53" s="63">
        <f t="shared" si="1"/>
        <v>123300</v>
      </c>
      <c r="F53" s="2" t="s">
        <v>250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TRUNC(8870+3298-361+13301,-1)</f>
        <v>25100</v>
      </c>
      <c r="E58" s="63">
        <f t="shared" si="1"/>
        <v>82970</v>
      </c>
      <c r="F58" s="2" t="s">
        <v>263</v>
      </c>
    </row>
    <row r="59" spans="1:7" ht="17.25" thickBot="1" x14ac:dyDescent="0.35">
      <c r="A59" s="2">
        <v>20</v>
      </c>
      <c r="C59" s="38" t="s">
        <v>148</v>
      </c>
      <c r="D59" s="43">
        <f>TRUNC(313857,-1)</f>
        <v>313850</v>
      </c>
      <c r="E59" s="64">
        <f t="shared" si="1"/>
        <v>1037520</v>
      </c>
    </row>
    <row r="60" spans="1:7" x14ac:dyDescent="0.3">
      <c r="A60" s="2">
        <v>21</v>
      </c>
      <c r="C60" s="27" t="s">
        <v>112</v>
      </c>
      <c r="D60" s="39">
        <f>SUM(D40:D59)</f>
        <v>760880</v>
      </c>
      <c r="E60" s="39">
        <f>SUM(E40:E59)</f>
        <v>2515240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TRUNC(2906,-1)</f>
        <v>2900</v>
      </c>
      <c r="E63" s="62">
        <f>TRUNC(+D63*3.3058,-1)</f>
        <v>9580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2900</v>
      </c>
      <c r="E66" s="65">
        <f>SUM(E63:E65)</f>
        <v>9580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TRUNC(5709,-1)</f>
        <v>5700</v>
      </c>
      <c r="E69" s="62">
        <f t="shared" ref="E69:E94" si="2">TRUNC(+D69*3.3058,-1)</f>
        <v>18840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v>2150</v>
      </c>
      <c r="E72" s="63">
        <f t="shared" si="2"/>
        <v>7100</v>
      </c>
    </row>
    <row r="73" spans="1:7" x14ac:dyDescent="0.3">
      <c r="A73" s="2">
        <v>5</v>
      </c>
      <c r="C73" s="38" t="s">
        <v>34</v>
      </c>
      <c r="D73" s="42">
        <v>13100</v>
      </c>
      <c r="E73" s="63">
        <f t="shared" si="2"/>
        <v>43300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f>TRUNC(38011,-1)</f>
        <v>38010</v>
      </c>
      <c r="E76" s="63">
        <f t="shared" si="2"/>
        <v>125650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TRUNC(6527,-1)</f>
        <v>6520</v>
      </c>
      <c r="E89" s="63">
        <f t="shared" si="2"/>
        <v>21550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TRUNC(4352,-1)</f>
        <v>4350</v>
      </c>
      <c r="E91" s="63">
        <f t="shared" si="2"/>
        <v>14380</v>
      </c>
    </row>
    <row r="92" spans="1:7" x14ac:dyDescent="0.3">
      <c r="A92" s="2">
        <v>24</v>
      </c>
      <c r="C92" s="38" t="s">
        <v>38</v>
      </c>
      <c r="D92" s="42">
        <f>TRUNC(7382,-1)</f>
        <v>7380</v>
      </c>
      <c r="E92" s="63">
        <f t="shared" si="2"/>
        <v>24390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TRUNC(539+603+1823,-1)</f>
        <v>2960</v>
      </c>
      <c r="E94" s="64">
        <f t="shared" si="2"/>
        <v>9780</v>
      </c>
      <c r="F94" s="2" t="s">
        <v>251</v>
      </c>
    </row>
    <row r="95" spans="1:7" x14ac:dyDescent="0.3">
      <c r="A95" s="2">
        <v>27</v>
      </c>
      <c r="C95" s="27" t="s">
        <v>112</v>
      </c>
      <c r="D95" s="39">
        <f>SUM(D69:D94)</f>
        <v>80170</v>
      </c>
      <c r="E95" s="39">
        <f>SUM(E69:E94)</f>
        <v>264990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TRUNC(11051,-1)</f>
        <v>11050</v>
      </c>
      <c r="E98" s="62">
        <f t="shared" ref="E98:E118" si="3">TRUNC(+D98*3.3058,-1)</f>
        <v>36520</v>
      </c>
    </row>
    <row r="99" spans="1:7" x14ac:dyDescent="0.3">
      <c r="A99" s="2">
        <v>2</v>
      </c>
      <c r="C99" s="38" t="s">
        <v>40</v>
      </c>
      <c r="D99" s="42">
        <f>TRUNC(6688,-1)</f>
        <v>6680</v>
      </c>
      <c r="E99" s="63">
        <f t="shared" si="3"/>
        <v>22080</v>
      </c>
    </row>
    <row r="100" spans="1:7" x14ac:dyDescent="0.3">
      <c r="A100" s="2">
        <v>3</v>
      </c>
      <c r="C100" s="38" t="s">
        <v>41</v>
      </c>
      <c r="D100" s="42">
        <v>0</v>
      </c>
      <c r="E100" s="63">
        <f t="shared" si="3"/>
        <v>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TRUNC(16583,-1)</f>
        <v>16580</v>
      </c>
      <c r="E102" s="63">
        <f t="shared" si="3"/>
        <v>54810</v>
      </c>
    </row>
    <row r="103" spans="1:7" x14ac:dyDescent="0.3">
      <c r="A103" s="2">
        <v>6</v>
      </c>
      <c r="C103" s="38" t="s">
        <v>44</v>
      </c>
      <c r="D103" s="42">
        <f>TRUNC(4305,-1)</f>
        <v>4300</v>
      </c>
      <c r="E103" s="63">
        <f t="shared" si="3"/>
        <v>14210</v>
      </c>
    </row>
    <row r="104" spans="1:7" x14ac:dyDescent="0.3">
      <c r="A104" s="2">
        <v>7</v>
      </c>
      <c r="C104" s="38" t="s">
        <v>45</v>
      </c>
      <c r="D104" s="42">
        <v>3910</v>
      </c>
      <c r="E104" s="63">
        <f t="shared" si="3"/>
        <v>12920</v>
      </c>
    </row>
    <row r="105" spans="1:7" x14ac:dyDescent="0.3">
      <c r="A105" s="2">
        <v>8</v>
      </c>
      <c r="C105" s="38" t="s">
        <v>46</v>
      </c>
      <c r="D105" s="42">
        <f>TRUNC(5549,-1)</f>
        <v>5540</v>
      </c>
      <c r="E105" s="63">
        <f t="shared" si="3"/>
        <v>18310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27840</v>
      </c>
      <c r="E114" s="63">
        <f t="shared" si="3"/>
        <v>92030</v>
      </c>
      <c r="F114" s="2" t="s">
        <v>252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TRUNC(1435,-1)</f>
        <v>1430</v>
      </c>
      <c r="E116" s="63">
        <f t="shared" si="3"/>
        <v>4720</v>
      </c>
      <c r="F116" s="2" t="s">
        <v>253</v>
      </c>
    </row>
    <row r="117" spans="1:7" x14ac:dyDescent="0.3">
      <c r="A117" s="2">
        <v>20</v>
      </c>
      <c r="C117" s="38" t="s">
        <v>148</v>
      </c>
      <c r="D117" s="42">
        <f>TRUNC(48095,-1)</f>
        <v>48090</v>
      </c>
      <c r="E117" s="63">
        <f t="shared" si="3"/>
        <v>158970</v>
      </c>
    </row>
    <row r="118" spans="1:7" ht="17.25" thickBot="1" x14ac:dyDescent="0.35">
      <c r="A118" s="2">
        <v>21</v>
      </c>
      <c r="C118" s="38" t="s">
        <v>47</v>
      </c>
      <c r="D118" s="43">
        <f>TRUNC(2784,-1)</f>
        <v>2780</v>
      </c>
      <c r="E118" s="64">
        <f t="shared" si="3"/>
        <v>9190</v>
      </c>
    </row>
    <row r="119" spans="1:7" x14ac:dyDescent="0.3">
      <c r="A119" s="2">
        <v>22</v>
      </c>
      <c r="C119" s="27" t="s">
        <v>112</v>
      </c>
      <c r="D119" s="39">
        <f>SUM(D98:D118)</f>
        <v>128200</v>
      </c>
      <c r="E119" s="39">
        <f>SUM(E98:E118)</f>
        <v>423760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TRUNC(5107,-1)</f>
        <v>5100</v>
      </c>
      <c r="E122" s="62">
        <f t="shared" ref="E122:E132" si="4">TRUNC(+D122*3.3058,-1)</f>
        <v>16850</v>
      </c>
      <c r="F122" s="2" t="s">
        <v>254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TRUNC(593,-1)</f>
        <v>590</v>
      </c>
      <c r="E124" s="63">
        <f t="shared" si="4"/>
        <v>1950</v>
      </c>
    </row>
    <row r="125" spans="1:7" x14ac:dyDescent="0.3">
      <c r="A125" s="2">
        <v>4</v>
      </c>
      <c r="C125" s="38" t="s">
        <v>138</v>
      </c>
      <c r="D125" s="42">
        <f>TRUNC(6927,-1)</f>
        <v>6920</v>
      </c>
      <c r="E125" s="63">
        <f t="shared" si="4"/>
        <v>22870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TRUNC(4841,-1)</f>
        <v>4840</v>
      </c>
      <c r="E128" s="63">
        <f t="shared" si="4"/>
        <v>16000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TRUNC(17115,-1)</f>
        <v>17110</v>
      </c>
      <c r="E130" s="63">
        <f t="shared" si="4"/>
        <v>56560</v>
      </c>
    </row>
    <row r="131" spans="1:7" x14ac:dyDescent="0.3">
      <c r="A131" s="2">
        <v>10</v>
      </c>
      <c r="C131" s="38" t="s">
        <v>148</v>
      </c>
      <c r="D131" s="42">
        <f>TRUNC(31509,-1)</f>
        <v>31500</v>
      </c>
      <c r="E131" s="63">
        <f t="shared" si="4"/>
        <v>104130</v>
      </c>
    </row>
    <row r="132" spans="1:7" ht="18" thickBot="1" x14ac:dyDescent="0.35">
      <c r="A132" s="2">
        <v>11</v>
      </c>
      <c r="C132" s="38" t="s">
        <v>47</v>
      </c>
      <c r="D132" s="43">
        <f>TRUNC(2384,-1)</f>
        <v>2380</v>
      </c>
      <c r="E132" s="64">
        <f t="shared" si="4"/>
        <v>7860</v>
      </c>
      <c r="F132" s="54" t="s">
        <v>264</v>
      </c>
    </row>
    <row r="133" spans="1:7" x14ac:dyDescent="0.3">
      <c r="A133" s="2">
        <v>12</v>
      </c>
      <c r="C133" s="27" t="s">
        <v>112</v>
      </c>
      <c r="D133" s="39">
        <f>SUM(D122:D132)</f>
        <v>68440</v>
      </c>
      <c r="E133" s="39">
        <f>SUM(E122:E132)</f>
        <v>226220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v>0</v>
      </c>
      <c r="E137" s="63">
        <f t="shared" si="5"/>
        <v>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TRUNC(1672,-1)</f>
        <v>1670</v>
      </c>
      <c r="E139" s="63">
        <f t="shared" si="5"/>
        <v>5520</v>
      </c>
    </row>
    <row r="140" spans="1:7" x14ac:dyDescent="0.3">
      <c r="A140" s="2">
        <v>5</v>
      </c>
      <c r="C140" s="38" t="s">
        <v>57</v>
      </c>
      <c r="D140" s="42">
        <f>TRUNC(1718,-1)</f>
        <v>1710</v>
      </c>
      <c r="E140" s="63">
        <f t="shared" si="5"/>
        <v>5650</v>
      </c>
    </row>
    <row r="141" spans="1:7" x14ac:dyDescent="0.3">
      <c r="A141" s="2">
        <v>6</v>
      </c>
      <c r="C141" s="38" t="s">
        <v>59</v>
      </c>
      <c r="D141" s="42">
        <f>TRUNC(8905,-1)</f>
        <v>8900</v>
      </c>
      <c r="E141" s="63">
        <f t="shared" si="5"/>
        <v>29420</v>
      </c>
    </row>
    <row r="142" spans="1:7" x14ac:dyDescent="0.3">
      <c r="A142" s="2">
        <v>7</v>
      </c>
      <c r="C142" s="38" t="s">
        <v>58</v>
      </c>
      <c r="D142" s="42">
        <f>TRUNC(5194,-1)</f>
        <v>5190</v>
      </c>
      <c r="E142" s="63">
        <f t="shared" si="5"/>
        <v>17150</v>
      </c>
    </row>
    <row r="143" spans="1:7" x14ac:dyDescent="0.3">
      <c r="A143" s="2">
        <v>8</v>
      </c>
      <c r="C143" s="38" t="s">
        <v>62</v>
      </c>
      <c r="D143" s="42">
        <f>TRUNC(4378,-1)</f>
        <v>4370</v>
      </c>
      <c r="E143" s="63">
        <f t="shared" si="5"/>
        <v>14440</v>
      </c>
    </row>
    <row r="144" spans="1:7" x14ac:dyDescent="0.3">
      <c r="A144" s="2">
        <v>9</v>
      </c>
      <c r="C144" s="38" t="s">
        <v>63</v>
      </c>
      <c r="D144" s="42">
        <f>TRUNC(16154,-1)</f>
        <v>16150</v>
      </c>
      <c r="E144" s="63">
        <f t="shared" si="5"/>
        <v>53380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37990</v>
      </c>
      <c r="E146" s="39">
        <f>SUM(E136:E145)</f>
        <v>125560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TRUNC(9085+2056,-1)</f>
        <v>11140</v>
      </c>
      <c r="E149" s="62">
        <f>TRUNC(+D149*3.3058,-1)</f>
        <v>36820</v>
      </c>
    </row>
    <row r="150" spans="1:7" x14ac:dyDescent="0.3">
      <c r="A150" s="2">
        <v>2</v>
      </c>
      <c r="C150" s="38" t="s">
        <v>49</v>
      </c>
      <c r="D150" s="42">
        <f>TRUNC(8917,-1)</f>
        <v>8910</v>
      </c>
      <c r="E150" s="63">
        <f>TRUNC(+D150*3.3058,-1)</f>
        <v>29450</v>
      </c>
    </row>
    <row r="151" spans="1:7" x14ac:dyDescent="0.3">
      <c r="A151" s="2">
        <v>3</v>
      </c>
      <c r="C151" s="38" t="s">
        <v>50</v>
      </c>
      <c r="D151" s="42">
        <f>TRUNC(1737,-1)</f>
        <v>1730</v>
      </c>
      <c r="E151" s="63">
        <f>TRUNC(+D151*3.3058,-1)</f>
        <v>5710</v>
      </c>
    </row>
    <row r="152" spans="1:7" x14ac:dyDescent="0.3">
      <c r="A152" s="2">
        <v>4</v>
      </c>
      <c r="C152" s="38" t="s">
        <v>47</v>
      </c>
      <c r="D152" s="42">
        <f>TRUNC(11,-1)</f>
        <v>10</v>
      </c>
      <c r="E152" s="63">
        <f>TRUNC(+D152*3.3058,-1)</f>
        <v>30</v>
      </c>
      <c r="F152" s="2" t="s">
        <v>265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21790</v>
      </c>
      <c r="E154" s="39">
        <f>SUM(E149:E153)</f>
        <v>72010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TRUNC(14155,-1)</f>
        <v>14150</v>
      </c>
      <c r="E157" s="62">
        <f>TRUNC(+D157*3.3058,-1)</f>
        <v>46770</v>
      </c>
    </row>
    <row r="158" spans="1:7" x14ac:dyDescent="0.3">
      <c r="A158" s="2">
        <v>2</v>
      </c>
      <c r="C158" s="38" t="s">
        <v>52</v>
      </c>
      <c r="D158" s="42">
        <f>TRUNC(3731,-1)</f>
        <v>3730</v>
      </c>
      <c r="E158" s="63">
        <f>TRUNC(+D158*3.3058,-1)</f>
        <v>12330</v>
      </c>
    </row>
    <row r="159" spans="1:7" x14ac:dyDescent="0.3">
      <c r="A159" s="2">
        <v>3</v>
      </c>
      <c r="C159" s="38" t="s">
        <v>47</v>
      </c>
      <c r="D159" s="42">
        <f>TRUNC(368+1,-1)</f>
        <v>360</v>
      </c>
      <c r="E159" s="63">
        <f>TRUNC(+D159*3.3058,-1)</f>
        <v>1190</v>
      </c>
      <c r="F159" s="2" t="s">
        <v>255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18240</v>
      </c>
      <c r="E161" s="39">
        <f>SUM(E157:E160)</f>
        <v>60290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2020-12-08T01:58:35Z</dcterms:modified>
</cp:coreProperties>
</file>