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49" i="4"/>
  <c r="D143" i="4"/>
  <c r="D140" i="4"/>
  <c r="D137" i="4"/>
  <c r="D132" i="4"/>
  <c r="D131" i="4"/>
  <c r="D130" i="4"/>
  <c r="D128" i="4"/>
  <c r="D126" i="4"/>
  <c r="D117" i="4"/>
  <c r="D114" i="4"/>
  <c r="D105" i="4"/>
  <c r="D102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<sst xmlns="http://schemas.openxmlformats.org/spreadsheetml/2006/main" count="396" uniqueCount="267">
  <si>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</si>
  <si>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</si>
  <si>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</si>
  <si>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</si>
  <si>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</si>
  <si>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</si>
  <si>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</si>
  <si>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</si>
  <si>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</si>
  <si>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</si>
  <si>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</si>
  <si>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</si>
  <si>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</si>
  <si>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</si>
  <si>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</si>
  <si>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</si>
  <si>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</si>
  <si>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</si>
  <si>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</si>
  <si>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</si>
  <si>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</si>
  <si>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</si>
  <si>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</si>
  <si>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</si>
  <si>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</si>
  <si>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</si>
  <si>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</si>
  <si>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</si>
  <si>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</si>
  <si>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</si>
  <si>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</si>
  <si>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</si>
  <si>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</si>
  <si>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</si>
  <si>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</si>
  <si>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</si>
  <si>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</si>
  <si>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</si>
  <si>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</si>
  <si>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</si>
  <si>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</si>
  <si>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</si>
  <si>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</si>
  <si>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</si>
  <si>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</si>
  <si>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</si>
  <si>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</si>
  <si>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</si>
  <si>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</si>
  <si>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</si>
  <si>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</si>
  <si>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</si>
  <si>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</si>
  <si>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</si>
  <si>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</si>
  <si>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</si>
  <si>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</si>
  <si>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</si>
  <si>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</si>
  <si>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</si>
  <si>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</si>
  <si>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</si>
  <si>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</si>
  <si>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</si>
  <si>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</si>
  <si>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</si>
  <si>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</si>
  <si>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</si>
  <si>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</si>
  <si>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</si>
  <si>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</si>
  <si>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</si>
  <si>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</si>
  <si>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</si>
  <si>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</si>
  <si>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</si>
  <si>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</si>
  <si>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</si>
  <si>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</si>
  <si>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</si>
  <si>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</si>
  <si>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</si>
  <si>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</si>
  <si>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</si>
  <si>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</si>
  <si>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</si>
  <si>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</si>
  <si>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</si>
  <si>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</si>
  <si>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</si>
  <si>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</si>
  <si>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</si>
  <si>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</si>
  <si>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</si>
  <si>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</si>
  <si>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</si>
  <si>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</si>
  <si>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</si>
  <si>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</si>
  <si>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</si>
  <si>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</si>
  <si>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</si>
  <si>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</si>
  <si>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</si>
  <si>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</si>
  <si>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</si>
  <si>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</si>
  <si>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</si>
  <si>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</si>
  <si>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</si>
  <si>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</si>
  <si>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</si>
  <si>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</si>
  <si>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</si>
  <si>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</si>
  <si>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</si>
  <si>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</si>
  <si>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</si>
  <si>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</si>
  <si>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</si>
  <si>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</si>
  <si>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</si>
  <si>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</si>
  <si>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</si>
  <si>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</si>
  <si>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</si>
  <si>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</si>
  <si>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</si>
  <si>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</si>
  <si>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</si>
  <si>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</si>
  <si>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</si>
  <si>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</si>
  <si>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</si>
  <si>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</si>
  <si>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</si>
  <si>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</si>
  <si>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</si>
  <si>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</si>
  <si>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</si>
  <si>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</si>
  <si>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</si>
  <si>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</si>
  <si>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</si>
  <si>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</si>
  <si>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</si>
  <si>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</si>
  <si>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</si>
  <si>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</si>
  <si>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</si>
  <si>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</si>
  <si>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</si>
  <si>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</si>
  <si>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</si>
  <si>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</si>
  <si>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</si>
  <si>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</si>
  <si>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</si>
  <si>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</si>
  <si>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</si>
  <si>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</si>
  <si>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</si>
  <si>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</si>
  <si>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</si>
  <si>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</si>
  <si>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</si>
  <si>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</si>
  <si>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</si>
  <si>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</si>
  <si>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</si>
  <si>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</si>
  <si>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</si>
  <si>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</si>
  <si>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</si>
  <si>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</si>
  <si>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</si>
  <si>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</si>
  <si>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</si>
  <si>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</si>
  <si>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</si>
  <si>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</si>
  <si>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</si>
  <si>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</si>
  <si>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</si>
  <si>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</si>
  <si>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</si>
  <si>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</si>
  <si>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</si>
  <si>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</si>
  <si>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</si>
  <si>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</si>
  <si>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</si>
  <si>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</si>
  <si>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</si>
  <si>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</si>
  <si>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</si>
  <si>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</si>
  <si>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</si>
  <si>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</si>
  <si>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</si>
  <si>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</si>
  <si>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</si>
  <si>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</si>
  <si>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</si>
  <si>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</si>
  <si>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</si>
  <si>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</si>
  <si>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</si>
  <si>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</si>
  <si>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</si>
  <si>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</si>
  <si>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</si>
  <si>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</si>
  <si>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</si>
  <si>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</si>
  <si>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</si>
  <si>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</si>
  <si>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</si>
  <si>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</si>
  <si>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</si>
  <si>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</si>
  <si>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</si>
  <si>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</si>
  <si>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</si>
  <si>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</si>
  <si>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</si>
  <si>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</si>
  <si>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</si>
  <si>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</si>
  <si>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</si>
  <si>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</si>
  <si>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</si>
  <si>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</si>
  <si>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</si>
  <si>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</si>
  <si>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</si>
  <si>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</si>
  <si>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</si>
  <si>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</si>
  <si>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</si>
  <si>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</si>
  <si>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</si>
  <si>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</si>
  <si>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</si>
  <si>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</si>
  <si>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</si>
  <si>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</si>
  <si>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</si>
  <si>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</si>
  <si>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</si>
  <si>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</si>
  <si>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</si>
  <si>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</si>
  <si>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포장공사</t>
    <phoneticPr fontId="2" type="noConversion"/>
  </si>
  <si>
    <t>경북북부 교정시설 비상대기소 신축공사</t>
    <phoneticPr fontId="2" type="noConversion"/>
  </si>
  <si>
    <t>경상도</t>
  </si>
  <si>
    <t>기타</t>
  </si>
  <si>
    <t>골재비및운반비, 기타공사</t>
    <phoneticPr fontId="2" type="noConversion"/>
  </si>
  <si>
    <t>난방배관공사, 기타공사</t>
    <phoneticPr fontId="2" type="noConversion"/>
  </si>
  <si>
    <t>CCTV설비공사, 주차관제설비공사</t>
    <phoneticPr fontId="2" type="noConversion"/>
  </si>
  <si>
    <t>옥외소화배관공사, 펌프실배관공사</t>
    <phoneticPr fontId="2" type="noConversion"/>
  </si>
  <si>
    <t>토목 상수도공사,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</si>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</sst>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4326.7</v>
      </c>
      <c r="D7" s="36">
        <f>+C7/3.3058</f>
        <v>1308.8208603061285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790200</v>
      </c>
      <c r="E25" s="58">
        <f t="shared" si="0"/>
        <v>2612240</v>
      </c>
    </row>
    <row r="26" spans="1:5" x14ac:dyDescent="0.3">
      <c r="B26" s="2">
        <v>3</v>
      </c>
      <c r="C26" s="35" t="s">
        <v>95</v>
      </c>
      <c r="D26" s="45">
        <f>+D66</f>
        <v>36460</v>
      </c>
      <c r="E26" s="58">
        <f t="shared" si="0"/>
        <v>120520</v>
      </c>
    </row>
    <row r="27" spans="1:5" x14ac:dyDescent="0.3">
      <c r="B27" s="2">
        <v>4</v>
      </c>
      <c r="C27" s="35" t="s">
        <v>96</v>
      </c>
      <c r="D27" s="45">
        <f>+D95</f>
        <v>186680</v>
      </c>
      <c r="E27" s="58">
        <f t="shared" si="0"/>
        <v>617120</v>
      </c>
    </row>
    <row r="28" spans="1:5" x14ac:dyDescent="0.3">
      <c r="B28" s="2">
        <v>5</v>
      </c>
      <c r="C28" s="35" t="s">
        <v>97</v>
      </c>
      <c r="D28" s="45">
        <f>+D119</f>
        <v>94300</v>
      </c>
      <c r="E28" s="58">
        <f t="shared" si="0"/>
        <v>311730</v>
      </c>
    </row>
    <row r="29" spans="1:5" x14ac:dyDescent="0.3">
      <c r="B29" s="2">
        <v>6</v>
      </c>
      <c r="C29" s="35" t="s">
        <v>98</v>
      </c>
      <c r="D29" s="45">
        <f>+D133</f>
        <v>111130</v>
      </c>
      <c r="E29" s="58">
        <f t="shared" si="0"/>
        <v>367370</v>
      </c>
    </row>
    <row r="30" spans="1:5" x14ac:dyDescent="0.3">
      <c r="B30" s="2">
        <v>7</v>
      </c>
      <c r="C30" s="35" t="s">
        <v>99</v>
      </c>
      <c r="D30" s="45">
        <f>+D146</f>
        <v>47910</v>
      </c>
      <c r="E30" s="58">
        <f t="shared" si="0"/>
        <v>158380</v>
      </c>
    </row>
    <row r="31" spans="1:5" x14ac:dyDescent="0.3">
      <c r="B31" s="2">
        <v>8</v>
      </c>
      <c r="C31" s="35" t="s">
        <v>100</v>
      </c>
      <c r="D31" s="45">
        <f>+D154</f>
        <v>44950</v>
      </c>
      <c r="E31" s="58">
        <f t="shared" si="0"/>
        <v>148590</v>
      </c>
    </row>
    <row r="32" spans="1:5" x14ac:dyDescent="0.3">
      <c r="B32" s="2">
        <v>9</v>
      </c>
      <c r="C32" s="35" t="s">
        <v>101</v>
      </c>
      <c r="D32" s="45">
        <f>+D161</f>
        <v>29780</v>
      </c>
      <c r="E32" s="58">
        <f t="shared" si="0"/>
        <v>98440</v>
      </c>
    </row>
    <row r="33" spans="1:7" x14ac:dyDescent="0.3">
      <c r="B33" s="2">
        <v>10</v>
      </c>
      <c r="C33" s="35" t="s">
        <v>153</v>
      </c>
      <c r="D33" s="53">
        <f>TRUNC(SUM(D24:D32)*0.275,-1)</f>
        <v>368880</v>
      </c>
      <c r="E33" s="59">
        <f t="shared" si="0"/>
        <v>1219440</v>
      </c>
    </row>
    <row r="34" spans="1:7" x14ac:dyDescent="0.3">
      <c r="C34" s="35" t="s">
        <v>112</v>
      </c>
      <c r="D34" s="44">
        <f>SUM(D24:D33)</f>
        <v>1710290</v>
      </c>
      <c r="E34" s="44">
        <f>SUM(E24:E33)</f>
        <v>5653830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TRUNC(70791,-1)</f>
        <v>70790</v>
      </c>
      <c r="E40" s="61">
        <f t="shared" ref="E40:E59" si="1">TRUNC(+D40*3.3058,-1)</f>
        <v>234010</v>
      </c>
    </row>
    <row r="41" spans="1:7" x14ac:dyDescent="0.3">
      <c r="A41" s="2">
        <v>2</v>
      </c>
      <c r="C41" s="38" t="s">
        <v>13</v>
      </c>
      <c r="D41" s="42">
        <f>TRUNC(181127,-1)</f>
        <v>181120</v>
      </c>
      <c r="E41" s="62">
        <f t="shared" si="1"/>
        <v>598740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TRUNC(40101,-1)</f>
        <v>40100</v>
      </c>
      <c r="E43" s="62">
        <f t="shared" si="1"/>
        <v>132560</v>
      </c>
    </row>
    <row r="44" spans="1:7" x14ac:dyDescent="0.3">
      <c r="A44" s="2">
        <v>5</v>
      </c>
      <c r="C44" s="38" t="s">
        <v>17</v>
      </c>
      <c r="D44" s="42">
        <f>TRUNC(33305,-1)</f>
        <v>33300</v>
      </c>
      <c r="E44" s="62">
        <f t="shared" si="1"/>
        <v>110080</v>
      </c>
    </row>
    <row r="45" spans="1:7" x14ac:dyDescent="0.3">
      <c r="A45" s="2">
        <v>6</v>
      </c>
      <c r="C45" s="38" t="s">
        <v>18</v>
      </c>
      <c r="D45" s="42">
        <f>TRUNC(22008,-1)</f>
        <v>22000</v>
      </c>
      <c r="E45" s="62">
        <f t="shared" si="1"/>
        <v>72720</v>
      </c>
    </row>
    <row r="46" spans="1:7" x14ac:dyDescent="0.3">
      <c r="A46" s="2">
        <v>7</v>
      </c>
      <c r="C46" s="38" t="s">
        <v>19</v>
      </c>
      <c r="D46" s="42">
        <f>TRUNC(962,-1)</f>
        <v>960</v>
      </c>
      <c r="E46" s="62">
        <f t="shared" si="1"/>
        <v>3170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TRUNC(29429,-1)</f>
        <v>29420</v>
      </c>
      <c r="E48" s="62">
        <f t="shared" si="1"/>
        <v>97250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TRUNC(26003,-1)</f>
        <v>26000</v>
      </c>
      <c r="E49" s="62">
        <f t="shared" si="1"/>
        <v>85950</v>
      </c>
    </row>
    <row r="50" spans="1:7" x14ac:dyDescent="0.3">
      <c r="A50" s="2">
        <v>11</v>
      </c>
      <c r="C50" s="38" t="s">
        <v>154</v>
      </c>
      <c r="D50" s="42">
        <f>TRUNC(66323,-1)</f>
        <v>66320</v>
      </c>
      <c r="E50" s="62">
        <f t="shared" si="1"/>
        <v>219240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TRUNC(19179,-1)</f>
        <v>19170</v>
      </c>
      <c r="E52" s="62">
        <f t="shared" si="1"/>
        <v>63370</v>
      </c>
    </row>
    <row r="53" spans="1:7" x14ac:dyDescent="0.3">
      <c r="A53" s="2">
        <v>14</v>
      </c>
      <c r="C53" s="38" t="s">
        <v>25</v>
      </c>
      <c r="D53" s="42">
        <f>TRUNC(83452,-1)</f>
        <v>83450</v>
      </c>
      <c r="E53" s="62">
        <f t="shared" si="1"/>
        <v>275860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TRUNC(1701+3904,-1)</f>
        <v>5600</v>
      </c>
      <c r="E58" s="62">
        <f t="shared" si="1"/>
        <v>18510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TRUNC(211973,-1)</f>
        <v>211970</v>
      </c>
      <c r="E59" s="63">
        <f t="shared" si="1"/>
        <v>700730</v>
      </c>
    </row>
    <row r="60" spans="1:7" x14ac:dyDescent="0.3">
      <c r="A60" s="2">
        <v>21</v>
      </c>
      <c r="C60" s="27" t="s">
        <v>112</v>
      </c>
      <c r="D60" s="39">
        <f>SUM(D40:D59)</f>
        <v>790200</v>
      </c>
      <c r="E60" s="39">
        <f>SUM(E40:E59)</f>
        <v>2612190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TRUNC(36462,-1)</f>
        <v>36460</v>
      </c>
      <c r="E63" s="61">
        <f>TRUNC(+D63*3.3058,-1)</f>
        <v>120520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36460</v>
      </c>
      <c r="E66" s="64">
        <f>SUM(E63:E65)</f>
        <v>120520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TRUNC(25286,-1)</f>
        <v>25280</v>
      </c>
      <c r="E69" s="61">
        <f t="shared" ref="E69:E94" si="2">TRUNC(+D69*3.3058,-1)</f>
        <v>83570</v>
      </c>
    </row>
    <row r="70" spans="1:7" ht="16.5" customHeight="1" x14ac:dyDescent="0.3">
      <c r="A70" s="2">
        <v>2</v>
      </c>
      <c r="C70" s="38" t="s">
        <v>31</v>
      </c>
      <c r="D70" s="42">
        <f>TRUNC(3258,-1)</f>
        <v>3250</v>
      </c>
      <c r="E70" s="62">
        <f t="shared" si="2"/>
        <v>10740</v>
      </c>
    </row>
    <row r="71" spans="1:7" x14ac:dyDescent="0.3">
      <c r="A71" s="2">
        <v>3</v>
      </c>
      <c r="C71" s="38" t="s">
        <v>32</v>
      </c>
      <c r="D71" s="42">
        <f>TRUNC(6328,-1)</f>
        <v>6320</v>
      </c>
      <c r="E71" s="62">
        <f t="shared" si="2"/>
        <v>20890</v>
      </c>
    </row>
    <row r="72" spans="1:7" x14ac:dyDescent="0.3">
      <c r="A72" s="2">
        <v>4</v>
      </c>
      <c r="C72" s="38" t="s">
        <v>33</v>
      </c>
      <c r="D72" s="42">
        <f>TRUNC(8319,-1)</f>
        <v>8310</v>
      </c>
      <c r="E72" s="62">
        <f t="shared" si="2"/>
        <v>27470</v>
      </c>
    </row>
    <row r="73" spans="1:7" x14ac:dyDescent="0.3">
      <c r="A73" s="2">
        <v>5</v>
      </c>
      <c r="C73" s="38" t="s">
        <v>34</v>
      </c>
      <c r="D73" s="42">
        <f>TRUNC(24726,-1)</f>
        <v>24720</v>
      </c>
      <c r="E73" s="62">
        <f t="shared" si="2"/>
        <v>81710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TRUNC(21233,-1)</f>
        <v>21230</v>
      </c>
      <c r="E89" s="62">
        <f t="shared" si="2"/>
        <v>70180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TRUNC(352,-1)</f>
        <v>350</v>
      </c>
      <c r="E91" s="62">
        <f t="shared" si="2"/>
        <v>1150</v>
      </c>
    </row>
    <row r="92" spans="1:7" x14ac:dyDescent="0.3">
      <c r="A92" s="2">
        <v>24</v>
      </c>
      <c r="C92" s="38" t="s">
        <v>38</v>
      </c>
      <c r="D92" s="42">
        <f>TRUNC(11131,-1)</f>
        <v>11130</v>
      </c>
      <c r="E92" s="62">
        <f t="shared" si="2"/>
        <v>36790</v>
      </c>
    </row>
    <row r="93" spans="1:7" x14ac:dyDescent="0.3">
      <c r="A93" s="2">
        <v>25</v>
      </c>
      <c r="C93" s="38" t="s">
        <v>148</v>
      </c>
      <c r="D93" s="42">
        <f>TRUNC(61254,-1)</f>
        <v>61250</v>
      </c>
      <c r="E93" s="62">
        <f t="shared" si="2"/>
        <v>202480</v>
      </c>
    </row>
    <row r="94" spans="1:7" ht="17.25" thickBot="1" x14ac:dyDescent="0.35">
      <c r="A94" s="2">
        <v>26</v>
      </c>
      <c r="C94" s="38" t="s">
        <v>47</v>
      </c>
      <c r="D94" s="43">
        <f>TRUNC(19745+5100,-1)</f>
        <v>24840</v>
      </c>
      <c r="E94" s="63">
        <f t="shared" si="2"/>
        <v>82110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186680</v>
      </c>
      <c r="E95" s="39">
        <f>SUM(E69:E94)</f>
        <v>617090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TRUNC(16706,-1)</f>
        <v>16700</v>
      </c>
      <c r="E98" s="61">
        <f t="shared" ref="E98:E118" si="3">TRUNC(+D98*3.3058,-1)</f>
        <v>55200</v>
      </c>
    </row>
    <row r="99" spans="1:7" x14ac:dyDescent="0.3">
      <c r="A99" s="2">
        <v>2</v>
      </c>
      <c r="C99" s="38" t="s">
        <v>40</v>
      </c>
      <c r="D99" s="42">
        <f>TRUNC(937,-1)</f>
        <v>930</v>
      </c>
      <c r="E99" s="62">
        <f t="shared" si="3"/>
        <v>3070</v>
      </c>
    </row>
    <row r="100" spans="1:7" x14ac:dyDescent="0.3">
      <c r="A100" s="2">
        <v>3</v>
      </c>
      <c r="C100" s="38" t="s">
        <v>41</v>
      </c>
      <c r="D100" s="42">
        <v>31080</v>
      </c>
      <c r="E100" s="62">
        <f t="shared" si="3"/>
        <v>102740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TRUNC(20176,-1)</f>
        <v>20170</v>
      </c>
      <c r="E102" s="62">
        <f t="shared" si="3"/>
        <v>66670</v>
      </c>
    </row>
    <row r="103" spans="1:7" x14ac:dyDescent="0.3">
      <c r="A103" s="2">
        <v>6</v>
      </c>
      <c r="C103" s="38" t="s">
        <v>44</v>
      </c>
      <c r="D103" s="42">
        <v>0</v>
      </c>
      <c r="E103" s="62">
        <f t="shared" si="3"/>
        <v>0</v>
      </c>
    </row>
    <row r="104" spans="1:7" x14ac:dyDescent="0.3">
      <c r="A104" s="2">
        <v>7</v>
      </c>
      <c r="C104" s="38" t="s">
        <v>45</v>
      </c>
      <c r="D104" s="42">
        <v>1200</v>
      </c>
      <c r="E104" s="62">
        <f t="shared" si="3"/>
        <v>3960</v>
      </c>
    </row>
    <row r="105" spans="1:7" x14ac:dyDescent="0.3">
      <c r="A105" s="2">
        <v>8</v>
      </c>
      <c r="C105" s="38" t="s">
        <v>46</v>
      </c>
      <c r="D105" s="42">
        <f>TRUNC(2432,-1)</f>
        <v>2430</v>
      </c>
      <c r="E105" s="62">
        <f t="shared" si="3"/>
        <v>8030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TRUNC(7358,-1)</f>
        <v>7350</v>
      </c>
      <c r="E114" s="62">
        <f t="shared" si="3"/>
        <v>24290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TRUNC(14443,-1)</f>
        <v>14440</v>
      </c>
      <c r="E117" s="62">
        <f t="shared" si="3"/>
        <v>47730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94300</v>
      </c>
      <c r="E119" s="39">
        <f>SUM(E98:E118)</f>
        <v>311690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18300</v>
      </c>
      <c r="E122" s="61">
        <f t="shared" ref="E122:E132" si="4">TRUNC(+D122*3.3058,-1)</f>
        <v>60490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v>3860</v>
      </c>
      <c r="E125" s="62">
        <f t="shared" si="4"/>
        <v>12760</v>
      </c>
    </row>
    <row r="126" spans="1:7" x14ac:dyDescent="0.3">
      <c r="A126" s="2">
        <v>5</v>
      </c>
      <c r="C126" s="38" t="s">
        <v>53</v>
      </c>
      <c r="D126" s="42">
        <f>TRUNC(7867,-1)</f>
        <v>7860</v>
      </c>
      <c r="E126" s="62">
        <f t="shared" si="4"/>
        <v>25980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TRUNC(2617,-1)</f>
        <v>2610</v>
      </c>
      <c r="E128" s="62">
        <f t="shared" si="4"/>
        <v>8620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TRUNC(43683,-1)</f>
        <v>43680</v>
      </c>
      <c r="E130" s="62">
        <f t="shared" si="4"/>
        <v>144390</v>
      </c>
    </row>
    <row r="131" spans="1:7" x14ac:dyDescent="0.3">
      <c r="A131" s="2">
        <v>10</v>
      </c>
      <c r="C131" s="38" t="s">
        <v>148</v>
      </c>
      <c r="D131" s="42">
        <f>TRUNC(33891,-1)</f>
        <v>33890</v>
      </c>
      <c r="E131" s="62">
        <f t="shared" si="4"/>
        <v>112030</v>
      </c>
    </row>
    <row r="132" spans="1:7" ht="17.25" thickBot="1" x14ac:dyDescent="0.35">
      <c r="A132" s="2">
        <v>11</v>
      </c>
      <c r="C132" s="38" t="s">
        <v>47</v>
      </c>
      <c r="D132" s="43">
        <f>TRUNC(690+242,-1)</f>
        <v>930</v>
      </c>
      <c r="E132" s="63">
        <f t="shared" si="4"/>
        <v>3070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111130</v>
      </c>
      <c r="E133" s="39">
        <f>SUM(E122:E132)</f>
        <v>367340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TRUNC(2776+5412,-1)</f>
        <v>8180</v>
      </c>
      <c r="E137" s="62">
        <f t="shared" si="5"/>
        <v>27040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TRUNC(5094,-1)</f>
        <v>5090</v>
      </c>
      <c r="E140" s="62">
        <f t="shared" si="5"/>
        <v>16820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v>12320</v>
      </c>
      <c r="E142" s="62">
        <f t="shared" si="5"/>
        <v>40720</v>
      </c>
    </row>
    <row r="143" spans="1:7" x14ac:dyDescent="0.3">
      <c r="A143" s="2">
        <v>8</v>
      </c>
      <c r="C143" s="38" t="s">
        <v>62</v>
      </c>
      <c r="D143" s="42">
        <f>TRUNC(3052,-1)</f>
        <v>3050</v>
      </c>
      <c r="E143" s="62">
        <f t="shared" si="5"/>
        <v>10080</v>
      </c>
    </row>
    <row r="144" spans="1:7" x14ac:dyDescent="0.3">
      <c r="A144" s="2">
        <v>9</v>
      </c>
      <c r="C144" s="38" t="s">
        <v>63</v>
      </c>
      <c r="D144" s="42">
        <v>19270</v>
      </c>
      <c r="E144" s="62">
        <f t="shared" si="5"/>
        <v>63700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47910</v>
      </c>
      <c r="E146" s="39">
        <f>SUM(E136:E145)</f>
        <v>158360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TRUNC(10310+3178,-1)</f>
        <v>13480</v>
      </c>
      <c r="E149" s="61">
        <f>TRUNC(+D149*3.3058,-1)</f>
        <v>44560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v>8900</v>
      </c>
      <c r="E150" s="62">
        <f>TRUNC(+D150*3.3058,-1)</f>
        <v>29420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TRUNC(7699,-1)</f>
        <v>7690</v>
      </c>
      <c r="E151" s="62">
        <f>TRUNC(+D151*3.3058,-1)</f>
        <v>25420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TRUNC(417+318+1391,-1)</f>
        <v>2120</v>
      </c>
      <c r="E152" s="62">
        <f>TRUNC(+D152*3.3058,-1)</f>
        <v>7000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TRUNC(12764,-1)</f>
        <v>12760</v>
      </c>
      <c r="E153" s="63">
        <f>TRUNC(+D153*3.3058,-1)</f>
        <v>42180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44950</v>
      </c>
      <c r="E154" s="39">
        <f>SUM(E149:E153)</f>
        <v>148580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TRUNC(8709,-1)</f>
        <v>8700</v>
      </c>
      <c r="E157" s="61">
        <f>TRUNC(+D157*3.3058,-1)</f>
        <v>28760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TRUNC(21083,-1)</f>
        <v>21080</v>
      </c>
      <c r="E159" s="62">
        <f>TRUNC(+D159*3.3058,-1)</f>
        <v>69680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29780</v>
      </c>
      <c r="E161" s="39">
        <f>SUM(E157:E160)</f>
        <v>98440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2020-12-07T10:19:35Z</dcterms:modified>
</cp:coreProperties>
</file>