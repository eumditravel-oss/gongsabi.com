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4" i="4"/>
  <c r="D143" i="4"/>
  <c r="D142" i="4"/>
  <c r="D141" i="4"/>
  <c r="D139" i="4"/>
  <c r="D137" i="4"/>
  <c r="D132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1" i="4"/>
  <c r="D100" i="4"/>
  <c r="D99" i="4"/>
  <c r="D98" i="4"/>
  <c r="D94" i="4"/>
  <c r="D93" i="4"/>
  <c r="D92" i="4"/>
  <c r="D91" i="4"/>
  <c r="D89" i="4"/>
  <c r="D75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66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<sst xmlns="http://schemas.openxmlformats.org/spreadsheetml/2006/main" count="393" uniqueCount="267">
  <si>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</si>
  <si>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</si>
  <si>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</si>
  <si>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</si>
  <si>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</si>
  <si>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</si>
  <si>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</si>
  <si>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</si>
  <si>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</si>
  <si>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</si>
  <si>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</si>
  <si>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</si>
  <si>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</si>
  <si>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</si>
  <si>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</si>
  <si>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</si>
  <si>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</si>
  <si>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</si>
  <si>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</si>
  <si>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</si>
  <si>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</si>
  <si>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</si>
  <si>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</si>
  <si>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</si>
  <si>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</si>
  <si>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</si>
  <si>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</si>
  <si>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</si>
  <si>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</si>
  <si>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</si>
  <si>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</si>
  <si>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</si>
  <si>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</si>
  <si>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</si>
  <si>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</si>
  <si>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</si>
  <si>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</si>
  <si>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</si>
  <si>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</si>
  <si>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</si>
  <si>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</si>
  <si>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</si>
  <si>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</si>
  <si>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</si>
  <si>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</si>
  <si>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</si>
  <si>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</si>
  <si>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</si>
  <si>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</si>
  <si>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</si>
  <si>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</si>
  <si>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</si>
  <si>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</si>
  <si>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</si>
  <si>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</si>
  <si>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</si>
  <si>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</si>
  <si>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</si>
  <si>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</si>
  <si>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</si>
  <si>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</si>
  <si>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</si>
  <si>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</si>
  <si>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</si>
  <si>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</si>
  <si>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</si>
  <si>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</si>
  <si>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</si>
  <si>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</si>
  <si>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</si>
  <si>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</si>
  <si>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</si>
  <si>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</si>
  <si>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</si>
  <si>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</si>
  <si>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</si>
  <si>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</si>
  <si>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</si>
  <si>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</si>
  <si>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</si>
  <si>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</si>
  <si>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</si>
  <si>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</si>
  <si>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</si>
  <si>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</si>
  <si>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</si>
  <si>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</si>
  <si>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</si>
  <si>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</si>
  <si>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</si>
  <si>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</si>
  <si>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</si>
  <si>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</si>
  <si>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</si>
  <si>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</si>
  <si>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</si>
  <si>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</si>
  <si>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</si>
  <si>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</si>
  <si>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</si>
  <si>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</si>
  <si>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</si>
  <si>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</si>
  <si>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</si>
  <si>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</si>
  <si>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</si>
  <si>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</si>
  <si>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</si>
  <si>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</si>
  <si>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</si>
  <si>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</si>
  <si>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</si>
  <si>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</si>
  <si>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</si>
  <si>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</si>
  <si>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</si>
  <si>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</si>
  <si>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</si>
  <si>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</si>
  <si>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</si>
  <si>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</si>
  <si>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</si>
  <si>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</si>
  <si>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</si>
  <si>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</si>
  <si>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</si>
  <si>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</si>
  <si>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</si>
  <si>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</si>
  <si>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</si>
  <si>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</si>
  <si>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</si>
  <si>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</si>
  <si>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</si>
  <si>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</si>
  <si>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</si>
  <si>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</si>
  <si>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</si>
  <si>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</si>
  <si>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</si>
  <si>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</si>
  <si>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</si>
  <si>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</si>
  <si>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</si>
  <si>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</si>
  <si>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</si>
  <si>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</si>
  <si>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</si>
  <si>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</si>
  <si>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</si>
  <si>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</si>
  <si>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</si>
  <si>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</si>
  <si>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</si>
  <si>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</si>
  <si>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</si>
  <si>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</si>
  <si>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</si>
  <si>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</si>
  <si>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</si>
  <si>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</si>
  <si>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</si>
  <si>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</si>
  <si>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</si>
  <si>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</si>
  <si>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</si>
  <si>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</si>
  <si>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</si>
  <si>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</si>
  <si>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</si>
  <si>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</si>
  <si>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</si>
  <si>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</si>
  <si>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</si>
  <si>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</si>
  <si>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</si>
  <si>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</si>
  <si>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</si>
  <si>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</si>
  <si>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</si>
  <si>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</si>
  <si>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</si>
  <si>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</si>
  <si>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</si>
  <si>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</si>
  <si>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</si>
  <si>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</si>
  <si>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</si>
  <si>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</si>
  <si>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</si>
  <si>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</si>
  <si>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</si>
  <si>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</si>
  <si>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</si>
  <si>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</si>
  <si>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</si>
  <si>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</si>
  <si>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</si>
  <si>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</si>
  <si>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</si>
  <si>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</si>
  <si>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</si>
  <si>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</si>
  <si>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</si>
  <si>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</si>
  <si>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</si>
  <si>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</si>
  <si>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</si>
  <si>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</si>
  <si>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</si>
  <si>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</si>
  <si>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</si>
  <si>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</si>
  <si>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</si>
  <si>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</si>
  <si>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</si>
  <si>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</si>
  <si>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</si>
  <si>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</si>
  <si>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</si>
  <si>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</si>
  <si>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</si>
  <si>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</si>
  <si>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</si>
  <si>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</si>
  <si>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</si>
  <si>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</si>
  <si>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</si>
  <si>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</si>
  <si>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</si>
  <si>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</si>
  <si>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</si>
  <si>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</si>
  <si>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</si>
  <si>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</si>
  <si>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</si>
  <si>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</si>
  <si>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</si>
  <si>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</si>
  <si>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</si>
  <si>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</si>
  <si>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</si>
  <si>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</si>
  <si>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</si>
  <si>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</si>
  <si>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</si>
  <si>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</si>
  <si>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</si>
  <si>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</si>
  <si>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</si>
  <si>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</si>
  <si>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</si>
  <si>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</si>
  <si>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포장공사</t>
    <phoneticPr fontId="2" type="noConversion"/>
  </si>
  <si>
    <t>창호및유리공사</t>
    <phoneticPr fontId="2" type="noConversion"/>
  </si>
  <si>
    <t>동탄2 제14중 이음터 건립공사(건축)</t>
    <phoneticPr fontId="2" type="noConversion"/>
  </si>
  <si>
    <t>경기도</t>
  </si>
  <si>
    <t>기초공사, 폐기물처리비, 골재비및운반비, 작업부산물, 품질시험비, 기타공사</t>
    <phoneticPr fontId="2" type="noConversion"/>
  </si>
  <si>
    <t>난방배관공사,바닥난방공사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</si>
  <si>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</si>
  <si>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</si>
  <si>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CCTV설비공사, 주차관제설비공사</t>
    <phoneticPr fontId="2" type="noConversion"/>
  </si>
  <si>
    <t>소화가스배관공사, 무선통신보조설비공사, 기타공사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</si>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</sst>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12344.66</v>
      </c>
      <c r="D7" s="36">
        <f>+C7/3.3058</f>
        <v>3734.2428459071934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714660</v>
      </c>
      <c r="E25" s="59">
        <f t="shared" si="0"/>
        <v>2362520</v>
      </c>
    </row>
    <row r="26" spans="1:5" x14ac:dyDescent="0.3">
      <c r="B26" s="2">
        <v>3</v>
      </c>
      <c r="C26" s="35" t="s">
        <v>95</v>
      </c>
      <c r="D26" s="45">
        <f>+D66</f>
        <v>101580</v>
      </c>
      <c r="E26" s="59">
        <f t="shared" si="0"/>
        <v>335800</v>
      </c>
    </row>
    <row r="27" spans="1:5" x14ac:dyDescent="0.3">
      <c r="B27" s="2">
        <v>4</v>
      </c>
      <c r="C27" s="35" t="s">
        <v>96</v>
      </c>
      <c r="D27" s="45">
        <f>+D95</f>
        <v>901190</v>
      </c>
      <c r="E27" s="59">
        <f t="shared" si="0"/>
        <v>2979150</v>
      </c>
    </row>
    <row r="28" spans="1:5" x14ac:dyDescent="0.3">
      <c r="B28" s="2">
        <v>5</v>
      </c>
      <c r="C28" s="35" t="s">
        <v>97</v>
      </c>
      <c r="D28" s="45">
        <f>+D119</f>
        <v>146910</v>
      </c>
      <c r="E28" s="59">
        <f t="shared" si="0"/>
        <v>485650</v>
      </c>
    </row>
    <row r="29" spans="1:5" x14ac:dyDescent="0.3">
      <c r="B29" s="2">
        <v>6</v>
      </c>
      <c r="C29" s="35" t="s">
        <v>98</v>
      </c>
      <c r="D29" s="45">
        <f>+D133</f>
        <v>112850</v>
      </c>
      <c r="E29" s="59">
        <f t="shared" si="0"/>
        <v>373050</v>
      </c>
    </row>
    <row r="30" spans="1:5" x14ac:dyDescent="0.3">
      <c r="B30" s="2">
        <v>7</v>
      </c>
      <c r="C30" s="35" t="s">
        <v>99</v>
      </c>
      <c r="D30" s="45">
        <f>+D146</f>
        <v>71210</v>
      </c>
      <c r="E30" s="59">
        <f t="shared" si="0"/>
        <v>235400</v>
      </c>
    </row>
    <row r="31" spans="1:5" x14ac:dyDescent="0.3">
      <c r="B31" s="2">
        <v>8</v>
      </c>
      <c r="C31" s="35" t="s">
        <v>100</v>
      </c>
      <c r="D31" s="45">
        <f>+D154</f>
        <v>49320</v>
      </c>
      <c r="E31" s="59">
        <f t="shared" si="0"/>
        <v>163040</v>
      </c>
    </row>
    <row r="32" spans="1:5" x14ac:dyDescent="0.3">
      <c r="B32" s="2">
        <v>9</v>
      </c>
      <c r="C32" s="35" t="s">
        <v>101</v>
      </c>
      <c r="D32" s="45">
        <f>+D161</f>
        <v>7540</v>
      </c>
      <c r="E32" s="59">
        <f t="shared" si="0"/>
        <v>24920</v>
      </c>
    </row>
    <row r="33" spans="1:7" x14ac:dyDescent="0.3">
      <c r="B33" s="2">
        <v>10</v>
      </c>
      <c r="C33" s="35" t="s">
        <v>155</v>
      </c>
      <c r="D33" s="53">
        <f>TRUNC(SUM(D24:D32)*0.275,-1)</f>
        <v>578940</v>
      </c>
      <c r="E33" s="60">
        <f t="shared" si="0"/>
        <v>1913850</v>
      </c>
    </row>
    <row r="34" spans="1:7" x14ac:dyDescent="0.3">
      <c r="C34" s="35" t="s">
        <v>112</v>
      </c>
      <c r="D34" s="44">
        <f>SUM(D24:D33)</f>
        <v>2684200</v>
      </c>
      <c r="E34" s="44">
        <f>SUM(E24:E33)</f>
        <v>8873380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TRUNC(43429,-1)</f>
        <v>43420</v>
      </c>
      <c r="E40" s="62">
        <f t="shared" ref="E40:E59" si="1">TRUNC(+D40*3.3058,-1)</f>
        <v>143530</v>
      </c>
    </row>
    <row r="41" spans="1:7" x14ac:dyDescent="0.3">
      <c r="A41" s="2">
        <v>2</v>
      </c>
      <c r="C41" s="38" t="s">
        <v>13</v>
      </c>
      <c r="D41" s="42">
        <f>TRUNC(104515,-1)</f>
        <v>104510</v>
      </c>
      <c r="E41" s="63">
        <f t="shared" si="1"/>
        <v>345480</v>
      </c>
    </row>
    <row r="42" spans="1:7" x14ac:dyDescent="0.3">
      <c r="A42" s="2">
        <v>3</v>
      </c>
      <c r="C42" s="38" t="s">
        <v>14</v>
      </c>
      <c r="D42" s="42">
        <v>7220</v>
      </c>
      <c r="E42" s="63">
        <f t="shared" si="1"/>
        <v>23860</v>
      </c>
    </row>
    <row r="43" spans="1:7" x14ac:dyDescent="0.3">
      <c r="A43" s="2">
        <v>4</v>
      </c>
      <c r="C43" s="38" t="s">
        <v>16</v>
      </c>
      <c r="D43" s="42">
        <f>TRUNC(6563,-1)</f>
        <v>6560</v>
      </c>
      <c r="E43" s="63">
        <f t="shared" si="1"/>
        <v>21680</v>
      </c>
    </row>
    <row r="44" spans="1:7" x14ac:dyDescent="0.3">
      <c r="A44" s="2">
        <v>5</v>
      </c>
      <c r="C44" s="38" t="s">
        <v>17</v>
      </c>
      <c r="D44" s="42">
        <f>TRUNC(26412,-1)</f>
        <v>26410</v>
      </c>
      <c r="E44" s="63">
        <f t="shared" si="1"/>
        <v>87300</v>
      </c>
    </row>
    <row r="45" spans="1:7" x14ac:dyDescent="0.3">
      <c r="A45" s="2">
        <v>6</v>
      </c>
      <c r="C45" s="38" t="s">
        <v>18</v>
      </c>
      <c r="D45" s="42">
        <f>TRUNC(6764,-1)</f>
        <v>6760</v>
      </c>
      <c r="E45" s="63">
        <f t="shared" si="1"/>
        <v>22340</v>
      </c>
    </row>
    <row r="46" spans="1:7" x14ac:dyDescent="0.3">
      <c r="A46" s="2">
        <v>7</v>
      </c>
      <c r="C46" s="38" t="s">
        <v>19</v>
      </c>
      <c r="D46" s="42">
        <v>23080</v>
      </c>
      <c r="E46" s="63">
        <f t="shared" si="1"/>
        <v>76290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TRUNC(37062,-1)</f>
        <v>37060</v>
      </c>
      <c r="E48" s="63">
        <f t="shared" si="1"/>
        <v>122510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TRUNC(21859,-1)</f>
        <v>21850</v>
      </c>
      <c r="E49" s="63">
        <f t="shared" si="1"/>
        <v>72230</v>
      </c>
    </row>
    <row r="50" spans="1:7" x14ac:dyDescent="0.3">
      <c r="A50" s="2">
        <v>11</v>
      </c>
      <c r="C50" s="38" t="s">
        <v>156</v>
      </c>
      <c r="D50" s="42">
        <f>TRUNC(52431,-1)</f>
        <v>52430</v>
      </c>
      <c r="E50" s="63">
        <f t="shared" si="1"/>
        <v>173320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TRUNC(14273,-1)</f>
        <v>14270</v>
      </c>
      <c r="E52" s="63">
        <f t="shared" si="1"/>
        <v>47170</v>
      </c>
    </row>
    <row r="53" spans="1:7" x14ac:dyDescent="0.3">
      <c r="A53" s="2">
        <v>14</v>
      </c>
      <c r="C53" s="38" t="s">
        <v>25</v>
      </c>
      <c r="D53" s="42">
        <f>TRUNC(85867,-1)</f>
        <v>85860</v>
      </c>
      <c r="E53" s="63">
        <f t="shared" si="1"/>
        <v>283830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TRUNC(22733+54+3063-855+823+9933,-1)</f>
        <v>35750</v>
      </c>
      <c r="E58" s="63">
        <f t="shared" si="1"/>
        <v>118180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TRUNC(249484,-1)</f>
        <v>249480</v>
      </c>
      <c r="E59" s="64">
        <f t="shared" si="1"/>
        <v>824730</v>
      </c>
    </row>
    <row r="60" spans="1:7" x14ac:dyDescent="0.3">
      <c r="A60" s="2">
        <v>21</v>
      </c>
      <c r="C60" s="27" t="s">
        <v>112</v>
      </c>
      <c r="D60" s="39">
        <f>SUM(D40:D59)</f>
        <v>714660</v>
      </c>
      <c r="E60" s="39">
        <f>SUM(E40:E59)</f>
        <v>2362450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TRUNC(9771,-1)</f>
        <v>9770</v>
      </c>
      <c r="E63" s="62">
        <f>TRUNC(+D63*3.3058,-1)</f>
        <v>32290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TRUNC(91814,-1)</f>
        <v>91810</v>
      </c>
      <c r="E65" s="64">
        <f>TRUNC(+D65*3.3058,-1)</f>
        <v>303500</v>
      </c>
    </row>
    <row r="66" spans="1:7" x14ac:dyDescent="0.3">
      <c r="A66" s="2">
        <v>4</v>
      </c>
      <c r="C66" s="27" t="s">
        <v>112</v>
      </c>
      <c r="D66" s="39">
        <f>SUM(D63:D65)</f>
        <v>101580</v>
      </c>
      <c r="E66" s="65">
        <f>SUM(E63:E65)</f>
        <v>335790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TRUNC(12362,-1)</f>
        <v>12360</v>
      </c>
      <c r="E69" s="62">
        <f t="shared" ref="E69:E94" si="2">TRUNC(+D69*3.3058,-1)</f>
        <v>40850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TRUNC(3812,-1)</f>
        <v>3810</v>
      </c>
      <c r="E71" s="63">
        <f t="shared" si="2"/>
        <v>12590</v>
      </c>
    </row>
    <row r="72" spans="1:7" x14ac:dyDescent="0.3">
      <c r="A72" s="2">
        <v>4</v>
      </c>
      <c r="C72" s="38" t="s">
        <v>33</v>
      </c>
      <c r="D72" s="42">
        <f>TRUNC(3349,-1)</f>
        <v>3340</v>
      </c>
      <c r="E72" s="63">
        <f t="shared" si="2"/>
        <v>11040</v>
      </c>
    </row>
    <row r="73" spans="1:7" x14ac:dyDescent="0.3">
      <c r="A73" s="2">
        <v>5</v>
      </c>
      <c r="C73" s="38" t="s">
        <v>34</v>
      </c>
      <c r="D73" s="42">
        <f>TRUNC(4844,-1)</f>
        <v>4840</v>
      </c>
      <c r="E73" s="63">
        <f t="shared" si="2"/>
        <v>16000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TRUNC(134,-1)</f>
        <v>130</v>
      </c>
      <c r="E75" s="63">
        <f t="shared" si="2"/>
        <v>420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TRUNC(8644,-1)</f>
        <v>8640</v>
      </c>
      <c r="E89" s="63">
        <f t="shared" si="2"/>
        <v>28560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TRUNC(6857,-1)</f>
        <v>6850</v>
      </c>
      <c r="E91" s="63">
        <f t="shared" si="2"/>
        <v>22640</v>
      </c>
    </row>
    <row r="92" spans="1:7" x14ac:dyDescent="0.3">
      <c r="A92" s="2">
        <v>24</v>
      </c>
      <c r="C92" s="38" t="s">
        <v>38</v>
      </c>
      <c r="D92" s="42">
        <f>TRUNC(4127,-1)</f>
        <v>4120</v>
      </c>
      <c r="E92" s="63">
        <f t="shared" si="2"/>
        <v>13610</v>
      </c>
    </row>
    <row r="93" spans="1:7" x14ac:dyDescent="0.3">
      <c r="A93" s="2">
        <v>25</v>
      </c>
      <c r="C93" s="38" t="s">
        <v>149</v>
      </c>
      <c r="D93" s="42">
        <f>TRUNC(852602,-1)</f>
        <v>852600</v>
      </c>
      <c r="E93" s="63">
        <f t="shared" si="2"/>
        <v>2818520</v>
      </c>
    </row>
    <row r="94" spans="1:7" ht="17.25" thickBot="1" x14ac:dyDescent="0.35">
      <c r="A94" s="2">
        <v>26</v>
      </c>
      <c r="C94" s="38" t="s">
        <v>47</v>
      </c>
      <c r="D94" s="43">
        <f>TRUNC(4170+332,-1)</f>
        <v>4500</v>
      </c>
      <c r="E94" s="64">
        <f t="shared" si="2"/>
        <v>14870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901190</v>
      </c>
      <c r="E95" s="39">
        <f>SUM(E69:E94)</f>
        <v>2979100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TRUNC(10745,-1)</f>
        <v>10740</v>
      </c>
      <c r="E98" s="62">
        <f t="shared" ref="E98:E118" si="3">TRUNC(+D98*3.3058,-1)</f>
        <v>35500</v>
      </c>
    </row>
    <row r="99" spans="1:7" x14ac:dyDescent="0.3">
      <c r="A99" s="2">
        <v>2</v>
      </c>
      <c r="C99" s="38" t="s">
        <v>40</v>
      </c>
      <c r="D99" s="42">
        <f>TRUNC(2739,-1)</f>
        <v>2730</v>
      </c>
      <c r="E99" s="63">
        <f t="shared" si="3"/>
        <v>9020</v>
      </c>
    </row>
    <row r="100" spans="1:7" x14ac:dyDescent="0.3">
      <c r="A100" s="2">
        <v>3</v>
      </c>
      <c r="C100" s="38" t="s">
        <v>41</v>
      </c>
      <c r="D100" s="42">
        <f>TRUNC(23026,-1)</f>
        <v>23020</v>
      </c>
      <c r="E100" s="63">
        <f t="shared" si="3"/>
        <v>76090</v>
      </c>
    </row>
    <row r="101" spans="1:7" x14ac:dyDescent="0.3">
      <c r="A101" s="2">
        <v>4</v>
      </c>
      <c r="C101" s="38" t="s">
        <v>42</v>
      </c>
      <c r="D101" s="42">
        <f>TRUNC(2452,-1)</f>
        <v>2450</v>
      </c>
      <c r="E101" s="63">
        <f t="shared" si="3"/>
        <v>8090</v>
      </c>
    </row>
    <row r="102" spans="1:7" x14ac:dyDescent="0.3">
      <c r="A102" s="2">
        <v>5</v>
      </c>
      <c r="C102" s="38" t="s">
        <v>43</v>
      </c>
      <c r="D102" s="42">
        <v>9010</v>
      </c>
      <c r="E102" s="63">
        <f t="shared" si="3"/>
        <v>29780</v>
      </c>
    </row>
    <row r="103" spans="1:7" x14ac:dyDescent="0.3">
      <c r="A103" s="2">
        <v>6</v>
      </c>
      <c r="C103" s="38" t="s">
        <v>44</v>
      </c>
      <c r="D103" s="42">
        <f>TRUNC(7275,-1)</f>
        <v>7270</v>
      </c>
      <c r="E103" s="63">
        <f t="shared" si="3"/>
        <v>24030</v>
      </c>
    </row>
    <row r="104" spans="1:7" x14ac:dyDescent="0.3">
      <c r="A104" s="2">
        <v>7</v>
      </c>
      <c r="C104" s="38" t="s">
        <v>45</v>
      </c>
      <c r="D104" s="42">
        <f>TRUNC(2484,-1)</f>
        <v>2480</v>
      </c>
      <c r="E104" s="63">
        <f t="shared" si="3"/>
        <v>8190</v>
      </c>
    </row>
    <row r="105" spans="1:7" x14ac:dyDescent="0.3">
      <c r="A105" s="2">
        <v>8</v>
      </c>
      <c r="C105" s="38" t="s">
        <v>46</v>
      </c>
      <c r="D105" s="42">
        <f>TRUNC(6532,-1)</f>
        <v>6530</v>
      </c>
      <c r="E105" s="63">
        <f t="shared" si="3"/>
        <v>21580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TRUNC(1116,-1)</f>
        <v>1110</v>
      </c>
      <c r="E114" s="63">
        <f t="shared" si="3"/>
        <v>3660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TRUNC(3904,-1)</f>
        <v>3900</v>
      </c>
      <c r="E116" s="63">
        <f t="shared" si="3"/>
        <v>12890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TRUNC(75703,-1)</f>
        <v>75700</v>
      </c>
      <c r="E117" s="63">
        <f t="shared" si="3"/>
        <v>250240</v>
      </c>
    </row>
    <row r="118" spans="1:7" ht="17.25" thickBot="1" x14ac:dyDescent="0.35">
      <c r="A118" s="2">
        <v>21</v>
      </c>
      <c r="C118" s="38" t="s">
        <v>47</v>
      </c>
      <c r="D118" s="43">
        <f>TRUNC(1977,-1)</f>
        <v>1970</v>
      </c>
      <c r="E118" s="64">
        <f t="shared" si="3"/>
        <v>6510</v>
      </c>
    </row>
    <row r="119" spans="1:7" x14ac:dyDescent="0.3">
      <c r="A119" s="2">
        <v>22</v>
      </c>
      <c r="C119" s="27" t="s">
        <v>112</v>
      </c>
      <c r="D119" s="39">
        <f>SUM(D98:D118)</f>
        <v>146910</v>
      </c>
      <c r="E119" s="39">
        <f>SUM(E98:E118)</f>
        <v>485580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TRUNC(3081,-1)</f>
        <v>3080</v>
      </c>
      <c r="E122" s="62">
        <f t="shared" ref="E122:E132" si="4">TRUNC(+D122*3.3058,-1)</f>
        <v>10180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TRUNC(2385,-1)</f>
        <v>2380</v>
      </c>
      <c r="E124" s="63">
        <f t="shared" si="4"/>
        <v>7860</v>
      </c>
    </row>
    <row r="125" spans="1:7" x14ac:dyDescent="0.3">
      <c r="A125" s="2">
        <v>4</v>
      </c>
      <c r="C125" s="38" t="s">
        <v>138</v>
      </c>
      <c r="D125" s="42">
        <f>TRUNC(4459,-1)</f>
        <v>4450</v>
      </c>
      <c r="E125" s="63">
        <f t="shared" si="4"/>
        <v>14710</v>
      </c>
    </row>
    <row r="126" spans="1:7" x14ac:dyDescent="0.3">
      <c r="A126" s="2">
        <v>5</v>
      </c>
      <c r="C126" s="38" t="s">
        <v>53</v>
      </c>
      <c r="D126" s="42">
        <f>TRUNC(537,-1)</f>
        <v>530</v>
      </c>
      <c r="E126" s="63">
        <f t="shared" si="4"/>
        <v>1750</v>
      </c>
    </row>
    <row r="127" spans="1:7" x14ac:dyDescent="0.3">
      <c r="A127" s="2">
        <v>6</v>
      </c>
      <c r="C127" s="38" t="s">
        <v>56</v>
      </c>
      <c r="D127" s="42">
        <f>TRUNC(2916,-1)</f>
        <v>2910</v>
      </c>
      <c r="E127" s="63">
        <f t="shared" si="4"/>
        <v>9610</v>
      </c>
    </row>
    <row r="128" spans="1:7" x14ac:dyDescent="0.3">
      <c r="A128" s="2">
        <v>7</v>
      </c>
      <c r="C128" s="38" t="s">
        <v>46</v>
      </c>
      <c r="D128" s="42">
        <f>TRUNC(3609,-1)</f>
        <v>3600</v>
      </c>
      <c r="E128" s="63">
        <f t="shared" si="4"/>
        <v>11900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12050</v>
      </c>
      <c r="E130" s="63">
        <f t="shared" si="4"/>
        <v>39830</v>
      </c>
    </row>
    <row r="131" spans="1:7" x14ac:dyDescent="0.3">
      <c r="A131" s="2">
        <v>10</v>
      </c>
      <c r="C131" s="38" t="s">
        <v>149</v>
      </c>
      <c r="D131" s="42">
        <v>79000</v>
      </c>
      <c r="E131" s="63">
        <f t="shared" si="4"/>
        <v>261150</v>
      </c>
    </row>
    <row r="132" spans="1:7" ht="18" thickBot="1" x14ac:dyDescent="0.35">
      <c r="A132" s="2">
        <v>11</v>
      </c>
      <c r="C132" s="38" t="s">
        <v>47</v>
      </c>
      <c r="D132" s="43">
        <f>TRUNC(3511+1342,-1)</f>
        <v>4850</v>
      </c>
      <c r="E132" s="64">
        <f t="shared" si="4"/>
        <v>16030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112850</v>
      </c>
      <c r="E133" s="39">
        <f>SUM(E122:E132)</f>
        <v>373020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TRUNC(1098+971+1088,-1)</f>
        <v>3150</v>
      </c>
      <c r="E137" s="63">
        <f t="shared" si="5"/>
        <v>10410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TRUNC(3794,-1)</f>
        <v>3790</v>
      </c>
      <c r="E139" s="63">
        <f t="shared" si="5"/>
        <v>12520</v>
      </c>
    </row>
    <row r="140" spans="1:7" x14ac:dyDescent="0.3">
      <c r="A140" s="2">
        <v>5</v>
      </c>
      <c r="C140" s="38" t="s">
        <v>57</v>
      </c>
      <c r="D140" s="42">
        <v>1430</v>
      </c>
      <c r="E140" s="63">
        <f t="shared" si="5"/>
        <v>4720</v>
      </c>
    </row>
    <row r="141" spans="1:7" x14ac:dyDescent="0.3">
      <c r="A141" s="2">
        <v>6</v>
      </c>
      <c r="C141" s="38" t="s">
        <v>59</v>
      </c>
      <c r="D141" s="42">
        <f>TRUNC(30815,-1)</f>
        <v>30810</v>
      </c>
      <c r="E141" s="63">
        <f t="shared" si="5"/>
        <v>101850</v>
      </c>
    </row>
    <row r="142" spans="1:7" x14ac:dyDescent="0.3">
      <c r="A142" s="2">
        <v>7</v>
      </c>
      <c r="C142" s="38" t="s">
        <v>58</v>
      </c>
      <c r="D142" s="42">
        <f>TRUNC(10992,-1)</f>
        <v>10990</v>
      </c>
      <c r="E142" s="63">
        <f t="shared" si="5"/>
        <v>36330</v>
      </c>
    </row>
    <row r="143" spans="1:7" x14ac:dyDescent="0.3">
      <c r="A143" s="2">
        <v>8</v>
      </c>
      <c r="C143" s="38" t="s">
        <v>62</v>
      </c>
      <c r="D143" s="42">
        <f>TRUNC(5858,-1)</f>
        <v>5850</v>
      </c>
      <c r="E143" s="63">
        <f t="shared" si="5"/>
        <v>19330</v>
      </c>
    </row>
    <row r="144" spans="1:7" x14ac:dyDescent="0.3">
      <c r="A144" s="2">
        <v>9</v>
      </c>
      <c r="C144" s="38" t="s">
        <v>63</v>
      </c>
      <c r="D144" s="42">
        <f>TRUNC(15198,-1)</f>
        <v>15190</v>
      </c>
      <c r="E144" s="63">
        <f t="shared" si="5"/>
        <v>50210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71210</v>
      </c>
      <c r="E146" s="39">
        <f>SUM(E136:E145)</f>
        <v>235370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TRUNC(58,-1)</f>
        <v>50</v>
      </c>
      <c r="E150" s="63">
        <f>TRUNC(+D150*3.3058,-1)</f>
        <v>160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TRUNC(644+27938+940+3965,-1)</f>
        <v>33480</v>
      </c>
      <c r="E152" s="63">
        <f>TRUNC(+D152*3.3058,-1)</f>
        <v>110670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TRUNC(15791,-1)</f>
        <v>15790</v>
      </c>
      <c r="E153" s="64">
        <f>TRUNC(+D153*3.3058,-1)</f>
        <v>52190</v>
      </c>
    </row>
    <row r="154" spans="1:7" x14ac:dyDescent="0.3">
      <c r="A154" s="2">
        <v>6</v>
      </c>
      <c r="C154" s="27" t="s">
        <v>112</v>
      </c>
      <c r="D154" s="39">
        <f>SUM(D149:D153)</f>
        <v>49320</v>
      </c>
      <c r="E154" s="39">
        <f>SUM(E149:E153)</f>
        <v>163020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TRUNC(3318,-1)</f>
        <v>3310</v>
      </c>
      <c r="E157" s="62">
        <f>TRUNC(+D157*3.3058,-1)</f>
        <v>10940</v>
      </c>
    </row>
    <row r="158" spans="1:7" x14ac:dyDescent="0.3">
      <c r="A158" s="2">
        <v>2</v>
      </c>
      <c r="C158" s="38" t="s">
        <v>52</v>
      </c>
      <c r="D158" s="42">
        <f>TRUNC(1012,-1)</f>
        <v>1010</v>
      </c>
      <c r="E158" s="63">
        <f>TRUNC(+D158*3.3058,-1)</f>
        <v>3330</v>
      </c>
    </row>
    <row r="159" spans="1:7" x14ac:dyDescent="0.3">
      <c r="A159" s="2">
        <v>3</v>
      </c>
      <c r="C159" s="38" t="s">
        <v>47</v>
      </c>
      <c r="D159" s="42">
        <f>TRUNC(1479,-1)</f>
        <v>1470</v>
      </c>
      <c r="E159" s="63">
        <f>TRUNC(+D159*3.3058,-1)</f>
        <v>4850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f>TRUNC(1757,-1)</f>
        <v>1750</v>
      </c>
      <c r="E160" s="64">
        <f>TRUNC(+D160*3.3058,-1)</f>
        <v>5780</v>
      </c>
    </row>
    <row r="161" spans="1:5" x14ac:dyDescent="0.3">
      <c r="A161" s="2">
        <v>5</v>
      </c>
      <c r="C161" s="27" t="s">
        <v>112</v>
      </c>
      <c r="D161" s="39">
        <f>SUM(D157:D160)</f>
        <v>7540</v>
      </c>
      <c r="E161" s="39">
        <f>SUM(E157:E160)</f>
        <v>24900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2020-12-08T04:21:28Z</dcterms:modified>
</cp:coreProperties>
</file>