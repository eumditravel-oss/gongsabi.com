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2" i="4" l="1"/>
  <c r="D150" i="4"/>
  <c r="D149" i="4"/>
  <c r="D144" i="4"/>
  <c r="D143" i="4"/>
  <c r="D139" i="4"/>
  <c r="D142" i="4"/>
  <c r="D140" i="4"/>
  <c r="D137" i="4"/>
  <c r="D128" i="4"/>
  <c r="D127" i="4"/>
  <c r="D132" i="4"/>
  <c r="D124" i="4"/>
  <c r="D125" i="4"/>
  <c r="D122" i="4"/>
  <c r="D130" i="4"/>
  <c r="D126" i="4"/>
  <c r="D105" i="4"/>
  <c r="D104" i="4"/>
  <c r="D102" i="4"/>
  <c r="D101" i="4"/>
  <c r="D100" i="4"/>
  <c r="D99" i="4"/>
  <c r="D114" i="4"/>
  <c r="D98" i="4"/>
  <c r="D116" i="4"/>
  <c r="D118" i="4"/>
  <c r="D75" i="4"/>
  <c r="D92" i="4"/>
  <c r="D91" i="4"/>
  <c r="D90" i="4"/>
  <c r="D89" i="4"/>
  <c r="D73" i="4"/>
  <c r="D72" i="4"/>
  <c r="D71" i="4"/>
  <c r="D70" i="4"/>
  <c r="D69" i="4"/>
  <c r="D63" i="4"/>
  <c r="D53" i="4"/>
  <c r="D145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<sst xmlns="http://schemas.openxmlformats.org/spreadsheetml/2006/main" count="390" uniqueCount="265">
  <si>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</si>
  <si>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</si>
  <si>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</si>
  <si>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</si>
  <si>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</si>
  <si>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</si>
  <si>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</si>
  <si>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</si>
  <si>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</si>
  <si>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</si>
  <si>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</si>
  <si>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</si>
  <si>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</si>
  <si>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</si>
  <si>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</si>
  <si>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</si>
  <si>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</si>
  <si>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</si>
  <si>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</si>
  <si>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</si>
  <si>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</si>
  <si>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</si>
  <si>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</si>
  <si>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</si>
  <si>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</si>
  <si>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</si>
  <si>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</si>
  <si>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</si>
  <si>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</si>
  <si>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</si>
  <si>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</si>
  <si>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</si>
  <si>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</si>
  <si>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</si>
  <si>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</si>
  <si>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</si>
  <si>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</si>
  <si>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</si>
  <si>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</si>
  <si>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</si>
  <si>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</si>
  <si>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</si>
  <si>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</si>
  <si>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</si>
  <si>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</si>
  <si>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</si>
  <si>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</si>
  <si>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</si>
  <si>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</si>
  <si>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</si>
  <si>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</si>
  <si>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</si>
  <si>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</si>
  <si>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</si>
  <si>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</si>
  <si>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</si>
  <si>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</si>
  <si>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</si>
  <si>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</si>
  <si>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</si>
  <si>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</si>
  <si>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</si>
  <si>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</si>
  <si>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</si>
  <si>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</si>
  <si>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</si>
  <si>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</si>
  <si>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</si>
  <si>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</si>
  <si>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</si>
  <si>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</si>
  <si>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</si>
  <si>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</si>
  <si>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</si>
  <si>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</si>
  <si>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</si>
  <si>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</si>
  <si>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</si>
  <si>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</si>
  <si>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</si>
  <si>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</si>
  <si>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</si>
  <si>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</si>
  <si>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</si>
  <si>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</si>
  <si>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</si>
  <si>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</si>
  <si>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</si>
  <si>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</si>
  <si>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</si>
  <si>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</si>
  <si>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</si>
  <si>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</si>
  <si>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</si>
  <si>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</si>
  <si>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</si>
  <si>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</si>
  <si>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</si>
  <si>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</si>
  <si>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</si>
  <si>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</si>
  <si>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</si>
  <si>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</si>
  <si>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</si>
  <si>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</si>
  <si>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</si>
  <si>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</si>
  <si>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</si>
  <si>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</si>
  <si>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</si>
  <si>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</si>
  <si>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</si>
  <si>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</si>
  <si>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</si>
  <si>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</si>
  <si>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</si>
  <si>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</si>
  <si>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</si>
  <si>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</si>
  <si>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</si>
  <si>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</si>
  <si>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</si>
  <si>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</si>
  <si>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</si>
  <si>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</si>
  <si>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</si>
  <si>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</si>
  <si>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</si>
  <si>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</si>
  <si>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</si>
  <si>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</si>
  <si>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</si>
  <si>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</si>
  <si>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</si>
  <si>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</si>
  <si>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</si>
  <si>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</si>
  <si>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</si>
  <si>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</si>
  <si>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</si>
  <si>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</si>
  <si>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</si>
  <si>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</si>
  <si>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</si>
  <si>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</si>
  <si>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</si>
  <si>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</si>
  <si>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</si>
  <si>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</si>
  <si>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</si>
  <si>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</si>
  <si>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</si>
  <si>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</si>
  <si>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</si>
  <si>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</si>
  <si>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</si>
  <si>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</si>
  <si>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</si>
  <si>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</si>
  <si>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</si>
  <si>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</si>
  <si>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</si>
  <si>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</si>
  <si>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</si>
  <si>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</si>
  <si>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</si>
  <si>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</si>
  <si>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</si>
  <si>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</si>
  <si>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</si>
  <si>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</si>
  <si>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</si>
  <si>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</si>
  <si>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</si>
  <si>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</si>
  <si>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</si>
  <si>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</si>
  <si>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</si>
  <si>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</si>
  <si>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</si>
  <si>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</si>
  <si>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</si>
  <si>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</si>
  <si>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</si>
  <si>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</si>
  <si>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</si>
  <si>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</si>
  <si>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</si>
  <si>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</si>
  <si>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</si>
  <si>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</si>
  <si>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</si>
  <si>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</si>
  <si>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</si>
  <si>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</si>
  <si>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</si>
  <si>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</si>
  <si>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</si>
  <si>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</si>
  <si>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</si>
  <si>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</si>
  <si>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</si>
  <si>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</si>
  <si>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</si>
  <si>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</si>
  <si>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</si>
  <si>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</si>
  <si>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</si>
  <si>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</si>
  <si>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</si>
  <si>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</si>
  <si>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</si>
  <si>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</si>
  <si>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</si>
  <si>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</si>
  <si>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</si>
  <si>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</si>
  <si>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</si>
  <si>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</si>
  <si>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</si>
  <si>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</si>
  <si>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</si>
  <si>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</si>
  <si>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</si>
  <si>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</si>
  <si>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</si>
  <si>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</si>
  <si>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</si>
  <si>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</si>
  <si>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</si>
  <si>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</si>
  <si>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</si>
  <si>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</si>
  <si>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</si>
  <si>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</si>
  <si>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</si>
  <si>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</si>
  <si>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</si>
  <si>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</si>
  <si>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</si>
  <si>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</si>
  <si>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</si>
  <si>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</si>
  <si>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</si>
  <si>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</si>
  <si>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</si>
  <si>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</si>
  <si>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</si>
  <si>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한국과학기술정보연구원 본원 연구원 기숙사 건립공사</t>
    <phoneticPr fontId="2" type="noConversion"/>
  </si>
  <si>
    <t>교육연구</t>
  </si>
  <si>
    <t>대전시</t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</si>
  <si>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</si>
  <si>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</si>
  <si>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</si>
  <si>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</si>
  <si>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</si>
  <si>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옥외소화배관공사,펌프실배관공사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</si>
  <si>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</si>
  <si>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</si>
  <si>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공조배관공사,난방배관공사,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</si>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</sst>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3944.42</v>
      </c>
      <c r="D7" s="36">
        <f>+C7/3.3058</f>
        <v>1193.181680682437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1314740</v>
      </c>
      <c r="E25" s="59">
        <f t="shared" si="0"/>
        <v>4346260</v>
      </c>
    </row>
    <row r="26" spans="1:5" x14ac:dyDescent="0.3">
      <c r="B26" s="2">
        <v>3</v>
      </c>
      <c r="C26" s="35" t="s">
        <v>95</v>
      </c>
      <c r="D26" s="45">
        <f>+D66</f>
        <v>24820</v>
      </c>
      <c r="E26" s="59">
        <f t="shared" si="0"/>
        <v>82040</v>
      </c>
    </row>
    <row r="27" spans="1:5" x14ac:dyDescent="0.3">
      <c r="B27" s="2">
        <v>4</v>
      </c>
      <c r="C27" s="35" t="s">
        <v>96</v>
      </c>
      <c r="D27" s="45">
        <f>+D95</f>
        <v>121660</v>
      </c>
      <c r="E27" s="59">
        <f t="shared" si="0"/>
        <v>402180</v>
      </c>
    </row>
    <row r="28" spans="1:5" x14ac:dyDescent="0.3">
      <c r="B28" s="2">
        <v>5</v>
      </c>
      <c r="C28" s="35" t="s">
        <v>97</v>
      </c>
      <c r="D28" s="45">
        <f>+D119</f>
        <v>227670</v>
      </c>
      <c r="E28" s="59">
        <f t="shared" si="0"/>
        <v>752630</v>
      </c>
    </row>
    <row r="29" spans="1:5" x14ac:dyDescent="0.3">
      <c r="B29" s="2">
        <v>6</v>
      </c>
      <c r="C29" s="35" t="s">
        <v>98</v>
      </c>
      <c r="D29" s="45">
        <f>+D133</f>
        <v>120630</v>
      </c>
      <c r="E29" s="59">
        <f t="shared" si="0"/>
        <v>398770</v>
      </c>
    </row>
    <row r="30" spans="1:5" x14ac:dyDescent="0.3">
      <c r="B30" s="2">
        <v>7</v>
      </c>
      <c r="C30" s="35" t="s">
        <v>99</v>
      </c>
      <c r="D30" s="45">
        <f>+D146</f>
        <v>47650</v>
      </c>
      <c r="E30" s="59">
        <f t="shared" si="0"/>
        <v>157520</v>
      </c>
    </row>
    <row r="31" spans="1:5" x14ac:dyDescent="0.3">
      <c r="B31" s="2">
        <v>8</v>
      </c>
      <c r="C31" s="35" t="s">
        <v>100</v>
      </c>
      <c r="D31" s="45">
        <f>+D154</f>
        <v>21150</v>
      </c>
      <c r="E31" s="59">
        <f t="shared" si="0"/>
        <v>69910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516530</v>
      </c>
      <c r="E33" s="60">
        <f t="shared" si="0"/>
        <v>1707540</v>
      </c>
    </row>
    <row r="34" spans="1:7" x14ac:dyDescent="0.3">
      <c r="C34" s="35" t="s">
        <v>112</v>
      </c>
      <c r="D34" s="44">
        <f>SUM(D24:D33)</f>
        <v>2394850</v>
      </c>
      <c r="E34" s="44">
        <f>SUM(E24:E33)</f>
        <v>7916850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v>0</v>
      </c>
      <c r="E40" s="62">
        <f t="shared" ref="E40:E59" si="1">TRUNC(+D40*3.3058,-1)</f>
        <v>0</v>
      </c>
    </row>
    <row r="41" spans="1:7" x14ac:dyDescent="0.3">
      <c r="A41" s="2">
        <v>2</v>
      </c>
      <c r="C41" s="38" t="s">
        <v>13</v>
      </c>
      <c r="D41" s="42">
        <v>0</v>
      </c>
      <c r="E41" s="63">
        <f t="shared" si="1"/>
        <v>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f>TRUNC(744911,-1)</f>
        <v>744910</v>
      </c>
      <c r="E53" s="63">
        <f t="shared" si="1"/>
        <v>2462520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0</v>
      </c>
      <c r="E58" s="63">
        <f t="shared" si="1"/>
        <v>0</v>
      </c>
    </row>
    <row r="59" spans="1:7" ht="17.25" thickBot="1" x14ac:dyDescent="0.35">
      <c r="A59" s="2">
        <v>20</v>
      </c>
      <c r="C59" s="38" t="s">
        <v>148</v>
      </c>
      <c r="D59" s="43">
        <f>TRUNC(569839,-1)</f>
        <v>569830</v>
      </c>
      <c r="E59" s="64">
        <f t="shared" si="1"/>
        <v>1883740</v>
      </c>
    </row>
    <row r="60" spans="1:7" x14ac:dyDescent="0.3">
      <c r="A60" s="2">
        <v>21</v>
      </c>
      <c r="C60" s="27" t="s">
        <v>112</v>
      </c>
      <c r="D60" s="39">
        <f>SUM(D40:D59)</f>
        <v>1314740</v>
      </c>
      <c r="E60" s="39">
        <f>SUM(E40:E59)</f>
        <v>4346260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TRUNC(24825,-1)</f>
        <v>24820</v>
      </c>
      <c r="E63" s="62">
        <f>TRUNC(+D63*3.3058,-1)</f>
        <v>82040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24820</v>
      </c>
      <c r="E66" s="65">
        <f>SUM(E63:E65)</f>
        <v>82040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TRUNC(9424,-1)</f>
        <v>9420</v>
      </c>
      <c r="E69" s="62">
        <f t="shared" ref="E69:E94" si="2">TRUNC(+D69*3.3058,-1)</f>
        <v>31140</v>
      </c>
    </row>
    <row r="70" spans="1:7" ht="16.5" customHeight="1" x14ac:dyDescent="0.3">
      <c r="A70" s="2">
        <v>2</v>
      </c>
      <c r="C70" s="38" t="s">
        <v>31</v>
      </c>
      <c r="D70" s="42">
        <f>TRUNC(666,-1)</f>
        <v>660</v>
      </c>
      <c r="E70" s="63">
        <f t="shared" si="2"/>
        <v>2180</v>
      </c>
    </row>
    <row r="71" spans="1:7" x14ac:dyDescent="0.3">
      <c r="A71" s="2">
        <v>3</v>
      </c>
      <c r="C71" s="38" t="s">
        <v>32</v>
      </c>
      <c r="D71" s="42">
        <f>TRUNC(13092,-1)</f>
        <v>13090</v>
      </c>
      <c r="E71" s="63">
        <f t="shared" si="2"/>
        <v>43270</v>
      </c>
    </row>
    <row r="72" spans="1:7" x14ac:dyDescent="0.3">
      <c r="A72" s="2">
        <v>4</v>
      </c>
      <c r="C72" s="38" t="s">
        <v>33</v>
      </c>
      <c r="D72" s="42">
        <f>TRUNC(8163,-1)</f>
        <v>8160</v>
      </c>
      <c r="E72" s="63">
        <f t="shared" si="2"/>
        <v>26970</v>
      </c>
    </row>
    <row r="73" spans="1:7" x14ac:dyDescent="0.3">
      <c r="A73" s="2">
        <v>5</v>
      </c>
      <c r="C73" s="38" t="s">
        <v>34</v>
      </c>
      <c r="D73" s="42">
        <f>TRUNC(30416,-1)</f>
        <v>30410</v>
      </c>
      <c r="E73" s="63">
        <f t="shared" si="2"/>
        <v>100520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TRUNC(207,-1)</f>
        <v>200</v>
      </c>
      <c r="E75" s="63">
        <f t="shared" si="2"/>
        <v>660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TRUNC(30987,-1)</f>
        <v>30980</v>
      </c>
      <c r="E89" s="63">
        <f t="shared" si="2"/>
        <v>102410</v>
      </c>
    </row>
    <row r="90" spans="1:7" x14ac:dyDescent="0.3">
      <c r="A90" s="2">
        <v>22</v>
      </c>
      <c r="C90" s="38" t="s">
        <v>36</v>
      </c>
      <c r="D90" s="42">
        <f>TRUNC(2947,-1)</f>
        <v>2940</v>
      </c>
      <c r="E90" s="63">
        <f t="shared" si="2"/>
        <v>9710</v>
      </c>
    </row>
    <row r="91" spans="1:7" x14ac:dyDescent="0.3">
      <c r="A91" s="2">
        <v>23</v>
      </c>
      <c r="C91" s="38" t="s">
        <v>37</v>
      </c>
      <c r="D91" s="42">
        <f>TRUNC(14889,-1)</f>
        <v>14880</v>
      </c>
      <c r="E91" s="63">
        <f t="shared" si="2"/>
        <v>49190</v>
      </c>
    </row>
    <row r="92" spans="1:7" x14ac:dyDescent="0.3">
      <c r="A92" s="2">
        <v>24</v>
      </c>
      <c r="C92" s="38" t="s">
        <v>38</v>
      </c>
      <c r="D92" s="42">
        <f>TRUNC(8548,-1)</f>
        <v>8540</v>
      </c>
      <c r="E92" s="63">
        <f t="shared" si="2"/>
        <v>28230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TRUNC(299+460+1623,-1)</f>
        <v>2380</v>
      </c>
      <c r="E94" s="64">
        <f t="shared" si="2"/>
        <v>7860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121660</v>
      </c>
      <c r="E95" s="39">
        <f>SUM(E69:E94)</f>
        <v>402140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TRUNC(28832,-1)</f>
        <v>28830</v>
      </c>
      <c r="E98" s="62">
        <f t="shared" ref="E98:E118" si="3">TRUNC(+D98*3.3058,-1)</f>
        <v>95300</v>
      </c>
    </row>
    <row r="99" spans="1:7" x14ac:dyDescent="0.3">
      <c r="A99" s="2">
        <v>2</v>
      </c>
      <c r="C99" s="38" t="s">
        <v>40</v>
      </c>
      <c r="D99" s="42">
        <f>TRUNC(13141,-1)</f>
        <v>13140</v>
      </c>
      <c r="E99" s="63">
        <f t="shared" si="3"/>
        <v>43430</v>
      </c>
    </row>
    <row r="100" spans="1:7" x14ac:dyDescent="0.3">
      <c r="A100" s="2">
        <v>3</v>
      </c>
      <c r="C100" s="38" t="s">
        <v>41</v>
      </c>
      <c r="D100" s="42">
        <f>TRUNC(24354,-1)</f>
        <v>24350</v>
      </c>
      <c r="E100" s="63">
        <f t="shared" si="3"/>
        <v>80490</v>
      </c>
    </row>
    <row r="101" spans="1:7" x14ac:dyDescent="0.3">
      <c r="A101" s="2">
        <v>4</v>
      </c>
      <c r="C101" s="38" t="s">
        <v>42</v>
      </c>
      <c r="D101" s="42">
        <f>TRUNC(27327,-1)</f>
        <v>27320</v>
      </c>
      <c r="E101" s="63">
        <f t="shared" si="3"/>
        <v>90310</v>
      </c>
    </row>
    <row r="102" spans="1:7" x14ac:dyDescent="0.3">
      <c r="A102" s="2">
        <v>5</v>
      </c>
      <c r="C102" s="38" t="s">
        <v>43</v>
      </c>
      <c r="D102" s="42">
        <f>TRUNC(6006,-1)</f>
        <v>6000</v>
      </c>
      <c r="E102" s="63">
        <f t="shared" si="3"/>
        <v>19830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TRUNC(3154,-1)</f>
        <v>3150</v>
      </c>
      <c r="E104" s="63">
        <f t="shared" si="3"/>
        <v>10410</v>
      </c>
    </row>
    <row r="105" spans="1:7" x14ac:dyDescent="0.3">
      <c r="A105" s="2">
        <v>8</v>
      </c>
      <c r="C105" s="38" t="s">
        <v>46</v>
      </c>
      <c r="D105" s="42">
        <f>TRUNC(9114,-1)</f>
        <v>9110</v>
      </c>
      <c r="E105" s="63">
        <f t="shared" si="3"/>
        <v>30110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TRUNC(878,-1)</f>
        <v>870</v>
      </c>
      <c r="E114" s="63">
        <f t="shared" si="3"/>
        <v>2870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TRUNC(16256,-1)</f>
        <v>16250</v>
      </c>
      <c r="E116" s="63">
        <f t="shared" si="3"/>
        <v>53710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TRUNC(96502,-1)</f>
        <v>96500</v>
      </c>
      <c r="E117" s="63">
        <f t="shared" si="3"/>
        <v>319000</v>
      </c>
    </row>
    <row r="118" spans="1:7" ht="17.25" thickBot="1" x14ac:dyDescent="0.35">
      <c r="A118" s="2">
        <v>21</v>
      </c>
      <c r="C118" s="38" t="s">
        <v>47</v>
      </c>
      <c r="D118" s="43">
        <f>TRUNC(440+1716,-1)</f>
        <v>2150</v>
      </c>
      <c r="E118" s="64">
        <f t="shared" si="3"/>
        <v>7100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227670</v>
      </c>
      <c r="E119" s="39">
        <f>SUM(E98:E118)</f>
        <v>752560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TRUNC(8300,-1)</f>
        <v>8300</v>
      </c>
      <c r="E122" s="62">
        <f t="shared" ref="E122:E132" si="4">TRUNC(+D122*3.3058,-1)</f>
        <v>27430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TRUNC(1914,-1)</f>
        <v>1910</v>
      </c>
      <c r="E124" s="63">
        <f t="shared" si="4"/>
        <v>6310</v>
      </c>
    </row>
    <row r="125" spans="1:7" x14ac:dyDescent="0.3">
      <c r="A125" s="2">
        <v>4</v>
      </c>
      <c r="C125" s="38" t="s">
        <v>138</v>
      </c>
      <c r="D125" s="42">
        <f>TRUNC(7317,-1)</f>
        <v>7310</v>
      </c>
      <c r="E125" s="63">
        <f t="shared" si="4"/>
        <v>24160</v>
      </c>
    </row>
    <row r="126" spans="1:7" x14ac:dyDescent="0.3">
      <c r="A126" s="2">
        <v>5</v>
      </c>
      <c r="C126" s="38" t="s">
        <v>53</v>
      </c>
      <c r="D126" s="42">
        <f>TRUNC(11046,-1)</f>
        <v>11040</v>
      </c>
      <c r="E126" s="63">
        <f t="shared" si="4"/>
        <v>36490</v>
      </c>
    </row>
    <row r="127" spans="1:7" x14ac:dyDescent="0.3">
      <c r="A127" s="2">
        <v>6</v>
      </c>
      <c r="C127" s="38" t="s">
        <v>56</v>
      </c>
      <c r="D127" s="42">
        <f>TRUNC(2553,-1)</f>
        <v>2550</v>
      </c>
      <c r="E127" s="63">
        <f t="shared" si="4"/>
        <v>8420</v>
      </c>
    </row>
    <row r="128" spans="1:7" x14ac:dyDescent="0.3">
      <c r="A128" s="2">
        <v>7</v>
      </c>
      <c r="C128" s="38" t="s">
        <v>46</v>
      </c>
      <c r="D128" s="42">
        <f>TRUNC(5564,-1)</f>
        <v>5560</v>
      </c>
      <c r="E128" s="63">
        <f t="shared" si="4"/>
        <v>18380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TRUNC(16083,-1)</f>
        <v>16080</v>
      </c>
      <c r="E130" s="63">
        <f t="shared" si="4"/>
        <v>53150</v>
      </c>
    </row>
    <row r="131" spans="1:7" x14ac:dyDescent="0.3">
      <c r="A131" s="2">
        <v>10</v>
      </c>
      <c r="C131" s="38" t="s">
        <v>148</v>
      </c>
      <c r="D131" s="42">
        <f>TRUNC(64963,-1)</f>
        <v>64960</v>
      </c>
      <c r="E131" s="63">
        <f t="shared" si="4"/>
        <v>214740</v>
      </c>
    </row>
    <row r="132" spans="1:7" ht="18" thickBot="1" x14ac:dyDescent="0.35">
      <c r="A132" s="2">
        <v>11</v>
      </c>
      <c r="C132" s="38" t="s">
        <v>47</v>
      </c>
      <c r="D132" s="43">
        <f>TRUNC(2926,-1)</f>
        <v>2920</v>
      </c>
      <c r="E132" s="64">
        <f t="shared" si="4"/>
        <v>9650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120630</v>
      </c>
      <c r="E133" s="39">
        <f>SUM(E122:E132)</f>
        <v>398730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TRUNC(727+4123,-1)</f>
        <v>4850</v>
      </c>
      <c r="E137" s="63">
        <f t="shared" si="5"/>
        <v>16030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TRUNC(1615,-1)</f>
        <v>1610</v>
      </c>
      <c r="E139" s="63">
        <f t="shared" si="5"/>
        <v>5320</v>
      </c>
    </row>
    <row r="140" spans="1:7" x14ac:dyDescent="0.3">
      <c r="A140" s="2">
        <v>5</v>
      </c>
      <c r="C140" s="38" t="s">
        <v>57</v>
      </c>
      <c r="D140" s="42">
        <f>TRUNC(2247,-1)</f>
        <v>2240</v>
      </c>
      <c r="E140" s="63">
        <f t="shared" si="5"/>
        <v>7400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TRUNC(6545,-1)</f>
        <v>6540</v>
      </c>
      <c r="E142" s="63">
        <f t="shared" si="5"/>
        <v>21610</v>
      </c>
    </row>
    <row r="143" spans="1:7" x14ac:dyDescent="0.3">
      <c r="A143" s="2">
        <v>8</v>
      </c>
      <c r="C143" s="38" t="s">
        <v>62</v>
      </c>
      <c r="D143" s="42">
        <f>TRUNC(3716,-1)</f>
        <v>3710</v>
      </c>
      <c r="E143" s="63">
        <f t="shared" si="5"/>
        <v>12260</v>
      </c>
    </row>
    <row r="144" spans="1:7" x14ac:dyDescent="0.3">
      <c r="A144" s="2">
        <v>9</v>
      </c>
      <c r="C144" s="38" t="s">
        <v>63</v>
      </c>
      <c r="D144" s="42">
        <f>TRUNC(15097,-1)</f>
        <v>15090</v>
      </c>
      <c r="E144" s="63">
        <f t="shared" si="5"/>
        <v>49880</v>
      </c>
    </row>
    <row r="145" spans="1:7" ht="17.25" thickBot="1" x14ac:dyDescent="0.35">
      <c r="A145" s="2">
        <v>10</v>
      </c>
      <c r="C145" s="38" t="s">
        <v>148</v>
      </c>
      <c r="D145" s="43">
        <f>TRUNC(13614,-1)</f>
        <v>13610</v>
      </c>
      <c r="E145" s="64">
        <f t="shared" si="5"/>
        <v>44990</v>
      </c>
    </row>
    <row r="146" spans="1:7" x14ac:dyDescent="0.3">
      <c r="A146" s="2">
        <v>11</v>
      </c>
      <c r="C146" s="27" t="s">
        <v>112</v>
      </c>
      <c r="D146" s="39">
        <f>SUM(D136:D145)</f>
        <v>47650</v>
      </c>
      <c r="E146" s="39">
        <f>SUM(E136:E145)</f>
        <v>157490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TRUNC(5907+1018,-1)</f>
        <v>6920</v>
      </c>
      <c r="E149" s="62">
        <f>TRUNC(+D149*3.3058,-1)</f>
        <v>22870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TRUNC(9281,-1)</f>
        <v>9280</v>
      </c>
      <c r="E150" s="63">
        <f>TRUNC(+D150*3.3058,-1)</f>
        <v>30670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TRUNC(275+4684,-1)</f>
        <v>4950</v>
      </c>
      <c r="E152" s="63">
        <f>TRUNC(+D152*3.3058,-1)</f>
        <v>16360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21150</v>
      </c>
      <c r="E154" s="39">
        <f>SUM(E149:E153)</f>
        <v>69900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2020-12-08T02:16:19Z</dcterms:modified>
</cp:coreProperties>
</file>