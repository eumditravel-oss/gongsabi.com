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39" i="4"/>
  <c r="E138" i="4"/>
  <c r="E136" i="4"/>
  <c r="E129" i="4"/>
  <c r="E127" i="4"/>
  <c r="E126" i="4"/>
  <c r="E123" i="4"/>
  <c r="E115" i="4"/>
  <c r="E113" i="4"/>
  <c r="E112" i="4"/>
  <c r="E111" i="4"/>
  <c r="E110" i="4"/>
  <c r="E109" i="4"/>
  <c r="E108" i="4"/>
  <c r="E107" i="4"/>
  <c r="E106" i="4"/>
  <c r="E90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72" i="4"/>
  <c r="E64" i="4"/>
  <c r="E57" i="4"/>
  <c r="E56" i="4"/>
  <c r="E55" i="4"/>
  <c r="E54" i="4"/>
  <c r="E51" i="4"/>
  <c r="E47" i="4"/>
  <c r="E37" i="4"/>
  <c r="D159" i="4" l="1"/>
  <c r="E159" i="4" s="1"/>
  <c r="D158" i="4"/>
  <c r="E158" i="4" s="1"/>
  <c r="D157" i="4"/>
  <c r="E157" i="4" s="1"/>
  <c r="E161" i="4" s="1"/>
  <c r="D153" i="4"/>
  <c r="E153" i="4" s="1"/>
  <c r="D152" i="4"/>
  <c r="E152" i="4" s="1"/>
  <c r="D151" i="4"/>
  <c r="E151" i="4" s="1"/>
  <c r="D150" i="4"/>
  <c r="E150" i="4" s="1"/>
  <c r="D149" i="4"/>
  <c r="E149" i="4" s="1"/>
  <c r="D145" i="4"/>
  <c r="E145" i="4" s="1"/>
  <c r="D144" i="4"/>
  <c r="E144" i="4" s="1"/>
  <c r="D143" i="4"/>
  <c r="E143" i="4" s="1"/>
  <c r="D142" i="4"/>
  <c r="E142" i="4" s="1"/>
  <c r="D141" i="4"/>
  <c r="E141" i="4" s="1"/>
  <c r="D140" i="4"/>
  <c r="D137" i="4"/>
  <c r="E137" i="4" s="1"/>
  <c r="D132" i="4"/>
  <c r="E132" i="4" s="1"/>
  <c r="D131" i="4"/>
  <c r="E131" i="4" s="1"/>
  <c r="D130" i="4"/>
  <c r="E130" i="4" s="1"/>
  <c r="D128" i="4"/>
  <c r="E128" i="4" s="1"/>
  <c r="D125" i="4"/>
  <c r="E125" i="4" s="1"/>
  <c r="D124" i="4"/>
  <c r="D122" i="4"/>
  <c r="E122" i="4" s="1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D98" i="4"/>
  <c r="D94" i="4"/>
  <c r="E94" i="4" s="1"/>
  <c r="D93" i="4"/>
  <c r="E93" i="4" s="1"/>
  <c r="D92" i="4"/>
  <c r="E92" i="4" s="1"/>
  <c r="D91" i="4"/>
  <c r="E91" i="4" s="1"/>
  <c r="D89" i="4"/>
  <c r="E89" i="4" s="1"/>
  <c r="D75" i="4"/>
  <c r="E75" i="4" s="1"/>
  <c r="D73" i="4"/>
  <c r="E73" i="4" s="1"/>
  <c r="D71" i="4"/>
  <c r="E71" i="4" s="1"/>
  <c r="D70" i="4"/>
  <c r="D69" i="4"/>
  <c r="E69" i="4" s="1"/>
  <c r="D65" i="4"/>
  <c r="E65" i="4" s="1"/>
  <c r="D63" i="4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E24" i="4" s="1"/>
  <c r="D7" i="4"/>
  <c r="D119" i="4" l="1"/>
  <c r="D28" i="4" s="1"/>
  <c r="E28" i="4" s="1"/>
  <c r="E98" i="4"/>
  <c r="D146" i="4"/>
  <c r="D30" i="4" s="1"/>
  <c r="E30" i="4" s="1"/>
  <c r="E140" i="4"/>
  <c r="E146" i="4" s="1"/>
  <c r="E119" i="4"/>
  <c r="D133" i="4"/>
  <c r="D29" i="4" s="1"/>
  <c r="E29" i="4" s="1"/>
  <c r="E124" i="4"/>
  <c r="D66" i="4"/>
  <c r="D26" i="4" s="1"/>
  <c r="E26" i="4" s="1"/>
  <c r="E63" i="4"/>
  <c r="E66" i="4" s="1"/>
  <c r="D60" i="4"/>
  <c r="D25" i="4" s="1"/>
  <c r="E25" i="4" s="1"/>
  <c r="E40" i="4"/>
  <c r="E60" i="4" s="1"/>
  <c r="E133" i="4"/>
  <c r="E154" i="4"/>
  <c r="D95" i="4"/>
  <c r="D27" i="4" s="1"/>
  <c r="E27" i="4" s="1"/>
  <c r="E70" i="4"/>
  <c r="E95" i="4" s="1"/>
  <c r="D154" i="4"/>
  <c r="D31" i="4" s="1"/>
  <c r="E31" i="4" s="1"/>
  <c r="D161" i="4"/>
  <c r="D32" i="4" s="1"/>
  <c r="E32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<sst xmlns="http://schemas.openxmlformats.org/spreadsheetml/2006/main" count="396" uniqueCount="267">
  <si>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</si>
  <si>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</si>
  <si>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</si>
  <si>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</si>
  <si>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</si>
  <si>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</si>
  <si>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</si>
  <si>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</si>
  <si>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</si>
  <si>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</si>
  <si>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</si>
  <si>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</si>
  <si>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</si>
  <si>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</si>
  <si>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</si>
  <si>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</si>
  <si>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</si>
  <si>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</si>
  <si>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</si>
  <si>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</si>
  <si>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</si>
  <si>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</si>
  <si>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</si>
  <si>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</si>
  <si>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</si>
  <si>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</si>
  <si>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</si>
  <si>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</si>
  <si>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</si>
  <si>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</si>
  <si>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</si>
  <si>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</si>
  <si>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</si>
  <si>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</si>
  <si>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</si>
  <si>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</si>
  <si>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</si>
  <si>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</si>
  <si>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</si>
  <si>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</si>
  <si>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</si>
  <si>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</si>
  <si>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</si>
  <si>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</si>
  <si>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</si>
  <si>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</si>
  <si>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</si>
  <si>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</si>
  <si>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</si>
  <si>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</si>
  <si>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</si>
  <si>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</si>
  <si>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</si>
  <si>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</si>
  <si>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</si>
  <si>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</si>
  <si>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</si>
  <si>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</si>
  <si>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</si>
  <si>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</si>
  <si>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</si>
  <si>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</si>
  <si>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</si>
  <si>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</si>
  <si>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</si>
  <si>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</si>
  <si>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</si>
  <si>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</si>
  <si>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</si>
  <si>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</si>
  <si>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</si>
  <si>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</si>
  <si>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</si>
  <si>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</si>
  <si>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</si>
  <si>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</si>
  <si>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</si>
  <si>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</si>
  <si>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</si>
  <si>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</si>
  <si>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</si>
  <si>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</si>
  <si>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</si>
  <si>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</si>
  <si>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</si>
  <si>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</si>
  <si>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</si>
  <si>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</si>
  <si>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</si>
  <si>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</si>
  <si>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</si>
  <si>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</si>
  <si>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</si>
  <si>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</si>
  <si>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</si>
  <si>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</si>
  <si>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</si>
  <si>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</si>
  <si>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</si>
  <si>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</si>
  <si>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</si>
  <si>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</si>
  <si>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</si>
  <si>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</si>
  <si>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</si>
  <si>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</si>
  <si>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</si>
  <si>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</si>
  <si>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</si>
  <si>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</si>
  <si>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</si>
  <si>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</si>
  <si>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</si>
  <si>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</si>
  <si>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</si>
  <si>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</si>
  <si>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</si>
  <si>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</si>
  <si>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</si>
  <si>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</si>
  <si>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</si>
  <si>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</si>
  <si>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</si>
  <si>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</si>
  <si>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</si>
  <si>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</si>
  <si>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</si>
  <si>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</si>
  <si>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</si>
  <si>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</si>
  <si>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</si>
  <si>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</si>
  <si>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</si>
  <si>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</si>
  <si>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</si>
  <si>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</si>
  <si>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</si>
  <si>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</si>
  <si>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</si>
  <si>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</si>
  <si>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</si>
  <si>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</si>
  <si>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</si>
  <si>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</si>
  <si>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</si>
  <si>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</si>
  <si>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</si>
  <si>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</si>
  <si>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</si>
  <si>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</si>
  <si>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</si>
  <si>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</si>
  <si>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</si>
  <si>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</si>
  <si>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</si>
  <si>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</si>
  <si>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</si>
  <si>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</si>
  <si>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</si>
  <si>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</si>
  <si>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</si>
  <si>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</si>
  <si>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</si>
  <si>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</si>
  <si>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</si>
  <si>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</si>
  <si>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</si>
  <si>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</si>
  <si>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</si>
  <si>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</si>
  <si>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</si>
  <si>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</si>
  <si>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</si>
  <si>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</si>
  <si>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</si>
  <si>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</si>
  <si>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</si>
  <si>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</si>
  <si>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</si>
  <si>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</si>
  <si>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</si>
  <si>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</si>
  <si>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</si>
  <si>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</si>
  <si>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</si>
  <si>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</si>
  <si>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</si>
  <si>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</si>
  <si>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</si>
  <si>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</si>
  <si>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</si>
  <si>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</si>
  <si>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</si>
  <si>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</si>
  <si>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</si>
  <si>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</si>
  <si>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</si>
  <si>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</si>
  <si>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</si>
  <si>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</si>
  <si>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</si>
  <si>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</si>
  <si>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</si>
  <si>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</si>
  <si>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</si>
  <si>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</si>
  <si>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</si>
  <si>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</si>
  <si>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</si>
  <si>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</si>
  <si>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</si>
  <si>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</si>
  <si>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</si>
  <si>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</si>
  <si>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</si>
  <si>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</si>
  <si>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</si>
  <si>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</si>
  <si>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</si>
  <si>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</si>
  <si>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</si>
  <si>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</si>
  <si>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</si>
  <si>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</si>
  <si>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</si>
  <si>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</si>
  <si>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</si>
  <si>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</si>
  <si>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</si>
  <si>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</si>
  <si>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</si>
  <si>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</si>
  <si>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</si>
  <si>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</si>
  <si>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</si>
  <si>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</si>
  <si>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</si>
  <si>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</si>
  <si>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</si>
  <si>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</si>
  <si>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</si>
  <si>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</si>
  <si>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</si>
  <si>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</si>
  <si>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</si>
  <si>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</si>
  <si>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국민건강보험공단 대전지역본부 사옥 신축공사</t>
  </si>
  <si>
    <t>세종시</t>
  </si>
  <si>
    <t>평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</si>
  <si>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</si>
  <si>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</si>
  <si>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</si>
  <si>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기초공사,골재비및운반비,기타공사</t>
    <phoneticPr fontId="2" type="noConversion"/>
  </si>
  <si>
    <t>공조배관공사,바닥난방공사,기타공사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</si>
  <si>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</si>
  <si>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</si>
  <si>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CCTV설비공사,주차관제설비공사</t>
    <phoneticPr fontId="2" type="noConversion"/>
  </si>
  <si>
    <t>옥외소화배관공사, 펌프실배관공사,제연덕트설치공사,무선통신보조설비공사,기타공사</t>
    <phoneticPr fontId="2" type="noConversion"/>
  </si>
  <si>
    <t>토목 상수도공사, 토목 사급자재비,토목 운반비</t>
    <phoneticPr fontId="2" type="noConversion"/>
  </si>
  <si>
    <t>포장공사</t>
    <phoneticPr fontId="2" type="noConversion"/>
  </si>
  <si>
    <t>원 /평</t>
    <phoneticPr fontId="2" type="noConversion"/>
  </si>
  <si>
    <t>원 /평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</si>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</sst>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13578.75</v>
      </c>
      <c r="D7" s="36">
        <f>+C7/3.3058</f>
        <v>4107.5533910097402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234</v>
      </c>
      <c r="E23" s="35" t="s">
        <v>261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917170</v>
      </c>
      <c r="E25" s="60">
        <f t="shared" si="0"/>
        <v>3031980</v>
      </c>
    </row>
    <row r="26" spans="1:5" x14ac:dyDescent="0.3">
      <c r="B26" s="2">
        <v>3</v>
      </c>
      <c r="C26" s="35" t="s">
        <v>95</v>
      </c>
      <c r="D26" s="45">
        <f>+D66</f>
        <v>66410</v>
      </c>
      <c r="E26" s="60">
        <f t="shared" si="0"/>
        <v>219530</v>
      </c>
    </row>
    <row r="27" spans="1:5" x14ac:dyDescent="0.3">
      <c r="B27" s="2">
        <v>4</v>
      </c>
      <c r="C27" s="35" t="s">
        <v>96</v>
      </c>
      <c r="D27" s="45">
        <f>+D95</f>
        <v>335280</v>
      </c>
      <c r="E27" s="60">
        <f t="shared" si="0"/>
        <v>1108360</v>
      </c>
    </row>
    <row r="28" spans="1:5" x14ac:dyDescent="0.3">
      <c r="B28" s="2">
        <v>5</v>
      </c>
      <c r="C28" s="35" t="s">
        <v>97</v>
      </c>
      <c r="D28" s="45">
        <f>+D119</f>
        <v>226270</v>
      </c>
      <c r="E28" s="60">
        <f t="shared" si="0"/>
        <v>748000</v>
      </c>
    </row>
    <row r="29" spans="1:5" x14ac:dyDescent="0.3">
      <c r="B29" s="2">
        <v>6</v>
      </c>
      <c r="C29" s="35" t="s">
        <v>98</v>
      </c>
      <c r="D29" s="45">
        <f>+D133</f>
        <v>96700</v>
      </c>
      <c r="E29" s="60">
        <f t="shared" si="0"/>
        <v>319670</v>
      </c>
    </row>
    <row r="30" spans="1:5" x14ac:dyDescent="0.3">
      <c r="B30" s="2">
        <v>7</v>
      </c>
      <c r="C30" s="35" t="s">
        <v>99</v>
      </c>
      <c r="D30" s="45">
        <f>+D146</f>
        <v>63790</v>
      </c>
      <c r="E30" s="60">
        <f t="shared" si="0"/>
        <v>210870</v>
      </c>
    </row>
    <row r="31" spans="1:5" x14ac:dyDescent="0.3">
      <c r="B31" s="2">
        <v>8</v>
      </c>
      <c r="C31" s="35" t="s">
        <v>100</v>
      </c>
      <c r="D31" s="45">
        <f>+D154</f>
        <v>35640</v>
      </c>
      <c r="E31" s="60">
        <f t="shared" si="0"/>
        <v>117810</v>
      </c>
    </row>
    <row r="32" spans="1:5" x14ac:dyDescent="0.3">
      <c r="B32" s="2">
        <v>9</v>
      </c>
      <c r="C32" s="35" t="s">
        <v>101</v>
      </c>
      <c r="D32" s="45">
        <f>+D161</f>
        <v>27170</v>
      </c>
      <c r="E32" s="60">
        <f t="shared" si="0"/>
        <v>89810</v>
      </c>
    </row>
    <row r="33" spans="1:7" x14ac:dyDescent="0.3">
      <c r="B33" s="2">
        <v>10</v>
      </c>
      <c r="C33" s="35" t="s">
        <v>153</v>
      </c>
      <c r="D33" s="53">
        <f>TRUNC(SUM(D24:D32)*0.275,-1)</f>
        <v>486310</v>
      </c>
      <c r="E33" s="61">
        <f t="shared" si="0"/>
        <v>1607640</v>
      </c>
    </row>
    <row r="34" spans="1:7" x14ac:dyDescent="0.3">
      <c r="C34" s="35" t="s">
        <v>112</v>
      </c>
      <c r="D34" s="44">
        <f>SUM(D24:D33)</f>
        <v>2254740</v>
      </c>
      <c r="E34" s="44">
        <f>SUM(E24:E33)</f>
        <v>7453670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235</v>
      </c>
      <c r="D36" s="56" t="s">
        <v>234</v>
      </c>
      <c r="E36" s="56" t="s">
        <v>260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TRUNC(72573,-1)</f>
        <v>72570</v>
      </c>
      <c r="E40" s="63">
        <f t="shared" ref="E40:E59" si="1">TRUNC(+D40*3.3058,-1)</f>
        <v>239900</v>
      </c>
    </row>
    <row r="41" spans="1:7" x14ac:dyDescent="0.3">
      <c r="A41" s="2">
        <v>2</v>
      </c>
      <c r="C41" s="38" t="s">
        <v>13</v>
      </c>
      <c r="D41" s="42">
        <f>TRUNC(149246,-1)</f>
        <v>149240</v>
      </c>
      <c r="E41" s="64">
        <f t="shared" si="1"/>
        <v>493350</v>
      </c>
    </row>
    <row r="42" spans="1:7" x14ac:dyDescent="0.3">
      <c r="A42" s="2">
        <v>3</v>
      </c>
      <c r="C42" s="38" t="s">
        <v>14</v>
      </c>
      <c r="D42" s="42">
        <f>TRUNC(22042,-1)</f>
        <v>22040</v>
      </c>
      <c r="E42" s="64">
        <f t="shared" si="1"/>
        <v>72850</v>
      </c>
    </row>
    <row r="43" spans="1:7" x14ac:dyDescent="0.3">
      <c r="A43" s="2">
        <v>4</v>
      </c>
      <c r="C43" s="38" t="s">
        <v>16</v>
      </c>
      <c r="D43" s="42">
        <f>TRUNC(14491,-1)</f>
        <v>14490</v>
      </c>
      <c r="E43" s="64">
        <f t="shared" si="1"/>
        <v>47900</v>
      </c>
    </row>
    <row r="44" spans="1:7" x14ac:dyDescent="0.3">
      <c r="A44" s="2">
        <v>5</v>
      </c>
      <c r="C44" s="38" t="s">
        <v>17</v>
      </c>
      <c r="D44" s="42">
        <f>TRUNC(31872,-1)</f>
        <v>31870</v>
      </c>
      <c r="E44" s="64">
        <f t="shared" si="1"/>
        <v>105350</v>
      </c>
    </row>
    <row r="45" spans="1:7" x14ac:dyDescent="0.3">
      <c r="A45" s="2">
        <v>6</v>
      </c>
      <c r="C45" s="38" t="s">
        <v>18</v>
      </c>
      <c r="D45" s="42">
        <f>TRUNC(24951,-1)</f>
        <v>24950</v>
      </c>
      <c r="E45" s="64">
        <f t="shared" si="1"/>
        <v>82470</v>
      </c>
    </row>
    <row r="46" spans="1:7" x14ac:dyDescent="0.3">
      <c r="A46" s="2">
        <v>7</v>
      </c>
      <c r="C46" s="38" t="s">
        <v>19</v>
      </c>
      <c r="D46" s="42">
        <f>TRUNC(9756,-1)</f>
        <v>9750</v>
      </c>
      <c r="E46" s="64">
        <f t="shared" si="1"/>
        <v>32230</v>
      </c>
    </row>
    <row r="47" spans="1:7" x14ac:dyDescent="0.3">
      <c r="A47" s="2">
        <v>8</v>
      </c>
      <c r="C47" s="38" t="s">
        <v>20</v>
      </c>
      <c r="D47" s="42">
        <v>0</v>
      </c>
      <c r="E47" s="64">
        <f t="shared" si="1"/>
        <v>0</v>
      </c>
    </row>
    <row r="48" spans="1:7" x14ac:dyDescent="0.3">
      <c r="A48" s="2">
        <v>9</v>
      </c>
      <c r="C48" s="38" t="s">
        <v>21</v>
      </c>
      <c r="D48" s="42">
        <f>TRUNC(89863,-1)</f>
        <v>89860</v>
      </c>
      <c r="E48" s="64">
        <f t="shared" si="1"/>
        <v>297050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TRUNC(9412,-1)</f>
        <v>9410</v>
      </c>
      <c r="E49" s="64">
        <f t="shared" si="1"/>
        <v>31100</v>
      </c>
    </row>
    <row r="50" spans="1:7" x14ac:dyDescent="0.3">
      <c r="A50" s="2">
        <v>11</v>
      </c>
      <c r="C50" s="38" t="s">
        <v>154</v>
      </c>
      <c r="D50" s="42">
        <f>TRUNC(33813,-1)</f>
        <v>33810</v>
      </c>
      <c r="E50" s="64">
        <f t="shared" si="1"/>
        <v>111760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TRUNC(11280,-1)</f>
        <v>11280</v>
      </c>
      <c r="E52" s="64">
        <f t="shared" si="1"/>
        <v>37280</v>
      </c>
    </row>
    <row r="53" spans="1:7" x14ac:dyDescent="0.3">
      <c r="A53" s="2">
        <v>14</v>
      </c>
      <c r="C53" s="38" t="s">
        <v>25</v>
      </c>
      <c r="D53" s="42">
        <f>TRUNC(139086,-1)</f>
        <v>139080</v>
      </c>
      <c r="E53" s="64">
        <f t="shared" si="1"/>
        <v>459770</v>
      </c>
      <c r="F53" s="2" t="s">
        <v>251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TRUNC(135+2182-689+12410,-1)</f>
        <v>14030</v>
      </c>
      <c r="E58" s="64">
        <f t="shared" si="1"/>
        <v>46380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TRUNC(294791,-1)</f>
        <v>294790</v>
      </c>
      <c r="E59" s="65">
        <f t="shared" si="1"/>
        <v>974510</v>
      </c>
    </row>
    <row r="60" spans="1:7" x14ac:dyDescent="0.3">
      <c r="A60" s="2">
        <v>21</v>
      </c>
      <c r="C60" s="27" t="s">
        <v>112</v>
      </c>
      <c r="D60" s="39">
        <f>SUM(D40:D59)</f>
        <v>917170</v>
      </c>
      <c r="E60" s="39">
        <f>SUM(E40:E59)</f>
        <v>3031900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236</v>
      </c>
      <c r="C62" s="55" t="s">
        <v>237</v>
      </c>
      <c r="D62" s="56" t="s">
        <v>234</v>
      </c>
      <c r="E62" s="56" t="s">
        <v>260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TRUNC(18957,-1)</f>
        <v>18950</v>
      </c>
      <c r="E63" s="63">
        <f>TRUNC(+D63*3.3058,-1)</f>
        <v>62640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TRUNC(47469,-1)</f>
        <v>47460</v>
      </c>
      <c r="E65" s="65">
        <f>TRUNC(+D65*3.3058,-1)</f>
        <v>156890</v>
      </c>
    </row>
    <row r="66" spans="1:7" x14ac:dyDescent="0.3">
      <c r="A66" s="2">
        <v>4</v>
      </c>
      <c r="C66" s="27" t="s">
        <v>112</v>
      </c>
      <c r="D66" s="57">
        <f>SUM(D63:D65)</f>
        <v>66410</v>
      </c>
      <c r="E66" s="57">
        <f>SUM(E63:E65)</f>
        <v>219530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238</v>
      </c>
      <c r="C68" s="55" t="s">
        <v>239</v>
      </c>
      <c r="D68" s="56" t="s">
        <v>234</v>
      </c>
      <c r="E68" s="56" t="s">
        <v>260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TRUNC(16954,-1)</f>
        <v>16950</v>
      </c>
      <c r="E69" s="63">
        <f t="shared" ref="E69:E94" si="2">TRUNC(+D69*3.3058,-1)</f>
        <v>56030</v>
      </c>
    </row>
    <row r="70" spans="1:7" ht="16.5" customHeight="1" x14ac:dyDescent="0.3">
      <c r="A70" s="2">
        <v>2</v>
      </c>
      <c r="C70" s="38" t="s">
        <v>31</v>
      </c>
      <c r="D70" s="42">
        <f>TRUNC(1676,-1)</f>
        <v>1670</v>
      </c>
      <c r="E70" s="64">
        <f t="shared" si="2"/>
        <v>5520</v>
      </c>
    </row>
    <row r="71" spans="1:7" x14ac:dyDescent="0.3">
      <c r="A71" s="2">
        <v>3</v>
      </c>
      <c r="C71" s="38" t="s">
        <v>32</v>
      </c>
      <c r="D71" s="42">
        <f>TRUNC(23545,-1)</f>
        <v>23540</v>
      </c>
      <c r="E71" s="64">
        <f t="shared" si="2"/>
        <v>77810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f>TRUNC(5132,-1)</f>
        <v>5130</v>
      </c>
      <c r="E73" s="64">
        <f t="shared" si="2"/>
        <v>16950</v>
      </c>
    </row>
    <row r="74" spans="1:7" x14ac:dyDescent="0.3">
      <c r="A74" s="2">
        <v>6</v>
      </c>
      <c r="C74" s="38" t="s">
        <v>175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f>TRUNC(5919,-1)</f>
        <v>5910</v>
      </c>
      <c r="E75" s="64">
        <f t="shared" si="2"/>
        <v>19530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TRUNC(11764,-1)</f>
        <v>11760</v>
      </c>
      <c r="E89" s="64">
        <f t="shared" si="2"/>
        <v>38870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TRUNC(40498,-1)</f>
        <v>40490</v>
      </c>
      <c r="E91" s="64">
        <f t="shared" si="2"/>
        <v>133850</v>
      </c>
    </row>
    <row r="92" spans="1:7" x14ac:dyDescent="0.3">
      <c r="A92" s="2">
        <v>24</v>
      </c>
      <c r="C92" s="38" t="s">
        <v>38</v>
      </c>
      <c r="D92" s="42">
        <f>TRUNC(6208,-1)</f>
        <v>6200</v>
      </c>
      <c r="E92" s="64">
        <f t="shared" si="2"/>
        <v>20490</v>
      </c>
    </row>
    <row r="93" spans="1:7" x14ac:dyDescent="0.3">
      <c r="A93" s="2">
        <v>25</v>
      </c>
      <c r="C93" s="38" t="s">
        <v>148</v>
      </c>
      <c r="D93" s="42">
        <f>TRUNC(167427,-1)</f>
        <v>167420</v>
      </c>
      <c r="E93" s="64">
        <f t="shared" si="2"/>
        <v>553450</v>
      </c>
    </row>
    <row r="94" spans="1:7" ht="17.25" thickBot="1" x14ac:dyDescent="0.35">
      <c r="A94" s="2">
        <v>26</v>
      </c>
      <c r="C94" s="38" t="s">
        <v>47</v>
      </c>
      <c r="D94" s="43">
        <f>TRUNC(20123+495+35592,-1)</f>
        <v>56210</v>
      </c>
      <c r="E94" s="65">
        <f t="shared" si="2"/>
        <v>185810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335280</v>
      </c>
      <c r="E95" s="39">
        <f>SUM(E69:E94)</f>
        <v>1108310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240</v>
      </c>
      <c r="C97" s="55" t="s">
        <v>239</v>
      </c>
      <c r="D97" s="56" t="s">
        <v>234</v>
      </c>
      <c r="E97" s="56" t="s">
        <v>260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TRUNC(11878,-1)</f>
        <v>11870</v>
      </c>
      <c r="E98" s="63">
        <f t="shared" ref="E98:E118" si="3">TRUNC(+D98*3.3058,-1)</f>
        <v>39230</v>
      </c>
    </row>
    <row r="99" spans="1:7" x14ac:dyDescent="0.3">
      <c r="A99" s="2">
        <v>2</v>
      </c>
      <c r="C99" s="38" t="s">
        <v>40</v>
      </c>
      <c r="D99" s="42">
        <f>TRUNC(8922,-1)</f>
        <v>8920</v>
      </c>
      <c r="E99" s="64">
        <f t="shared" si="3"/>
        <v>29480</v>
      </c>
    </row>
    <row r="100" spans="1:7" x14ac:dyDescent="0.3">
      <c r="A100" s="2">
        <v>3</v>
      </c>
      <c r="C100" s="38" t="s">
        <v>41</v>
      </c>
      <c r="D100" s="42">
        <f>TRUNC(37332,-1)</f>
        <v>37330</v>
      </c>
      <c r="E100" s="64">
        <f t="shared" si="3"/>
        <v>123400</v>
      </c>
    </row>
    <row r="101" spans="1:7" x14ac:dyDescent="0.3">
      <c r="A101" s="2">
        <v>4</v>
      </c>
      <c r="C101" s="38" t="s">
        <v>42</v>
      </c>
      <c r="D101" s="42">
        <f>TRUNC(3701,-1)</f>
        <v>3700</v>
      </c>
      <c r="E101" s="64">
        <f t="shared" si="3"/>
        <v>12230</v>
      </c>
    </row>
    <row r="102" spans="1:7" x14ac:dyDescent="0.3">
      <c r="A102" s="2">
        <v>5</v>
      </c>
      <c r="C102" s="38" t="s">
        <v>43</v>
      </c>
      <c r="D102" s="42">
        <f>TRUNC(13710,-1)</f>
        <v>13710</v>
      </c>
      <c r="E102" s="64">
        <f t="shared" si="3"/>
        <v>45320</v>
      </c>
    </row>
    <row r="103" spans="1:7" x14ac:dyDescent="0.3">
      <c r="A103" s="2">
        <v>6</v>
      </c>
      <c r="C103" s="38" t="s">
        <v>44</v>
      </c>
      <c r="D103" s="42">
        <f>TRUNC(1908,-1)</f>
        <v>1900</v>
      </c>
      <c r="E103" s="64">
        <f t="shared" si="3"/>
        <v>6280</v>
      </c>
    </row>
    <row r="104" spans="1:7" x14ac:dyDescent="0.3">
      <c r="A104" s="2">
        <v>7</v>
      </c>
      <c r="C104" s="38" t="s">
        <v>45</v>
      </c>
      <c r="D104" s="42">
        <f>TRUNC(1642,-1)</f>
        <v>1640</v>
      </c>
      <c r="E104" s="64">
        <f t="shared" si="3"/>
        <v>5420</v>
      </c>
    </row>
    <row r="105" spans="1:7" x14ac:dyDescent="0.3">
      <c r="A105" s="2">
        <v>8</v>
      </c>
      <c r="C105" s="38" t="s">
        <v>46</v>
      </c>
      <c r="D105" s="42">
        <f>TRUNC(3305,-1)</f>
        <v>3300</v>
      </c>
      <c r="E105" s="64">
        <f t="shared" si="3"/>
        <v>10900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TRUNC(1294,-1)</f>
        <v>1290</v>
      </c>
      <c r="E114" s="64">
        <f t="shared" si="3"/>
        <v>4260</v>
      </c>
      <c r="F114" s="2" t="s">
        <v>254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TRUNC(3894,-1)</f>
        <v>3890</v>
      </c>
      <c r="E116" s="64">
        <f t="shared" si="3"/>
        <v>12850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TRUNC(135522,-1)</f>
        <v>135520</v>
      </c>
      <c r="E117" s="64">
        <f t="shared" si="3"/>
        <v>448000</v>
      </c>
    </row>
    <row r="118" spans="1:7" ht="17.25" thickBot="1" x14ac:dyDescent="0.35">
      <c r="A118" s="2">
        <v>21</v>
      </c>
      <c r="C118" s="38" t="s">
        <v>47</v>
      </c>
      <c r="D118" s="43">
        <f>TRUNC(3208,-1)</f>
        <v>3200</v>
      </c>
      <c r="E118" s="65">
        <f t="shared" si="3"/>
        <v>10570</v>
      </c>
    </row>
    <row r="119" spans="1:7" x14ac:dyDescent="0.3">
      <c r="A119" s="2">
        <v>22</v>
      </c>
      <c r="C119" s="27" t="s">
        <v>112</v>
      </c>
      <c r="D119" s="39">
        <f>SUM(D98:D118)</f>
        <v>226270</v>
      </c>
      <c r="E119" s="39">
        <f>SUM(E98:E118)</f>
        <v>747940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241</v>
      </c>
      <c r="C121" s="55" t="s">
        <v>239</v>
      </c>
      <c r="D121" s="56" t="s">
        <v>234</v>
      </c>
      <c r="E121" s="56" t="s">
        <v>260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TRUNC(2759,-1)</f>
        <v>2750</v>
      </c>
      <c r="E122" s="63">
        <f t="shared" ref="E122:E132" si="4">TRUNC(+D122*3.3058,-1)</f>
        <v>9090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TRUNC(2321,-1)</f>
        <v>2320</v>
      </c>
      <c r="E124" s="64">
        <f t="shared" si="4"/>
        <v>7660</v>
      </c>
    </row>
    <row r="125" spans="1:7" x14ac:dyDescent="0.3">
      <c r="A125" s="2">
        <v>4</v>
      </c>
      <c r="C125" s="38" t="s">
        <v>138</v>
      </c>
      <c r="D125" s="42">
        <f>TRUNC(5365,-1)</f>
        <v>5360</v>
      </c>
      <c r="E125" s="64">
        <f t="shared" si="4"/>
        <v>17710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TRUNC(2433,-1)</f>
        <v>2430</v>
      </c>
      <c r="E128" s="64">
        <f t="shared" si="4"/>
        <v>8030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TRUNC(25026,-1)</f>
        <v>25020</v>
      </c>
      <c r="E130" s="64">
        <f t="shared" si="4"/>
        <v>82710</v>
      </c>
    </row>
    <row r="131" spans="1:7" x14ac:dyDescent="0.3">
      <c r="A131" s="2">
        <v>10</v>
      </c>
      <c r="C131" s="38" t="s">
        <v>148</v>
      </c>
      <c r="D131" s="42">
        <f>TRUNC(55815,-1)</f>
        <v>55810</v>
      </c>
      <c r="E131" s="64">
        <f t="shared" si="4"/>
        <v>184490</v>
      </c>
    </row>
    <row r="132" spans="1:7" ht="17.25" thickBot="1" x14ac:dyDescent="0.35">
      <c r="A132" s="2">
        <v>11</v>
      </c>
      <c r="C132" s="38" t="s">
        <v>47</v>
      </c>
      <c r="D132" s="43">
        <f>TRUNC(1861+743+411,-1)</f>
        <v>3010</v>
      </c>
      <c r="E132" s="65">
        <f t="shared" si="4"/>
        <v>9950</v>
      </c>
      <c r="F132" s="2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96700</v>
      </c>
      <c r="E133" s="39">
        <f>SUM(E122:E132)</f>
        <v>319640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242</v>
      </c>
      <c r="C135" s="55" t="s">
        <v>239</v>
      </c>
      <c r="D135" s="56" t="s">
        <v>234</v>
      </c>
      <c r="E135" s="56" t="s">
        <v>260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TRUNC(174+1399+4106+903+1077,-1)</f>
        <v>7650</v>
      </c>
      <c r="E137" s="64">
        <f t="shared" si="5"/>
        <v>25280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TRUNC(1899,-1)</f>
        <v>1890</v>
      </c>
      <c r="E140" s="64">
        <f t="shared" si="5"/>
        <v>6240</v>
      </c>
    </row>
    <row r="141" spans="1:7" x14ac:dyDescent="0.3">
      <c r="A141" s="2">
        <v>6</v>
      </c>
      <c r="C141" s="38" t="s">
        <v>59</v>
      </c>
      <c r="D141" s="42">
        <f>TRUNC(23695,-1)</f>
        <v>23690</v>
      </c>
      <c r="E141" s="64">
        <f t="shared" si="5"/>
        <v>78310</v>
      </c>
    </row>
    <row r="142" spans="1:7" x14ac:dyDescent="0.3">
      <c r="A142" s="2">
        <v>7</v>
      </c>
      <c r="C142" s="38" t="s">
        <v>58</v>
      </c>
      <c r="D142" s="42">
        <f>TRUNC(4821,-1)</f>
        <v>4820</v>
      </c>
      <c r="E142" s="64">
        <f t="shared" si="5"/>
        <v>15930</v>
      </c>
    </row>
    <row r="143" spans="1:7" x14ac:dyDescent="0.3">
      <c r="A143" s="2">
        <v>8</v>
      </c>
      <c r="C143" s="38" t="s">
        <v>62</v>
      </c>
      <c r="D143" s="42">
        <f>TRUNC(3130,-1)</f>
        <v>3130</v>
      </c>
      <c r="E143" s="64">
        <f t="shared" si="5"/>
        <v>10340</v>
      </c>
    </row>
    <row r="144" spans="1:7" x14ac:dyDescent="0.3">
      <c r="A144" s="2">
        <v>9</v>
      </c>
      <c r="C144" s="38" t="s">
        <v>63</v>
      </c>
      <c r="D144" s="42">
        <f>TRUNC(18750,-1)</f>
        <v>18750</v>
      </c>
      <c r="E144" s="64">
        <f t="shared" si="5"/>
        <v>61980</v>
      </c>
    </row>
    <row r="145" spans="1:7" ht="17.25" thickBot="1" x14ac:dyDescent="0.35">
      <c r="A145" s="2">
        <v>10</v>
      </c>
      <c r="C145" s="38" t="s">
        <v>148</v>
      </c>
      <c r="D145" s="43">
        <f>TRUNC(3861,-1)</f>
        <v>3860</v>
      </c>
      <c r="E145" s="65">
        <f t="shared" si="5"/>
        <v>12760</v>
      </c>
    </row>
    <row r="146" spans="1:7" x14ac:dyDescent="0.3">
      <c r="A146" s="2">
        <v>11</v>
      </c>
      <c r="C146" s="27" t="s">
        <v>112</v>
      </c>
      <c r="D146" s="39">
        <f>SUM(D136:D145)</f>
        <v>63790</v>
      </c>
      <c r="E146" s="39">
        <f>SUM(E136:E145)</f>
        <v>210840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243</v>
      </c>
      <c r="C148" s="55" t="s">
        <v>239</v>
      </c>
      <c r="D148" s="56" t="s">
        <v>234</v>
      </c>
      <c r="E148" s="56" t="s">
        <v>260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TRUNC(3994+911,-1)</f>
        <v>4900</v>
      </c>
      <c r="E149" s="63">
        <f>TRUNC(+D149*3.3058,-1)</f>
        <v>16190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f>TRUNC(2402,-1)</f>
        <v>2400</v>
      </c>
      <c r="E150" s="64">
        <f>TRUNC(+D150*3.3058,-1)</f>
        <v>7930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f>TRUNC(2611,-1)</f>
        <v>2610</v>
      </c>
      <c r="E151" s="64">
        <f>TRUNC(+D151*3.3058,-1)</f>
        <v>8620</v>
      </c>
      <c r="F151" s="2" t="s">
        <v>231</v>
      </c>
    </row>
    <row r="152" spans="1:7" x14ac:dyDescent="0.3">
      <c r="A152" s="2">
        <v>4</v>
      </c>
      <c r="C152" s="38" t="s">
        <v>47</v>
      </c>
      <c r="D152" s="42">
        <f>TRUNC(85+22616+529,-1)</f>
        <v>23230</v>
      </c>
      <c r="E152" s="64">
        <f>TRUNC(+D152*3.3058,-1)</f>
        <v>76790</v>
      </c>
      <c r="F152" s="58" t="s">
        <v>258</v>
      </c>
    </row>
    <row r="153" spans="1:7" ht="17.25" thickBot="1" x14ac:dyDescent="0.35">
      <c r="A153" s="2">
        <v>5</v>
      </c>
      <c r="C153" s="38" t="s">
        <v>148</v>
      </c>
      <c r="D153" s="43">
        <f>TRUNC(2503,-1)</f>
        <v>2500</v>
      </c>
      <c r="E153" s="65">
        <f>TRUNC(+D153*3.3058,-1)</f>
        <v>8260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35640</v>
      </c>
      <c r="E154" s="39">
        <f>SUM(E149:E153)</f>
        <v>117790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244</v>
      </c>
      <c r="C156" s="55" t="s">
        <v>239</v>
      </c>
      <c r="D156" s="56" t="s">
        <v>234</v>
      </c>
      <c r="E156" s="56" t="s">
        <v>260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TRUNC(12608,-1)</f>
        <v>12600</v>
      </c>
      <c r="E157" s="63">
        <f>TRUNC(+D157*3.3058,-1)</f>
        <v>41650</v>
      </c>
    </row>
    <row r="158" spans="1:7" x14ac:dyDescent="0.3">
      <c r="A158" s="2">
        <v>2</v>
      </c>
      <c r="C158" s="38" t="s">
        <v>52</v>
      </c>
      <c r="D158" s="42">
        <f>TRUNC(9420,-1)</f>
        <v>9420</v>
      </c>
      <c r="E158" s="64">
        <f>TRUNC(+D158*3.3058,-1)</f>
        <v>31140</v>
      </c>
    </row>
    <row r="159" spans="1:7" x14ac:dyDescent="0.3">
      <c r="A159" s="2">
        <v>3</v>
      </c>
      <c r="C159" s="38" t="s">
        <v>47</v>
      </c>
      <c r="D159" s="42">
        <f>TRUNC(5153,-1)</f>
        <v>5150</v>
      </c>
      <c r="E159" s="64">
        <f>TRUNC(+D159*3.3058,-1)</f>
        <v>17020</v>
      </c>
      <c r="F159" s="2" t="s">
        <v>259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27170</v>
      </c>
      <c r="E161" s="39">
        <f>SUM(E157:E160)</f>
        <v>89810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2020-12-07T10:06:05Z</dcterms:modified>
</cp:coreProperties>
</file>