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3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8" i="4"/>
  <c r="E157" i="4"/>
  <c r="E153" i="4"/>
  <c r="E151" i="4"/>
  <c r="E150" i="4"/>
  <c r="E149" i="4"/>
  <c r="E145" i="4"/>
  <c r="E144" i="4"/>
  <c r="E143" i="4"/>
  <c r="E141" i="4"/>
  <c r="E140" i="4"/>
  <c r="E139" i="4"/>
  <c r="E138" i="4"/>
  <c r="E136" i="4"/>
  <c r="E130" i="4"/>
  <c r="E129" i="4"/>
  <c r="E127" i="4"/>
  <c r="E126" i="4"/>
  <c r="E116" i="4"/>
  <c r="E113" i="4"/>
  <c r="E112" i="4"/>
  <c r="E111" i="4"/>
  <c r="E110" i="4"/>
  <c r="E109" i="4"/>
  <c r="E107" i="4"/>
  <c r="E106" i="4"/>
  <c r="E104" i="4"/>
  <c r="E103" i="4"/>
  <c r="E101" i="4"/>
  <c r="E91" i="4"/>
  <c r="E90" i="4"/>
  <c r="E89" i="4"/>
  <c r="E88" i="4"/>
  <c r="E87" i="4"/>
  <c r="E86" i="4"/>
  <c r="E85" i="4"/>
  <c r="E83" i="4"/>
  <c r="E82" i="4"/>
  <c r="E80" i="4"/>
  <c r="E79" i="4"/>
  <c r="E78" i="4"/>
  <c r="E77" i="4"/>
  <c r="E76" i="4"/>
  <c r="E75" i="4"/>
  <c r="E74" i="4"/>
  <c r="E73" i="4"/>
  <c r="E72" i="4"/>
  <c r="E71" i="4"/>
  <c r="E70" i="4"/>
  <c r="E65" i="4"/>
  <c r="E64" i="4"/>
  <c r="E63" i="4"/>
  <c r="E57" i="4"/>
  <c r="E56" i="4"/>
  <c r="E54" i="4"/>
  <c r="E40" i="4"/>
  <c r="E66" i="4" l="1"/>
  <c r="D131" i="4"/>
  <c r="E131" i="4" s="1"/>
  <c r="D117" i="4"/>
  <c r="E117" i="4" s="1"/>
  <c r="D93" i="4"/>
  <c r="E93" i="4" s="1"/>
  <c r="D132" i="4"/>
  <c r="E132" i="4" s="1"/>
  <c r="D128" i="4"/>
  <c r="E128" i="4" s="1"/>
  <c r="D125" i="4"/>
  <c r="E125" i="4" s="1"/>
  <c r="E133" i="4" s="1"/>
  <c r="D124" i="4"/>
  <c r="E124" i="4" s="1"/>
  <c r="D123" i="4"/>
  <c r="E123" i="4" s="1"/>
  <c r="D122" i="4"/>
  <c r="E122" i="4" s="1"/>
  <c r="D137" i="4"/>
  <c r="E137" i="4" s="1"/>
  <c r="E146" i="4" s="1"/>
  <c r="D118" i="4"/>
  <c r="E118" i="4" s="1"/>
  <c r="D115" i="4"/>
  <c r="E115" i="4" s="1"/>
  <c r="D114" i="4"/>
  <c r="E114" i="4" s="1"/>
  <c r="D108" i="4"/>
  <c r="E108" i="4" s="1"/>
  <c r="D105" i="4"/>
  <c r="E105" i="4" s="1"/>
  <c r="D102" i="4"/>
  <c r="E102" i="4" s="1"/>
  <c r="D100" i="4"/>
  <c r="E100" i="4" s="1"/>
  <c r="D99" i="4"/>
  <c r="E99" i="4" s="1"/>
  <c r="E119" i="4" s="1"/>
  <c r="D98" i="4"/>
  <c r="E98" i="4" s="1"/>
  <c r="D142" i="4"/>
  <c r="E142" i="4" s="1"/>
  <c r="D94" i="4"/>
  <c r="E94" i="4" s="1"/>
  <c r="D92" i="4" l="1"/>
  <c r="E92" i="4" s="1"/>
  <c r="D84" i="4"/>
  <c r="E84" i="4" s="1"/>
  <c r="D81" i="4"/>
  <c r="E81" i="4" s="1"/>
  <c r="D69" i="4"/>
  <c r="E69" i="4" s="1"/>
  <c r="D59" i="4"/>
  <c r="E59" i="4" s="1"/>
  <c r="D58" i="4"/>
  <c r="E58" i="4" s="1"/>
  <c r="D55" i="4"/>
  <c r="E55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37" i="4"/>
  <c r="E37" i="4" s="1"/>
  <c r="D159" i="4"/>
  <c r="E159" i="4" s="1"/>
  <c r="E161" i="4" s="1"/>
  <c r="D152" i="4"/>
  <c r="E152" i="4" s="1"/>
  <c r="E154" i="4" s="1"/>
  <c r="E60" i="4" l="1"/>
  <c r="E95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5" i="4" s="1"/>
  <c r="E25" i="4" s="1"/>
  <c r="D24" i="4"/>
  <c r="E24" i="4" s="1"/>
  <c r="D26" i="4"/>
  <c r="E26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s="1"/>
  <c r="D34" i="4" l="1"/>
</calcChain>
</file>

<file path=xl/sharedStrings.xml><?xml version="1.0" encoding="utf-8"?>
<sst xmlns="http://schemas.openxmlformats.org/spreadsheetml/2006/main" count="393" uniqueCount="268">
  <si>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</si>
  <si>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</si>
  <si>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</si>
  <si>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</si>
  <si>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</si>
  <si>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</si>
  <si>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</si>
  <si>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</si>
  <si>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</si>
  <si>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</si>
  <si>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</si>
  <si>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</si>
  <si>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</si>
  <si>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</si>
  <si>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</si>
  <si>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</si>
  <si>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</si>
  <si>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</si>
  <si>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</si>
  <si>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</si>
  <si>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</si>
  <si>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</si>
  <si>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</si>
  <si>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</si>
  <si>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</si>
  <si>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</si>
  <si>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</si>
  <si>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</si>
  <si>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</si>
  <si>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</si>
  <si>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</si>
  <si>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</si>
  <si>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</si>
  <si>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</si>
  <si>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</si>
  <si>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</si>
  <si>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</si>
  <si>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</si>
  <si>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</si>
  <si>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</si>
  <si>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</si>
  <si>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</si>
  <si>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</si>
  <si>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</si>
  <si>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</si>
  <si>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</si>
  <si>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</si>
  <si>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</si>
  <si>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</si>
  <si>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</si>
  <si>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</si>
  <si>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</si>
  <si>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</si>
  <si>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</si>
  <si>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</si>
  <si>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</si>
  <si>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</si>
  <si>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</si>
  <si>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</si>
  <si>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</si>
  <si>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</si>
  <si>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</si>
  <si>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</si>
  <si>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</si>
  <si>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</si>
  <si>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</si>
  <si>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</si>
  <si>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</si>
  <si>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</si>
  <si>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</si>
  <si>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</si>
  <si>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</si>
  <si>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</si>
  <si>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</si>
  <si>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</si>
  <si>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</si>
  <si>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</si>
  <si>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</si>
  <si>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</si>
  <si>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</si>
  <si>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</si>
  <si>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</si>
  <si>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</si>
  <si>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</si>
  <si>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</si>
  <si>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</si>
  <si>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</si>
  <si>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</si>
  <si>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</si>
  <si>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</si>
  <si>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</si>
  <si>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</si>
  <si>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</si>
  <si>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</si>
  <si>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</si>
  <si>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</si>
  <si>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</si>
  <si>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</si>
  <si>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</si>
  <si>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</si>
  <si>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</si>
  <si>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</si>
  <si>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</si>
  <si>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</si>
  <si>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</si>
  <si>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</si>
  <si>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</si>
  <si>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</si>
  <si>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</si>
  <si>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</si>
  <si>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</si>
  <si>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</si>
  <si>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</si>
  <si>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</si>
  <si>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</si>
  <si>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</si>
  <si>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</si>
  <si>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</si>
  <si>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</si>
  <si>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</si>
  <si>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</si>
  <si>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</si>
  <si>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</si>
  <si>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</si>
  <si>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</si>
  <si>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</si>
  <si>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</si>
  <si>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</si>
  <si>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</si>
  <si>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</si>
  <si>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</si>
  <si>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</si>
  <si>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</si>
  <si>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</si>
  <si>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</si>
  <si>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</si>
  <si>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</si>
  <si>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</si>
  <si>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</si>
  <si>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</si>
  <si>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</si>
  <si>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</si>
  <si>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</si>
  <si>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</si>
  <si>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</si>
  <si>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</si>
  <si>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</si>
  <si>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</si>
  <si>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</si>
  <si>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</si>
  <si>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</si>
  <si>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</si>
  <si>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</si>
  <si>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</si>
  <si>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</si>
  <si>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</si>
  <si>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</si>
  <si>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</si>
  <si>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</si>
  <si>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</si>
  <si>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</si>
  <si>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</si>
  <si>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</si>
  <si>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</si>
  <si>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</si>
  <si>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</si>
  <si>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</si>
  <si>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</si>
  <si>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</si>
  <si>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</si>
  <si>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</si>
  <si>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</si>
  <si>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</si>
  <si>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</si>
  <si>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</si>
  <si>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</si>
  <si>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</si>
  <si>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</si>
  <si>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</si>
  <si>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</si>
  <si>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</si>
  <si>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</si>
  <si>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</si>
  <si>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</si>
  <si>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</si>
  <si>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</si>
  <si>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</si>
  <si>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</si>
  <si>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</si>
  <si>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</si>
  <si>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</si>
  <si>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</si>
  <si>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</si>
  <si>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</si>
  <si>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</si>
  <si>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</si>
  <si>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</si>
  <si>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</si>
  <si>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</si>
  <si>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</si>
  <si>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</si>
  <si>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</si>
  <si>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</si>
  <si>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</si>
  <si>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</si>
  <si>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</si>
  <si>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</si>
  <si>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</si>
  <si>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</si>
  <si>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</si>
  <si>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</si>
  <si>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</si>
  <si>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</si>
  <si>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</si>
  <si>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</si>
  <si>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</si>
  <si>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</si>
  <si>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</si>
  <si>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</si>
  <si>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</si>
  <si>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</si>
  <si>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</si>
  <si>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</si>
  <si>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</si>
  <si>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</si>
  <si>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</si>
  <si>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</si>
  <si>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</si>
  <si>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</si>
  <si>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</si>
  <si>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</si>
  <si>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</si>
  <si>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</si>
  <si>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</si>
  <si>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</si>
  <si>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</si>
  <si>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</si>
  <si>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</si>
  <si>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</si>
  <si>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</si>
  <si>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</si>
  <si>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</si>
  <si>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</si>
  <si>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</si>
  <si>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</si>
  <si>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</si>
  <si>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</si>
  <si>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</si>
  <si>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00초 이전 시설공사</t>
    <phoneticPr fontId="2" type="noConversion"/>
  </si>
  <si>
    <t>교육연구</t>
  </si>
  <si>
    <t>강원도</t>
  </si>
  <si>
    <t>부대토목공사</t>
  </si>
  <si>
    <t>조경공사</t>
  </si>
  <si>
    <t>토및지정공사,기타공사,채광창공사,골재비,운반비,용역수수료</t>
    <phoneticPr fontId="2" type="noConversion"/>
  </si>
  <si>
    <t>냉난방/환기기타공사</t>
    <phoneticPr fontId="2" type="noConversion"/>
  </si>
  <si>
    <t>배관공사,위생배관공사,환기덕트/배관공사,급식소설비공사,열선설치공사,빗물정화시스템설치공사,펌프실배관공사,SP배관공사</t>
    <phoneticPr fontId="2" type="noConversion"/>
  </si>
  <si>
    <t>기계 옥내소화배관공사</t>
    <phoneticPr fontId="2" type="noConversion"/>
  </si>
  <si>
    <t>난방설비공사,냉난방및환기공사</t>
    <phoneticPr fontId="2" type="noConversion"/>
  </si>
  <si>
    <t>비상조명공사,가스감지전원공사,원격조명릴공사</t>
    <phoneticPr fontId="2" type="noConversion"/>
  </si>
  <si>
    <t>전기 소방설비공사, 전기 방화스크린공사</t>
    <phoneticPr fontId="2" type="noConversion"/>
  </si>
  <si>
    <t>CCTV설비공사</t>
    <phoneticPr fontId="2" type="noConversion"/>
  </si>
  <si>
    <t>LAN설비공사</t>
    <phoneticPr fontId="2" type="noConversion"/>
  </si>
  <si>
    <t>CATV설비공사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</si>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</sst>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topLeftCell="A13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12106</v>
      </c>
      <c r="D7" s="36">
        <f>+C7/3.3058</f>
        <v>3662.0485207816564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199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33510</v>
      </c>
      <c r="E24" s="58">
        <f t="shared" ref="E24:E33" si="0">TRUNC(+D24*3.3058,-1)</f>
        <v>110770</v>
      </c>
    </row>
    <row r="25" spans="1:5" x14ac:dyDescent="0.3">
      <c r="B25" s="2">
        <v>2</v>
      </c>
      <c r="C25" s="35" t="s">
        <v>111</v>
      </c>
      <c r="D25" s="45">
        <f>+D60</f>
        <v>863510</v>
      </c>
      <c r="E25" s="59">
        <f t="shared" si="0"/>
        <v>2854590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183830</v>
      </c>
      <c r="E27" s="59">
        <f t="shared" si="0"/>
        <v>607700</v>
      </c>
    </row>
    <row r="28" spans="1:5" x14ac:dyDescent="0.3">
      <c r="B28" s="2">
        <v>5</v>
      </c>
      <c r="C28" s="35" t="s">
        <v>97</v>
      </c>
      <c r="D28" s="45">
        <f>+D119</f>
        <v>195730</v>
      </c>
      <c r="E28" s="59">
        <f t="shared" si="0"/>
        <v>647040</v>
      </c>
    </row>
    <row r="29" spans="1:5" x14ac:dyDescent="0.3">
      <c r="B29" s="2">
        <v>6</v>
      </c>
      <c r="C29" s="35" t="s">
        <v>98</v>
      </c>
      <c r="D29" s="45">
        <f>+D133</f>
        <v>50760</v>
      </c>
      <c r="E29" s="59">
        <f t="shared" si="0"/>
        <v>167800</v>
      </c>
    </row>
    <row r="30" spans="1:5" x14ac:dyDescent="0.3">
      <c r="B30" s="2">
        <v>7</v>
      </c>
      <c r="C30" s="35" t="s">
        <v>99</v>
      </c>
      <c r="D30" s="45">
        <f>+D146</f>
        <v>21180</v>
      </c>
      <c r="E30" s="59">
        <f t="shared" si="0"/>
        <v>70010</v>
      </c>
    </row>
    <row r="31" spans="1:5" x14ac:dyDescent="0.3">
      <c r="B31" s="2">
        <v>8</v>
      </c>
      <c r="C31" s="35" t="s">
        <v>100</v>
      </c>
      <c r="D31" s="45">
        <f>+D154</f>
        <v>34950</v>
      </c>
      <c r="E31" s="59">
        <f t="shared" si="0"/>
        <v>115530</v>
      </c>
    </row>
    <row r="32" spans="1:5" x14ac:dyDescent="0.3">
      <c r="B32" s="2">
        <v>9</v>
      </c>
      <c r="C32" s="35" t="s">
        <v>101</v>
      </c>
      <c r="D32" s="45">
        <f>+D161</f>
        <v>47240</v>
      </c>
      <c r="E32" s="59">
        <f t="shared" si="0"/>
        <v>156160</v>
      </c>
    </row>
    <row r="33" spans="1:7" x14ac:dyDescent="0.3">
      <c r="B33" s="2">
        <v>10</v>
      </c>
      <c r="C33" s="35" t="s">
        <v>154</v>
      </c>
      <c r="D33" s="53">
        <f>TRUNC(SUM(D24:D32)*0.275,-1)</f>
        <v>393440</v>
      </c>
      <c r="E33" s="60">
        <f t="shared" si="0"/>
        <v>1300630</v>
      </c>
    </row>
    <row r="34" spans="1:7" x14ac:dyDescent="0.3">
      <c r="C34" s="35" t="s">
        <v>112</v>
      </c>
      <c r="D34" s="44">
        <f>SUM(D24:D33)</f>
        <v>1824150</v>
      </c>
      <c r="E34" s="44">
        <f>SUM(E24:E33)</f>
        <v>6030230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f>TRUNC(33510,-1)</f>
        <v>33510</v>
      </c>
      <c r="E37" s="61">
        <f>TRUNC(+D37*3.3058,-1)</f>
        <v>110770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263</v>
      </c>
      <c r="E39" s="67" t="s">
        <v>264</v>
      </c>
      <c r="G39" s="68"/>
    </row>
    <row r="40" spans="1:7" x14ac:dyDescent="0.3">
      <c r="A40" s="2">
        <v>1</v>
      </c>
      <c r="C40" s="38" t="s">
        <v>15</v>
      </c>
      <c r="D40" s="40">
        <v>0</v>
      </c>
      <c r="E40" s="62">
        <f t="shared" ref="E40:E59" si="1">TRUNC(+D40*3.3058,-1)</f>
        <v>0</v>
      </c>
    </row>
    <row r="41" spans="1:7" x14ac:dyDescent="0.3">
      <c r="A41" s="2">
        <v>2</v>
      </c>
      <c r="C41" s="38" t="s">
        <v>13</v>
      </c>
      <c r="D41" s="42">
        <f>TRUNC(106143,-1)</f>
        <v>106140</v>
      </c>
      <c r="E41" s="63">
        <f t="shared" si="1"/>
        <v>350870</v>
      </c>
    </row>
    <row r="42" spans="1:7" x14ac:dyDescent="0.3">
      <c r="A42" s="2">
        <v>3</v>
      </c>
      <c r="C42" s="38" t="s">
        <v>14</v>
      </c>
      <c r="D42" s="42">
        <f>TRUNC(8284,-1)</f>
        <v>8280</v>
      </c>
      <c r="E42" s="63">
        <f t="shared" si="1"/>
        <v>27370</v>
      </c>
    </row>
    <row r="43" spans="1:7" x14ac:dyDescent="0.3">
      <c r="A43" s="2">
        <v>4</v>
      </c>
      <c r="C43" s="38" t="s">
        <v>16</v>
      </c>
      <c r="D43" s="42">
        <f>TRUNC(42843,-1)</f>
        <v>42840</v>
      </c>
      <c r="E43" s="63">
        <f t="shared" si="1"/>
        <v>141620</v>
      </c>
    </row>
    <row r="44" spans="1:7" x14ac:dyDescent="0.3">
      <c r="A44" s="2">
        <v>5</v>
      </c>
      <c r="C44" s="38" t="s">
        <v>17</v>
      </c>
      <c r="D44" s="42">
        <f>TRUNC(26996,-1)</f>
        <v>26990</v>
      </c>
      <c r="E44" s="63">
        <f t="shared" si="1"/>
        <v>89220</v>
      </c>
    </row>
    <row r="45" spans="1:7" x14ac:dyDescent="0.3">
      <c r="A45" s="2">
        <v>6</v>
      </c>
      <c r="C45" s="38" t="s">
        <v>18</v>
      </c>
      <c r="D45" s="42">
        <f>TRUNC(15642,-1)</f>
        <v>15640</v>
      </c>
      <c r="E45" s="63">
        <f t="shared" si="1"/>
        <v>51700</v>
      </c>
    </row>
    <row r="46" spans="1:7" x14ac:dyDescent="0.3">
      <c r="A46" s="2">
        <v>7</v>
      </c>
      <c r="C46" s="38" t="s">
        <v>19</v>
      </c>
      <c r="D46" s="42">
        <f>TRUNC(22507,-1)</f>
        <v>22500</v>
      </c>
      <c r="E46" s="63">
        <f t="shared" si="1"/>
        <v>74380</v>
      </c>
    </row>
    <row r="47" spans="1:7" x14ac:dyDescent="0.3">
      <c r="A47" s="2">
        <v>8</v>
      </c>
      <c r="C47" s="38" t="s">
        <v>20</v>
      </c>
      <c r="D47" s="42">
        <f>TRUNC(13326,-1)</f>
        <v>13320</v>
      </c>
      <c r="E47" s="63">
        <f t="shared" si="1"/>
        <v>44030</v>
      </c>
    </row>
    <row r="48" spans="1:7" x14ac:dyDescent="0.3">
      <c r="A48" s="2">
        <v>9</v>
      </c>
      <c r="C48" s="38" t="s">
        <v>21</v>
      </c>
      <c r="D48" s="42">
        <f>TRUNC(61222,-1)</f>
        <v>61220</v>
      </c>
      <c r="E48" s="63">
        <f t="shared" si="1"/>
        <v>202380</v>
      </c>
    </row>
    <row r="49" spans="1:7" x14ac:dyDescent="0.3">
      <c r="A49" s="2">
        <v>10</v>
      </c>
      <c r="C49" s="38" t="s">
        <v>22</v>
      </c>
      <c r="D49" s="42">
        <f>TRUNC(21860,-1)</f>
        <v>21860</v>
      </c>
      <c r="E49" s="63">
        <f t="shared" si="1"/>
        <v>72260</v>
      </c>
    </row>
    <row r="50" spans="1:7" x14ac:dyDescent="0.3">
      <c r="A50" s="2">
        <v>11</v>
      </c>
      <c r="C50" s="38" t="s">
        <v>155</v>
      </c>
      <c r="D50" s="42">
        <f>TRUNC(16885,-1)</f>
        <v>16880</v>
      </c>
      <c r="E50" s="63">
        <f t="shared" si="1"/>
        <v>55800</v>
      </c>
    </row>
    <row r="51" spans="1:7" x14ac:dyDescent="0.3">
      <c r="A51" s="2">
        <v>12</v>
      </c>
      <c r="C51" s="38" t="s">
        <v>23</v>
      </c>
      <c r="D51" s="42">
        <f>TRUNC(20786,-1)</f>
        <v>20780</v>
      </c>
      <c r="E51" s="63">
        <f t="shared" si="1"/>
        <v>68690</v>
      </c>
    </row>
    <row r="52" spans="1:7" x14ac:dyDescent="0.3">
      <c r="A52" s="2">
        <v>13</v>
      </c>
      <c r="C52" s="38" t="s">
        <v>24</v>
      </c>
      <c r="D52" s="42">
        <f>TRUNC(7771,-1)</f>
        <v>7770</v>
      </c>
      <c r="E52" s="63">
        <f t="shared" si="1"/>
        <v>25680</v>
      </c>
    </row>
    <row r="53" spans="1:7" x14ac:dyDescent="0.3">
      <c r="A53" s="2">
        <v>14</v>
      </c>
      <c r="C53" s="38" t="s">
        <v>25</v>
      </c>
      <c r="D53" s="42">
        <f>TRUNC(59423,-1)</f>
        <v>59420</v>
      </c>
      <c r="E53" s="63">
        <f t="shared" si="1"/>
        <v>196430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TRUNC(3268,-1)</f>
        <v>3260</v>
      </c>
      <c r="E55" s="63">
        <f t="shared" si="1"/>
        <v>10770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TRUNC(46083+5829+8382+2381+3184+1845,-1)</f>
        <v>67700</v>
      </c>
      <c r="E58" s="63">
        <f t="shared" si="1"/>
        <v>223800</v>
      </c>
      <c r="F58" s="2" t="s">
        <v>253</v>
      </c>
    </row>
    <row r="59" spans="1:7" ht="17.25" thickBot="1" x14ac:dyDescent="0.35">
      <c r="A59" s="2">
        <v>20</v>
      </c>
      <c r="C59" s="38" t="s">
        <v>148</v>
      </c>
      <c r="D59" s="43">
        <f>TRUNC(368913,-1)</f>
        <v>368910</v>
      </c>
      <c r="E59" s="64">
        <f t="shared" si="1"/>
        <v>1219540</v>
      </c>
    </row>
    <row r="60" spans="1:7" x14ac:dyDescent="0.3">
      <c r="A60" s="2">
        <v>21</v>
      </c>
      <c r="C60" s="27" t="s">
        <v>112</v>
      </c>
      <c r="D60" s="39">
        <f>SUM(D40:D59)</f>
        <v>863510</v>
      </c>
      <c r="E60" s="39">
        <f>SUM(E40:E59)</f>
        <v>2854540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TRUNC(7699+892,-1)</f>
        <v>8590</v>
      </c>
      <c r="E69" s="62">
        <f t="shared" ref="E69:E94" si="2">TRUNC(+D69*3.3058,-1)</f>
        <v>28390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f>TRUNC(3085,-1)</f>
        <v>3080</v>
      </c>
      <c r="E81" s="63">
        <f t="shared" si="2"/>
        <v>10180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f>TRUNC(879,-1)</f>
        <v>870</v>
      </c>
      <c r="E84" s="63">
        <f t="shared" si="2"/>
        <v>2870</v>
      </c>
      <c r="F84" s="2" t="s">
        <v>254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TRUNC(10784,-1)</f>
        <v>10780</v>
      </c>
      <c r="E92" s="63">
        <f t="shared" si="2"/>
        <v>35630</v>
      </c>
    </row>
    <row r="93" spans="1:7" x14ac:dyDescent="0.3">
      <c r="A93" s="2">
        <v>25</v>
      </c>
      <c r="C93" s="38" t="s">
        <v>148</v>
      </c>
      <c r="D93" s="42">
        <f>TRUNC(102837,-1)</f>
        <v>102830</v>
      </c>
      <c r="E93" s="63">
        <f t="shared" si="2"/>
        <v>339930</v>
      </c>
    </row>
    <row r="94" spans="1:7" ht="17.25" thickBot="1" x14ac:dyDescent="0.35">
      <c r="A94" s="2">
        <v>26</v>
      </c>
      <c r="C94" s="38" t="s">
        <v>47</v>
      </c>
      <c r="D94" s="43">
        <f>TRUNC(21744+11258+2382+4212+1684+6290+1482+8632,-1)</f>
        <v>57680</v>
      </c>
      <c r="E94" s="64">
        <f t="shared" si="2"/>
        <v>190670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183830</v>
      </c>
      <c r="E95" s="39">
        <f>SUM(E69:E94)</f>
        <v>607670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TRUNC(12862,-1)</f>
        <v>12860</v>
      </c>
      <c r="E98" s="62">
        <f t="shared" ref="E98:E118" si="3">TRUNC(+D98*3.3058,-1)</f>
        <v>42510</v>
      </c>
    </row>
    <row r="99" spans="1:7" x14ac:dyDescent="0.3">
      <c r="A99" s="2">
        <v>2</v>
      </c>
      <c r="C99" s="38" t="s">
        <v>40</v>
      </c>
      <c r="D99" s="42">
        <f>TRUNC(2235,-1)</f>
        <v>2230</v>
      </c>
      <c r="E99" s="63">
        <f t="shared" si="3"/>
        <v>7370</v>
      </c>
    </row>
    <row r="100" spans="1:7" x14ac:dyDescent="0.3">
      <c r="A100" s="2">
        <v>3</v>
      </c>
      <c r="C100" s="38" t="s">
        <v>41</v>
      </c>
      <c r="D100" s="42">
        <f>TRUNC(20203,-1)</f>
        <v>20200</v>
      </c>
      <c r="E100" s="63">
        <f t="shared" si="3"/>
        <v>66770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TRUNC(8957,-1)</f>
        <v>8950</v>
      </c>
      <c r="E102" s="63">
        <f t="shared" si="3"/>
        <v>29580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f>TRUNC(4991,-1)</f>
        <v>4990</v>
      </c>
      <c r="E105" s="63">
        <f t="shared" si="3"/>
        <v>16490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f>TRUNC(646+4943,-1)</f>
        <v>5580</v>
      </c>
      <c r="E108" s="63">
        <f t="shared" si="3"/>
        <v>18440</v>
      </c>
      <c r="F108" s="2" t="s">
        <v>257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TRUNC(1491,-1)</f>
        <v>1490</v>
      </c>
      <c r="E114" s="63">
        <f t="shared" si="3"/>
        <v>4920</v>
      </c>
    </row>
    <row r="115" spans="1:7" x14ac:dyDescent="0.3">
      <c r="A115" s="2">
        <v>18</v>
      </c>
      <c r="C115" s="38" t="s">
        <v>116</v>
      </c>
      <c r="D115" s="42">
        <f>TRUNC(2029,-1)</f>
        <v>2020</v>
      </c>
      <c r="E115" s="63">
        <f t="shared" si="3"/>
        <v>6670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TRUNC(135066,-1)</f>
        <v>135060</v>
      </c>
      <c r="E117" s="63">
        <f t="shared" si="3"/>
        <v>446480</v>
      </c>
    </row>
    <row r="118" spans="1:7" ht="17.25" thickBot="1" x14ac:dyDescent="0.35">
      <c r="A118" s="2">
        <v>21</v>
      </c>
      <c r="C118" s="38" t="s">
        <v>47</v>
      </c>
      <c r="D118" s="43">
        <f>TRUNC(1738+59+556,-1)</f>
        <v>2350</v>
      </c>
      <c r="E118" s="64">
        <f t="shared" si="3"/>
        <v>7760</v>
      </c>
      <c r="F118" s="2" t="s">
        <v>258</v>
      </c>
    </row>
    <row r="119" spans="1:7" x14ac:dyDescent="0.3">
      <c r="A119" s="2">
        <v>22</v>
      </c>
      <c r="C119" s="27" t="s">
        <v>112</v>
      </c>
      <c r="D119" s="39">
        <f>SUM(D98:D118)</f>
        <v>195730</v>
      </c>
      <c r="E119" s="39">
        <f>SUM(E98:E118)</f>
        <v>646990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TRUNC(4034,-1)</f>
        <v>4030</v>
      </c>
      <c r="E122" s="62">
        <f t="shared" ref="E122:E132" si="4">TRUNC(+D122*3.3058,-1)</f>
        <v>13320</v>
      </c>
      <c r="F122" s="2" t="s">
        <v>262</v>
      </c>
    </row>
    <row r="123" spans="1:7" x14ac:dyDescent="0.3">
      <c r="A123" s="2">
        <v>2</v>
      </c>
      <c r="C123" s="38" t="s">
        <v>124</v>
      </c>
      <c r="D123" s="42">
        <f>TRUNC(3453,-1)</f>
        <v>3450</v>
      </c>
      <c r="E123" s="63">
        <f t="shared" si="4"/>
        <v>11400</v>
      </c>
      <c r="F123" s="2" t="s">
        <v>261</v>
      </c>
    </row>
    <row r="124" spans="1:7" x14ac:dyDescent="0.3">
      <c r="A124" s="2">
        <v>3</v>
      </c>
      <c r="C124" s="38" t="s">
        <v>151</v>
      </c>
      <c r="D124" s="42">
        <f>TRUNC(784,-1)</f>
        <v>780</v>
      </c>
      <c r="E124" s="63">
        <f t="shared" si="4"/>
        <v>2570</v>
      </c>
    </row>
    <row r="125" spans="1:7" x14ac:dyDescent="0.3">
      <c r="A125" s="2">
        <v>4</v>
      </c>
      <c r="C125" s="38" t="s">
        <v>138</v>
      </c>
      <c r="D125" s="42">
        <f>TRUNC(5813,-1)</f>
        <v>5810</v>
      </c>
      <c r="E125" s="63">
        <f t="shared" si="4"/>
        <v>19200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TRUNC(6543,-1)</f>
        <v>6540</v>
      </c>
      <c r="E128" s="63">
        <f t="shared" si="4"/>
        <v>21610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f>TRUNC(27327,-1)</f>
        <v>27320</v>
      </c>
      <c r="E131" s="63">
        <f t="shared" si="4"/>
        <v>90310</v>
      </c>
    </row>
    <row r="132" spans="1:7" ht="18" thickBot="1" x14ac:dyDescent="0.35">
      <c r="A132" s="2">
        <v>11</v>
      </c>
      <c r="C132" s="38" t="s">
        <v>47</v>
      </c>
      <c r="D132" s="43">
        <f>TRUNC(2839,-1)</f>
        <v>2830</v>
      </c>
      <c r="E132" s="64">
        <f t="shared" si="4"/>
        <v>9350</v>
      </c>
      <c r="F132" s="54" t="s">
        <v>260</v>
      </c>
    </row>
    <row r="133" spans="1:7" x14ac:dyDescent="0.3">
      <c r="A133" s="2">
        <v>12</v>
      </c>
      <c r="C133" s="27" t="s">
        <v>112</v>
      </c>
      <c r="D133" s="39">
        <f>SUM(D122:D132)</f>
        <v>50760</v>
      </c>
      <c r="E133" s="39">
        <f>SUM(E122:E132)</f>
        <v>167760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TRUNC(8904+5991,-1)</f>
        <v>14890</v>
      </c>
      <c r="E137" s="63">
        <f t="shared" si="5"/>
        <v>49220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TRUNC(6298,-1)</f>
        <v>6290</v>
      </c>
      <c r="E142" s="63">
        <f t="shared" si="5"/>
        <v>20790</v>
      </c>
      <c r="F142" s="2" t="s">
        <v>256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21180</v>
      </c>
      <c r="E146" s="39">
        <f>SUM(E136:E145)</f>
        <v>70010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TRUNC(34951,-1)</f>
        <v>34950</v>
      </c>
      <c r="E152" s="63">
        <f>TRUNC(+D152*3.3058,-1)</f>
        <v>115530</v>
      </c>
      <c r="F152" s="2" t="s">
        <v>251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34950</v>
      </c>
      <c r="E154" s="39">
        <f>SUM(E149:E153)</f>
        <v>115530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TRUNC(47247,-1)</f>
        <v>47240</v>
      </c>
      <c r="E159" s="63">
        <f>TRUNC(+D159*3.3058,-1)</f>
        <v>156160</v>
      </c>
      <c r="F159" s="2" t="s">
        <v>252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47240</v>
      </c>
      <c r="E161" s="39">
        <f>SUM(E157:E160)</f>
        <v>156160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2020-12-07T09:36:51Z</dcterms:modified>
</cp:coreProperties>
</file>