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9" i="4"/>
  <c r="D157" i="4"/>
  <c r="D152" i="4"/>
  <c r="D151" i="4"/>
  <c r="D150" i="4"/>
  <c r="D149" i="4"/>
  <c r="D137" i="4"/>
  <c r="D139" i="4"/>
  <c r="D141" i="4"/>
  <c r="D142" i="4"/>
  <c r="D140" i="4"/>
  <c r="D132" i="4"/>
  <c r="D128" i="4"/>
  <c r="D127" i="4"/>
  <c r="D124" i="4"/>
  <c r="D125" i="4"/>
  <c r="D122" i="4"/>
  <c r="D130" i="4"/>
  <c r="D126" i="4"/>
  <c r="D118" i="4"/>
  <c r="D105" i="4"/>
  <c r="D104" i="4"/>
  <c r="D103" i="4"/>
  <c r="D102" i="4"/>
  <c r="D100" i="4"/>
  <c r="D99" i="4"/>
  <c r="D114" i="4"/>
  <c r="D98" i="4"/>
  <c r="D116" i="4"/>
  <c r="D94" i="4"/>
  <c r="D76" i="4"/>
  <c r="D92" i="4"/>
  <c r="D91" i="4"/>
  <c r="D89" i="4"/>
  <c r="D73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<sst xmlns="http://schemas.openxmlformats.org/spreadsheetml/2006/main" count="394" uniqueCount="268">
  <si>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</si>
  <si>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</si>
  <si>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</si>
  <si>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</si>
  <si>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</si>
  <si>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</si>
  <si>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</si>
  <si>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</si>
  <si>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</si>
  <si>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</si>
  <si>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</si>
  <si>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</si>
  <si>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</si>
  <si>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</si>
  <si>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</si>
  <si>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</si>
  <si>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</si>
  <si>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</si>
  <si>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</si>
  <si>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</si>
  <si>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</si>
  <si>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</si>
  <si>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</si>
  <si>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</si>
  <si>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</si>
  <si>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</si>
  <si>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</si>
  <si>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</si>
  <si>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</si>
  <si>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</si>
  <si>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</si>
  <si>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</si>
  <si>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</si>
  <si>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</si>
  <si>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</si>
  <si>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</si>
  <si>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</si>
  <si>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</si>
  <si>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</si>
  <si>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</si>
  <si>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</si>
  <si>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</si>
  <si>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</si>
  <si>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</si>
  <si>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</si>
  <si>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</si>
  <si>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</si>
  <si>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</si>
  <si>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</si>
  <si>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</si>
  <si>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</si>
  <si>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</si>
  <si>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</si>
  <si>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</si>
  <si>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</si>
  <si>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</si>
  <si>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</si>
  <si>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</si>
  <si>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</si>
  <si>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</si>
  <si>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</si>
  <si>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</si>
  <si>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</si>
  <si>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</si>
  <si>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</si>
  <si>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</si>
  <si>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</si>
  <si>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</si>
  <si>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</si>
  <si>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</si>
  <si>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</si>
  <si>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</si>
  <si>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</si>
  <si>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</si>
  <si>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</si>
  <si>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</si>
  <si>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</si>
  <si>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</si>
  <si>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</si>
  <si>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</si>
  <si>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</si>
  <si>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</si>
  <si>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</si>
  <si>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</si>
  <si>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</si>
  <si>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</si>
  <si>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</si>
  <si>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</si>
  <si>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</si>
  <si>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</si>
  <si>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</si>
  <si>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</si>
  <si>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</si>
  <si>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</si>
  <si>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</si>
  <si>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</si>
  <si>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</si>
  <si>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</si>
  <si>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</si>
  <si>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</si>
  <si>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</si>
  <si>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</si>
  <si>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</si>
  <si>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</si>
  <si>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</si>
  <si>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</si>
  <si>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</si>
  <si>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</si>
  <si>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</si>
  <si>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</si>
  <si>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</si>
  <si>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</si>
  <si>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</si>
  <si>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</si>
  <si>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</si>
  <si>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</si>
  <si>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</si>
  <si>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</si>
  <si>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</si>
  <si>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</si>
  <si>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</si>
  <si>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</si>
  <si>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</si>
  <si>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</si>
  <si>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</si>
  <si>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</si>
  <si>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</si>
  <si>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</si>
  <si>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</si>
  <si>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</si>
  <si>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</si>
  <si>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</si>
  <si>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</si>
  <si>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</si>
  <si>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</si>
  <si>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</si>
  <si>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</si>
  <si>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</si>
  <si>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</si>
  <si>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</si>
  <si>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</si>
  <si>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</si>
  <si>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</si>
  <si>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</si>
  <si>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</si>
  <si>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</si>
  <si>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</si>
  <si>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</si>
  <si>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</si>
  <si>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</si>
  <si>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</si>
  <si>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</si>
  <si>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</si>
  <si>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</si>
  <si>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</si>
  <si>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</si>
  <si>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</si>
  <si>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</si>
  <si>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</si>
  <si>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</si>
  <si>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</si>
  <si>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</si>
  <si>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</si>
  <si>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</si>
  <si>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</si>
  <si>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</si>
  <si>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</si>
  <si>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</si>
  <si>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</si>
  <si>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</si>
  <si>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</si>
  <si>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</si>
  <si>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</si>
  <si>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</si>
  <si>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</si>
  <si>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</si>
  <si>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</si>
  <si>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</si>
  <si>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</si>
  <si>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</si>
  <si>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</si>
  <si>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</si>
  <si>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</si>
  <si>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</si>
  <si>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</si>
  <si>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</si>
  <si>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</si>
  <si>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</si>
  <si>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</si>
  <si>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</si>
  <si>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</si>
  <si>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</si>
  <si>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</si>
  <si>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</si>
  <si>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</si>
  <si>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</si>
  <si>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</si>
  <si>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</si>
  <si>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</si>
  <si>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</si>
  <si>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</si>
  <si>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</si>
  <si>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</si>
  <si>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</si>
  <si>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</si>
  <si>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</si>
  <si>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</si>
  <si>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</si>
  <si>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</si>
  <si>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</si>
  <si>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</si>
  <si>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</si>
  <si>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</si>
  <si>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</si>
  <si>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</si>
  <si>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</si>
  <si>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</si>
  <si>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</si>
  <si>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</si>
  <si>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</si>
  <si>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</si>
  <si>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</si>
  <si>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</si>
  <si>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</si>
  <si>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</si>
  <si>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</si>
  <si>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</si>
  <si>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</si>
  <si>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</si>
  <si>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</si>
  <si>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</si>
  <si>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</si>
  <si>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</si>
  <si>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</si>
  <si>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</si>
  <si>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</si>
  <si>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</si>
  <si>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</si>
  <si>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</si>
  <si>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</si>
  <si>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</si>
  <si>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</si>
  <si>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</si>
  <si>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</si>
  <si>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</si>
  <si>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</si>
  <si>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</si>
  <si>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</si>
  <si>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</si>
  <si>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충청유교문화원 건립사업 건축공사</t>
    <phoneticPr fontId="2" type="noConversion"/>
  </si>
  <si>
    <t>교육연구</t>
  </si>
  <si>
    <t>충청도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</si>
  <si>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</si>
  <si>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</si>
  <si>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</si>
  <si>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기초공사,골재비및운반비,작업부산물,기타공사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</si>
  <si>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</si>
  <si>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</si>
  <si>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</si>
  <si>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</si>
  <si>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</si>
  <si>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</si>
  <si>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상수도공사,사급자재비,운반비</t>
    <phoneticPr fontId="2" type="noConversion"/>
  </si>
  <si>
    <t>포장공사</t>
    <phoneticPr fontId="2" type="noConversion"/>
  </si>
  <si>
    <t>옥외소화배관공사 ,펌프실배관공사,소화가스배관공사,기타공사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</si>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</sst>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4927.13</v>
      </c>
      <c r="D7" s="36">
        <f>+C7/3.3058</f>
        <v>1490.4501179744691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1842700</v>
      </c>
      <c r="E25" s="59">
        <f t="shared" si="0"/>
        <v>6091590</v>
      </c>
    </row>
    <row r="26" spans="1:5" x14ac:dyDescent="0.3">
      <c r="B26" s="2">
        <v>3</v>
      </c>
      <c r="C26" s="35" t="s">
        <v>95</v>
      </c>
      <c r="D26" s="45">
        <f>+D66</f>
        <v>64580</v>
      </c>
      <c r="E26" s="59">
        <f t="shared" si="0"/>
        <v>213480</v>
      </c>
    </row>
    <row r="27" spans="1:5" x14ac:dyDescent="0.3">
      <c r="B27" s="2">
        <v>4</v>
      </c>
      <c r="C27" s="35" t="s">
        <v>96</v>
      </c>
      <c r="D27" s="45">
        <f>+D95</f>
        <v>361340</v>
      </c>
      <c r="E27" s="59">
        <f t="shared" si="0"/>
        <v>1194510</v>
      </c>
    </row>
    <row r="28" spans="1:5" x14ac:dyDescent="0.3">
      <c r="B28" s="2">
        <v>5</v>
      </c>
      <c r="C28" s="35" t="s">
        <v>97</v>
      </c>
      <c r="D28" s="45">
        <f>+D119</f>
        <v>253560</v>
      </c>
      <c r="E28" s="59">
        <f t="shared" si="0"/>
        <v>838210</v>
      </c>
    </row>
    <row r="29" spans="1:5" x14ac:dyDescent="0.3">
      <c r="B29" s="2">
        <v>6</v>
      </c>
      <c r="C29" s="35" t="s">
        <v>98</v>
      </c>
      <c r="D29" s="45">
        <f>+D133</f>
        <v>148830</v>
      </c>
      <c r="E29" s="59">
        <f t="shared" si="0"/>
        <v>492000</v>
      </c>
    </row>
    <row r="30" spans="1:5" x14ac:dyDescent="0.3">
      <c r="B30" s="2">
        <v>7</v>
      </c>
      <c r="C30" s="35" t="s">
        <v>99</v>
      </c>
      <c r="D30" s="45">
        <f>+D146</f>
        <v>86190</v>
      </c>
      <c r="E30" s="59">
        <f t="shared" si="0"/>
        <v>284920</v>
      </c>
    </row>
    <row r="31" spans="1:5" x14ac:dyDescent="0.3">
      <c r="B31" s="2">
        <v>8</v>
      </c>
      <c r="C31" s="35" t="s">
        <v>100</v>
      </c>
      <c r="D31" s="45">
        <f>+D154</f>
        <v>167420</v>
      </c>
      <c r="E31" s="59">
        <f t="shared" si="0"/>
        <v>553450</v>
      </c>
    </row>
    <row r="32" spans="1:5" x14ac:dyDescent="0.3">
      <c r="B32" s="2">
        <v>9</v>
      </c>
      <c r="C32" s="35" t="s">
        <v>101</v>
      </c>
      <c r="D32" s="45">
        <f>+D161</f>
        <v>243270</v>
      </c>
      <c r="E32" s="59">
        <f t="shared" si="0"/>
        <v>804200</v>
      </c>
    </row>
    <row r="33" spans="1:7" x14ac:dyDescent="0.3">
      <c r="B33" s="2">
        <v>10</v>
      </c>
      <c r="C33" s="35" t="s">
        <v>154</v>
      </c>
      <c r="D33" s="53">
        <f>TRUNC(SUM(D24:D32)*0.275,-1)</f>
        <v>871160</v>
      </c>
      <c r="E33" s="60">
        <f t="shared" si="0"/>
        <v>2879880</v>
      </c>
    </row>
    <row r="34" spans="1:7" x14ac:dyDescent="0.3">
      <c r="C34" s="35" t="s">
        <v>112</v>
      </c>
      <c r="D34" s="44">
        <f>SUM(D24:D33)</f>
        <v>4039050</v>
      </c>
      <c r="E34" s="44">
        <f>SUM(E24:E33)</f>
        <v>13352240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TRUNC(94909,-1)</f>
        <v>94900</v>
      </c>
      <c r="E40" s="62">
        <f t="shared" ref="E40:E59" si="1">TRUNC(+D40*3.3058,-1)</f>
        <v>313720</v>
      </c>
    </row>
    <row r="41" spans="1:7" x14ac:dyDescent="0.3">
      <c r="A41" s="2">
        <v>2</v>
      </c>
      <c r="C41" s="38" t="s">
        <v>13</v>
      </c>
      <c r="D41" s="42">
        <f>TRUNC(188864,-1)</f>
        <v>188860</v>
      </c>
      <c r="E41" s="63">
        <f t="shared" si="1"/>
        <v>624330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TRUNC(17112,-1)</f>
        <v>17110</v>
      </c>
      <c r="E43" s="63">
        <f t="shared" si="1"/>
        <v>56560</v>
      </c>
    </row>
    <row r="44" spans="1:7" x14ac:dyDescent="0.3">
      <c r="A44" s="2">
        <v>5</v>
      </c>
      <c r="C44" s="38" t="s">
        <v>17</v>
      </c>
      <c r="D44" s="42">
        <f>TRUNC(33104,-1)</f>
        <v>33100</v>
      </c>
      <c r="E44" s="63">
        <f t="shared" si="1"/>
        <v>109420</v>
      </c>
    </row>
    <row r="45" spans="1:7" x14ac:dyDescent="0.3">
      <c r="A45" s="2">
        <v>6</v>
      </c>
      <c r="C45" s="38" t="s">
        <v>18</v>
      </c>
      <c r="D45" s="42">
        <f>TRUNC(7480,-1)</f>
        <v>7480</v>
      </c>
      <c r="E45" s="63">
        <f t="shared" si="1"/>
        <v>24720</v>
      </c>
    </row>
    <row r="46" spans="1:7" x14ac:dyDescent="0.3">
      <c r="A46" s="2">
        <v>7</v>
      </c>
      <c r="C46" s="38" t="s">
        <v>19</v>
      </c>
      <c r="D46" s="42">
        <f>TRUNC(68959,-1)</f>
        <v>68950</v>
      </c>
      <c r="E46" s="63">
        <f t="shared" si="1"/>
        <v>227930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TRUNC(176442,-1)</f>
        <v>176440</v>
      </c>
      <c r="E48" s="63">
        <f t="shared" si="1"/>
        <v>583270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TRUNC(18595,-1)</f>
        <v>18590</v>
      </c>
      <c r="E49" s="63">
        <f t="shared" si="1"/>
        <v>61450</v>
      </c>
    </row>
    <row r="50" spans="1:7" x14ac:dyDescent="0.3">
      <c r="A50" s="2">
        <v>11</v>
      </c>
      <c r="C50" s="38" t="s">
        <v>155</v>
      </c>
      <c r="D50" s="42">
        <f>TRUNC(139962,-1)</f>
        <v>139960</v>
      </c>
      <c r="E50" s="63">
        <f t="shared" si="1"/>
        <v>462670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TRUNC(9512,-1)</f>
        <v>9510</v>
      </c>
      <c r="E52" s="63">
        <f t="shared" si="1"/>
        <v>31430</v>
      </c>
    </row>
    <row r="53" spans="1:7" x14ac:dyDescent="0.3">
      <c r="A53" s="2">
        <v>14</v>
      </c>
      <c r="C53" s="38" t="s">
        <v>25</v>
      </c>
      <c r="D53" s="42">
        <f>TRUNC(596264,-1)</f>
        <v>596260</v>
      </c>
      <c r="E53" s="63">
        <f t="shared" si="1"/>
        <v>1971110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TRUNC(305+10469-1460+11076,-1)</f>
        <v>20390</v>
      </c>
      <c r="E58" s="63">
        <f t="shared" si="1"/>
        <v>67400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TRUNC(471156,-1)</f>
        <v>471150</v>
      </c>
      <c r="E59" s="64">
        <f t="shared" si="1"/>
        <v>1557520</v>
      </c>
    </row>
    <row r="60" spans="1:7" x14ac:dyDescent="0.3">
      <c r="A60" s="2">
        <v>21</v>
      </c>
      <c r="C60" s="27" t="s">
        <v>112</v>
      </c>
      <c r="D60" s="39">
        <f>SUM(D40:D59)</f>
        <v>1842700</v>
      </c>
      <c r="E60" s="39">
        <f>SUM(E40:E59)</f>
        <v>6091530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TRUNC(64581,-1)</f>
        <v>64580</v>
      </c>
      <c r="E63" s="62">
        <f>TRUNC(+D63*3.3058,-1)</f>
        <v>213480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64580</v>
      </c>
      <c r="E66" s="65">
        <f>SUM(E63:E65)</f>
        <v>213480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TRUNC(13171,-1)</f>
        <v>13170</v>
      </c>
      <c r="E69" s="62">
        <f t="shared" ref="E69:E94" si="2">TRUNC(+D69*3.3058,-1)</f>
        <v>43530</v>
      </c>
    </row>
    <row r="70" spans="1:7" ht="16.5" customHeight="1" x14ac:dyDescent="0.3">
      <c r="A70" s="2">
        <v>2</v>
      </c>
      <c r="C70" s="38" t="s">
        <v>31</v>
      </c>
      <c r="D70" s="42">
        <f>TRUNC(166,-1)</f>
        <v>160</v>
      </c>
      <c r="E70" s="63">
        <f t="shared" si="2"/>
        <v>520</v>
      </c>
    </row>
    <row r="71" spans="1:7" x14ac:dyDescent="0.3">
      <c r="A71" s="2">
        <v>3</v>
      </c>
      <c r="C71" s="38" t="s">
        <v>32</v>
      </c>
      <c r="D71" s="42">
        <f>TRUNC(5869,-1)</f>
        <v>5860</v>
      </c>
      <c r="E71" s="63">
        <f t="shared" si="2"/>
        <v>19370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TRUNC(10231,-1)</f>
        <v>10230</v>
      </c>
      <c r="E73" s="63">
        <f t="shared" si="2"/>
        <v>33810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TRUNC(83103,-1)</f>
        <v>83100</v>
      </c>
      <c r="E76" s="63">
        <f t="shared" si="2"/>
        <v>274710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TRUNC(26565,-1)</f>
        <v>26560</v>
      </c>
      <c r="E89" s="63">
        <f t="shared" si="2"/>
        <v>87800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TRUNC(12014,-1)</f>
        <v>12010</v>
      </c>
      <c r="E91" s="63">
        <f t="shared" si="2"/>
        <v>39700</v>
      </c>
    </row>
    <row r="92" spans="1:7" x14ac:dyDescent="0.3">
      <c r="A92" s="2">
        <v>24</v>
      </c>
      <c r="C92" s="38" t="s">
        <v>38</v>
      </c>
      <c r="D92" s="42">
        <f>TRUNC(5796,-1)</f>
        <v>5790</v>
      </c>
      <c r="E92" s="63">
        <f t="shared" si="2"/>
        <v>19140</v>
      </c>
    </row>
    <row r="93" spans="1:7" x14ac:dyDescent="0.3">
      <c r="A93" s="2">
        <v>25</v>
      </c>
      <c r="C93" s="38" t="s">
        <v>148</v>
      </c>
      <c r="D93" s="42">
        <f>TRUNC(196067,-1)</f>
        <v>196060</v>
      </c>
      <c r="E93" s="63">
        <f t="shared" si="2"/>
        <v>648130</v>
      </c>
    </row>
    <row r="94" spans="1:7" ht="17.25" thickBot="1" x14ac:dyDescent="0.35">
      <c r="A94" s="2">
        <v>26</v>
      </c>
      <c r="C94" s="38" t="s">
        <v>47</v>
      </c>
      <c r="D94" s="43">
        <f>TRUNC(8403,-1)</f>
        <v>8400</v>
      </c>
      <c r="E94" s="64">
        <f t="shared" si="2"/>
        <v>27760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361340</v>
      </c>
      <c r="E95" s="39">
        <f>SUM(E69:E94)</f>
        <v>1194470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TRUNC(25541,-1)</f>
        <v>25540</v>
      </c>
      <c r="E98" s="62">
        <f t="shared" ref="E98:E118" si="3">TRUNC(+D98*3.3058,-1)</f>
        <v>84430</v>
      </c>
    </row>
    <row r="99" spans="1:7" x14ac:dyDescent="0.3">
      <c r="A99" s="2">
        <v>2</v>
      </c>
      <c r="C99" s="38" t="s">
        <v>40</v>
      </c>
      <c r="D99" s="42">
        <f>TRUNC(7753,-1)</f>
        <v>7750</v>
      </c>
      <c r="E99" s="63">
        <f t="shared" si="3"/>
        <v>25610</v>
      </c>
    </row>
    <row r="100" spans="1:7" x14ac:dyDescent="0.3">
      <c r="A100" s="2">
        <v>3</v>
      </c>
      <c r="C100" s="38" t="s">
        <v>41</v>
      </c>
      <c r="D100" s="42">
        <f>TRUNC(52752,-1)</f>
        <v>52750</v>
      </c>
      <c r="E100" s="63">
        <f t="shared" si="3"/>
        <v>174380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TRUNC(20726,-1)</f>
        <v>20720</v>
      </c>
      <c r="E102" s="63">
        <f t="shared" si="3"/>
        <v>68490</v>
      </c>
    </row>
    <row r="103" spans="1:7" x14ac:dyDescent="0.3">
      <c r="A103" s="2">
        <v>6</v>
      </c>
      <c r="C103" s="38" t="s">
        <v>44</v>
      </c>
      <c r="D103" s="42">
        <f>TRUNC(10263,-1)</f>
        <v>10260</v>
      </c>
      <c r="E103" s="63">
        <f t="shared" si="3"/>
        <v>33910</v>
      </c>
    </row>
    <row r="104" spans="1:7" x14ac:dyDescent="0.3">
      <c r="A104" s="2">
        <v>7</v>
      </c>
      <c r="C104" s="38" t="s">
        <v>45</v>
      </c>
      <c r="D104" s="42">
        <f>TRUNC(8005,-1)</f>
        <v>8000</v>
      </c>
      <c r="E104" s="63">
        <f t="shared" si="3"/>
        <v>26440</v>
      </c>
    </row>
    <row r="105" spans="1:7" x14ac:dyDescent="0.3">
      <c r="A105" s="2">
        <v>8</v>
      </c>
      <c r="C105" s="38" t="s">
        <v>46</v>
      </c>
      <c r="D105" s="42">
        <f>TRUNC(7781,-1)</f>
        <v>7780</v>
      </c>
      <c r="E105" s="63">
        <f t="shared" si="3"/>
        <v>25710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TRUNC(13738,-1)</f>
        <v>13730</v>
      </c>
      <c r="E114" s="63">
        <f t="shared" si="3"/>
        <v>45380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TRUNC(9499,-1)</f>
        <v>9490</v>
      </c>
      <c r="E116" s="63">
        <f t="shared" si="3"/>
        <v>31370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TRUNC(96937,-1)</f>
        <v>96930</v>
      </c>
      <c r="E117" s="63">
        <f t="shared" si="3"/>
        <v>320430</v>
      </c>
    </row>
    <row r="118" spans="1:7" ht="17.25" thickBot="1" x14ac:dyDescent="0.35">
      <c r="A118" s="2">
        <v>21</v>
      </c>
      <c r="C118" s="38" t="s">
        <v>47</v>
      </c>
      <c r="D118" s="43">
        <f>TRUNC(613,-1)</f>
        <v>610</v>
      </c>
      <c r="E118" s="64">
        <f t="shared" si="3"/>
        <v>2010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253560</v>
      </c>
      <c r="E119" s="39">
        <f>SUM(E98:E118)</f>
        <v>838160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TRUNC(4684,-1)</f>
        <v>4680</v>
      </c>
      <c r="E122" s="62">
        <f t="shared" ref="E122:E132" si="4">TRUNC(+D122*3.3058,-1)</f>
        <v>15470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TRUNC(7180,-1)</f>
        <v>7180</v>
      </c>
      <c r="E124" s="63">
        <f t="shared" si="4"/>
        <v>23730</v>
      </c>
    </row>
    <row r="125" spans="1:7" x14ac:dyDescent="0.3">
      <c r="A125" s="2">
        <v>4</v>
      </c>
      <c r="C125" s="38" t="s">
        <v>138</v>
      </c>
      <c r="D125" s="42">
        <f>TRUNC(6977,-1)</f>
        <v>6970</v>
      </c>
      <c r="E125" s="63">
        <f t="shared" si="4"/>
        <v>23040</v>
      </c>
    </row>
    <row r="126" spans="1:7" x14ac:dyDescent="0.3">
      <c r="A126" s="2">
        <v>5</v>
      </c>
      <c r="C126" s="38" t="s">
        <v>53</v>
      </c>
      <c r="D126" s="42">
        <f>TRUNC(25355,-1)</f>
        <v>25350</v>
      </c>
      <c r="E126" s="63">
        <f t="shared" si="4"/>
        <v>83800</v>
      </c>
    </row>
    <row r="127" spans="1:7" x14ac:dyDescent="0.3">
      <c r="A127" s="2">
        <v>6</v>
      </c>
      <c r="C127" s="38" t="s">
        <v>56</v>
      </c>
      <c r="D127" s="42">
        <f>TRUNC(843,-1)</f>
        <v>840</v>
      </c>
      <c r="E127" s="63">
        <f t="shared" si="4"/>
        <v>2770</v>
      </c>
    </row>
    <row r="128" spans="1:7" x14ac:dyDescent="0.3">
      <c r="A128" s="2">
        <v>7</v>
      </c>
      <c r="C128" s="38" t="s">
        <v>46</v>
      </c>
      <c r="D128" s="42">
        <f>TRUNC(6369,-1)</f>
        <v>6360</v>
      </c>
      <c r="E128" s="63">
        <f t="shared" si="4"/>
        <v>21020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TRUNC(18809,-1)</f>
        <v>18800</v>
      </c>
      <c r="E130" s="63">
        <f t="shared" si="4"/>
        <v>62140</v>
      </c>
    </row>
    <row r="131" spans="1:7" x14ac:dyDescent="0.3">
      <c r="A131" s="2">
        <v>10</v>
      </c>
      <c r="C131" s="38" t="s">
        <v>148</v>
      </c>
      <c r="D131" s="42">
        <f>TRUNC(75868,-1)</f>
        <v>75860</v>
      </c>
      <c r="E131" s="63">
        <f t="shared" si="4"/>
        <v>250770</v>
      </c>
    </row>
    <row r="132" spans="1:7" ht="18" thickBot="1" x14ac:dyDescent="0.35">
      <c r="A132" s="2">
        <v>11</v>
      </c>
      <c r="C132" s="38" t="s">
        <v>47</v>
      </c>
      <c r="D132" s="43">
        <f>TRUNC(2798,-1)</f>
        <v>2790</v>
      </c>
      <c r="E132" s="64">
        <f t="shared" si="4"/>
        <v>9220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148830</v>
      </c>
      <c r="E133" s="39">
        <f>SUM(E122:E132)</f>
        <v>491960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TRUNC(882+9133+12094+374,-1)</f>
        <v>22480</v>
      </c>
      <c r="E137" s="63">
        <f t="shared" si="5"/>
        <v>74310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TRUNC(2949,-1)</f>
        <v>2940</v>
      </c>
      <c r="E139" s="63">
        <f t="shared" si="5"/>
        <v>9710</v>
      </c>
    </row>
    <row r="140" spans="1:7" x14ac:dyDescent="0.3">
      <c r="A140" s="2">
        <v>5</v>
      </c>
      <c r="C140" s="38" t="s">
        <v>57</v>
      </c>
      <c r="D140" s="42">
        <f>TRUNC(2618,-1)</f>
        <v>2610</v>
      </c>
      <c r="E140" s="63">
        <f t="shared" si="5"/>
        <v>8620</v>
      </c>
    </row>
    <row r="141" spans="1:7" x14ac:dyDescent="0.3">
      <c r="A141" s="2">
        <v>6</v>
      </c>
      <c r="C141" s="38" t="s">
        <v>59</v>
      </c>
      <c r="D141" s="42">
        <f>TRUNC(20554,-1)</f>
        <v>20550</v>
      </c>
      <c r="E141" s="63">
        <f t="shared" si="5"/>
        <v>67930</v>
      </c>
    </row>
    <row r="142" spans="1:7" x14ac:dyDescent="0.3">
      <c r="A142" s="2">
        <v>7</v>
      </c>
      <c r="C142" s="38" t="s">
        <v>58</v>
      </c>
      <c r="D142" s="42">
        <f>TRUNC(37610,-1)</f>
        <v>37610</v>
      </c>
      <c r="E142" s="63">
        <f t="shared" si="5"/>
        <v>124330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86190</v>
      </c>
      <c r="E146" s="39">
        <f>SUM(E136:E145)</f>
        <v>284900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TRUNC(54349+4272,-1)</f>
        <v>58620</v>
      </c>
      <c r="E149" s="62">
        <f>TRUNC(+D149*3.3058,-1)</f>
        <v>193780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TRUNC(16282,-1)</f>
        <v>16280</v>
      </c>
      <c r="E150" s="63">
        <f>TRUNC(+D150*3.3058,-1)</f>
        <v>53810</v>
      </c>
    </row>
    <row r="151" spans="1:7" x14ac:dyDescent="0.3">
      <c r="A151" s="2">
        <v>3</v>
      </c>
      <c r="C151" s="38" t="s">
        <v>50</v>
      </c>
      <c r="D151" s="42">
        <f>TRUNC(15374,-1)</f>
        <v>15370</v>
      </c>
      <c r="E151" s="63">
        <f>TRUNC(+D151*3.3058,-1)</f>
        <v>50810</v>
      </c>
    </row>
    <row r="152" spans="1:7" x14ac:dyDescent="0.3">
      <c r="A152" s="2">
        <v>4</v>
      </c>
      <c r="C152" s="38" t="s">
        <v>47</v>
      </c>
      <c r="D152" s="42">
        <f>TRUNC(1804+9764+1146,-1)</f>
        <v>12710</v>
      </c>
      <c r="E152" s="63">
        <f>TRUNC(+D152*3.3058,-1)</f>
        <v>42010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TRUNC(64448,-1)</f>
        <v>64440</v>
      </c>
      <c r="E153" s="64">
        <f>TRUNC(+D153*3.3058,-1)</f>
        <v>213020</v>
      </c>
    </row>
    <row r="154" spans="1:7" x14ac:dyDescent="0.3">
      <c r="A154" s="2">
        <v>6</v>
      </c>
      <c r="C154" s="27" t="s">
        <v>112</v>
      </c>
      <c r="D154" s="39">
        <f>SUM(D149:D153)</f>
        <v>167420</v>
      </c>
      <c r="E154" s="39">
        <f>SUM(E149:E153)</f>
        <v>553430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TRUNC(193041,-1)</f>
        <v>193040</v>
      </c>
      <c r="E157" s="62">
        <f>TRUNC(+D157*3.3058,-1)</f>
        <v>638150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TRUNC(50230,-1)</f>
        <v>50230</v>
      </c>
      <c r="E159" s="63">
        <f>TRUNC(+D159*3.3058,-1)</f>
        <v>166050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243270</v>
      </c>
      <c r="E161" s="39">
        <f>SUM(E157:E160)</f>
        <v>804200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2020-12-08T04:41:47Z</dcterms:modified>
</cp:coreProperties>
</file>