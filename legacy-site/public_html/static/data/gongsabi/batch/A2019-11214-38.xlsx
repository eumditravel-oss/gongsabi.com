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159" i="4"/>
  <c r="D158" i="4"/>
  <c r="D157" i="4"/>
  <c r="D152" i="4"/>
  <c r="D150" i="4"/>
  <c r="D149" i="4"/>
  <c r="D137" i="4"/>
  <c r="D144" i="4"/>
  <c r="D143" i="4"/>
  <c r="D139" i="4"/>
  <c r="D141" i="4"/>
  <c r="D142" i="4"/>
  <c r="D140" i="4"/>
  <c r="D132" i="4"/>
  <c r="D128" i="4"/>
  <c r="D127" i="4"/>
  <c r="D124" i="4"/>
  <c r="D122" i="4"/>
  <c r="D130" i="4"/>
  <c r="D118" i="4"/>
  <c r="D105" i="4"/>
  <c r="D104" i="4"/>
  <c r="D103" i="4"/>
  <c r="D102" i="4"/>
  <c r="D100" i="4"/>
  <c r="D99" i="4"/>
  <c r="D98" i="4"/>
  <c r="D116" i="4"/>
  <c r="D92" i="4"/>
  <c r="D91" i="4"/>
  <c r="D89" i="4"/>
  <c r="D73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146" i="4"/>
  <c r="D30" i="4" s="1"/>
  <c r="E30" i="4" s="1"/>
  <c r="D133" i="4"/>
  <c r="D119" i="4"/>
  <c r="D95" i="4"/>
  <c r="D66" i="4"/>
  <c r="D26" i="4" s="1"/>
  <c r="E26" i="4" s="1"/>
  <c r="D60" i="4"/>
  <c r="D25" i="4" s="1"/>
  <c r="D24" i="4"/>
  <c r="E24" i="4" s="1"/>
  <c r="D27" i="4"/>
  <c r="E27" i="4" s="1"/>
  <c r="D28" i="4"/>
  <c r="E28" i="4" s="1"/>
  <c r="D29" i="4"/>
  <c r="E29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<sst xmlns="http://schemas.openxmlformats.org/spreadsheetml/2006/main" count="394" uniqueCount="266">
  <si>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</si>
  <si>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</si>
  <si>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</si>
  <si>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</si>
  <si>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</si>
  <si>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</si>
  <si>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</si>
  <si>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</si>
  <si>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</si>
  <si>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</si>
  <si>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</si>
  <si>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</si>
  <si>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</si>
  <si>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</si>
  <si>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</si>
  <si>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</si>
  <si>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</si>
  <si>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</si>
  <si>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</si>
  <si>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</si>
  <si>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</si>
  <si>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</si>
  <si>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</si>
  <si>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</si>
  <si>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</si>
  <si>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</si>
  <si>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</si>
  <si>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</si>
  <si>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</si>
  <si>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</si>
  <si>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</si>
  <si>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</si>
  <si>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</si>
  <si>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</si>
  <si>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</si>
  <si>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</si>
  <si>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</si>
  <si>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</si>
  <si>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</si>
  <si>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</si>
  <si>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</si>
  <si>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</si>
  <si>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</si>
  <si>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</si>
  <si>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</si>
  <si>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</si>
  <si>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</si>
  <si>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</si>
  <si>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</si>
  <si>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</si>
  <si>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</si>
  <si>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</si>
  <si>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</si>
  <si>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</si>
  <si>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</si>
  <si>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</si>
  <si>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</si>
  <si>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</si>
  <si>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</si>
  <si>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</si>
  <si>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</si>
  <si>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</si>
  <si>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</si>
  <si>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</si>
  <si>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</si>
  <si>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</si>
  <si>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</si>
  <si>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</si>
  <si>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</si>
  <si>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</si>
  <si>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</si>
  <si>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</si>
  <si>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</si>
  <si>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</si>
  <si>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</si>
  <si>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</si>
  <si>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</si>
  <si>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</si>
  <si>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</si>
  <si>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</si>
  <si>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</si>
  <si>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</si>
  <si>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</si>
  <si>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</si>
  <si>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</si>
  <si>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</si>
  <si>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</si>
  <si>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</si>
  <si>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</si>
  <si>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</si>
  <si>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</si>
  <si>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</si>
  <si>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</si>
  <si>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</si>
  <si>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</si>
  <si>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</si>
  <si>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</si>
  <si>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</si>
  <si>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</si>
  <si>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</si>
  <si>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</si>
  <si>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</si>
  <si>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</si>
  <si>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</si>
  <si>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</si>
  <si>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</si>
  <si>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</si>
  <si>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</si>
  <si>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</si>
  <si>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</si>
  <si>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</si>
  <si>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</si>
  <si>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</si>
  <si>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</si>
  <si>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</si>
  <si>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</si>
  <si>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</si>
  <si>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</si>
  <si>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</si>
  <si>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</si>
  <si>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</si>
  <si>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</si>
  <si>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</si>
  <si>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</si>
  <si>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</si>
  <si>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</si>
  <si>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</si>
  <si>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</si>
  <si>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</si>
  <si>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</si>
  <si>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</si>
  <si>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</si>
  <si>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</si>
  <si>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</si>
  <si>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</si>
  <si>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</si>
  <si>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</si>
  <si>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</si>
  <si>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</si>
  <si>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</si>
  <si>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</si>
  <si>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</si>
  <si>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</si>
  <si>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</si>
  <si>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</si>
  <si>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</si>
  <si>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</si>
  <si>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</si>
  <si>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</si>
  <si>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</si>
  <si>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</si>
  <si>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</si>
  <si>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</si>
  <si>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</si>
  <si>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</si>
  <si>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</si>
  <si>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</si>
  <si>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</si>
  <si>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</si>
  <si>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</si>
  <si>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</si>
  <si>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</si>
  <si>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</si>
  <si>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</si>
  <si>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</si>
  <si>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</si>
  <si>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</si>
  <si>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</si>
  <si>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</si>
  <si>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</si>
  <si>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</si>
  <si>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</si>
  <si>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</si>
  <si>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</si>
  <si>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</si>
  <si>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</si>
  <si>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</si>
  <si>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</si>
  <si>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</si>
  <si>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</si>
  <si>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</si>
  <si>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</si>
  <si>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</si>
  <si>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</si>
  <si>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</si>
  <si>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</si>
  <si>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</si>
  <si>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</si>
  <si>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</si>
  <si>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</si>
  <si>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</si>
  <si>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</si>
  <si>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</si>
  <si>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</si>
  <si>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</si>
  <si>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</si>
  <si>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</si>
  <si>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</si>
  <si>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</si>
  <si>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</si>
  <si>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</si>
  <si>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</si>
  <si>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</si>
  <si>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</si>
  <si>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</si>
  <si>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</si>
  <si>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</si>
  <si>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</si>
  <si>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</si>
  <si>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</si>
  <si>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</si>
  <si>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</si>
  <si>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</si>
  <si>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</si>
  <si>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</si>
  <si>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</si>
  <si>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</si>
  <si>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</si>
  <si>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</si>
  <si>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</si>
  <si>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</si>
  <si>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</si>
  <si>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</si>
  <si>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</si>
  <si>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</si>
  <si>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</si>
  <si>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</si>
  <si>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</si>
  <si>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</si>
  <si>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</si>
  <si>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</si>
  <si>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</si>
  <si>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</si>
  <si>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</si>
  <si>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</si>
  <si>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</si>
  <si>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</si>
  <si>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</si>
  <si>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</si>
  <si>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</si>
  <si>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</si>
  <si>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</si>
  <si>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</si>
  <si>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</si>
  <si>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</si>
  <si>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</si>
  <si>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</si>
  <si>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</si>
  <si>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관세행정 OJT 교육관 신축 공사 계약 요청(건축_기계설비_토목_조경)</t>
    <phoneticPr fontId="2" type="noConversion"/>
  </si>
  <si>
    <t>교육연구</t>
  </si>
  <si>
    <t>제주도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</si>
  <si>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</si>
  <si>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</si>
  <si>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</si>
  <si>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</si>
  <si>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</si>
  <si>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</si>
  <si>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CCTV설비공사</t>
    <phoneticPr fontId="2" type="noConversion"/>
  </si>
  <si>
    <t>CATV 및 TV 설비공사</t>
    <phoneticPr fontId="2" type="noConversion"/>
  </si>
  <si>
    <t>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</si>
  <si>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</si>
  <si>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</si>
  <si>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우수공사,오수공사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</si>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</sst>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2854.1</v>
      </c>
      <c r="D7" s="36">
        <f>+C7/3.3058</f>
        <v>863.36136487385807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695000</v>
      </c>
      <c r="E25" s="59">
        <f t="shared" si="0"/>
        <v>2297530</v>
      </c>
    </row>
    <row r="26" spans="1:5" x14ac:dyDescent="0.3">
      <c r="B26" s="2">
        <v>3</v>
      </c>
      <c r="C26" s="35" t="s">
        <v>95</v>
      </c>
      <c r="D26" s="45">
        <f>+D66</f>
        <v>146930</v>
      </c>
      <c r="E26" s="59">
        <f t="shared" si="0"/>
        <v>485720</v>
      </c>
    </row>
    <row r="27" spans="1:5" x14ac:dyDescent="0.3">
      <c r="B27" s="2">
        <v>4</v>
      </c>
      <c r="C27" s="35" t="s">
        <v>96</v>
      </c>
      <c r="D27" s="45">
        <f>+D95</f>
        <v>63420</v>
      </c>
      <c r="E27" s="59">
        <f t="shared" si="0"/>
        <v>209650</v>
      </c>
    </row>
    <row r="28" spans="1:5" x14ac:dyDescent="0.3">
      <c r="B28" s="2">
        <v>5</v>
      </c>
      <c r="C28" s="35" t="s">
        <v>97</v>
      </c>
      <c r="D28" s="45">
        <f>+D119</f>
        <v>147510</v>
      </c>
      <c r="E28" s="59">
        <f t="shared" si="0"/>
        <v>487630</v>
      </c>
    </row>
    <row r="29" spans="1:5" x14ac:dyDescent="0.3">
      <c r="B29" s="2">
        <v>6</v>
      </c>
      <c r="C29" s="35" t="s">
        <v>98</v>
      </c>
      <c r="D29" s="45">
        <f>+D133</f>
        <v>78570</v>
      </c>
      <c r="E29" s="59">
        <f t="shared" si="0"/>
        <v>259730</v>
      </c>
    </row>
    <row r="30" spans="1:5" x14ac:dyDescent="0.3">
      <c r="B30" s="2">
        <v>7</v>
      </c>
      <c r="C30" s="35" t="s">
        <v>99</v>
      </c>
      <c r="D30" s="45">
        <f>+D146</f>
        <v>57040</v>
      </c>
      <c r="E30" s="59">
        <f t="shared" si="0"/>
        <v>188560</v>
      </c>
    </row>
    <row r="31" spans="1:5" x14ac:dyDescent="0.3">
      <c r="B31" s="2">
        <v>8</v>
      </c>
      <c r="C31" s="35" t="s">
        <v>100</v>
      </c>
      <c r="D31" s="45">
        <f>+D154</f>
        <v>44350</v>
      </c>
      <c r="E31" s="59">
        <f t="shared" si="0"/>
        <v>146610</v>
      </c>
    </row>
    <row r="32" spans="1:5" x14ac:dyDescent="0.3">
      <c r="B32" s="2">
        <v>9</v>
      </c>
      <c r="C32" s="35" t="s">
        <v>101</v>
      </c>
      <c r="D32" s="45">
        <f>+D161</f>
        <v>39810</v>
      </c>
      <c r="E32" s="59">
        <f t="shared" si="0"/>
        <v>131600</v>
      </c>
    </row>
    <row r="33" spans="1:7" x14ac:dyDescent="0.3">
      <c r="B33" s="2">
        <v>10</v>
      </c>
      <c r="C33" s="35" t="s">
        <v>154</v>
      </c>
      <c r="D33" s="53">
        <f>TRUNC(SUM(D24:D32)*0.275,-1)</f>
        <v>349970</v>
      </c>
      <c r="E33" s="60">
        <f t="shared" si="0"/>
        <v>1156930</v>
      </c>
    </row>
    <row r="34" spans="1:7" x14ac:dyDescent="0.3">
      <c r="C34" s="35" t="s">
        <v>112</v>
      </c>
      <c r="D34" s="44">
        <f>SUM(D24:D33)</f>
        <v>1622600</v>
      </c>
      <c r="E34" s="44">
        <f>SUM(E24:E33)</f>
        <v>5363960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TRUNC(50676,-1)</f>
        <v>50670</v>
      </c>
      <c r="E40" s="62">
        <f t="shared" ref="E40:E59" si="1">TRUNC(+D40*3.3058,-1)</f>
        <v>167500</v>
      </c>
    </row>
    <row r="41" spans="1:7" x14ac:dyDescent="0.3">
      <c r="A41" s="2">
        <v>2</v>
      </c>
      <c r="C41" s="38" t="s">
        <v>13</v>
      </c>
      <c r="D41" s="42">
        <f>TRUNC(164729,-1)</f>
        <v>164720</v>
      </c>
      <c r="E41" s="63">
        <f t="shared" si="1"/>
        <v>544530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TRUNC(74438,-1)</f>
        <v>74430</v>
      </c>
      <c r="E43" s="63">
        <f t="shared" si="1"/>
        <v>246050</v>
      </c>
    </row>
    <row r="44" spans="1:7" x14ac:dyDescent="0.3">
      <c r="A44" s="2">
        <v>5</v>
      </c>
      <c r="C44" s="38" t="s">
        <v>17</v>
      </c>
      <c r="D44" s="42">
        <f>TRUNC(37146,-1)</f>
        <v>37140</v>
      </c>
      <c r="E44" s="63">
        <f t="shared" si="1"/>
        <v>122770</v>
      </c>
    </row>
    <row r="45" spans="1:7" x14ac:dyDescent="0.3">
      <c r="A45" s="2">
        <v>6</v>
      </c>
      <c r="C45" s="38" t="s">
        <v>18</v>
      </c>
      <c r="D45" s="42">
        <f>TRUNC(21225,-1)</f>
        <v>21220</v>
      </c>
      <c r="E45" s="63">
        <f t="shared" si="1"/>
        <v>70140</v>
      </c>
    </row>
    <row r="46" spans="1:7" x14ac:dyDescent="0.3">
      <c r="A46" s="2">
        <v>7</v>
      </c>
      <c r="C46" s="38" t="s">
        <v>19</v>
      </c>
      <c r="D46" s="42">
        <f>TRUNC(11954,-1)</f>
        <v>11950</v>
      </c>
      <c r="E46" s="63">
        <f t="shared" si="1"/>
        <v>39500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TRUNC(84745,-1)</f>
        <v>84740</v>
      </c>
      <c r="E48" s="63">
        <f t="shared" si="1"/>
        <v>280130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TRUNC(22733,-1)</f>
        <v>22730</v>
      </c>
      <c r="E49" s="63">
        <f t="shared" si="1"/>
        <v>75140</v>
      </c>
    </row>
    <row r="50" spans="1:7" x14ac:dyDescent="0.3">
      <c r="A50" s="2">
        <v>11</v>
      </c>
      <c r="C50" s="38" t="s">
        <v>155</v>
      </c>
      <c r="D50" s="42">
        <f>TRUNC(52210,-1)</f>
        <v>52210</v>
      </c>
      <c r="E50" s="63">
        <f t="shared" si="1"/>
        <v>172590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TRUNC(14902,-1)</f>
        <v>14900</v>
      </c>
      <c r="E52" s="63">
        <f t="shared" si="1"/>
        <v>49250</v>
      </c>
    </row>
    <row r="53" spans="1:7" x14ac:dyDescent="0.3">
      <c r="A53" s="2">
        <v>14</v>
      </c>
      <c r="C53" s="38" t="s">
        <v>25</v>
      </c>
      <c r="D53" s="42">
        <f>TRUNC(67120,-1)</f>
        <v>67120</v>
      </c>
      <c r="E53" s="63">
        <f t="shared" si="1"/>
        <v>221880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TRUNC(52027+18891-690+1602+21344,-1)</f>
        <v>93170</v>
      </c>
      <c r="E58" s="63">
        <f t="shared" si="1"/>
        <v>308000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695000</v>
      </c>
      <c r="E60" s="39">
        <f>SUM(E40:E59)</f>
        <v>2297480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TRUNC(39259,-1)</f>
        <v>39250</v>
      </c>
      <c r="E63" s="62">
        <f>TRUNC(+D63*3.3058,-1)</f>
        <v>129750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TRUNC(107681,-1)</f>
        <v>107680</v>
      </c>
      <c r="E65" s="64">
        <f>TRUNC(+D65*3.3058,-1)</f>
        <v>355960</v>
      </c>
    </row>
    <row r="66" spans="1:7" x14ac:dyDescent="0.3">
      <c r="A66" s="2">
        <v>4</v>
      </c>
      <c r="C66" s="27" t="s">
        <v>112</v>
      </c>
      <c r="D66" s="39">
        <f>SUM(D63:D65)</f>
        <v>146930</v>
      </c>
      <c r="E66" s="65">
        <f>SUM(E63:E65)</f>
        <v>485710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TRUNC(8676,-1)</f>
        <v>8670</v>
      </c>
      <c r="E69" s="62">
        <f t="shared" ref="E69:E94" si="2">TRUNC(+D69*3.3058,-1)</f>
        <v>28660</v>
      </c>
    </row>
    <row r="70" spans="1:7" ht="16.5" customHeight="1" x14ac:dyDescent="0.3">
      <c r="A70" s="2">
        <v>2</v>
      </c>
      <c r="C70" s="38" t="s">
        <v>31</v>
      </c>
      <c r="D70" s="42">
        <f>TRUNC(295,-1)</f>
        <v>290</v>
      </c>
      <c r="E70" s="63">
        <f t="shared" si="2"/>
        <v>950</v>
      </c>
    </row>
    <row r="71" spans="1:7" x14ac:dyDescent="0.3">
      <c r="A71" s="2">
        <v>3</v>
      </c>
      <c r="C71" s="38" t="s">
        <v>32</v>
      </c>
      <c r="D71" s="42">
        <f>TRUNC(6424,-1)</f>
        <v>6420</v>
      </c>
      <c r="E71" s="63">
        <f t="shared" si="2"/>
        <v>21220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TRUNC(21164,-1)</f>
        <v>21160</v>
      </c>
      <c r="E73" s="63">
        <f t="shared" si="2"/>
        <v>69950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TRUNC(10340,-1)</f>
        <v>10340</v>
      </c>
      <c r="E89" s="63">
        <f t="shared" si="2"/>
        <v>34180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TRUNC(7266,-1)</f>
        <v>7260</v>
      </c>
      <c r="E91" s="63">
        <f t="shared" si="2"/>
        <v>24000</v>
      </c>
    </row>
    <row r="92" spans="1:7" x14ac:dyDescent="0.3">
      <c r="A92" s="2">
        <v>24</v>
      </c>
      <c r="C92" s="38" t="s">
        <v>38</v>
      </c>
      <c r="D92" s="42">
        <f>TRUNC(9288,-1)</f>
        <v>9280</v>
      </c>
      <c r="E92" s="63">
        <f t="shared" si="2"/>
        <v>30670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63420</v>
      </c>
      <c r="E95" s="39">
        <f>SUM(E69:E94)</f>
        <v>209630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TRUNC(10055,-1)</f>
        <v>10050</v>
      </c>
      <c r="E98" s="62">
        <f t="shared" ref="E98:E118" si="3">TRUNC(+D98*3.3058,-1)</f>
        <v>33220</v>
      </c>
    </row>
    <row r="99" spans="1:7" x14ac:dyDescent="0.3">
      <c r="A99" s="2">
        <v>2</v>
      </c>
      <c r="C99" s="38" t="s">
        <v>40</v>
      </c>
      <c r="D99" s="42">
        <f>TRUNC(8689,-1)</f>
        <v>8680</v>
      </c>
      <c r="E99" s="63">
        <f t="shared" si="3"/>
        <v>28690</v>
      </c>
    </row>
    <row r="100" spans="1:7" x14ac:dyDescent="0.3">
      <c r="A100" s="2">
        <v>3</v>
      </c>
      <c r="C100" s="38" t="s">
        <v>41</v>
      </c>
      <c r="D100" s="42">
        <f>TRUNC(31284,-1)</f>
        <v>31280</v>
      </c>
      <c r="E100" s="63">
        <f t="shared" si="3"/>
        <v>103400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TRUNC(16260,-1)</f>
        <v>16260</v>
      </c>
      <c r="E102" s="63">
        <f t="shared" si="3"/>
        <v>53750</v>
      </c>
    </row>
    <row r="103" spans="1:7" x14ac:dyDescent="0.3">
      <c r="A103" s="2">
        <v>6</v>
      </c>
      <c r="C103" s="38" t="s">
        <v>44</v>
      </c>
      <c r="D103" s="42">
        <f>TRUNC(3827,-1)</f>
        <v>3820</v>
      </c>
      <c r="E103" s="63">
        <f t="shared" si="3"/>
        <v>12620</v>
      </c>
    </row>
    <row r="104" spans="1:7" x14ac:dyDescent="0.3">
      <c r="A104" s="2">
        <v>7</v>
      </c>
      <c r="C104" s="38" t="s">
        <v>45</v>
      </c>
      <c r="D104" s="42">
        <f>TRUNC(4630,-1)</f>
        <v>4630</v>
      </c>
      <c r="E104" s="63">
        <f t="shared" si="3"/>
        <v>15300</v>
      </c>
    </row>
    <row r="105" spans="1:7" x14ac:dyDescent="0.3">
      <c r="A105" s="2">
        <v>8</v>
      </c>
      <c r="C105" s="38" t="s">
        <v>46</v>
      </c>
      <c r="D105" s="42">
        <f>TRUNC(6508,-1)</f>
        <v>6500</v>
      </c>
      <c r="E105" s="63">
        <f t="shared" si="3"/>
        <v>21480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TRUNC(6471,-1)</f>
        <v>6470</v>
      </c>
      <c r="E116" s="63">
        <f t="shared" si="3"/>
        <v>21380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TRUNC(59006,-1)</f>
        <v>59000</v>
      </c>
      <c r="E117" s="63">
        <f t="shared" si="3"/>
        <v>195040</v>
      </c>
    </row>
    <row r="118" spans="1:7" ht="17.25" thickBot="1" x14ac:dyDescent="0.35">
      <c r="A118" s="2">
        <v>21</v>
      </c>
      <c r="C118" s="38" t="s">
        <v>47</v>
      </c>
      <c r="D118" s="43">
        <f>TRUNC(824,-1)</f>
        <v>820</v>
      </c>
      <c r="E118" s="64">
        <f t="shared" si="3"/>
        <v>2710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147510</v>
      </c>
      <c r="E119" s="39">
        <f>SUM(E98:E118)</f>
        <v>487590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TRUNC(6415,-1)</f>
        <v>6410</v>
      </c>
      <c r="E122" s="62">
        <f t="shared" ref="E122:E132" si="4">TRUNC(+D122*3.3058,-1)</f>
        <v>21190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TRUNC(2665,-1)</f>
        <v>2660</v>
      </c>
      <c r="E124" s="63">
        <f t="shared" si="4"/>
        <v>8790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TRUNC(9813,-1)</f>
        <v>9810</v>
      </c>
      <c r="E127" s="63">
        <f t="shared" si="4"/>
        <v>32420</v>
      </c>
    </row>
    <row r="128" spans="1:7" x14ac:dyDescent="0.3">
      <c r="A128" s="2">
        <v>7</v>
      </c>
      <c r="C128" s="38" t="s">
        <v>46</v>
      </c>
      <c r="D128" s="42">
        <f>TRUNC(5295,-1)</f>
        <v>5290</v>
      </c>
      <c r="E128" s="63">
        <f t="shared" si="4"/>
        <v>17480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TRUNC(14382,-1)</f>
        <v>14380</v>
      </c>
      <c r="E130" s="63">
        <f t="shared" si="4"/>
        <v>47530</v>
      </c>
    </row>
    <row r="131" spans="1:7" x14ac:dyDescent="0.3">
      <c r="A131" s="2">
        <v>10</v>
      </c>
      <c r="C131" s="38" t="s">
        <v>148</v>
      </c>
      <c r="D131" s="42">
        <f>TRUNC(38257,-1)</f>
        <v>38250</v>
      </c>
      <c r="E131" s="63">
        <f t="shared" si="4"/>
        <v>126440</v>
      </c>
    </row>
    <row r="132" spans="1:7" ht="18" thickBot="1" x14ac:dyDescent="0.35">
      <c r="A132" s="2">
        <v>11</v>
      </c>
      <c r="C132" s="38" t="s">
        <v>47</v>
      </c>
      <c r="D132" s="43">
        <f>TRUNC(1777,-1)</f>
        <v>1770</v>
      </c>
      <c r="E132" s="64">
        <f t="shared" si="4"/>
        <v>5850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78570</v>
      </c>
      <c r="E133" s="39">
        <f>SUM(E122:E132)</f>
        <v>259700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TRUNC(9076,-1)</f>
        <v>9070</v>
      </c>
      <c r="E137" s="63">
        <f t="shared" si="5"/>
        <v>29980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TRUNC(2611,-1)</f>
        <v>2610</v>
      </c>
      <c r="E139" s="63">
        <f t="shared" si="5"/>
        <v>8620</v>
      </c>
    </row>
    <row r="140" spans="1:7" x14ac:dyDescent="0.3">
      <c r="A140" s="2">
        <v>5</v>
      </c>
      <c r="C140" s="38" t="s">
        <v>57</v>
      </c>
      <c r="D140" s="42">
        <f>TRUNC(5934,-1)</f>
        <v>5930</v>
      </c>
      <c r="E140" s="63">
        <f t="shared" si="5"/>
        <v>19600</v>
      </c>
    </row>
    <row r="141" spans="1:7" x14ac:dyDescent="0.3">
      <c r="A141" s="2">
        <v>6</v>
      </c>
      <c r="C141" s="38" t="s">
        <v>59</v>
      </c>
      <c r="D141" s="42">
        <f>TRUNC(6464,-1)</f>
        <v>6460</v>
      </c>
      <c r="E141" s="63">
        <f t="shared" si="5"/>
        <v>21350</v>
      </c>
    </row>
    <row r="142" spans="1:7" x14ac:dyDescent="0.3">
      <c r="A142" s="2">
        <v>7</v>
      </c>
      <c r="C142" s="38" t="s">
        <v>58</v>
      </c>
      <c r="D142" s="42">
        <f>TRUNC(6169,-1)</f>
        <v>6160</v>
      </c>
      <c r="E142" s="63">
        <f t="shared" si="5"/>
        <v>20360</v>
      </c>
    </row>
    <row r="143" spans="1:7" x14ac:dyDescent="0.3">
      <c r="A143" s="2">
        <v>8</v>
      </c>
      <c r="C143" s="38" t="s">
        <v>62</v>
      </c>
      <c r="D143" s="42">
        <f>TRUNC(5091,-1)</f>
        <v>5090</v>
      </c>
      <c r="E143" s="63">
        <f t="shared" si="5"/>
        <v>16820</v>
      </c>
    </row>
    <row r="144" spans="1:7" x14ac:dyDescent="0.3">
      <c r="A144" s="2">
        <v>9</v>
      </c>
      <c r="C144" s="38" t="s">
        <v>63</v>
      </c>
      <c r="D144" s="42">
        <f>TRUNC(21724,-1)</f>
        <v>21720</v>
      </c>
      <c r="E144" s="63">
        <f t="shared" si="5"/>
        <v>71800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57040</v>
      </c>
      <c r="E146" s="39">
        <f>SUM(E136:E145)</f>
        <v>188530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TRUNC(3134+1517,-1)</f>
        <v>4650</v>
      </c>
      <c r="E149" s="62">
        <f>TRUNC(+D149*3.3058,-1)</f>
        <v>15370</v>
      </c>
      <c r="F149" s="2" t="s">
        <v>262</v>
      </c>
    </row>
    <row r="150" spans="1:7" x14ac:dyDescent="0.3">
      <c r="A150" s="2">
        <v>2</v>
      </c>
      <c r="C150" s="38" t="s">
        <v>49</v>
      </c>
      <c r="D150" s="42">
        <f>TRUNC(3297,-1)</f>
        <v>3290</v>
      </c>
      <c r="E150" s="63">
        <f>TRUNC(+D150*3.3058,-1)</f>
        <v>10870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TRUNC(32055+448+3912,-1)</f>
        <v>36410</v>
      </c>
      <c r="E152" s="63">
        <f>TRUNC(+D152*3.3058,-1)</f>
        <v>120360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44350</v>
      </c>
      <c r="E154" s="39">
        <f>SUM(E149:E153)</f>
        <v>146600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TRUNC(23712,-1)</f>
        <v>23710</v>
      </c>
      <c r="E157" s="62">
        <f>TRUNC(+D157*3.3058,-1)</f>
        <v>78380</v>
      </c>
    </row>
    <row r="158" spans="1:7" x14ac:dyDescent="0.3">
      <c r="A158" s="2">
        <v>2</v>
      </c>
      <c r="C158" s="38" t="s">
        <v>52</v>
      </c>
      <c r="D158" s="42">
        <f>TRUNC(9967,-1)</f>
        <v>9960</v>
      </c>
      <c r="E158" s="63">
        <f>TRUNC(+D158*3.3058,-1)</f>
        <v>32920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TRUNC(6037+104,-1)</f>
        <v>6140</v>
      </c>
      <c r="E159" s="63">
        <f>TRUNC(+D159*3.3058,-1)</f>
        <v>20290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39810</v>
      </c>
      <c r="E161" s="39">
        <f>SUM(E157:E160)</f>
        <v>131590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2020-12-08T04:41:02Z</dcterms:modified>
</cp:coreProperties>
</file>