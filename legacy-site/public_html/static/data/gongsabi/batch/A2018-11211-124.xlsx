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44" i="4" l="1"/>
  <c r="D143" i="4"/>
  <c r="D139" i="4"/>
  <c r="D142" i="4"/>
  <c r="D140" i="4"/>
  <c r="D131" i="4"/>
  <c r="D128" i="4"/>
  <c r="D127" i="4"/>
  <c r="D132" i="4"/>
  <c r="D124" i="4"/>
  <c r="D125" i="4"/>
  <c r="D122" i="4"/>
  <c r="D130" i="4"/>
  <c r="D105" i="4"/>
  <c r="D103" i="4"/>
  <c r="D102" i="4"/>
  <c r="D101" i="4"/>
  <c r="D100" i="4"/>
  <c r="D118" i="4"/>
  <c r="D99" i="4"/>
  <c r="D114" i="4"/>
  <c r="D116" i="4"/>
  <c r="D98" i="4"/>
  <c r="D92" i="4"/>
  <c r="D91" i="4"/>
  <c r="D89" i="4"/>
  <c r="D73" i="4"/>
  <c r="D72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17" i="4"/>
  <c r="D93" i="4"/>
  <c r="D59" i="4"/>
  <c r="D63" i="4"/>
  <c r="D152" i="4"/>
  <c r="D151" i="4"/>
  <c r="D150" i="4"/>
  <c r="D14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<sst xmlns="http://schemas.openxmlformats.org/spreadsheetml/2006/main" count="393" uniqueCount="268">
  <si>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</si>
  <si>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</si>
  <si>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</si>
  <si>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</si>
  <si>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</si>
  <si>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</si>
  <si>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</si>
  <si>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</si>
  <si>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</si>
  <si>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</si>
  <si>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</si>
  <si>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</si>
  <si>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</si>
  <si>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</si>
  <si>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</si>
  <si>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</si>
  <si>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</si>
  <si>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</si>
  <si>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</si>
  <si>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</si>
  <si>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</si>
  <si>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</si>
  <si>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</si>
  <si>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</si>
  <si>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</si>
  <si>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</si>
  <si>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</si>
  <si>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</si>
  <si>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</si>
  <si>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</si>
  <si>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</si>
  <si>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</si>
  <si>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</si>
  <si>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</si>
  <si>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</si>
  <si>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</si>
  <si>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</si>
  <si>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</si>
  <si>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</si>
  <si>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</si>
  <si>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</si>
  <si>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</si>
  <si>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</si>
  <si>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</si>
  <si>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</si>
  <si>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</si>
  <si>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</si>
  <si>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</si>
  <si>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</si>
  <si>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</si>
  <si>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</si>
  <si>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</si>
  <si>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</si>
  <si>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</si>
  <si>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</si>
  <si>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</si>
  <si>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</si>
  <si>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</si>
  <si>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</si>
  <si>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</si>
  <si>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</si>
  <si>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</si>
  <si>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</si>
  <si>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</si>
  <si>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</si>
  <si>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</si>
  <si>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</si>
  <si>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</si>
  <si>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</si>
  <si>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</si>
  <si>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</si>
  <si>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</si>
  <si>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</si>
  <si>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</si>
  <si>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</si>
  <si>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</si>
  <si>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</si>
  <si>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</si>
  <si>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</si>
  <si>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</si>
  <si>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</si>
  <si>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</si>
  <si>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</si>
  <si>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</si>
  <si>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</si>
  <si>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</si>
  <si>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</si>
  <si>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</si>
  <si>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</si>
  <si>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</si>
  <si>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</si>
  <si>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</si>
  <si>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</si>
  <si>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</si>
  <si>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</si>
  <si>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</si>
  <si>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</si>
  <si>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</si>
  <si>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</si>
  <si>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</si>
  <si>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</si>
  <si>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</si>
  <si>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</si>
  <si>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</si>
  <si>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</si>
  <si>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</si>
  <si>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</si>
  <si>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</si>
  <si>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</si>
  <si>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</si>
  <si>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</si>
  <si>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</si>
  <si>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</si>
  <si>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</si>
  <si>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</si>
  <si>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</si>
  <si>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</si>
  <si>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</si>
  <si>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</si>
  <si>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</si>
  <si>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</si>
  <si>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</si>
  <si>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</si>
  <si>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</si>
  <si>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</si>
  <si>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</si>
  <si>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</si>
  <si>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</si>
  <si>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</si>
  <si>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</si>
  <si>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</si>
  <si>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</si>
  <si>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</si>
  <si>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</si>
  <si>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</si>
  <si>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</si>
  <si>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</si>
  <si>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</si>
  <si>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</si>
  <si>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</si>
  <si>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</si>
  <si>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</si>
  <si>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</si>
  <si>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</si>
  <si>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</si>
  <si>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</si>
  <si>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</si>
  <si>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</si>
  <si>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</si>
  <si>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</si>
  <si>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</si>
  <si>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</si>
  <si>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</si>
  <si>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</si>
  <si>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</si>
  <si>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</si>
  <si>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</si>
  <si>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</si>
  <si>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</si>
  <si>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</si>
  <si>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</si>
  <si>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</si>
  <si>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</si>
  <si>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</si>
  <si>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</si>
  <si>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</si>
  <si>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</si>
  <si>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</si>
  <si>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</si>
  <si>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</si>
  <si>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</si>
  <si>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</si>
  <si>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</si>
  <si>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</si>
  <si>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</si>
  <si>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</si>
  <si>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</si>
  <si>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</si>
  <si>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</si>
  <si>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</si>
  <si>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</si>
  <si>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</si>
  <si>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</si>
  <si>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</si>
  <si>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</si>
  <si>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</si>
  <si>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</si>
  <si>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</si>
  <si>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</si>
  <si>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</si>
  <si>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</si>
  <si>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</si>
  <si>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</si>
  <si>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</si>
  <si>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</si>
  <si>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</si>
  <si>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</si>
  <si>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</si>
  <si>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</si>
  <si>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</si>
  <si>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</si>
  <si>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</si>
  <si>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</si>
  <si>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</si>
  <si>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</si>
  <si>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</si>
  <si>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</si>
  <si>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</si>
  <si>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</si>
  <si>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</si>
  <si>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</si>
  <si>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</si>
  <si>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</si>
  <si>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</si>
  <si>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</si>
  <si>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</si>
  <si>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</si>
  <si>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</si>
  <si>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</si>
  <si>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</si>
  <si>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</si>
  <si>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</si>
  <si>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</si>
  <si>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</si>
  <si>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</si>
  <si>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</si>
  <si>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</si>
  <si>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</si>
  <si>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</si>
  <si>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</si>
  <si>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</si>
  <si>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</si>
  <si>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</si>
  <si>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</si>
  <si>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</si>
  <si>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</si>
  <si>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</si>
  <si>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</si>
  <si>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</si>
  <si>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</si>
  <si>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</si>
  <si>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</si>
  <si>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</si>
  <si>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</si>
  <si>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</si>
  <si>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</si>
  <si>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</si>
  <si>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</si>
  <si>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 천안꿈이룸학교 신축공사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</si>
  <si>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</si>
  <si>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</si>
  <si>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</si>
  <si>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</si>
  <si>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</si>
  <si>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</si>
  <si>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</si>
  <si>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</si>
  <si>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</si>
  <si>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</si>
  <si>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</si>
  <si>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</si>
  <si>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 xml:space="preserve">원격검침 설비공사,기타공사 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</si>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</sst>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4795.53</v>
      </c>
      <c r="D7" s="36">
        <f>+C7/3.3058</f>
        <v>1450.6412971141629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1047210</v>
      </c>
      <c r="E25" s="59">
        <f t="shared" si="0"/>
        <v>3461860</v>
      </c>
    </row>
    <row r="26" spans="1:5" x14ac:dyDescent="0.3">
      <c r="B26" s="2">
        <v>3</v>
      </c>
      <c r="C26" s="35" t="s">
        <v>95</v>
      </c>
      <c r="D26" s="45">
        <f>+D66</f>
        <v>20330</v>
      </c>
      <c r="E26" s="59">
        <f t="shared" si="0"/>
        <v>67200</v>
      </c>
    </row>
    <row r="27" spans="1:5" x14ac:dyDescent="0.3">
      <c r="B27" s="2">
        <v>4</v>
      </c>
      <c r="C27" s="35" t="s">
        <v>96</v>
      </c>
      <c r="D27" s="45">
        <f>+D95</f>
        <v>198130</v>
      </c>
      <c r="E27" s="59">
        <f t="shared" si="0"/>
        <v>654970</v>
      </c>
    </row>
    <row r="28" spans="1:5" x14ac:dyDescent="0.3">
      <c r="B28" s="2">
        <v>5</v>
      </c>
      <c r="C28" s="35" t="s">
        <v>97</v>
      </c>
      <c r="D28" s="45">
        <f>+D119</f>
        <v>236110</v>
      </c>
      <c r="E28" s="59">
        <f t="shared" si="0"/>
        <v>780530</v>
      </c>
    </row>
    <row r="29" spans="1:5" x14ac:dyDescent="0.3">
      <c r="B29" s="2">
        <v>6</v>
      </c>
      <c r="C29" s="35" t="s">
        <v>98</v>
      </c>
      <c r="D29" s="45">
        <f>+D133</f>
        <v>69520</v>
      </c>
      <c r="E29" s="59">
        <f t="shared" si="0"/>
        <v>229810</v>
      </c>
    </row>
    <row r="30" spans="1:5" x14ac:dyDescent="0.3">
      <c r="B30" s="2">
        <v>7</v>
      </c>
      <c r="C30" s="35" t="s">
        <v>99</v>
      </c>
      <c r="D30" s="45">
        <f>+D146</f>
        <v>35540</v>
      </c>
      <c r="E30" s="59">
        <f t="shared" si="0"/>
        <v>117480</v>
      </c>
    </row>
    <row r="31" spans="1:5" x14ac:dyDescent="0.3">
      <c r="B31" s="2">
        <v>8</v>
      </c>
      <c r="C31" s="35" t="s">
        <v>100</v>
      </c>
      <c r="D31" s="45">
        <f>+D154</f>
        <v>116130</v>
      </c>
      <c r="E31" s="59">
        <f t="shared" si="0"/>
        <v>383900</v>
      </c>
    </row>
    <row r="32" spans="1:5" x14ac:dyDescent="0.3">
      <c r="B32" s="2">
        <v>9</v>
      </c>
      <c r="C32" s="35" t="s">
        <v>101</v>
      </c>
      <c r="D32" s="45">
        <f>+D161</f>
        <v>9260</v>
      </c>
      <c r="E32" s="59">
        <f t="shared" si="0"/>
        <v>30610</v>
      </c>
    </row>
    <row r="33" spans="1:7" x14ac:dyDescent="0.3">
      <c r="B33" s="2">
        <v>10</v>
      </c>
      <c r="C33" s="35" t="s">
        <v>154</v>
      </c>
      <c r="D33" s="53">
        <f>TRUNC(SUM(D24:D32)*0.275,-1)</f>
        <v>476360</v>
      </c>
      <c r="E33" s="60">
        <f t="shared" si="0"/>
        <v>1574750</v>
      </c>
    </row>
    <row r="34" spans="1:7" x14ac:dyDescent="0.3">
      <c r="C34" s="35" t="s">
        <v>112</v>
      </c>
      <c r="D34" s="44">
        <f>SUM(D24:D33)</f>
        <v>2208590</v>
      </c>
      <c r="E34" s="44">
        <f>SUM(E24:E33)</f>
        <v>7301110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TRUNC(63643,-1)</f>
        <v>63640</v>
      </c>
      <c r="E40" s="62">
        <f t="shared" ref="E40:E59" si="1">TRUNC(+D40*3.3058,-1)</f>
        <v>210380</v>
      </c>
    </row>
    <row r="41" spans="1:7" x14ac:dyDescent="0.3">
      <c r="A41" s="2">
        <v>2</v>
      </c>
      <c r="C41" s="38" t="s">
        <v>13</v>
      </c>
      <c r="D41" s="42">
        <f>TRUNC(248909,-1)</f>
        <v>248900</v>
      </c>
      <c r="E41" s="63">
        <f t="shared" si="1"/>
        <v>822810</v>
      </c>
    </row>
    <row r="42" spans="1:7" x14ac:dyDescent="0.3">
      <c r="A42" s="2">
        <v>3</v>
      </c>
      <c r="C42" s="38" t="s">
        <v>14</v>
      </c>
      <c r="D42" s="42">
        <f>TRUNC(13503,-1)</f>
        <v>13500</v>
      </c>
      <c r="E42" s="63">
        <f t="shared" si="1"/>
        <v>44620</v>
      </c>
    </row>
    <row r="43" spans="1:7" x14ac:dyDescent="0.3">
      <c r="A43" s="2">
        <v>4</v>
      </c>
      <c r="C43" s="38" t="s">
        <v>16</v>
      </c>
      <c r="D43" s="42">
        <f>TRUNC(72492,-1)</f>
        <v>72490</v>
      </c>
      <c r="E43" s="63">
        <f t="shared" si="1"/>
        <v>239630</v>
      </c>
    </row>
    <row r="44" spans="1:7" x14ac:dyDescent="0.3">
      <c r="A44" s="2">
        <v>5</v>
      </c>
      <c r="C44" s="38" t="s">
        <v>17</v>
      </c>
      <c r="D44" s="42">
        <f>TRUNC(31490,-1)</f>
        <v>31490</v>
      </c>
      <c r="E44" s="63">
        <f t="shared" si="1"/>
        <v>104090</v>
      </c>
    </row>
    <row r="45" spans="1:7" x14ac:dyDescent="0.3">
      <c r="A45" s="2">
        <v>6</v>
      </c>
      <c r="C45" s="38" t="s">
        <v>18</v>
      </c>
      <c r="D45" s="42">
        <f>TRUNC(19308,-1)</f>
        <v>19300</v>
      </c>
      <c r="E45" s="63">
        <f t="shared" si="1"/>
        <v>63800</v>
      </c>
    </row>
    <row r="46" spans="1:7" x14ac:dyDescent="0.3">
      <c r="A46" s="2">
        <v>7</v>
      </c>
      <c r="C46" s="38" t="s">
        <v>19</v>
      </c>
      <c r="D46" s="42">
        <f>TRUNC(21826,-1)</f>
        <v>21820</v>
      </c>
      <c r="E46" s="63">
        <f t="shared" si="1"/>
        <v>72130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TRUNC(66034,-1)</f>
        <v>66030</v>
      </c>
      <c r="E48" s="63">
        <f t="shared" si="1"/>
        <v>218280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TRUNC(28594,-1)</f>
        <v>28590</v>
      </c>
      <c r="E49" s="63">
        <f t="shared" si="1"/>
        <v>94510</v>
      </c>
    </row>
    <row r="50" spans="1:7" x14ac:dyDescent="0.3">
      <c r="A50" s="2">
        <v>11</v>
      </c>
      <c r="C50" s="38" t="s">
        <v>155</v>
      </c>
      <c r="D50" s="42">
        <f>TRUNC(42083,-1)</f>
        <v>42080</v>
      </c>
      <c r="E50" s="63">
        <f t="shared" si="1"/>
        <v>139100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TRUNC(13139,-1)</f>
        <v>13130</v>
      </c>
      <c r="E52" s="63">
        <f t="shared" si="1"/>
        <v>43400</v>
      </c>
    </row>
    <row r="53" spans="1:7" x14ac:dyDescent="0.3">
      <c r="A53" s="2">
        <v>14</v>
      </c>
      <c r="C53" s="38" t="s">
        <v>25</v>
      </c>
      <c r="D53" s="42">
        <f>TRUNC(88582,-1)</f>
        <v>88580</v>
      </c>
      <c r="E53" s="63">
        <f t="shared" si="1"/>
        <v>292820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TRUNC(35211+12990-929+3715+11276,-1)</f>
        <v>62260</v>
      </c>
      <c r="E58" s="63">
        <f t="shared" si="1"/>
        <v>205810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TRUNC(275403,-1)</f>
        <v>275400</v>
      </c>
      <c r="E59" s="64">
        <f t="shared" si="1"/>
        <v>910410</v>
      </c>
    </row>
    <row r="60" spans="1:7" x14ac:dyDescent="0.3">
      <c r="A60" s="2">
        <v>21</v>
      </c>
      <c r="C60" s="27" t="s">
        <v>112</v>
      </c>
      <c r="D60" s="39">
        <f>SUM(D40:D59)</f>
        <v>1047210</v>
      </c>
      <c r="E60" s="39">
        <f>SUM(E40:E59)</f>
        <v>3461790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TRUNC(20335,-1)</f>
        <v>20330</v>
      </c>
      <c r="E63" s="62">
        <f>TRUNC(+D63*3.3058,-1)</f>
        <v>67200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20330</v>
      </c>
      <c r="E66" s="65">
        <f>SUM(E63:E65)</f>
        <v>67200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TRUNC(16414,-1)</f>
        <v>16410</v>
      </c>
      <c r="E69" s="62">
        <f t="shared" ref="E69:E94" si="2">TRUNC(+D69*3.3058,-1)</f>
        <v>54240</v>
      </c>
    </row>
    <row r="70" spans="1:7" ht="16.5" customHeight="1" x14ac:dyDescent="0.3">
      <c r="A70" s="2">
        <v>2</v>
      </c>
      <c r="C70" s="38" t="s">
        <v>31</v>
      </c>
      <c r="D70" s="42">
        <f>TRUNC(1124,-1)</f>
        <v>1120</v>
      </c>
      <c r="E70" s="63">
        <f t="shared" si="2"/>
        <v>3700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TRUNC(8946,-1)</f>
        <v>8940</v>
      </c>
      <c r="E72" s="63">
        <f t="shared" si="2"/>
        <v>29550</v>
      </c>
    </row>
    <row r="73" spans="1:7" x14ac:dyDescent="0.3">
      <c r="A73" s="2">
        <v>5</v>
      </c>
      <c r="C73" s="38" t="s">
        <v>34</v>
      </c>
      <c r="D73" s="42">
        <f>TRUNC(22759,-1)</f>
        <v>22750</v>
      </c>
      <c r="E73" s="63">
        <f t="shared" si="2"/>
        <v>75200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TRUNC(12429,-1)</f>
        <v>12420</v>
      </c>
      <c r="E89" s="63">
        <f t="shared" si="2"/>
        <v>41050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TRUNC(3738,-1)</f>
        <v>3730</v>
      </c>
      <c r="E91" s="63">
        <f t="shared" si="2"/>
        <v>12330</v>
      </c>
    </row>
    <row r="92" spans="1:7" x14ac:dyDescent="0.3">
      <c r="A92" s="2">
        <v>24</v>
      </c>
      <c r="C92" s="38" t="s">
        <v>38</v>
      </c>
      <c r="D92" s="42">
        <f>TRUNC(10165,-1)</f>
        <v>10160</v>
      </c>
      <c r="E92" s="63">
        <f t="shared" si="2"/>
        <v>33580</v>
      </c>
    </row>
    <row r="93" spans="1:7" x14ac:dyDescent="0.3">
      <c r="A93" s="2">
        <v>25</v>
      </c>
      <c r="C93" s="38" t="s">
        <v>148</v>
      </c>
      <c r="D93" s="42">
        <f>TRUNC(114819,-1)</f>
        <v>114810</v>
      </c>
      <c r="E93" s="63">
        <f t="shared" si="2"/>
        <v>379530</v>
      </c>
    </row>
    <row r="94" spans="1:7" ht="17.25" thickBot="1" x14ac:dyDescent="0.35">
      <c r="A94" s="2">
        <v>26</v>
      </c>
      <c r="C94" s="38" t="s">
        <v>47</v>
      </c>
      <c r="D94" s="43">
        <f>TRUNC(1532+871+3975+1414,-1)</f>
        <v>7790</v>
      </c>
      <c r="E94" s="64">
        <f t="shared" si="2"/>
        <v>25750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198130</v>
      </c>
      <c r="E95" s="39">
        <f>SUM(E69:E94)</f>
        <v>654930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TRUNC(13460,-1)</f>
        <v>13460</v>
      </c>
      <c r="E98" s="62">
        <f t="shared" ref="E98:E118" si="3">TRUNC(+D98*3.3058,-1)</f>
        <v>44490</v>
      </c>
    </row>
    <row r="99" spans="1:7" x14ac:dyDescent="0.3">
      <c r="A99" s="2">
        <v>2</v>
      </c>
      <c r="C99" s="38" t="s">
        <v>40</v>
      </c>
      <c r="D99" s="42">
        <f>TRUNC(6000,-1)</f>
        <v>6000</v>
      </c>
      <c r="E99" s="63">
        <f t="shared" si="3"/>
        <v>19830</v>
      </c>
    </row>
    <row r="100" spans="1:7" x14ac:dyDescent="0.3">
      <c r="A100" s="2">
        <v>3</v>
      </c>
      <c r="C100" s="38" t="s">
        <v>41</v>
      </c>
      <c r="D100" s="42">
        <f>TRUNC(2026,-1)</f>
        <v>2020</v>
      </c>
      <c r="E100" s="63">
        <f t="shared" si="3"/>
        <v>6670</v>
      </c>
    </row>
    <row r="101" spans="1:7" x14ac:dyDescent="0.3">
      <c r="A101" s="2">
        <v>4</v>
      </c>
      <c r="C101" s="38" t="s">
        <v>42</v>
      </c>
      <c r="D101" s="42">
        <f>TRUNC(34873,-1)</f>
        <v>34870</v>
      </c>
      <c r="E101" s="63">
        <f t="shared" si="3"/>
        <v>115270</v>
      </c>
    </row>
    <row r="102" spans="1:7" x14ac:dyDescent="0.3">
      <c r="A102" s="2">
        <v>5</v>
      </c>
      <c r="C102" s="38" t="s">
        <v>43</v>
      </c>
      <c r="D102" s="42">
        <f>TRUNC(18373,-1)</f>
        <v>18370</v>
      </c>
      <c r="E102" s="63">
        <f t="shared" si="3"/>
        <v>60720</v>
      </c>
    </row>
    <row r="103" spans="1:7" x14ac:dyDescent="0.3">
      <c r="A103" s="2">
        <v>6</v>
      </c>
      <c r="C103" s="38" t="s">
        <v>44</v>
      </c>
      <c r="D103" s="42">
        <f>TRUNC(9609,-1)</f>
        <v>9600</v>
      </c>
      <c r="E103" s="63">
        <f t="shared" si="3"/>
        <v>31730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TRUNC(6641,-1)</f>
        <v>6640</v>
      </c>
      <c r="E105" s="63">
        <f t="shared" si="3"/>
        <v>21950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TRUNC(6554,-1)</f>
        <v>6550</v>
      </c>
      <c r="E114" s="63">
        <f t="shared" si="3"/>
        <v>21650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TRUNC(4629,-1)</f>
        <v>4620</v>
      </c>
      <c r="E116" s="63">
        <f t="shared" si="3"/>
        <v>15270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TRUNC(120751,-1)</f>
        <v>120750</v>
      </c>
      <c r="E117" s="63">
        <f t="shared" si="3"/>
        <v>399170</v>
      </c>
    </row>
    <row r="118" spans="1:7" ht="17.25" thickBot="1" x14ac:dyDescent="0.35">
      <c r="A118" s="2">
        <v>21</v>
      </c>
      <c r="C118" s="38" t="s">
        <v>47</v>
      </c>
      <c r="D118" s="43">
        <f>TRUNC(3833+9398,-1)</f>
        <v>13230</v>
      </c>
      <c r="E118" s="64">
        <f t="shared" si="3"/>
        <v>43730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236110</v>
      </c>
      <c r="E119" s="39">
        <f>SUM(E98:E118)</f>
        <v>780480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TRUNC(4792,-1)</f>
        <v>4790</v>
      </c>
      <c r="E122" s="62">
        <f t="shared" ref="E122:E132" si="4">TRUNC(+D122*3.3058,-1)</f>
        <v>15830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TRUNC(691,-1)</f>
        <v>690</v>
      </c>
      <c r="E124" s="63">
        <f t="shared" si="4"/>
        <v>2280</v>
      </c>
    </row>
    <row r="125" spans="1:7" x14ac:dyDescent="0.3">
      <c r="A125" s="2">
        <v>4</v>
      </c>
      <c r="C125" s="38" t="s">
        <v>138</v>
      </c>
      <c r="D125" s="42">
        <f>TRUNC(7067,-1)</f>
        <v>7060</v>
      </c>
      <c r="E125" s="63">
        <f t="shared" si="4"/>
        <v>23330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TRUNC(1278,-1)</f>
        <v>1270</v>
      </c>
      <c r="E127" s="63">
        <f t="shared" si="4"/>
        <v>4190</v>
      </c>
    </row>
    <row r="128" spans="1:7" x14ac:dyDescent="0.3">
      <c r="A128" s="2">
        <v>7</v>
      </c>
      <c r="C128" s="38" t="s">
        <v>46</v>
      </c>
      <c r="D128" s="42">
        <f>TRUNC(4347,-1)</f>
        <v>4340</v>
      </c>
      <c r="E128" s="63">
        <f t="shared" si="4"/>
        <v>14340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TRUNC(21247,-1)</f>
        <v>21240</v>
      </c>
      <c r="E130" s="63">
        <f t="shared" si="4"/>
        <v>70210</v>
      </c>
    </row>
    <row r="131" spans="1:7" x14ac:dyDescent="0.3">
      <c r="A131" s="2">
        <v>10</v>
      </c>
      <c r="C131" s="38" t="s">
        <v>148</v>
      </c>
      <c r="D131" s="42">
        <f>TRUNC(25657,-1)</f>
        <v>25650</v>
      </c>
      <c r="E131" s="63">
        <f t="shared" si="4"/>
        <v>84790</v>
      </c>
    </row>
    <row r="132" spans="1:7" ht="18" thickBot="1" x14ac:dyDescent="0.35">
      <c r="A132" s="2">
        <v>11</v>
      </c>
      <c r="C132" s="38" t="s">
        <v>47</v>
      </c>
      <c r="D132" s="43">
        <f>TRUNC(4487,-1)</f>
        <v>4480</v>
      </c>
      <c r="E132" s="64">
        <f t="shared" si="4"/>
        <v>14800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69520</v>
      </c>
      <c r="E133" s="39">
        <f>SUM(E122:E132)</f>
        <v>229770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TRUNC(660,-1)</f>
        <v>660</v>
      </c>
      <c r="E139" s="63">
        <f t="shared" si="5"/>
        <v>2180</v>
      </c>
    </row>
    <row r="140" spans="1:7" x14ac:dyDescent="0.3">
      <c r="A140" s="2">
        <v>5</v>
      </c>
      <c r="C140" s="38" t="s">
        <v>57</v>
      </c>
      <c r="D140" s="42">
        <f>TRUNC(4511,-1)</f>
        <v>4510</v>
      </c>
      <c r="E140" s="63">
        <f t="shared" si="5"/>
        <v>14900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TRUNC(18909,-1)</f>
        <v>18900</v>
      </c>
      <c r="E142" s="63">
        <f t="shared" si="5"/>
        <v>62470</v>
      </c>
    </row>
    <row r="143" spans="1:7" x14ac:dyDescent="0.3">
      <c r="A143" s="2">
        <v>8</v>
      </c>
      <c r="C143" s="38" t="s">
        <v>62</v>
      </c>
      <c r="D143" s="42">
        <f>TRUNC(5932,-1)</f>
        <v>5930</v>
      </c>
      <c r="E143" s="63">
        <f t="shared" si="5"/>
        <v>19600</v>
      </c>
    </row>
    <row r="144" spans="1:7" x14ac:dyDescent="0.3">
      <c r="A144" s="2">
        <v>9</v>
      </c>
      <c r="C144" s="38" t="s">
        <v>63</v>
      </c>
      <c r="D144" s="42">
        <f>TRUNC(5540,-1)</f>
        <v>5540</v>
      </c>
      <c r="E144" s="63">
        <f t="shared" si="5"/>
        <v>18310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35540</v>
      </c>
      <c r="E146" s="39">
        <f>SUM(E136:E145)</f>
        <v>117460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TRUNC(13596,-1)</f>
        <v>13590</v>
      </c>
      <c r="E149" s="62">
        <f>TRUNC(+D149*3.3058,-1)</f>
        <v>44920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TRUNC(9423,-1)</f>
        <v>9420</v>
      </c>
      <c r="E150" s="63">
        <f>TRUNC(+D150*3.3058,-1)</f>
        <v>31140</v>
      </c>
    </row>
    <row r="151" spans="1:7" x14ac:dyDescent="0.3">
      <c r="A151" s="2">
        <v>3</v>
      </c>
      <c r="C151" s="38" t="s">
        <v>50</v>
      </c>
      <c r="D151" s="42">
        <f>TRUNC(30426,-1)</f>
        <v>30420</v>
      </c>
      <c r="E151" s="63">
        <f>TRUNC(+D151*3.3058,-1)</f>
        <v>100560</v>
      </c>
    </row>
    <row r="152" spans="1:7" x14ac:dyDescent="0.3">
      <c r="A152" s="2">
        <v>4</v>
      </c>
      <c r="C152" s="38" t="s">
        <v>47</v>
      </c>
      <c r="D152" s="42">
        <f>TRUNC(12088+572+1050,-1)</f>
        <v>13710</v>
      </c>
      <c r="E152" s="63">
        <f>TRUNC(+D152*3.3058,-1)</f>
        <v>45320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TRUNC(48995,-1)</f>
        <v>48990</v>
      </c>
      <c r="E153" s="64">
        <f>TRUNC(+D153*3.3058,-1)</f>
        <v>161950</v>
      </c>
    </row>
    <row r="154" spans="1:7" x14ac:dyDescent="0.3">
      <c r="A154" s="2">
        <v>6</v>
      </c>
      <c r="C154" s="27" t="s">
        <v>112</v>
      </c>
      <c r="D154" s="39">
        <f>SUM(D149:D153)</f>
        <v>116130</v>
      </c>
      <c r="E154" s="39">
        <f>SUM(E149:E153)</f>
        <v>383890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TRUNC(2108,-1)</f>
        <v>2100</v>
      </c>
      <c r="E157" s="62">
        <f>TRUNC(+D157*3.3058,-1)</f>
        <v>6940</v>
      </c>
    </row>
    <row r="158" spans="1:7" x14ac:dyDescent="0.3">
      <c r="A158" s="2">
        <v>2</v>
      </c>
      <c r="C158" s="38" t="s">
        <v>52</v>
      </c>
      <c r="D158" s="42">
        <f>TRUNC(7163,-1)</f>
        <v>7160</v>
      </c>
      <c r="E158" s="63">
        <f>TRUNC(+D158*3.3058,-1)</f>
        <v>23660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9260</v>
      </c>
      <c r="E161" s="39">
        <f>SUM(E157:E160)</f>
        <v>30600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2020-12-08T02:33:33Z</dcterms:modified>
</cp:coreProperties>
</file>