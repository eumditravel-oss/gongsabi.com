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5" i="4"/>
  <c r="E141" i="4"/>
  <c r="E139" i="4"/>
  <c r="E138" i="4"/>
  <c r="E136" i="4"/>
  <c r="E132" i="4"/>
  <c r="E129" i="4"/>
  <c r="E127" i="4"/>
  <c r="E126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105" i="4"/>
  <c r="E104" i="4"/>
  <c r="E101" i="4"/>
  <c r="E93" i="4"/>
  <c r="E92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D131" i="4"/>
  <c r="E131" i="4" s="1"/>
  <c r="D130" i="4"/>
  <c r="E130" i="4" s="1"/>
  <c r="D128" i="4"/>
  <c r="E128" i="4" s="1"/>
  <c r="D125" i="4"/>
  <c r="E125" i="4" s="1"/>
  <c r="D122" i="4"/>
  <c r="E122" i="4" s="1"/>
  <c r="E133" i="4" s="1"/>
  <c r="D118" i="4"/>
  <c r="E118" i="4" s="1"/>
  <c r="D117" i="4"/>
  <c r="E117" i="4" s="1"/>
  <c r="D114" i="4"/>
  <c r="E114" i="4" s="1"/>
  <c r="D103" i="4"/>
  <c r="E103" i="4" s="1"/>
  <c r="D102" i="4"/>
  <c r="E102" i="4" s="1"/>
  <c r="D100" i="4"/>
  <c r="E100" i="4" s="1"/>
  <c r="D99" i="4"/>
  <c r="E99" i="4" s="1"/>
  <c r="D98" i="4"/>
  <c r="D94" i="4"/>
  <c r="E94" i="4" s="1"/>
  <c r="D91" i="4"/>
  <c r="E91" i="4" s="1"/>
  <c r="D89" i="4"/>
  <c r="E89" i="4" s="1"/>
  <c r="D73" i="4"/>
  <c r="E73" i="4" s="1"/>
  <c r="D72" i="4"/>
  <c r="D70" i="4"/>
  <c r="E70" i="4" s="1"/>
  <c r="D69" i="4"/>
  <c r="E69" i="4" s="1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95" i="4" l="1"/>
  <c r="D27" i="4" s="1"/>
  <c r="E27" i="4" s="1"/>
  <c r="E72" i="4"/>
  <c r="E95" i="4" s="1"/>
  <c r="D154" i="4"/>
  <c r="D31" i="4" s="1"/>
  <c r="E31" i="4" s="1"/>
  <c r="E149" i="4"/>
  <c r="D161" i="4"/>
  <c r="D32" i="4" s="1"/>
  <c r="E32" i="4" s="1"/>
  <c r="E157" i="4"/>
  <c r="E161" i="4" s="1"/>
  <c r="D66" i="4"/>
  <c r="D26" i="4" s="1"/>
  <c r="E26" i="4" s="1"/>
  <c r="E63" i="4"/>
  <c r="E66" i="4" s="1"/>
  <c r="D119" i="4"/>
  <c r="D28" i="4" s="1"/>
  <c r="E28" i="4" s="1"/>
  <c r="E98" i="4"/>
  <c r="E119" i="4" s="1"/>
  <c r="D133" i="4"/>
  <c r="D29" i="4" s="1"/>
  <c r="E29" i="4" s="1"/>
  <c r="E154" i="4"/>
  <c r="D60" i="4"/>
  <c r="D25" i="4" s="1"/>
  <c r="E25" i="4" s="1"/>
  <c r="E40" i="4"/>
  <c r="E60" i="4" s="1"/>
  <c r="D146" i="4"/>
  <c r="D30" i="4" s="1"/>
  <c r="E30" i="4" s="1"/>
  <c r="E137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<sst xmlns="http://schemas.openxmlformats.org/spreadsheetml/2006/main" count="390" uniqueCount="265">
  <si>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</si>
  <si>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</si>
  <si>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</si>
  <si>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</si>
  <si>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</si>
  <si>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</si>
  <si>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</si>
  <si>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</si>
  <si>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</si>
  <si>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</si>
  <si>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</si>
  <si>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</si>
  <si>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</si>
  <si>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</si>
  <si>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</si>
  <si>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</si>
  <si>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</si>
  <si>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</si>
  <si>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</si>
  <si>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</si>
  <si>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</si>
  <si>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</si>
  <si>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</si>
  <si>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</si>
  <si>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</si>
  <si>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</si>
  <si>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</si>
  <si>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</si>
  <si>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</si>
  <si>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</si>
  <si>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</si>
  <si>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</si>
  <si>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</si>
  <si>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</si>
  <si>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</si>
  <si>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</si>
  <si>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</si>
  <si>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</si>
  <si>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</si>
  <si>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</si>
  <si>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</si>
  <si>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</si>
  <si>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</si>
  <si>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</si>
  <si>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</si>
  <si>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</si>
  <si>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</si>
  <si>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</si>
  <si>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</si>
  <si>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</si>
  <si>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</si>
  <si>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</si>
  <si>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</si>
  <si>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</si>
  <si>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</si>
  <si>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</si>
  <si>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</si>
  <si>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</si>
  <si>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</si>
  <si>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</si>
  <si>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</si>
  <si>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</si>
  <si>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</si>
  <si>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</si>
  <si>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</si>
  <si>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</si>
  <si>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</si>
  <si>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</si>
  <si>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</si>
  <si>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</si>
  <si>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</si>
  <si>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</si>
  <si>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</si>
  <si>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</si>
  <si>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</si>
  <si>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</si>
  <si>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</si>
  <si>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</si>
  <si>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</si>
  <si>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</si>
  <si>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</si>
  <si>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</si>
  <si>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</si>
  <si>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</si>
  <si>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</si>
  <si>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</si>
  <si>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</si>
  <si>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</si>
  <si>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</si>
  <si>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</si>
  <si>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</si>
  <si>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</si>
  <si>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</si>
  <si>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</si>
  <si>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</si>
  <si>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</si>
  <si>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</si>
  <si>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</si>
  <si>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</si>
  <si>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</si>
  <si>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</si>
  <si>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</si>
  <si>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</si>
  <si>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</si>
  <si>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</si>
  <si>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</si>
  <si>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</si>
  <si>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</si>
  <si>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</si>
  <si>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</si>
  <si>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</si>
  <si>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</si>
  <si>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</si>
  <si>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</si>
  <si>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</si>
  <si>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</si>
  <si>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</si>
  <si>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</si>
  <si>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</si>
  <si>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</si>
  <si>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</si>
  <si>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</si>
  <si>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</si>
  <si>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</si>
  <si>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</si>
  <si>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</si>
  <si>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</si>
  <si>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</si>
  <si>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</si>
  <si>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</si>
  <si>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</si>
  <si>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</si>
  <si>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</si>
  <si>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</si>
  <si>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</si>
  <si>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</si>
  <si>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</si>
  <si>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</si>
  <si>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</si>
  <si>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</si>
  <si>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</si>
  <si>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</si>
  <si>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</si>
  <si>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</si>
  <si>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</si>
  <si>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</si>
  <si>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</si>
  <si>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</si>
  <si>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</si>
  <si>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</si>
  <si>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</si>
  <si>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</si>
  <si>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</si>
  <si>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</si>
  <si>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</si>
  <si>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</si>
  <si>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</si>
  <si>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</si>
  <si>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</si>
  <si>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</si>
  <si>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</si>
  <si>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</si>
  <si>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</si>
  <si>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</si>
  <si>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</si>
  <si>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</si>
  <si>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</si>
  <si>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</si>
  <si>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</si>
  <si>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</si>
  <si>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</si>
  <si>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</si>
  <si>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</si>
  <si>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</si>
  <si>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</si>
  <si>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</si>
  <si>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</si>
  <si>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</si>
  <si>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</si>
  <si>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</si>
  <si>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</si>
  <si>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</si>
  <si>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</si>
  <si>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</si>
  <si>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</si>
  <si>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</si>
  <si>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</si>
  <si>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</si>
  <si>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</si>
  <si>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</si>
  <si>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</si>
  <si>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</si>
  <si>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</si>
  <si>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</si>
  <si>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</si>
  <si>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</si>
  <si>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</si>
  <si>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</si>
  <si>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</si>
  <si>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</si>
  <si>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</si>
  <si>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</si>
  <si>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</si>
  <si>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</si>
  <si>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</si>
  <si>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</si>
  <si>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</si>
  <si>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</si>
  <si>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</si>
  <si>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</si>
  <si>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</si>
  <si>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</si>
  <si>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</si>
  <si>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</si>
  <si>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</si>
  <si>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</si>
  <si>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</si>
  <si>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</si>
  <si>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</si>
  <si>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</si>
  <si>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</si>
  <si>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</si>
  <si>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</si>
  <si>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</si>
  <si>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</si>
  <si>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</si>
  <si>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</si>
  <si>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</si>
  <si>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</si>
  <si>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</si>
  <si>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</si>
  <si>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</si>
  <si>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</si>
  <si>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</si>
  <si>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</si>
  <si>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</si>
  <si>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</si>
  <si>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</si>
  <si>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</si>
  <si>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</si>
  <si>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</si>
  <si>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</si>
  <si>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</si>
  <si>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</si>
  <si>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</si>
  <si>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</si>
  <si>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국민건강보험공단 무안신안지사 사옥 신축공사</t>
  </si>
  <si>
    <t>업무</t>
  </si>
  <si>
    <t>전라도</t>
  </si>
  <si>
    <t>평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</si>
  <si>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</si>
  <si>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</si>
  <si>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기초공사,해체및철거공사,골재비및운반비,작업부산물,기타공사</t>
    <phoneticPr fontId="2" type="noConversion"/>
  </si>
  <si>
    <t>바닥난방공사</t>
    <phoneticPr fontId="2" type="noConversion"/>
  </si>
  <si>
    <t>옥외보안등설비공사</t>
    <phoneticPr fontId="2" type="noConversion"/>
  </si>
  <si>
    <t>펌프실배관공사</t>
    <phoneticPr fontId="2" type="noConversion"/>
  </si>
  <si>
    <t>토목</t>
    <phoneticPr fontId="2" type="noConversion"/>
  </si>
  <si>
    <t>토목 사급자재비,토목기타공사</t>
    <phoneticPr fontId="2" type="noConversion"/>
  </si>
  <si>
    <t>포장공사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</si>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</sst>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1775.68</v>
      </c>
      <c r="D7" s="36">
        <f>+C7/3.3058</f>
        <v>537.14078286647714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1321178</v>
      </c>
      <c r="E25" s="60">
        <f t="shared" si="0"/>
        <v>4367550</v>
      </c>
    </row>
    <row r="26" spans="1:5" x14ac:dyDescent="0.3">
      <c r="B26" s="2">
        <v>3</v>
      </c>
      <c r="C26" s="35" t="s">
        <v>95</v>
      </c>
      <c r="D26" s="45">
        <f>+D66</f>
        <v>2440</v>
      </c>
      <c r="E26" s="60">
        <f t="shared" si="0"/>
        <v>8060</v>
      </c>
    </row>
    <row r="27" spans="1:5" x14ac:dyDescent="0.3">
      <c r="B27" s="2">
        <v>4</v>
      </c>
      <c r="C27" s="35" t="s">
        <v>96</v>
      </c>
      <c r="D27" s="45">
        <f>+D95</f>
        <v>55400</v>
      </c>
      <c r="E27" s="60">
        <f t="shared" si="0"/>
        <v>183140</v>
      </c>
    </row>
    <row r="28" spans="1:5" x14ac:dyDescent="0.3">
      <c r="B28" s="2">
        <v>5</v>
      </c>
      <c r="C28" s="35" t="s">
        <v>97</v>
      </c>
      <c r="D28" s="45">
        <f>+D119</f>
        <v>187340</v>
      </c>
      <c r="E28" s="60">
        <f t="shared" si="0"/>
        <v>619300</v>
      </c>
    </row>
    <row r="29" spans="1:5" x14ac:dyDescent="0.3">
      <c r="B29" s="2">
        <v>6</v>
      </c>
      <c r="C29" s="35" t="s">
        <v>98</v>
      </c>
      <c r="D29" s="45">
        <f>+D133</f>
        <v>87080</v>
      </c>
      <c r="E29" s="60">
        <f t="shared" si="0"/>
        <v>287860</v>
      </c>
    </row>
    <row r="30" spans="1:5" x14ac:dyDescent="0.3">
      <c r="B30" s="2">
        <v>7</v>
      </c>
      <c r="C30" s="35" t="s">
        <v>99</v>
      </c>
      <c r="D30" s="45">
        <f>+D146</f>
        <v>31110</v>
      </c>
      <c r="E30" s="60">
        <f t="shared" si="0"/>
        <v>102840</v>
      </c>
    </row>
    <row r="31" spans="1:5" x14ac:dyDescent="0.3">
      <c r="B31" s="2">
        <v>8</v>
      </c>
      <c r="C31" s="35" t="s">
        <v>100</v>
      </c>
      <c r="D31" s="45">
        <f>+D154</f>
        <v>78400</v>
      </c>
      <c r="E31" s="60">
        <f t="shared" si="0"/>
        <v>259170</v>
      </c>
    </row>
    <row r="32" spans="1:5" x14ac:dyDescent="0.3">
      <c r="B32" s="2">
        <v>9</v>
      </c>
      <c r="C32" s="35" t="s">
        <v>101</v>
      </c>
      <c r="D32" s="45">
        <f>+D161</f>
        <v>55460</v>
      </c>
      <c r="E32" s="60">
        <f t="shared" si="0"/>
        <v>183330</v>
      </c>
    </row>
    <row r="33" spans="1:7" x14ac:dyDescent="0.3">
      <c r="B33" s="2">
        <v>10</v>
      </c>
      <c r="C33" s="35" t="s">
        <v>154</v>
      </c>
      <c r="D33" s="53">
        <f>TRUNC(SUM(D24:D32)*0.275,-1)</f>
        <v>500060</v>
      </c>
      <c r="E33" s="61">
        <f t="shared" si="0"/>
        <v>1653090</v>
      </c>
    </row>
    <row r="34" spans="1:7" x14ac:dyDescent="0.3">
      <c r="C34" s="35" t="s">
        <v>112</v>
      </c>
      <c r="D34" s="44">
        <f>TRUNC(SUM(D24:D33),-1)</f>
        <v>2318460</v>
      </c>
      <c r="E34" s="44">
        <f>SUM(E24:E33)</f>
        <v>7664340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259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TRUNC(52550,-1)</f>
        <v>52550</v>
      </c>
      <c r="E40" s="63">
        <f t="shared" ref="E40:E59" si="1">TRUNC(+D40*3.3058,-1)</f>
        <v>173710</v>
      </c>
    </row>
    <row r="41" spans="1:7" x14ac:dyDescent="0.3">
      <c r="A41" s="2">
        <v>2</v>
      </c>
      <c r="C41" s="38" t="s">
        <v>13</v>
      </c>
      <c r="D41" s="42">
        <f>TRUNC(182891,-1)</f>
        <v>182890</v>
      </c>
      <c r="E41" s="64">
        <f t="shared" si="1"/>
        <v>604590</v>
      </c>
    </row>
    <row r="42" spans="1:7" x14ac:dyDescent="0.3">
      <c r="A42" s="2">
        <v>3</v>
      </c>
      <c r="C42" s="38" t="s">
        <v>14</v>
      </c>
      <c r="D42" s="42">
        <f>TRUNC(8969,-1)</f>
        <v>8960</v>
      </c>
      <c r="E42" s="64">
        <f t="shared" si="1"/>
        <v>29610</v>
      </c>
    </row>
    <row r="43" spans="1:7" x14ac:dyDescent="0.3">
      <c r="A43" s="2">
        <v>4</v>
      </c>
      <c r="C43" s="38" t="s">
        <v>16</v>
      </c>
      <c r="D43" s="42">
        <f>TRUNC(18663,-1)</f>
        <v>18660</v>
      </c>
      <c r="E43" s="64">
        <f t="shared" si="1"/>
        <v>61680</v>
      </c>
    </row>
    <row r="44" spans="1:7" x14ac:dyDescent="0.3">
      <c r="A44" s="2">
        <v>5</v>
      </c>
      <c r="C44" s="38" t="s">
        <v>17</v>
      </c>
      <c r="D44" s="42">
        <f>TRUNC(39576,-1)</f>
        <v>39570</v>
      </c>
      <c r="E44" s="64">
        <f t="shared" si="1"/>
        <v>130810</v>
      </c>
    </row>
    <row r="45" spans="1:7" x14ac:dyDescent="0.3">
      <c r="A45" s="2">
        <v>6</v>
      </c>
      <c r="C45" s="38" t="s">
        <v>18</v>
      </c>
      <c r="D45" s="42">
        <f>TRUNC(17102,-1)</f>
        <v>17100</v>
      </c>
      <c r="E45" s="64">
        <f t="shared" si="1"/>
        <v>56520</v>
      </c>
    </row>
    <row r="46" spans="1:7" x14ac:dyDescent="0.3">
      <c r="A46" s="2">
        <v>7</v>
      </c>
      <c r="C46" s="38" t="s">
        <v>19</v>
      </c>
      <c r="D46" s="42">
        <f>TRUNC(161203,-1)</f>
        <v>161200</v>
      </c>
      <c r="E46" s="64">
        <f t="shared" si="1"/>
        <v>532890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TRUNC(75768,-1)</f>
        <v>75760</v>
      </c>
      <c r="E48" s="64">
        <f t="shared" si="1"/>
        <v>250440</v>
      </c>
    </row>
    <row r="49" spans="1:7" x14ac:dyDescent="0.3">
      <c r="A49" s="2">
        <v>10</v>
      </c>
      <c r="C49" s="38" t="s">
        <v>22</v>
      </c>
      <c r="D49" s="42">
        <f>TRUNC(21163,-1)</f>
        <v>21160</v>
      </c>
      <c r="E49" s="64">
        <f t="shared" si="1"/>
        <v>69950</v>
      </c>
    </row>
    <row r="50" spans="1:7" x14ac:dyDescent="0.3">
      <c r="A50" s="2">
        <v>11</v>
      </c>
      <c r="C50" s="38" t="s">
        <v>155</v>
      </c>
      <c r="D50" s="42">
        <f>TRUNC(74251,-1)</f>
        <v>74250</v>
      </c>
      <c r="E50" s="64">
        <f t="shared" si="1"/>
        <v>245450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TRUNC(6300,-1)</f>
        <v>6300</v>
      </c>
      <c r="E52" s="64">
        <f t="shared" si="1"/>
        <v>20820</v>
      </c>
    </row>
    <row r="53" spans="1:7" x14ac:dyDescent="0.3">
      <c r="A53" s="2">
        <v>14</v>
      </c>
      <c r="C53" s="38" t="s">
        <v>25</v>
      </c>
      <c r="D53" s="42">
        <f>TRUNC(159699-1)</f>
        <v>159698</v>
      </c>
      <c r="E53" s="64">
        <f t="shared" si="1"/>
        <v>527920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TRUNC(9238+3767+5020-676+20677,-1)</f>
        <v>38020</v>
      </c>
      <c r="E58" s="64">
        <f t="shared" si="1"/>
        <v>125680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TRUNC(465068,-1)</f>
        <v>465060</v>
      </c>
      <c r="E59" s="65">
        <f t="shared" si="1"/>
        <v>1537390</v>
      </c>
    </row>
    <row r="60" spans="1:7" x14ac:dyDescent="0.3">
      <c r="A60" s="2">
        <v>21</v>
      </c>
      <c r="C60" s="27" t="s">
        <v>112</v>
      </c>
      <c r="D60" s="39">
        <f>SUM(D40:D59)</f>
        <v>1321178</v>
      </c>
      <c r="E60" s="39">
        <f>SUM(E40:E59)</f>
        <v>4367460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259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TRUNC(2444,-1)</f>
        <v>2440</v>
      </c>
      <c r="E63" s="63">
        <f>TRUNC(+D63*3.3058,-1)</f>
        <v>8060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2440</v>
      </c>
      <c r="E66" s="57">
        <f>SUM(E63:E65)</f>
        <v>8060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259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TRUNC(10001,-1)</f>
        <v>10000</v>
      </c>
      <c r="E69" s="63">
        <f t="shared" ref="E69:E94" si="2">TRUNC(+D69*3.3058,-1)</f>
        <v>33050</v>
      </c>
    </row>
    <row r="70" spans="1:7" ht="16.5" customHeight="1" x14ac:dyDescent="0.3">
      <c r="A70" s="2">
        <v>2</v>
      </c>
      <c r="C70" s="38" t="s">
        <v>31</v>
      </c>
      <c r="D70" s="42">
        <f>TRUNC(1129,-1)</f>
        <v>1120</v>
      </c>
      <c r="E70" s="64">
        <f t="shared" si="2"/>
        <v>3700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f>TRUNC(7588,-1)</f>
        <v>7580</v>
      </c>
      <c r="E72" s="64">
        <f t="shared" si="2"/>
        <v>25050</v>
      </c>
    </row>
    <row r="73" spans="1:7" x14ac:dyDescent="0.3">
      <c r="A73" s="2">
        <v>5</v>
      </c>
      <c r="C73" s="38" t="s">
        <v>34</v>
      </c>
      <c r="D73" s="42">
        <f>TRUNC(8904,-1)</f>
        <v>8900</v>
      </c>
      <c r="E73" s="64">
        <f t="shared" si="2"/>
        <v>29420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TRUNC(8131,-1)</f>
        <v>8130</v>
      </c>
      <c r="E89" s="64">
        <f t="shared" si="2"/>
        <v>26870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TRUNC(2217,-1)</f>
        <v>2210</v>
      </c>
      <c r="E91" s="64">
        <f t="shared" si="2"/>
        <v>7300</v>
      </c>
    </row>
    <row r="92" spans="1:7" x14ac:dyDescent="0.3">
      <c r="A92" s="2">
        <v>24</v>
      </c>
      <c r="C92" s="38" t="s">
        <v>38</v>
      </c>
      <c r="D92" s="42">
        <v>15650</v>
      </c>
      <c r="E92" s="64">
        <f t="shared" si="2"/>
        <v>51730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TRUNC(1812,-1)</f>
        <v>1810</v>
      </c>
      <c r="E94" s="65">
        <f t="shared" si="2"/>
        <v>5980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55400</v>
      </c>
      <c r="E95" s="39">
        <f>SUM(E69:E94)</f>
        <v>183100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259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TRUNC(11466,-1)</f>
        <v>11460</v>
      </c>
      <c r="E98" s="63">
        <f t="shared" ref="E98:E118" si="3">TRUNC(+D98*3.3058,-1)</f>
        <v>37880</v>
      </c>
    </row>
    <row r="99" spans="1:7" x14ac:dyDescent="0.3">
      <c r="A99" s="2">
        <v>2</v>
      </c>
      <c r="C99" s="38" t="s">
        <v>40</v>
      </c>
      <c r="D99" s="42">
        <f>TRUNC(1009,-1)</f>
        <v>1000</v>
      </c>
      <c r="E99" s="64">
        <f t="shared" si="3"/>
        <v>3300</v>
      </c>
    </row>
    <row r="100" spans="1:7" x14ac:dyDescent="0.3">
      <c r="A100" s="2">
        <v>3</v>
      </c>
      <c r="C100" s="38" t="s">
        <v>41</v>
      </c>
      <c r="D100" s="42">
        <f>TRUNC(37895,-1)</f>
        <v>37890</v>
      </c>
      <c r="E100" s="64">
        <f t="shared" si="3"/>
        <v>125250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TRUNC(19723,-1)</f>
        <v>19720</v>
      </c>
      <c r="E102" s="64">
        <f t="shared" si="3"/>
        <v>65190</v>
      </c>
    </row>
    <row r="103" spans="1:7" x14ac:dyDescent="0.3">
      <c r="A103" s="2">
        <v>6</v>
      </c>
      <c r="C103" s="38" t="s">
        <v>44</v>
      </c>
      <c r="D103" s="42">
        <f>TRUNC(3238,-1)</f>
        <v>3230</v>
      </c>
      <c r="E103" s="64">
        <f t="shared" si="3"/>
        <v>10670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TRUNC(14091,-1)</f>
        <v>14090</v>
      </c>
      <c r="E114" s="64">
        <f t="shared" si="3"/>
        <v>46570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TRUNC(98867,-1)</f>
        <v>98860</v>
      </c>
      <c r="E117" s="64">
        <f t="shared" si="3"/>
        <v>326810</v>
      </c>
    </row>
    <row r="118" spans="1:7" ht="17.25" thickBot="1" x14ac:dyDescent="0.35">
      <c r="A118" s="2">
        <v>21</v>
      </c>
      <c r="C118" s="38" t="s">
        <v>47</v>
      </c>
      <c r="D118" s="43">
        <f>TRUNC(1090,-1)</f>
        <v>1090</v>
      </c>
      <c r="E118" s="65">
        <f t="shared" si="3"/>
        <v>3600</v>
      </c>
    </row>
    <row r="119" spans="1:7" x14ac:dyDescent="0.3">
      <c r="A119" s="2">
        <v>22</v>
      </c>
      <c r="C119" s="27" t="s">
        <v>112</v>
      </c>
      <c r="D119" s="39">
        <f>SUM(D98:D118)</f>
        <v>187340</v>
      </c>
      <c r="E119" s="39">
        <f>SUM(E98:E118)</f>
        <v>619270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259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TRUNC(4303,-1)</f>
        <v>4300</v>
      </c>
      <c r="E122" s="63">
        <f t="shared" ref="E122:E132" si="4">TRUNC(+D122*3.3058,-1)</f>
        <v>14210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TRUNC(9771,-1)</f>
        <v>9770</v>
      </c>
      <c r="E125" s="64">
        <f t="shared" si="4"/>
        <v>32290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TRUNC(2334,-1)</f>
        <v>2330</v>
      </c>
      <c r="E128" s="64">
        <f t="shared" si="4"/>
        <v>7700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TRUNC(38566,-1)</f>
        <v>38560</v>
      </c>
      <c r="E130" s="64">
        <f t="shared" si="4"/>
        <v>127470</v>
      </c>
    </row>
    <row r="131" spans="1:7" x14ac:dyDescent="0.3">
      <c r="A131" s="2">
        <v>10</v>
      </c>
      <c r="C131" s="38" t="s">
        <v>148</v>
      </c>
      <c r="D131" s="42">
        <f>TRUNC(32129,-1)</f>
        <v>32120</v>
      </c>
      <c r="E131" s="64">
        <f t="shared" si="4"/>
        <v>106180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4"/>
        <v>0</v>
      </c>
    </row>
    <row r="133" spans="1:7" x14ac:dyDescent="0.3">
      <c r="A133" s="2">
        <v>12</v>
      </c>
      <c r="C133" s="27" t="s">
        <v>112</v>
      </c>
      <c r="D133" s="39">
        <f>SUM(D122:D132)</f>
        <v>87080</v>
      </c>
      <c r="E133" s="39">
        <f>SUM(E122:E132)</f>
        <v>287850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259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TRUNC(4048,-1)</f>
        <v>4040</v>
      </c>
      <c r="E137" s="64">
        <f t="shared" si="5"/>
        <v>13350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TRUNC(1419,-1)</f>
        <v>1410</v>
      </c>
      <c r="E140" s="64">
        <f t="shared" si="5"/>
        <v>4660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TRUNC(6301,-1)</f>
        <v>6300</v>
      </c>
      <c r="E142" s="64">
        <f t="shared" si="5"/>
        <v>20820</v>
      </c>
    </row>
    <row r="143" spans="1:7" x14ac:dyDescent="0.3">
      <c r="A143" s="2">
        <v>8</v>
      </c>
      <c r="C143" s="38" t="s">
        <v>62</v>
      </c>
      <c r="D143" s="42">
        <f>TRUNC(6119,-1)</f>
        <v>6110</v>
      </c>
      <c r="E143" s="64">
        <f t="shared" si="5"/>
        <v>20190</v>
      </c>
    </row>
    <row r="144" spans="1:7" x14ac:dyDescent="0.3">
      <c r="A144" s="2">
        <v>9</v>
      </c>
      <c r="C144" s="38" t="s">
        <v>63</v>
      </c>
      <c r="D144" s="42">
        <f>TRUNC(13251,-1)</f>
        <v>13250</v>
      </c>
      <c r="E144" s="64">
        <f t="shared" si="5"/>
        <v>43800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31110</v>
      </c>
      <c r="E146" s="39">
        <f>SUM(E136:E145)</f>
        <v>102820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259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TRUNC(4519+1324,-1)</f>
        <v>5840</v>
      </c>
      <c r="E149" s="63">
        <f>TRUNC(+D149*3.3058,-1)</f>
        <v>19300</v>
      </c>
    </row>
    <row r="150" spans="1:7" x14ac:dyDescent="0.3">
      <c r="A150" s="2">
        <v>2</v>
      </c>
      <c r="C150" s="38" t="s">
        <v>49</v>
      </c>
      <c r="D150" s="42">
        <f>TRUNC(4885,-1)</f>
        <v>4880</v>
      </c>
      <c r="E150" s="64">
        <f>TRUNC(+D150*3.3058,-1)</f>
        <v>16130</v>
      </c>
      <c r="F150" s="2" t="s">
        <v>256</v>
      </c>
    </row>
    <row r="151" spans="1:7" x14ac:dyDescent="0.3">
      <c r="A151" s="2">
        <v>3</v>
      </c>
      <c r="C151" s="38" t="s">
        <v>50</v>
      </c>
      <c r="D151" s="42">
        <f>TRUNC(12344,-1)</f>
        <v>12340</v>
      </c>
      <c r="E151" s="64">
        <f>TRUNC(+D151*3.3058,-1)</f>
        <v>40790</v>
      </c>
    </row>
    <row r="152" spans="1:7" x14ac:dyDescent="0.3">
      <c r="A152" s="2">
        <v>4</v>
      </c>
      <c r="C152" s="38" t="s">
        <v>47</v>
      </c>
      <c r="D152" s="42">
        <f>TRUNC(43633+11711,-1)</f>
        <v>55340</v>
      </c>
      <c r="E152" s="64">
        <f>TRUNC(+D152*3.3058,-1)</f>
        <v>182940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  <c r="F153" s="58"/>
    </row>
    <row r="154" spans="1:7" x14ac:dyDescent="0.3">
      <c r="A154" s="2">
        <v>6</v>
      </c>
      <c r="C154" s="27" t="s">
        <v>112</v>
      </c>
      <c r="D154" s="39">
        <f>SUM(D149:D153)</f>
        <v>78400</v>
      </c>
      <c r="E154" s="39">
        <f>SUM(E149:E153)</f>
        <v>259160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259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TRUNC(41629,-1)</f>
        <v>41620</v>
      </c>
      <c r="E157" s="63">
        <f>TRUNC(+D157*3.3058,-1)</f>
        <v>137580</v>
      </c>
    </row>
    <row r="158" spans="1:7" x14ac:dyDescent="0.3">
      <c r="A158" s="2">
        <v>2</v>
      </c>
      <c r="C158" s="38" t="s">
        <v>52</v>
      </c>
      <c r="D158" s="42">
        <f>TRUNC(4324,-1)</f>
        <v>4320</v>
      </c>
      <c r="E158" s="64">
        <f>TRUNC(+D158*3.3058,-1)</f>
        <v>14280</v>
      </c>
    </row>
    <row r="159" spans="1:7" x14ac:dyDescent="0.3">
      <c r="A159" s="2">
        <v>3</v>
      </c>
      <c r="C159" s="38" t="s">
        <v>47</v>
      </c>
      <c r="D159" s="42">
        <f>TRUNC(9523,-1)</f>
        <v>9520</v>
      </c>
      <c r="E159" s="64">
        <f>TRUNC(+D159*3.3058,-1)</f>
        <v>31470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55460</v>
      </c>
      <c r="E161" s="39">
        <f>SUM(E157:E160)</f>
        <v>183330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2020-12-07T10:17:31Z</dcterms:modified>
</cp:coreProperties>
</file>