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1" i="4"/>
  <c r="D150" i="4"/>
  <c r="D149" i="4"/>
  <c r="D145" i="4"/>
  <c r="D144" i="4"/>
  <c r="D143" i="4"/>
  <c r="D142" i="4"/>
  <c r="D141" i="4"/>
  <c r="D140" i="4"/>
  <c r="D139" i="4"/>
  <c r="D137" i="4"/>
  <c r="D132" i="4"/>
  <c r="D131" i="4"/>
  <c r="D130" i="4"/>
  <c r="D128" i="4"/>
  <c r="D127" i="4"/>
  <c r="D125" i="4"/>
  <c r="D122" i="4"/>
  <c r="D118" i="4"/>
  <c r="D116" i="4"/>
  <c r="D114" i="4"/>
  <c r="D105" i="4"/>
  <c r="D104" i="4"/>
  <c r="D102" i="4"/>
  <c r="D100" i="4"/>
  <c r="D98" i="4"/>
  <c r="D94" i="4"/>
  <c r="D92" i="4"/>
  <c r="D91" i="4"/>
  <c r="D89" i="4"/>
  <c r="D76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<sst xmlns="http://schemas.openxmlformats.org/spreadsheetml/2006/main" count="393" uniqueCount="270">
  <si>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</si>
  <si>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</si>
  <si>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</si>
  <si>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</si>
  <si>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</si>
  <si>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</si>
  <si>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</si>
  <si>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</si>
  <si>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</si>
  <si>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</si>
  <si>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</si>
  <si>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</si>
  <si>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</si>
  <si>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</si>
  <si>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</si>
  <si>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</si>
  <si>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</si>
  <si>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</si>
  <si>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</si>
  <si>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</si>
  <si>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</si>
  <si>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</si>
  <si>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</si>
  <si>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</si>
  <si>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</si>
  <si>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</si>
  <si>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</si>
  <si>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</si>
  <si>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</si>
  <si>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</si>
  <si>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</si>
  <si>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</si>
  <si>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</si>
  <si>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</si>
  <si>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</si>
  <si>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</si>
  <si>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</si>
  <si>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</si>
  <si>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</si>
  <si>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</si>
  <si>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</si>
  <si>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</si>
  <si>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</si>
  <si>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</si>
  <si>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</si>
  <si>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</si>
  <si>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</si>
  <si>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</si>
  <si>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</si>
  <si>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</si>
  <si>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</si>
  <si>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</si>
  <si>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</si>
  <si>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</si>
  <si>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</si>
  <si>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</si>
  <si>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</si>
  <si>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</si>
  <si>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</si>
  <si>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</si>
  <si>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</si>
  <si>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</si>
  <si>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</si>
  <si>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</si>
  <si>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</si>
  <si>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</si>
  <si>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</si>
  <si>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</si>
  <si>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</si>
  <si>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</si>
  <si>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</si>
  <si>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</si>
  <si>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</si>
  <si>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</si>
  <si>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</si>
  <si>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</si>
  <si>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</si>
  <si>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</si>
  <si>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</si>
  <si>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</si>
  <si>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</si>
  <si>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</si>
  <si>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</si>
  <si>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</si>
  <si>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</si>
  <si>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</si>
  <si>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</si>
  <si>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</si>
  <si>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</si>
  <si>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</si>
  <si>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</si>
  <si>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</si>
  <si>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</si>
  <si>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</si>
  <si>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</si>
  <si>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</si>
  <si>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</si>
  <si>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</si>
  <si>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</si>
  <si>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</si>
  <si>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</si>
  <si>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</si>
  <si>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</si>
  <si>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</si>
  <si>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</si>
  <si>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</si>
  <si>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</si>
  <si>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</si>
  <si>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</si>
  <si>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</si>
  <si>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</si>
  <si>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</si>
  <si>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</si>
  <si>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</si>
  <si>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</si>
  <si>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</si>
  <si>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</si>
  <si>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</si>
  <si>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</si>
  <si>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</si>
  <si>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</si>
  <si>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</si>
  <si>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</si>
  <si>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</si>
  <si>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</si>
  <si>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</si>
  <si>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</si>
  <si>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</si>
  <si>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</si>
  <si>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</si>
  <si>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</si>
  <si>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</si>
  <si>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</si>
  <si>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</si>
  <si>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</si>
  <si>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</si>
  <si>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</si>
  <si>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</si>
  <si>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</si>
  <si>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</si>
  <si>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</si>
  <si>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</si>
  <si>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</si>
  <si>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</si>
  <si>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</si>
  <si>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</si>
  <si>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</si>
  <si>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</si>
  <si>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</si>
  <si>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</si>
  <si>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</si>
  <si>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</si>
  <si>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</si>
  <si>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</si>
  <si>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</si>
  <si>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</si>
  <si>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</si>
  <si>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</si>
  <si>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</si>
  <si>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</si>
  <si>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</si>
  <si>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</si>
  <si>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</si>
  <si>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</si>
  <si>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</si>
  <si>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</si>
  <si>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</si>
  <si>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</si>
  <si>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</si>
  <si>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</si>
  <si>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</si>
  <si>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</si>
  <si>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</si>
  <si>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</si>
  <si>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</si>
  <si>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</si>
  <si>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</si>
  <si>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</si>
  <si>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</si>
  <si>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</si>
  <si>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</si>
  <si>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</si>
  <si>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</si>
  <si>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</si>
  <si>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</si>
  <si>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</si>
  <si>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</si>
  <si>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</si>
  <si>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</si>
  <si>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</si>
  <si>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</si>
  <si>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</si>
  <si>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</si>
  <si>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</si>
  <si>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</si>
  <si>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</si>
  <si>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</si>
  <si>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</si>
  <si>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</si>
  <si>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</si>
  <si>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</si>
  <si>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</si>
  <si>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</si>
  <si>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</si>
  <si>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</si>
  <si>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</si>
  <si>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</si>
  <si>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</si>
  <si>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</si>
  <si>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</si>
  <si>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</si>
  <si>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</si>
  <si>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</si>
  <si>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</si>
  <si>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</si>
  <si>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</si>
  <si>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</si>
  <si>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</si>
  <si>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</si>
  <si>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</si>
  <si>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</si>
  <si>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</si>
  <si>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</si>
  <si>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</si>
  <si>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</si>
  <si>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</si>
  <si>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</si>
  <si>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</si>
  <si>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</si>
  <si>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</si>
  <si>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</si>
  <si>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</si>
  <si>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</si>
  <si>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</si>
  <si>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</si>
  <si>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</si>
  <si>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</si>
  <si>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</si>
  <si>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</si>
  <si>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</si>
  <si>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</si>
  <si>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</si>
  <si>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</si>
  <si>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</si>
  <si>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</si>
  <si>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</si>
  <si>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</si>
  <si>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</si>
  <si>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</si>
  <si>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</si>
  <si>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</si>
  <si>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골재비및운반비, 작업부산물, 품질시험비,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</si>
  <si>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</si>
  <si>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</si>
  <si>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</si>
  <si>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</si>
  <si>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>포장공사, 기타공사</t>
    <phoneticPr fontId="2" type="noConversion"/>
  </si>
  <si>
    <t>업무</t>
  </si>
  <si>
    <t>경기남부지방경찰청 민원동 증축공사</t>
    <phoneticPr fontId="2" type="noConversion"/>
  </si>
  <si>
    <t>경기도</t>
  </si>
  <si>
    <t xml:space="preserve"> 바닥난방공사, 기타공사</t>
    <phoneticPr fontId="2" type="noConversion"/>
  </si>
  <si>
    <t>CCTV설비공사 , 주차관제설비공사, 기타공사</t>
    <phoneticPr fontId="2" type="noConversion"/>
  </si>
  <si>
    <t xml:space="preserve"> 상수도공사, 사급자재비, 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</si>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</sst>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8400.24</v>
      </c>
      <c r="D7" s="36">
        <f>+C7/3.3058</f>
        <v>2541.0611652247562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867380</v>
      </c>
      <c r="E25" s="59">
        <f t="shared" si="0"/>
        <v>2867380</v>
      </c>
    </row>
    <row r="26" spans="1:5" x14ac:dyDescent="0.3">
      <c r="B26" s="2">
        <v>3</v>
      </c>
      <c r="C26" s="35" t="s">
        <v>95</v>
      </c>
      <c r="D26" s="45">
        <f>+D66</f>
        <v>93670</v>
      </c>
      <c r="E26" s="59">
        <f t="shared" si="0"/>
        <v>309650</v>
      </c>
    </row>
    <row r="27" spans="1:5" x14ac:dyDescent="0.3">
      <c r="B27" s="2">
        <v>4</v>
      </c>
      <c r="C27" s="35" t="s">
        <v>96</v>
      </c>
      <c r="D27" s="45">
        <f>+D95</f>
        <v>81440</v>
      </c>
      <c r="E27" s="59">
        <f t="shared" si="0"/>
        <v>269220</v>
      </c>
    </row>
    <row r="28" spans="1:5" x14ac:dyDescent="0.3">
      <c r="B28" s="2">
        <v>5</v>
      </c>
      <c r="C28" s="35" t="s">
        <v>97</v>
      </c>
      <c r="D28" s="45">
        <f>+D119</f>
        <v>148210</v>
      </c>
      <c r="E28" s="59">
        <f t="shared" si="0"/>
        <v>489950</v>
      </c>
    </row>
    <row r="29" spans="1:5" x14ac:dyDescent="0.3">
      <c r="B29" s="2">
        <v>6</v>
      </c>
      <c r="C29" s="35" t="s">
        <v>98</v>
      </c>
      <c r="D29" s="45">
        <f>+D133</f>
        <v>108180</v>
      </c>
      <c r="E29" s="59">
        <f t="shared" si="0"/>
        <v>357620</v>
      </c>
    </row>
    <row r="30" spans="1:5" x14ac:dyDescent="0.3">
      <c r="B30" s="2">
        <v>7</v>
      </c>
      <c r="C30" s="35" t="s">
        <v>99</v>
      </c>
      <c r="D30" s="45">
        <f>+D146</f>
        <v>48390</v>
      </c>
      <c r="E30" s="59">
        <f t="shared" si="0"/>
        <v>159960</v>
      </c>
    </row>
    <row r="31" spans="1:5" x14ac:dyDescent="0.3">
      <c r="B31" s="2">
        <v>8</v>
      </c>
      <c r="C31" s="35" t="s">
        <v>100</v>
      </c>
      <c r="D31" s="45">
        <f>+D154</f>
        <v>18270</v>
      </c>
      <c r="E31" s="59">
        <f t="shared" si="0"/>
        <v>60390</v>
      </c>
    </row>
    <row r="32" spans="1:5" x14ac:dyDescent="0.3">
      <c r="B32" s="2">
        <v>9</v>
      </c>
      <c r="C32" s="35" t="s">
        <v>101</v>
      </c>
      <c r="D32" s="45">
        <f>+D161</f>
        <v>22230</v>
      </c>
      <c r="E32" s="59">
        <f t="shared" si="0"/>
        <v>73480</v>
      </c>
    </row>
    <row r="33" spans="1:7" x14ac:dyDescent="0.3">
      <c r="B33" s="2">
        <v>10</v>
      </c>
      <c r="C33" s="35" t="s">
        <v>154</v>
      </c>
      <c r="D33" s="53">
        <f>TRUNC(SUM(D24:D32)*0.275,-1)</f>
        <v>381630</v>
      </c>
      <c r="E33" s="60">
        <f t="shared" si="0"/>
        <v>1261590</v>
      </c>
    </row>
    <row r="34" spans="1:7" x14ac:dyDescent="0.3">
      <c r="C34" s="35" t="s">
        <v>112</v>
      </c>
      <c r="D34" s="44">
        <f>SUM(D24:D33)</f>
        <v>1769400</v>
      </c>
      <c r="E34" s="44">
        <f>SUM(E24:E33)</f>
        <v>5849240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263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f>TRUNC(58436,-1)</f>
        <v>58430</v>
      </c>
      <c r="E40" s="62">
        <f t="shared" ref="E40:E59" si="1">TRUNC(+D40*3.3058,-1)</f>
        <v>193150</v>
      </c>
    </row>
    <row r="41" spans="1:7" x14ac:dyDescent="0.3">
      <c r="A41" s="2">
        <v>2</v>
      </c>
      <c r="C41" s="38" t="s">
        <v>13</v>
      </c>
      <c r="D41" s="42">
        <f>TRUNC(109001,-1)</f>
        <v>109000</v>
      </c>
      <c r="E41" s="63">
        <f t="shared" si="1"/>
        <v>360330</v>
      </c>
    </row>
    <row r="42" spans="1:7" x14ac:dyDescent="0.3">
      <c r="A42" s="2">
        <v>3</v>
      </c>
      <c r="C42" s="38" t="s">
        <v>14</v>
      </c>
      <c r="D42" s="42">
        <f>TRUNC(9485,-1)</f>
        <v>9480</v>
      </c>
      <c r="E42" s="63">
        <f t="shared" si="1"/>
        <v>31330</v>
      </c>
    </row>
    <row r="43" spans="1:7" x14ac:dyDescent="0.3">
      <c r="A43" s="2">
        <v>4</v>
      </c>
      <c r="C43" s="38" t="s">
        <v>16</v>
      </c>
      <c r="D43" s="42">
        <v>21490</v>
      </c>
      <c r="E43" s="63">
        <f t="shared" si="1"/>
        <v>71040</v>
      </c>
    </row>
    <row r="44" spans="1:7" x14ac:dyDescent="0.3">
      <c r="A44" s="2">
        <v>5</v>
      </c>
      <c r="C44" s="38" t="s">
        <v>17</v>
      </c>
      <c r="D44" s="42">
        <f>TRUNC(31201,-1)</f>
        <v>31200</v>
      </c>
      <c r="E44" s="63">
        <f t="shared" si="1"/>
        <v>103140</v>
      </c>
    </row>
    <row r="45" spans="1:7" x14ac:dyDescent="0.3">
      <c r="A45" s="2">
        <v>6</v>
      </c>
      <c r="C45" s="38" t="s">
        <v>18</v>
      </c>
      <c r="D45" s="42">
        <f>TRUNC(11427,-1)</f>
        <v>11420</v>
      </c>
      <c r="E45" s="63">
        <f t="shared" si="1"/>
        <v>37750</v>
      </c>
    </row>
    <row r="46" spans="1:7" x14ac:dyDescent="0.3">
      <c r="A46" s="2">
        <v>7</v>
      </c>
      <c r="C46" s="38" t="s">
        <v>19</v>
      </c>
      <c r="D46" s="42">
        <f>TRUNC(36098,-1)</f>
        <v>36090</v>
      </c>
      <c r="E46" s="63">
        <f t="shared" si="1"/>
        <v>119300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TRUNC(45737,-1)</f>
        <v>45730</v>
      </c>
      <c r="E48" s="63">
        <f t="shared" si="1"/>
        <v>151170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TRUNC(6074,-1)</f>
        <v>6070</v>
      </c>
      <c r="E49" s="63">
        <f t="shared" si="1"/>
        <v>20060</v>
      </c>
    </row>
    <row r="50" spans="1:7" x14ac:dyDescent="0.3">
      <c r="A50" s="2">
        <v>11</v>
      </c>
      <c r="C50" s="38" t="s">
        <v>155</v>
      </c>
      <c r="D50" s="42">
        <f>TRUNC(42304,-1)</f>
        <v>42300</v>
      </c>
      <c r="E50" s="63">
        <f t="shared" si="1"/>
        <v>139830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TRUNC(11416,-1)</f>
        <v>11410</v>
      </c>
      <c r="E52" s="63">
        <f t="shared" si="1"/>
        <v>37710</v>
      </c>
    </row>
    <row r="53" spans="1:7" x14ac:dyDescent="0.3">
      <c r="A53" s="2">
        <v>14</v>
      </c>
      <c r="C53" s="38" t="s">
        <v>25</v>
      </c>
      <c r="D53" s="42">
        <f>TRUNC(59714,-1)</f>
        <v>59710</v>
      </c>
      <c r="E53" s="63">
        <f t="shared" si="1"/>
        <v>197380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TRUNC(297+10889+10415-402+1581+40607,-1)</f>
        <v>63380</v>
      </c>
      <c r="E58" s="63">
        <f t="shared" si="1"/>
        <v>209520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TRUNC(361674,-1)</f>
        <v>361670</v>
      </c>
      <c r="E59" s="64">
        <f t="shared" si="1"/>
        <v>1195600</v>
      </c>
    </row>
    <row r="60" spans="1:7" x14ac:dyDescent="0.3">
      <c r="A60" s="2">
        <v>21</v>
      </c>
      <c r="C60" s="27" t="s">
        <v>112</v>
      </c>
      <c r="D60" s="39">
        <f>SUM(D40:D59)</f>
        <v>867380</v>
      </c>
      <c r="E60" s="39">
        <f>SUM(E40:E59)</f>
        <v>2867310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TRUNC(4712,-1)</f>
        <v>4710</v>
      </c>
      <c r="E63" s="62">
        <f>TRUNC(+D63*3.3058,-1)</f>
        <v>15570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88960</v>
      </c>
      <c r="E65" s="64">
        <f>TRUNC(+D65*3.3058,-1)</f>
        <v>294080</v>
      </c>
    </row>
    <row r="66" spans="1:7" x14ac:dyDescent="0.3">
      <c r="A66" s="2">
        <v>4</v>
      </c>
      <c r="C66" s="27" t="s">
        <v>112</v>
      </c>
      <c r="D66" s="39">
        <f>SUM(D63:D65)</f>
        <v>93670</v>
      </c>
      <c r="E66" s="65">
        <f>SUM(E63:E65)</f>
        <v>309650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TRUNC(5451,-1)</f>
        <v>5450</v>
      </c>
      <c r="E69" s="62">
        <f t="shared" ref="E69:E94" si="2">TRUNC(+D69*3.3058,-1)</f>
        <v>18010</v>
      </c>
    </row>
    <row r="70" spans="1:7" ht="16.5" customHeight="1" x14ac:dyDescent="0.3">
      <c r="A70" s="2">
        <v>2</v>
      </c>
      <c r="C70" s="38" t="s">
        <v>31</v>
      </c>
      <c r="D70" s="42">
        <f>TRUNC(1238,-1)</f>
        <v>1230</v>
      </c>
      <c r="E70" s="63">
        <f t="shared" si="2"/>
        <v>4060</v>
      </c>
    </row>
    <row r="71" spans="1:7" x14ac:dyDescent="0.3">
      <c r="A71" s="2">
        <v>3</v>
      </c>
      <c r="C71" s="38" t="s">
        <v>32</v>
      </c>
      <c r="D71" s="42">
        <f>TRUNC(6989,-1)</f>
        <v>6980</v>
      </c>
      <c r="E71" s="63">
        <f t="shared" si="2"/>
        <v>23070</v>
      </c>
    </row>
    <row r="72" spans="1:7" x14ac:dyDescent="0.3">
      <c r="A72" s="2">
        <v>4</v>
      </c>
      <c r="C72" s="38" t="s">
        <v>33</v>
      </c>
      <c r="D72" s="42">
        <f>TRUNC(4247,-1)</f>
        <v>4240</v>
      </c>
      <c r="E72" s="63">
        <f t="shared" si="2"/>
        <v>14010</v>
      </c>
    </row>
    <row r="73" spans="1:7" x14ac:dyDescent="0.3">
      <c r="A73" s="2">
        <v>5</v>
      </c>
      <c r="C73" s="38" t="s">
        <v>34</v>
      </c>
      <c r="D73" s="42">
        <f>TRUNC(14115,-1)</f>
        <v>14110</v>
      </c>
      <c r="E73" s="63">
        <f t="shared" si="2"/>
        <v>46640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TRUNC(17009,-1)</f>
        <v>17000</v>
      </c>
      <c r="E76" s="63">
        <f t="shared" si="2"/>
        <v>56190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TRUNC(13204,-1)</f>
        <v>13200</v>
      </c>
      <c r="E89" s="63">
        <f t="shared" si="2"/>
        <v>43630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TRUNC(11498,-1)</f>
        <v>11490</v>
      </c>
      <c r="E91" s="63">
        <f t="shared" si="2"/>
        <v>37980</v>
      </c>
    </row>
    <row r="92" spans="1:7" x14ac:dyDescent="0.3">
      <c r="A92" s="2">
        <v>24</v>
      </c>
      <c r="C92" s="38" t="s">
        <v>38</v>
      </c>
      <c r="D92" s="42">
        <f>TRUNC(5313,-1)</f>
        <v>5310</v>
      </c>
      <c r="E92" s="63">
        <f t="shared" si="2"/>
        <v>17550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TRUNC(340+2097,-1)</f>
        <v>2430</v>
      </c>
      <c r="E94" s="64">
        <f t="shared" si="2"/>
        <v>8030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81440</v>
      </c>
      <c r="E95" s="39">
        <f>SUM(E69:E94)</f>
        <v>269170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TRUNC(14135,-1)</f>
        <v>14130</v>
      </c>
      <c r="E98" s="62">
        <f t="shared" ref="E98:E118" si="3">TRUNC(+D98*3.3058,-1)</f>
        <v>46710</v>
      </c>
    </row>
    <row r="99" spans="1:7" x14ac:dyDescent="0.3">
      <c r="A99" s="2">
        <v>2</v>
      </c>
      <c r="C99" s="38" t="s">
        <v>40</v>
      </c>
      <c r="D99" s="42">
        <v>10550</v>
      </c>
      <c r="E99" s="63">
        <f t="shared" si="3"/>
        <v>34870</v>
      </c>
    </row>
    <row r="100" spans="1:7" x14ac:dyDescent="0.3">
      <c r="A100" s="2">
        <v>3</v>
      </c>
      <c r="C100" s="38" t="s">
        <v>41</v>
      </c>
      <c r="D100" s="42">
        <f>TRUNC(33123,-1)</f>
        <v>33120</v>
      </c>
      <c r="E100" s="63">
        <f t="shared" si="3"/>
        <v>109480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TRUNC(15374,-1)</f>
        <v>15370</v>
      </c>
      <c r="E102" s="63">
        <f t="shared" si="3"/>
        <v>50810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TRUNC(4452,-1)</f>
        <v>4450</v>
      </c>
      <c r="E104" s="63">
        <f t="shared" si="3"/>
        <v>14710</v>
      </c>
    </row>
    <row r="105" spans="1:7" x14ac:dyDescent="0.3">
      <c r="A105" s="2">
        <v>8</v>
      </c>
      <c r="C105" s="38" t="s">
        <v>46</v>
      </c>
      <c r="D105" s="42">
        <f>TRUNC(4276,-1)</f>
        <v>4270</v>
      </c>
      <c r="E105" s="63">
        <f t="shared" si="3"/>
        <v>14110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TRUNC(3493,-1)</f>
        <v>3490</v>
      </c>
      <c r="E114" s="63">
        <f t="shared" si="3"/>
        <v>11530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TRUNC(5542,-1)</f>
        <v>5540</v>
      </c>
      <c r="E116" s="63">
        <f t="shared" si="3"/>
        <v>18310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49350</v>
      </c>
      <c r="E117" s="63">
        <f t="shared" si="3"/>
        <v>163140</v>
      </c>
    </row>
    <row r="118" spans="1:7" ht="17.25" thickBot="1" x14ac:dyDescent="0.35">
      <c r="A118" s="2">
        <v>21</v>
      </c>
      <c r="C118" s="38" t="s">
        <v>47</v>
      </c>
      <c r="D118" s="43">
        <f>TRUNC(7946,-1)</f>
        <v>7940</v>
      </c>
      <c r="E118" s="64">
        <f t="shared" si="3"/>
        <v>26240</v>
      </c>
    </row>
    <row r="119" spans="1:7" x14ac:dyDescent="0.3">
      <c r="A119" s="2">
        <v>22</v>
      </c>
      <c r="C119" s="27" t="s">
        <v>112</v>
      </c>
      <c r="D119" s="39">
        <f>SUM(D98:D118)</f>
        <v>148210</v>
      </c>
      <c r="E119" s="39">
        <f>SUM(E98:E118)</f>
        <v>489910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TRUNC(7872,-1)</f>
        <v>7870</v>
      </c>
      <c r="E122" s="62">
        <f t="shared" ref="E122:E132" si="4">TRUNC(+D122*3.3058,-1)</f>
        <v>26010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TRUNC(6749,-1)</f>
        <v>6740</v>
      </c>
      <c r="E125" s="63">
        <f t="shared" si="4"/>
        <v>22280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TRUNC(4406,-1)</f>
        <v>4400</v>
      </c>
      <c r="E127" s="63">
        <f t="shared" si="4"/>
        <v>14540</v>
      </c>
    </row>
    <row r="128" spans="1:7" x14ac:dyDescent="0.3">
      <c r="A128" s="2">
        <v>7</v>
      </c>
      <c r="C128" s="38" t="s">
        <v>46</v>
      </c>
      <c r="D128" s="42">
        <f>TRUNC(3759,-1)</f>
        <v>3750</v>
      </c>
      <c r="E128" s="63">
        <f t="shared" si="4"/>
        <v>12390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TRUNC(20379,-1)</f>
        <v>20370</v>
      </c>
      <c r="E130" s="63">
        <f t="shared" si="4"/>
        <v>67330</v>
      </c>
    </row>
    <row r="131" spans="1:7" x14ac:dyDescent="0.3">
      <c r="A131" s="2">
        <v>10</v>
      </c>
      <c r="C131" s="38" t="s">
        <v>148</v>
      </c>
      <c r="D131" s="42">
        <f>TRUNC(54717,-1)</f>
        <v>54710</v>
      </c>
      <c r="E131" s="63">
        <f t="shared" si="4"/>
        <v>180860</v>
      </c>
    </row>
    <row r="132" spans="1:7" ht="18" thickBot="1" x14ac:dyDescent="0.35">
      <c r="A132" s="2">
        <v>11</v>
      </c>
      <c r="C132" s="38" t="s">
        <v>47</v>
      </c>
      <c r="D132" s="43">
        <f>TRUNC(5700+693+3954,-1)</f>
        <v>10340</v>
      </c>
      <c r="E132" s="64">
        <f t="shared" si="4"/>
        <v>34180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108180</v>
      </c>
      <c r="E133" s="39">
        <f>SUM(E122:E132)</f>
        <v>357590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TRUNC(1438+1561+109,-1)</f>
        <v>3100</v>
      </c>
      <c r="E137" s="63">
        <f t="shared" si="5"/>
        <v>10240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TRUNC(2049,-1)</f>
        <v>2040</v>
      </c>
      <c r="E139" s="63">
        <f t="shared" si="5"/>
        <v>6740</v>
      </c>
    </row>
    <row r="140" spans="1:7" x14ac:dyDescent="0.3">
      <c r="A140" s="2">
        <v>5</v>
      </c>
      <c r="C140" s="38" t="s">
        <v>57</v>
      </c>
      <c r="D140" s="42">
        <f>TRUNC(2357,-1)</f>
        <v>2350</v>
      </c>
      <c r="E140" s="63">
        <f t="shared" si="5"/>
        <v>7760</v>
      </c>
    </row>
    <row r="141" spans="1:7" x14ac:dyDescent="0.3">
      <c r="A141" s="2">
        <v>6</v>
      </c>
      <c r="C141" s="38" t="s">
        <v>59</v>
      </c>
      <c r="D141" s="42">
        <f>TRUNC(10642,-1)</f>
        <v>10640</v>
      </c>
      <c r="E141" s="63">
        <f t="shared" si="5"/>
        <v>35170</v>
      </c>
    </row>
    <row r="142" spans="1:7" x14ac:dyDescent="0.3">
      <c r="A142" s="2">
        <v>7</v>
      </c>
      <c r="C142" s="38" t="s">
        <v>58</v>
      </c>
      <c r="D142" s="42">
        <f>TRUNC(5137,-1)</f>
        <v>5130</v>
      </c>
      <c r="E142" s="63">
        <f t="shared" si="5"/>
        <v>16950</v>
      </c>
    </row>
    <row r="143" spans="1:7" x14ac:dyDescent="0.3">
      <c r="A143" s="2">
        <v>8</v>
      </c>
      <c r="C143" s="38" t="s">
        <v>62</v>
      </c>
      <c r="D143" s="42">
        <f>TRUNC(5039,-1)</f>
        <v>5030</v>
      </c>
      <c r="E143" s="63">
        <f t="shared" si="5"/>
        <v>16620</v>
      </c>
    </row>
    <row r="144" spans="1:7" x14ac:dyDescent="0.3">
      <c r="A144" s="2">
        <v>9</v>
      </c>
      <c r="C144" s="38" t="s">
        <v>63</v>
      </c>
      <c r="D144" s="42">
        <f>TRUNC(16561,-1)</f>
        <v>16560</v>
      </c>
      <c r="E144" s="63">
        <f t="shared" si="5"/>
        <v>54740</v>
      </c>
    </row>
    <row r="145" spans="1:7" ht="17.25" thickBot="1" x14ac:dyDescent="0.35">
      <c r="A145" s="2">
        <v>10</v>
      </c>
      <c r="C145" s="38" t="s">
        <v>148</v>
      </c>
      <c r="D145" s="43">
        <f>TRUNC(3544,-1)</f>
        <v>3540</v>
      </c>
      <c r="E145" s="64">
        <f t="shared" si="5"/>
        <v>11700</v>
      </c>
    </row>
    <row r="146" spans="1:7" x14ac:dyDescent="0.3">
      <c r="A146" s="2">
        <v>11</v>
      </c>
      <c r="C146" s="27" t="s">
        <v>112</v>
      </c>
      <c r="D146" s="39">
        <f>SUM(D136:D145)</f>
        <v>48390</v>
      </c>
      <c r="E146" s="39">
        <f>SUM(E136:E145)</f>
        <v>159920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TRUNC(8112+197,-1)</f>
        <v>8300</v>
      </c>
      <c r="E149" s="62">
        <f>TRUNC(+D149*3.3058,-1)</f>
        <v>27430</v>
      </c>
    </row>
    <row r="150" spans="1:7" x14ac:dyDescent="0.3">
      <c r="A150" s="2">
        <v>2</v>
      </c>
      <c r="C150" s="38" t="s">
        <v>49</v>
      </c>
      <c r="D150" s="42">
        <f>TRUNC(3823,-1)</f>
        <v>3820</v>
      </c>
      <c r="E150" s="63">
        <f>TRUNC(+D150*3.3058,-1)</f>
        <v>12620</v>
      </c>
    </row>
    <row r="151" spans="1:7" x14ac:dyDescent="0.3">
      <c r="A151" s="2">
        <v>3</v>
      </c>
      <c r="C151" s="38" t="s">
        <v>50</v>
      </c>
      <c r="D151" s="42">
        <f>TRUNC(1924,-1)</f>
        <v>1920</v>
      </c>
      <c r="E151" s="63">
        <f>TRUNC(+D151*3.3058,-1)</f>
        <v>6340</v>
      </c>
    </row>
    <row r="152" spans="1:7" x14ac:dyDescent="0.3">
      <c r="A152" s="2">
        <v>4</v>
      </c>
      <c r="C152" s="38" t="s">
        <v>47</v>
      </c>
      <c r="D152" s="42">
        <f>TRUNC(323+2635+199+1077,-1)</f>
        <v>4230</v>
      </c>
      <c r="E152" s="63">
        <f>TRUNC(+D152*3.3058,-1)</f>
        <v>13980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18270</v>
      </c>
      <c r="E154" s="39">
        <f>SUM(E149:E153)</f>
        <v>60370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TRUNC(5837,-1)</f>
        <v>5830</v>
      </c>
      <c r="E157" s="62">
        <f>TRUNC(+D157*3.3058,-1)</f>
        <v>19270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TRUNC(15769+640,-1)</f>
        <v>16400</v>
      </c>
      <c r="E159" s="63">
        <f>TRUNC(+D159*3.3058,-1)</f>
        <v>54210</v>
      </c>
      <c r="F159" s="2" t="s">
        <v>256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22230</v>
      </c>
      <c r="E161" s="39">
        <f>SUM(E157:E160)</f>
        <v>73480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2020-12-08T01:44:09Z</dcterms:modified>
</cp:coreProperties>
</file>