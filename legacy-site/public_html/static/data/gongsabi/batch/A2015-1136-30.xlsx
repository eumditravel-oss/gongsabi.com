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3" i="4"/>
  <c r="D142" i="4"/>
  <c r="D141" i="4"/>
  <c r="D140" i="4"/>
  <c r="D137" i="4"/>
  <c r="D131" i="4"/>
  <c r="D130" i="4"/>
  <c r="D128" i="4"/>
  <c r="D127" i="4"/>
  <c r="D126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33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<sst xmlns="http://schemas.openxmlformats.org/spreadsheetml/2006/main" count="391" uniqueCount="267">
  <si>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</si>
  <si>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</si>
  <si>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</si>
  <si>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</si>
  <si>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</si>
  <si>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</si>
  <si>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</si>
  <si>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</si>
  <si>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</si>
  <si>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</si>
  <si>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</si>
  <si>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</si>
  <si>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</si>
  <si>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</si>
  <si>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</si>
  <si>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</si>
  <si>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</si>
  <si>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</si>
  <si>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</si>
  <si>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</si>
  <si>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</si>
  <si>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</si>
  <si>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</si>
  <si>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</si>
  <si>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</si>
  <si>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</si>
  <si>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</si>
  <si>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</si>
  <si>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</si>
  <si>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</si>
  <si>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</si>
  <si>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</si>
  <si>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</si>
  <si>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</si>
  <si>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</si>
  <si>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</si>
  <si>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</si>
  <si>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</si>
  <si>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</si>
  <si>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</si>
  <si>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</si>
  <si>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</si>
  <si>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</si>
  <si>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</si>
  <si>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</si>
  <si>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</si>
  <si>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</si>
  <si>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</si>
  <si>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</si>
  <si>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</si>
  <si>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</si>
  <si>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</si>
  <si>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</si>
  <si>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</si>
  <si>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</si>
  <si>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</si>
  <si>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</si>
  <si>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</si>
  <si>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</si>
  <si>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</si>
  <si>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</si>
  <si>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</si>
  <si>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</si>
  <si>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</si>
  <si>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</si>
  <si>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</si>
  <si>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</si>
  <si>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</si>
  <si>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</si>
  <si>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</si>
  <si>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</si>
  <si>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</si>
  <si>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</si>
  <si>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</si>
  <si>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</si>
  <si>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</si>
  <si>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</si>
  <si>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</si>
  <si>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</si>
  <si>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</si>
  <si>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</si>
  <si>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</si>
  <si>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</si>
  <si>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</si>
  <si>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</si>
  <si>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</si>
  <si>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</si>
  <si>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</si>
  <si>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</si>
  <si>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</si>
  <si>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</si>
  <si>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</si>
  <si>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</si>
  <si>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</si>
  <si>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</si>
  <si>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</si>
  <si>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</si>
  <si>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</si>
  <si>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</si>
  <si>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</si>
  <si>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</si>
  <si>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</si>
  <si>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</si>
  <si>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</si>
  <si>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</si>
  <si>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</si>
  <si>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</si>
  <si>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</si>
  <si>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</si>
  <si>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</si>
  <si>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</si>
  <si>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</si>
  <si>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</si>
  <si>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</si>
  <si>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</si>
  <si>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</si>
  <si>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</si>
  <si>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</si>
  <si>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</si>
  <si>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</si>
  <si>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</si>
  <si>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</si>
  <si>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</si>
  <si>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</si>
  <si>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</si>
  <si>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</si>
  <si>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</si>
  <si>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</si>
  <si>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</si>
  <si>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</si>
  <si>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</si>
  <si>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</si>
  <si>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</si>
  <si>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</si>
  <si>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</si>
  <si>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</si>
  <si>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</si>
  <si>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</si>
  <si>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</si>
  <si>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</si>
  <si>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</si>
  <si>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</si>
  <si>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</si>
  <si>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</si>
  <si>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</si>
  <si>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</si>
  <si>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</si>
  <si>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</si>
  <si>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</si>
  <si>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</si>
  <si>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</si>
  <si>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</si>
  <si>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</si>
  <si>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</si>
  <si>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</si>
  <si>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</si>
  <si>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</si>
  <si>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</si>
  <si>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</si>
  <si>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</si>
  <si>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</si>
  <si>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</si>
  <si>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</si>
  <si>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</si>
  <si>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</si>
  <si>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</si>
  <si>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</si>
  <si>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</si>
  <si>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</si>
  <si>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</si>
  <si>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</si>
  <si>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</si>
  <si>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</si>
  <si>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</si>
  <si>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</si>
  <si>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</si>
  <si>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</si>
  <si>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</si>
  <si>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</si>
  <si>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</si>
  <si>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</si>
  <si>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</si>
  <si>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</si>
  <si>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</si>
  <si>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</si>
  <si>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</si>
  <si>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</si>
  <si>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</si>
  <si>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</si>
  <si>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</si>
  <si>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</si>
  <si>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</si>
  <si>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</si>
  <si>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</si>
  <si>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</si>
  <si>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</si>
  <si>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</si>
  <si>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</si>
  <si>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</si>
  <si>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</si>
  <si>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</si>
  <si>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</si>
  <si>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</si>
  <si>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</si>
  <si>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</si>
  <si>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</si>
  <si>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</si>
  <si>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</si>
  <si>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</si>
  <si>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</si>
  <si>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</si>
  <si>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</si>
  <si>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</si>
  <si>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</si>
  <si>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</si>
  <si>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</si>
  <si>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</si>
  <si>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</si>
  <si>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</si>
  <si>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</si>
  <si>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</si>
  <si>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</si>
  <si>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</si>
  <si>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</si>
  <si>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</si>
  <si>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</si>
  <si>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</si>
  <si>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</si>
  <si>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</si>
  <si>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</si>
  <si>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</si>
  <si>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</si>
  <si>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</si>
  <si>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</si>
  <si>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</si>
  <si>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</si>
  <si>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</si>
  <si>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</si>
  <si>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</si>
  <si>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</si>
  <si>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</si>
  <si>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</si>
  <si>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</si>
  <si>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</si>
  <si>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</si>
  <si>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</si>
  <si>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</si>
  <si>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</si>
  <si>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</si>
  <si>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</si>
  <si>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</si>
  <si>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</si>
  <si>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</si>
  <si>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</si>
  <si>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</si>
  <si>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</si>
  <si>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</si>
  <si>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</si>
  <si>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경북대학교 인문한국진흥관 신축공사</t>
    <phoneticPr fontId="2" type="noConversion"/>
  </si>
  <si>
    <t>대구시</t>
  </si>
  <si>
    <t>기초공사, 해체및철거공사, 골재비및운반비, 작업부산물, 품질시험비, 기타공사</t>
    <phoneticPr fontId="2" type="noConversion"/>
  </si>
  <si>
    <t xml:space="preserve">펌프실배관공사, 기타공사 </t>
    <phoneticPr fontId="2" type="noConversion"/>
  </si>
  <si>
    <t>사급자재비, 운반비,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</si>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</sst>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8234.15</v>
      </c>
      <c r="D7" s="36">
        <f>+C7/3.3058</f>
        <v>2490.8191663137513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877810</v>
      </c>
      <c r="E25" s="59">
        <f t="shared" si="0"/>
        <v>2901860</v>
      </c>
    </row>
    <row r="26" spans="1:5" x14ac:dyDescent="0.3">
      <c r="B26" s="2">
        <v>3</v>
      </c>
      <c r="C26" s="35" t="s">
        <v>95</v>
      </c>
      <c r="D26" s="45">
        <f>+D66</f>
        <v>26700</v>
      </c>
      <c r="E26" s="59">
        <f t="shared" si="0"/>
        <v>88260</v>
      </c>
    </row>
    <row r="27" spans="1:5" x14ac:dyDescent="0.3">
      <c r="B27" s="2">
        <v>4</v>
      </c>
      <c r="C27" s="35" t="s">
        <v>96</v>
      </c>
      <c r="D27" s="45">
        <f>+D95</f>
        <v>160800</v>
      </c>
      <c r="E27" s="59">
        <f t="shared" si="0"/>
        <v>531570</v>
      </c>
    </row>
    <row r="28" spans="1:5" x14ac:dyDescent="0.3">
      <c r="B28" s="2">
        <v>5</v>
      </c>
      <c r="C28" s="35" t="s">
        <v>97</v>
      </c>
      <c r="D28" s="45">
        <f>+D119</f>
        <v>247030</v>
      </c>
      <c r="E28" s="59">
        <f t="shared" si="0"/>
        <v>816630</v>
      </c>
    </row>
    <row r="29" spans="1:5" x14ac:dyDescent="0.3">
      <c r="B29" s="2">
        <v>6</v>
      </c>
      <c r="C29" s="35" t="s">
        <v>98</v>
      </c>
      <c r="D29" s="45">
        <f>+D133</f>
        <v>141030</v>
      </c>
      <c r="E29" s="59">
        <f t="shared" si="0"/>
        <v>466210</v>
      </c>
    </row>
    <row r="30" spans="1:5" x14ac:dyDescent="0.3">
      <c r="B30" s="2">
        <v>7</v>
      </c>
      <c r="C30" s="35" t="s">
        <v>99</v>
      </c>
      <c r="D30" s="45">
        <f>+D146</f>
        <v>38510</v>
      </c>
      <c r="E30" s="59">
        <f t="shared" si="0"/>
        <v>127300</v>
      </c>
    </row>
    <row r="31" spans="1:5" x14ac:dyDescent="0.3">
      <c r="B31" s="2">
        <v>8</v>
      </c>
      <c r="C31" s="35" t="s">
        <v>100</v>
      </c>
      <c r="D31" s="45">
        <f>+D154</f>
        <v>36780</v>
      </c>
      <c r="E31" s="59">
        <f t="shared" si="0"/>
        <v>121580</v>
      </c>
    </row>
    <row r="32" spans="1:5" x14ac:dyDescent="0.3">
      <c r="B32" s="2">
        <v>9</v>
      </c>
      <c r="C32" s="35" t="s">
        <v>101</v>
      </c>
      <c r="D32" s="45">
        <f>+D161</f>
        <v>28030</v>
      </c>
      <c r="E32" s="59">
        <f t="shared" si="0"/>
        <v>92660</v>
      </c>
    </row>
    <row r="33" spans="1:7" x14ac:dyDescent="0.3">
      <c r="B33" s="2">
        <v>10</v>
      </c>
      <c r="C33" s="35" t="s">
        <v>154</v>
      </c>
      <c r="D33" s="53">
        <f>TRUNC(SUM(D24:D32)*0.275,-1)</f>
        <v>428080</v>
      </c>
      <c r="E33" s="60">
        <f t="shared" si="0"/>
        <v>1415140</v>
      </c>
    </row>
    <row r="34" spans="1:7" x14ac:dyDescent="0.3">
      <c r="C34" s="35" t="s">
        <v>112</v>
      </c>
      <c r="D34" s="44">
        <f>SUM(D24:D33)</f>
        <v>1984770</v>
      </c>
      <c r="E34" s="44">
        <f>SUM(E24:E33)</f>
        <v>6561210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TRUNC(54872,-1)</f>
        <v>54870</v>
      </c>
      <c r="E40" s="62">
        <f t="shared" ref="E40:E59" si="1">TRUNC(+D40*3.3058,-1)</f>
        <v>181380</v>
      </c>
    </row>
    <row r="41" spans="1:7" x14ac:dyDescent="0.3">
      <c r="A41" s="2">
        <v>2</v>
      </c>
      <c r="C41" s="38" t="s">
        <v>13</v>
      </c>
      <c r="D41" s="42">
        <f>TRUNC(162024,-1)</f>
        <v>162020</v>
      </c>
      <c r="E41" s="63">
        <f t="shared" si="1"/>
        <v>535600</v>
      </c>
    </row>
    <row r="42" spans="1:7" x14ac:dyDescent="0.3">
      <c r="A42" s="2">
        <v>3</v>
      </c>
      <c r="C42" s="38" t="s">
        <v>14</v>
      </c>
      <c r="D42" s="42">
        <f>TRUNC(23603,-1)</f>
        <v>23600</v>
      </c>
      <c r="E42" s="63">
        <f t="shared" si="1"/>
        <v>78010</v>
      </c>
    </row>
    <row r="43" spans="1:7" x14ac:dyDescent="0.3">
      <c r="A43" s="2">
        <v>4</v>
      </c>
      <c r="C43" s="38" t="s">
        <v>16</v>
      </c>
      <c r="D43" s="42">
        <f>TRUNC(12874,-1)</f>
        <v>12870</v>
      </c>
      <c r="E43" s="63">
        <f t="shared" si="1"/>
        <v>42540</v>
      </c>
    </row>
    <row r="44" spans="1:7" x14ac:dyDescent="0.3">
      <c r="A44" s="2">
        <v>5</v>
      </c>
      <c r="C44" s="38" t="s">
        <v>17</v>
      </c>
      <c r="D44" s="42">
        <f>TRUNC(40365,-1)</f>
        <v>40360</v>
      </c>
      <c r="E44" s="63">
        <f t="shared" si="1"/>
        <v>133420</v>
      </c>
    </row>
    <row r="45" spans="1:7" x14ac:dyDescent="0.3">
      <c r="A45" s="2">
        <v>6</v>
      </c>
      <c r="C45" s="38" t="s">
        <v>18</v>
      </c>
      <c r="D45" s="42">
        <f>TRUNC(2105,-1)</f>
        <v>2100</v>
      </c>
      <c r="E45" s="63">
        <f t="shared" si="1"/>
        <v>6940</v>
      </c>
    </row>
    <row r="46" spans="1:7" x14ac:dyDescent="0.3">
      <c r="A46" s="2">
        <v>7</v>
      </c>
      <c r="C46" s="38" t="s">
        <v>19</v>
      </c>
      <c r="D46" s="42">
        <f>TRUNC(33245,-1)</f>
        <v>33240</v>
      </c>
      <c r="E46" s="63">
        <f t="shared" si="1"/>
        <v>109880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TRUNC(81778,-1)</f>
        <v>81770</v>
      </c>
      <c r="E48" s="63">
        <f t="shared" si="1"/>
        <v>270310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TRUNC(10778,-1)</f>
        <v>10770</v>
      </c>
      <c r="E49" s="63">
        <f t="shared" si="1"/>
        <v>35600</v>
      </c>
    </row>
    <row r="50" spans="1:7" x14ac:dyDescent="0.3">
      <c r="A50" s="2">
        <v>11</v>
      </c>
      <c r="C50" s="38" t="s">
        <v>155</v>
      </c>
      <c r="D50" s="42">
        <f>TRUNC(71196,-1)</f>
        <v>71190</v>
      </c>
      <c r="E50" s="63">
        <f t="shared" si="1"/>
        <v>235330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TRUNC(17254,-1)</f>
        <v>17250</v>
      </c>
      <c r="E52" s="63">
        <f t="shared" si="1"/>
        <v>57020</v>
      </c>
    </row>
    <row r="53" spans="1:7" x14ac:dyDescent="0.3">
      <c r="A53" s="2">
        <v>14</v>
      </c>
      <c r="C53" s="38" t="s">
        <v>25</v>
      </c>
      <c r="D53" s="42">
        <f>TRUNC(81367,-1)</f>
        <v>81360</v>
      </c>
      <c r="E53" s="63">
        <f t="shared" si="1"/>
        <v>268950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TRUNC(23993+15612+5743-560+158+4921,-1)</f>
        <v>49860</v>
      </c>
      <c r="E58" s="63">
        <f t="shared" si="1"/>
        <v>164820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TRUNC(236556,-1)</f>
        <v>236550</v>
      </c>
      <c r="E59" s="64">
        <f t="shared" si="1"/>
        <v>781980</v>
      </c>
    </row>
    <row r="60" spans="1:7" x14ac:dyDescent="0.3">
      <c r="A60" s="2">
        <v>21</v>
      </c>
      <c r="C60" s="27" t="s">
        <v>112</v>
      </c>
      <c r="D60" s="39">
        <f>SUM(D40:D59)</f>
        <v>877810</v>
      </c>
      <c r="E60" s="39">
        <f>SUM(E40:E59)</f>
        <v>2901780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TRUNC(26708,-1)</f>
        <v>26700</v>
      </c>
      <c r="E63" s="62">
        <f>TRUNC(+D63*3.3058,-1)</f>
        <v>88260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26700</v>
      </c>
      <c r="E66" s="65">
        <f>SUM(E63:E65)</f>
        <v>88260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TRUNC(4183,-1)</f>
        <v>4180</v>
      </c>
      <c r="E69" s="62">
        <f t="shared" ref="E69:E94" si="2">TRUNC(+D69*3.3058,-1)</f>
        <v>13810</v>
      </c>
    </row>
    <row r="70" spans="1:7" ht="16.5" customHeight="1" x14ac:dyDescent="0.3">
      <c r="A70" s="2">
        <v>2</v>
      </c>
      <c r="C70" s="38" t="s">
        <v>31</v>
      </c>
      <c r="D70" s="42">
        <f>TRUNC(878,-1)</f>
        <v>870</v>
      </c>
      <c r="E70" s="63">
        <f t="shared" si="2"/>
        <v>2870</v>
      </c>
    </row>
    <row r="71" spans="1:7" x14ac:dyDescent="0.3">
      <c r="A71" s="2">
        <v>3</v>
      </c>
      <c r="C71" s="38" t="s">
        <v>32</v>
      </c>
      <c r="D71" s="42">
        <f>TRUNC(2453,-1)</f>
        <v>2450</v>
      </c>
      <c r="E71" s="63">
        <f t="shared" si="2"/>
        <v>8090</v>
      </c>
    </row>
    <row r="72" spans="1:7" x14ac:dyDescent="0.3">
      <c r="A72" s="2">
        <v>4</v>
      </c>
      <c r="C72" s="38" t="s">
        <v>33</v>
      </c>
      <c r="D72" s="42">
        <f>TRUNC(9429,-1)</f>
        <v>9420</v>
      </c>
      <c r="E72" s="63">
        <f t="shared" si="2"/>
        <v>31140</v>
      </c>
    </row>
    <row r="73" spans="1:7" x14ac:dyDescent="0.3">
      <c r="A73" s="2">
        <v>5</v>
      </c>
      <c r="C73" s="38" t="s">
        <v>34</v>
      </c>
      <c r="D73" s="42">
        <f>TRUNC(7353,-1)</f>
        <v>7350</v>
      </c>
      <c r="E73" s="63">
        <f t="shared" si="2"/>
        <v>24290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200</v>
      </c>
      <c r="E75" s="63">
        <f t="shared" si="2"/>
        <v>660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TRUNC(5134,-1)</f>
        <v>5130</v>
      </c>
      <c r="E89" s="63">
        <f t="shared" si="2"/>
        <v>16950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TRUNC(5425,-1)</f>
        <v>5420</v>
      </c>
      <c r="E91" s="63">
        <f t="shared" si="2"/>
        <v>17910</v>
      </c>
    </row>
    <row r="92" spans="1:7" x14ac:dyDescent="0.3">
      <c r="A92" s="2">
        <v>24</v>
      </c>
      <c r="C92" s="38" t="s">
        <v>38</v>
      </c>
      <c r="D92" s="42">
        <f>TRUNC(7959,-1)</f>
        <v>7950</v>
      </c>
      <c r="E92" s="63">
        <f t="shared" si="2"/>
        <v>26280</v>
      </c>
    </row>
    <row r="93" spans="1:7" x14ac:dyDescent="0.3">
      <c r="A93" s="2">
        <v>25</v>
      </c>
      <c r="C93" s="38" t="s">
        <v>148</v>
      </c>
      <c r="D93" s="42">
        <f>TRUNC(112652,-1)</f>
        <v>112650</v>
      </c>
      <c r="E93" s="63">
        <f t="shared" si="2"/>
        <v>372390</v>
      </c>
    </row>
    <row r="94" spans="1:7" ht="17.25" thickBot="1" x14ac:dyDescent="0.35">
      <c r="A94" s="2">
        <v>26</v>
      </c>
      <c r="C94" s="38" t="s">
        <v>47</v>
      </c>
      <c r="D94" s="43">
        <f>TRUNC(5182,-1)</f>
        <v>5180</v>
      </c>
      <c r="E94" s="64">
        <f t="shared" si="2"/>
        <v>17120</v>
      </c>
    </row>
    <row r="95" spans="1:7" x14ac:dyDescent="0.3">
      <c r="A95" s="2">
        <v>27</v>
      </c>
      <c r="C95" s="27" t="s">
        <v>112</v>
      </c>
      <c r="D95" s="39">
        <f>SUM(D69:D94)</f>
        <v>160800</v>
      </c>
      <c r="E95" s="39">
        <f>SUM(E69:E94)</f>
        <v>531510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TRUNC(9224,-1)</f>
        <v>9220</v>
      </c>
      <c r="E98" s="62">
        <f t="shared" ref="E98:E118" si="3">TRUNC(+D98*3.3058,-1)</f>
        <v>30470</v>
      </c>
    </row>
    <row r="99" spans="1:7" x14ac:dyDescent="0.3">
      <c r="A99" s="2">
        <v>2</v>
      </c>
      <c r="C99" s="38" t="s">
        <v>40</v>
      </c>
      <c r="D99" s="42">
        <f>TRUNC(12321,-1)</f>
        <v>12320</v>
      </c>
      <c r="E99" s="63">
        <f t="shared" si="3"/>
        <v>40720</v>
      </c>
    </row>
    <row r="100" spans="1:7" x14ac:dyDescent="0.3">
      <c r="A100" s="2">
        <v>3</v>
      </c>
      <c r="C100" s="38" t="s">
        <v>41</v>
      </c>
      <c r="D100" s="42">
        <f>TRUNC(37102,-1)</f>
        <v>37100</v>
      </c>
      <c r="E100" s="63">
        <f t="shared" si="3"/>
        <v>122640</v>
      </c>
    </row>
    <row r="101" spans="1:7" x14ac:dyDescent="0.3">
      <c r="A101" s="2">
        <v>4</v>
      </c>
      <c r="C101" s="38" t="s">
        <v>42</v>
      </c>
      <c r="D101" s="42">
        <f>TRUNC(4017,-1)</f>
        <v>4010</v>
      </c>
      <c r="E101" s="63">
        <f t="shared" si="3"/>
        <v>13250</v>
      </c>
    </row>
    <row r="102" spans="1:7" x14ac:dyDescent="0.3">
      <c r="A102" s="2">
        <v>5</v>
      </c>
      <c r="C102" s="38" t="s">
        <v>43</v>
      </c>
      <c r="D102" s="42">
        <f>TRUNC(11824,-1)</f>
        <v>11820</v>
      </c>
      <c r="E102" s="63">
        <f t="shared" si="3"/>
        <v>39070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TRUNC(4797,-1)</f>
        <v>4790</v>
      </c>
      <c r="E104" s="63">
        <f t="shared" si="3"/>
        <v>15830</v>
      </c>
    </row>
    <row r="105" spans="1:7" x14ac:dyDescent="0.3">
      <c r="A105" s="2">
        <v>8</v>
      </c>
      <c r="C105" s="38" t="s">
        <v>46</v>
      </c>
      <c r="D105" s="42">
        <f>TRUNC(11934,-1)</f>
        <v>11930</v>
      </c>
      <c r="E105" s="63">
        <f t="shared" si="3"/>
        <v>39430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TRUNC(1832,-1)</f>
        <v>1830</v>
      </c>
      <c r="E114" s="63">
        <f t="shared" si="3"/>
        <v>6040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TRUNC(8139,-1)</f>
        <v>8130</v>
      </c>
      <c r="E116" s="63">
        <f t="shared" si="3"/>
        <v>26870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TRUNC(141932,-1)</f>
        <v>141930</v>
      </c>
      <c r="E117" s="63">
        <f t="shared" si="3"/>
        <v>469190</v>
      </c>
    </row>
    <row r="118" spans="1:7" ht="17.25" thickBot="1" x14ac:dyDescent="0.35">
      <c r="A118" s="2">
        <v>21</v>
      </c>
      <c r="C118" s="38" t="s">
        <v>47</v>
      </c>
      <c r="D118" s="43">
        <f>TRUNC(3954,-1)</f>
        <v>3950</v>
      </c>
      <c r="E118" s="64">
        <f t="shared" si="3"/>
        <v>13050</v>
      </c>
    </row>
    <row r="119" spans="1:7" x14ac:dyDescent="0.3">
      <c r="A119" s="2">
        <v>22</v>
      </c>
      <c r="C119" s="27" t="s">
        <v>112</v>
      </c>
      <c r="D119" s="39">
        <f>SUM(D98:D118)</f>
        <v>247030</v>
      </c>
      <c r="E119" s="39">
        <f>SUM(E98:E118)</f>
        <v>816560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TRUNC(3268,-1)</f>
        <v>3260</v>
      </c>
      <c r="E122" s="62">
        <f t="shared" ref="E122:E132" si="4">TRUNC(+D122*3.3058,-1)</f>
        <v>10770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TRUNC(8107,-1)</f>
        <v>8100</v>
      </c>
      <c r="E124" s="63">
        <f t="shared" si="4"/>
        <v>26770</v>
      </c>
    </row>
    <row r="125" spans="1:7" x14ac:dyDescent="0.3">
      <c r="A125" s="2">
        <v>4</v>
      </c>
      <c r="C125" s="38" t="s">
        <v>138</v>
      </c>
      <c r="D125" s="42">
        <f>TRUNC(5677,-1)</f>
        <v>5670</v>
      </c>
      <c r="E125" s="63">
        <f t="shared" si="4"/>
        <v>18740</v>
      </c>
    </row>
    <row r="126" spans="1:7" x14ac:dyDescent="0.3">
      <c r="A126" s="2">
        <v>5</v>
      </c>
      <c r="C126" s="38" t="s">
        <v>53</v>
      </c>
      <c r="D126" s="42">
        <f>TRUNC(6185,-1)</f>
        <v>6180</v>
      </c>
      <c r="E126" s="63">
        <f t="shared" si="4"/>
        <v>20420</v>
      </c>
    </row>
    <row r="127" spans="1:7" x14ac:dyDescent="0.3">
      <c r="A127" s="2">
        <v>6</v>
      </c>
      <c r="C127" s="38" t="s">
        <v>56</v>
      </c>
      <c r="D127" s="42">
        <f>TRUNC(15129,-1)</f>
        <v>15120</v>
      </c>
      <c r="E127" s="63">
        <f t="shared" si="4"/>
        <v>49980</v>
      </c>
    </row>
    <row r="128" spans="1:7" x14ac:dyDescent="0.3">
      <c r="A128" s="2">
        <v>7</v>
      </c>
      <c r="C128" s="38" t="s">
        <v>46</v>
      </c>
      <c r="D128" s="42">
        <f>TRUNC(6242,-1)</f>
        <v>6240</v>
      </c>
      <c r="E128" s="63">
        <f t="shared" si="4"/>
        <v>20620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TRUNC(26403,-1)</f>
        <v>26400</v>
      </c>
      <c r="E130" s="63">
        <f t="shared" si="4"/>
        <v>87270</v>
      </c>
    </row>
    <row r="131" spans="1:7" x14ac:dyDescent="0.3">
      <c r="A131" s="2">
        <v>10</v>
      </c>
      <c r="C131" s="38" t="s">
        <v>148</v>
      </c>
      <c r="D131" s="42">
        <f>TRUNC(69027,-1)</f>
        <v>69020</v>
      </c>
      <c r="E131" s="63">
        <f t="shared" si="4"/>
        <v>228160</v>
      </c>
    </row>
    <row r="132" spans="1:7" ht="18" thickBot="1" x14ac:dyDescent="0.35">
      <c r="A132" s="2">
        <v>11</v>
      </c>
      <c r="C132" s="38" t="s">
        <v>47</v>
      </c>
      <c r="D132" s="43">
        <v>1040</v>
      </c>
      <c r="E132" s="64">
        <f t="shared" si="4"/>
        <v>3430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141030</v>
      </c>
      <c r="E133" s="39">
        <f>SUM(E122:E132)</f>
        <v>466160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TRUNC(2240+42,-1)</f>
        <v>2280</v>
      </c>
      <c r="E137" s="63">
        <f t="shared" si="5"/>
        <v>7530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TRUNC(1404,-1)</f>
        <v>1400</v>
      </c>
      <c r="E140" s="63">
        <f t="shared" si="5"/>
        <v>4620</v>
      </c>
    </row>
    <row r="141" spans="1:7" x14ac:dyDescent="0.3">
      <c r="A141" s="2">
        <v>6</v>
      </c>
      <c r="C141" s="38" t="s">
        <v>59</v>
      </c>
      <c r="D141" s="42">
        <f>TRUNC(8546,-1)</f>
        <v>8540</v>
      </c>
      <c r="E141" s="63">
        <f t="shared" si="5"/>
        <v>28230</v>
      </c>
    </row>
    <row r="142" spans="1:7" x14ac:dyDescent="0.3">
      <c r="A142" s="2">
        <v>7</v>
      </c>
      <c r="C142" s="38" t="s">
        <v>58</v>
      </c>
      <c r="D142" s="42">
        <f>TRUNC(4001,-1)</f>
        <v>4000</v>
      </c>
      <c r="E142" s="63">
        <f t="shared" si="5"/>
        <v>13220</v>
      </c>
    </row>
    <row r="143" spans="1:7" x14ac:dyDescent="0.3">
      <c r="A143" s="2">
        <v>8</v>
      </c>
      <c r="C143" s="38" t="s">
        <v>62</v>
      </c>
      <c r="D143" s="42">
        <f>TRUNC(5667,-1)</f>
        <v>5660</v>
      </c>
      <c r="E143" s="63">
        <f t="shared" si="5"/>
        <v>18710</v>
      </c>
    </row>
    <row r="144" spans="1:7" x14ac:dyDescent="0.3">
      <c r="A144" s="2">
        <v>9</v>
      </c>
      <c r="C144" s="38" t="s">
        <v>63</v>
      </c>
      <c r="D144" s="42">
        <f>TRUNC(16635,-1)</f>
        <v>16630</v>
      </c>
      <c r="E144" s="63">
        <f t="shared" si="5"/>
        <v>54970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38510</v>
      </c>
      <c r="E146" s="39">
        <f>SUM(E136:E145)</f>
        <v>127280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TRUNC(1690+2109,-1)</f>
        <v>3790</v>
      </c>
      <c r="E149" s="62">
        <f>TRUNC(+D149*3.3058,-1)</f>
        <v>12520</v>
      </c>
    </row>
    <row r="150" spans="1:7" x14ac:dyDescent="0.3">
      <c r="A150" s="2">
        <v>2</v>
      </c>
      <c r="C150" s="38" t="s">
        <v>49</v>
      </c>
      <c r="D150" s="42">
        <f>TRUNC(5934,-1)</f>
        <v>5930</v>
      </c>
      <c r="E150" s="63">
        <f>TRUNC(+D150*3.3058,-1)</f>
        <v>19600</v>
      </c>
    </row>
    <row r="151" spans="1:7" x14ac:dyDescent="0.3">
      <c r="A151" s="2">
        <v>3</v>
      </c>
      <c r="C151" s="38" t="s">
        <v>50</v>
      </c>
      <c r="D151" s="42">
        <f>TRUNC(3675,-1)</f>
        <v>3670</v>
      </c>
      <c r="E151" s="63">
        <f>TRUNC(+D151*3.3058,-1)</f>
        <v>12130</v>
      </c>
    </row>
    <row r="152" spans="1:7" x14ac:dyDescent="0.3">
      <c r="A152" s="2">
        <v>4</v>
      </c>
      <c r="C152" s="38" t="s">
        <v>47</v>
      </c>
      <c r="D152" s="42">
        <f>TRUNC(3623+78+5628,-1)</f>
        <v>9320</v>
      </c>
      <c r="E152" s="63">
        <f>TRUNC(+D152*3.3058,-1)</f>
        <v>30810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TRUNC(14072,-1)</f>
        <v>14070</v>
      </c>
      <c r="E153" s="64">
        <f>TRUNC(+D153*3.3058,-1)</f>
        <v>46510</v>
      </c>
    </row>
    <row r="154" spans="1:7" x14ac:dyDescent="0.3">
      <c r="A154" s="2">
        <v>6</v>
      </c>
      <c r="C154" s="27" t="s">
        <v>112</v>
      </c>
      <c r="D154" s="39">
        <f>SUM(D149:D153)</f>
        <v>36780</v>
      </c>
      <c r="E154" s="39">
        <f>SUM(E149:E153)</f>
        <v>121570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TRUNC(20954,-1)</f>
        <v>20950</v>
      </c>
      <c r="E157" s="62">
        <f>TRUNC(+D157*3.3058,-1)</f>
        <v>69250</v>
      </c>
    </row>
    <row r="158" spans="1:7" x14ac:dyDescent="0.3">
      <c r="A158" s="2">
        <v>2</v>
      </c>
      <c r="C158" s="38" t="s">
        <v>52</v>
      </c>
      <c r="D158" s="42">
        <f>TRUNC(2303,-1)</f>
        <v>2300</v>
      </c>
      <c r="E158" s="63">
        <f>TRUNC(+D158*3.3058,-1)</f>
        <v>7600</v>
      </c>
    </row>
    <row r="159" spans="1:7" x14ac:dyDescent="0.3">
      <c r="A159" s="2">
        <v>3</v>
      </c>
      <c r="C159" s="38" t="s">
        <v>47</v>
      </c>
      <c r="D159" s="42">
        <f>TRUNC(1361+3426,-1)</f>
        <v>4780</v>
      </c>
      <c r="E159" s="63">
        <f>TRUNC(+D159*3.3058,-1)</f>
        <v>15800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28030</v>
      </c>
      <c r="E161" s="39">
        <f>SUM(E157:E160)</f>
        <v>92650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2020-12-07T09:56:40Z</dcterms:modified>
</cp:coreProperties>
</file>