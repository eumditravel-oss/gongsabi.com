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3" i="4" l="1"/>
  <c r="D152" i="4"/>
  <c r="D150" i="4"/>
  <c r="D149" i="4"/>
  <c r="D143" i="4"/>
  <c r="D142" i="4"/>
  <c r="D141" i="4"/>
  <c r="D140" i="4"/>
  <c r="D132" i="4"/>
  <c r="D131" i="4"/>
  <c r="D130" i="4"/>
  <c r="D126" i="4"/>
  <c r="D118" i="4"/>
  <c r="D117" i="4"/>
  <c r="D102" i="4"/>
  <c r="D99" i="4"/>
  <c r="D98" i="4"/>
  <c r="D91" i="4"/>
  <c r="D63" i="4"/>
  <c r="D59" i="4"/>
  <c r="D58" i="4"/>
  <c r="D53" i="4"/>
  <c r="D52" i="4"/>
  <c r="D50" i="4"/>
  <c r="D49" i="4"/>
  <c r="D48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95" i="4" l="1"/>
  <c r="E154" i="4"/>
  <c r="E146" i="4"/>
  <c r="E133" i="4"/>
  <c r="E119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<sst xmlns="http://schemas.openxmlformats.org/spreadsheetml/2006/main" count="388" uniqueCount="262">
  <si>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</si>
  <si>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</si>
  <si>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</si>
  <si>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</si>
  <si>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</si>
  <si>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</si>
  <si>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</si>
  <si>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</si>
  <si>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</si>
  <si>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</si>
  <si>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</si>
  <si>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</si>
  <si>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</si>
  <si>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</si>
  <si>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</si>
  <si>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</si>
  <si>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</si>
  <si>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</si>
  <si>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</si>
  <si>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</si>
  <si>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</si>
  <si>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</si>
  <si>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</si>
  <si>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</si>
  <si>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</si>
  <si>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</si>
  <si>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</si>
  <si>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</si>
  <si>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</si>
  <si>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</si>
  <si>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</si>
  <si>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</si>
  <si>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</si>
  <si>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</si>
  <si>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</si>
  <si>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</si>
  <si>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</si>
  <si>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</si>
  <si>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</si>
  <si>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</si>
  <si>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</si>
  <si>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</si>
  <si>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</si>
  <si>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</si>
  <si>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</si>
  <si>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</si>
  <si>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</si>
  <si>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</si>
  <si>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</si>
  <si>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</si>
  <si>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</si>
  <si>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</si>
  <si>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</si>
  <si>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</si>
  <si>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</si>
  <si>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</si>
  <si>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</si>
  <si>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</si>
  <si>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</si>
  <si>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</si>
  <si>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</si>
  <si>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</si>
  <si>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</si>
  <si>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</si>
  <si>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</si>
  <si>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</si>
  <si>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</si>
  <si>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</si>
  <si>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</si>
  <si>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</si>
  <si>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</si>
  <si>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</si>
  <si>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</si>
  <si>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</si>
  <si>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</si>
  <si>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</si>
  <si>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</si>
  <si>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</si>
  <si>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</si>
  <si>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</si>
  <si>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</si>
  <si>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</si>
  <si>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</si>
  <si>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</si>
  <si>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</si>
  <si>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</si>
  <si>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</si>
  <si>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</si>
  <si>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</si>
  <si>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</si>
  <si>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</si>
  <si>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</si>
  <si>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</si>
  <si>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</si>
  <si>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</si>
  <si>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</si>
  <si>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</si>
  <si>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</si>
  <si>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</si>
  <si>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</si>
  <si>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</si>
  <si>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</si>
  <si>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</si>
  <si>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</si>
  <si>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</si>
  <si>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</si>
  <si>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</si>
  <si>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</si>
  <si>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</si>
  <si>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</si>
  <si>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</si>
  <si>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</si>
  <si>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</si>
  <si>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</si>
  <si>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</si>
  <si>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</si>
  <si>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</si>
  <si>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</si>
  <si>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</si>
  <si>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</si>
  <si>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</si>
  <si>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</si>
  <si>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</si>
  <si>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</si>
  <si>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</si>
  <si>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</si>
  <si>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</si>
  <si>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</si>
  <si>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</si>
  <si>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</si>
  <si>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</si>
  <si>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</si>
  <si>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</si>
  <si>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</si>
  <si>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</si>
  <si>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</si>
  <si>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</si>
  <si>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</si>
  <si>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</si>
  <si>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</si>
  <si>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</si>
  <si>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</si>
  <si>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</si>
  <si>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</si>
  <si>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</si>
  <si>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</si>
  <si>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</si>
  <si>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</si>
  <si>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</si>
  <si>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</si>
  <si>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</si>
  <si>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</si>
  <si>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</si>
  <si>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</si>
  <si>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</si>
  <si>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</si>
  <si>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</si>
  <si>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</si>
  <si>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</si>
  <si>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</si>
  <si>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</si>
  <si>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</si>
  <si>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</si>
  <si>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</si>
  <si>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</si>
  <si>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</si>
  <si>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</si>
  <si>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</si>
  <si>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</si>
  <si>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</si>
  <si>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</si>
  <si>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</si>
  <si>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</si>
  <si>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</si>
  <si>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</si>
  <si>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</si>
  <si>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</si>
  <si>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</si>
  <si>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</si>
  <si>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</si>
  <si>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</si>
  <si>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</si>
  <si>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</si>
  <si>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</si>
  <si>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</si>
  <si>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</si>
  <si>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</si>
  <si>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</si>
  <si>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</si>
  <si>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</si>
  <si>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</si>
  <si>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</si>
  <si>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</si>
  <si>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</si>
  <si>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</si>
  <si>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</si>
  <si>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</si>
  <si>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</si>
  <si>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</si>
  <si>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</si>
  <si>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</si>
  <si>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</si>
  <si>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</si>
  <si>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</si>
  <si>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</si>
  <si>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</si>
  <si>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</si>
  <si>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</si>
  <si>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</si>
  <si>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</si>
  <si>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</si>
  <si>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</si>
  <si>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</si>
  <si>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</si>
  <si>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</si>
  <si>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</si>
  <si>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</si>
  <si>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</si>
  <si>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</si>
  <si>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</si>
  <si>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</si>
  <si>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</si>
  <si>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</si>
  <si>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</si>
  <si>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</si>
  <si>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</si>
  <si>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</si>
  <si>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</si>
  <si>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</si>
  <si>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</si>
  <si>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</si>
  <si>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</si>
  <si>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</si>
  <si>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</si>
  <si>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</si>
  <si>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</si>
  <si>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</si>
  <si>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</si>
  <si>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</si>
  <si>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</si>
  <si>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</si>
  <si>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</si>
  <si>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</si>
  <si>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</si>
  <si>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</si>
  <si>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</si>
  <si>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</si>
  <si>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</si>
  <si>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</si>
  <si>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</si>
  <si>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</si>
  <si>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</si>
  <si>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전기인입 및 수변전 설비공사</t>
    <phoneticPr fontId="2" type="noConversion"/>
  </si>
  <si>
    <t>CCTV설비공사, 기타공사</t>
    <phoneticPr fontId="2" type="noConversion"/>
  </si>
  <si>
    <t>창고</t>
  </si>
  <si>
    <t>부산지방조달청 비축창고 신축공사(긴급)</t>
    <phoneticPr fontId="2" type="noConversion"/>
  </si>
  <si>
    <t>부산시</t>
  </si>
  <si>
    <t>기초공사, 골재비및운반비, 작업부산물, 품질시험비, 기타공사</t>
    <phoneticPr fontId="2" type="noConversion"/>
  </si>
  <si>
    <t>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</si>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</sst>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259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254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6701.4</v>
      </c>
      <c r="D7" s="36">
        <f>+C7/3.3058</f>
        <v>2027.1643777602999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260</v>
      </c>
    </row>
    <row r="19" spans="1:5" x14ac:dyDescent="0.3">
      <c r="A19" s="2">
        <v>9</v>
      </c>
      <c r="B19" s="2" t="s">
        <v>261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741510</v>
      </c>
      <c r="E25" s="59">
        <f t="shared" si="0"/>
        <v>2451280</v>
      </c>
    </row>
    <row r="26" spans="1:5" x14ac:dyDescent="0.3">
      <c r="B26" s="2">
        <v>3</v>
      </c>
      <c r="C26" s="35" t="s">
        <v>95</v>
      </c>
      <c r="D26" s="45">
        <f>+D66</f>
        <v>6630</v>
      </c>
      <c r="E26" s="59">
        <f t="shared" si="0"/>
        <v>21910</v>
      </c>
    </row>
    <row r="27" spans="1:5" x14ac:dyDescent="0.3">
      <c r="B27" s="2">
        <v>4</v>
      </c>
      <c r="C27" s="35" t="s">
        <v>96</v>
      </c>
      <c r="D27" s="45">
        <f>+D95</f>
        <v>10440</v>
      </c>
      <c r="E27" s="59">
        <f t="shared" si="0"/>
        <v>34510</v>
      </c>
    </row>
    <row r="28" spans="1:5" x14ac:dyDescent="0.3">
      <c r="B28" s="2">
        <v>5</v>
      </c>
      <c r="C28" s="35" t="s">
        <v>97</v>
      </c>
      <c r="D28" s="45">
        <f>+D119</f>
        <v>53840</v>
      </c>
      <c r="E28" s="59">
        <f t="shared" si="0"/>
        <v>177980</v>
      </c>
    </row>
    <row r="29" spans="1:5" x14ac:dyDescent="0.3">
      <c r="B29" s="2">
        <v>6</v>
      </c>
      <c r="C29" s="35" t="s">
        <v>98</v>
      </c>
      <c r="D29" s="45">
        <f>+D133</f>
        <v>35080</v>
      </c>
      <c r="E29" s="59">
        <f t="shared" si="0"/>
        <v>115960</v>
      </c>
    </row>
    <row r="30" spans="1:5" x14ac:dyDescent="0.3">
      <c r="B30" s="2">
        <v>7</v>
      </c>
      <c r="C30" s="35" t="s">
        <v>99</v>
      </c>
      <c r="D30" s="45">
        <f>+D146</f>
        <v>54940</v>
      </c>
      <c r="E30" s="59">
        <f t="shared" si="0"/>
        <v>181620</v>
      </c>
    </row>
    <row r="31" spans="1:5" x14ac:dyDescent="0.3">
      <c r="B31" s="2">
        <v>8</v>
      </c>
      <c r="C31" s="35" t="s">
        <v>100</v>
      </c>
      <c r="D31" s="45">
        <f>+D154</f>
        <v>66270</v>
      </c>
      <c r="E31" s="59">
        <f t="shared" si="0"/>
        <v>219070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155</v>
      </c>
      <c r="D33" s="53">
        <f>TRUNC(SUM(D24:D32)*0.275,-1)</f>
        <v>266390</v>
      </c>
      <c r="E33" s="60">
        <f t="shared" si="0"/>
        <v>880630</v>
      </c>
    </row>
    <row r="34" spans="1:7" x14ac:dyDescent="0.3">
      <c r="C34" s="35" t="s">
        <v>112</v>
      </c>
      <c r="D34" s="44">
        <f>SUM(D24:D33)</f>
        <v>1235100</v>
      </c>
      <c r="E34" s="44">
        <f>SUM(E24:E33)</f>
        <v>4082960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TRUNC(23565,-1)</f>
        <v>23560</v>
      </c>
      <c r="E40" s="62">
        <f t="shared" ref="E40:E59" si="1">TRUNC(+D40*3.3058,-1)</f>
        <v>77880</v>
      </c>
    </row>
    <row r="41" spans="1:7" x14ac:dyDescent="0.3">
      <c r="A41" s="2">
        <v>2</v>
      </c>
      <c r="C41" s="38" t="s">
        <v>13</v>
      </c>
      <c r="D41" s="42">
        <f>TRUNC(39128,-1)</f>
        <v>39120</v>
      </c>
      <c r="E41" s="63">
        <f t="shared" si="1"/>
        <v>129320</v>
      </c>
    </row>
    <row r="42" spans="1:7" x14ac:dyDescent="0.3">
      <c r="A42" s="2">
        <v>3</v>
      </c>
      <c r="C42" s="38" t="s">
        <v>14</v>
      </c>
      <c r="D42" s="42">
        <f>TRUNC(239392,-1)</f>
        <v>239390</v>
      </c>
      <c r="E42" s="63">
        <f t="shared" si="1"/>
        <v>791370</v>
      </c>
    </row>
    <row r="43" spans="1:7" x14ac:dyDescent="0.3">
      <c r="A43" s="2">
        <v>4</v>
      </c>
      <c r="C43" s="38" t="s">
        <v>16</v>
      </c>
      <c r="D43" s="42">
        <f>TRUNC(1356,-1)</f>
        <v>1350</v>
      </c>
      <c r="E43" s="63">
        <f t="shared" si="1"/>
        <v>4460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TRUNC(158211,-1)</f>
        <v>158210</v>
      </c>
      <c r="E48" s="63">
        <f t="shared" si="1"/>
        <v>523010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TRUNC(639,-1)</f>
        <v>630</v>
      </c>
      <c r="E49" s="63">
        <f t="shared" si="1"/>
        <v>2080</v>
      </c>
    </row>
    <row r="50" spans="1:7" x14ac:dyDescent="0.3">
      <c r="A50" s="2">
        <v>11</v>
      </c>
      <c r="C50" s="38" t="s">
        <v>156</v>
      </c>
      <c r="D50" s="42">
        <f>TRUNC(28257,-1)</f>
        <v>28250</v>
      </c>
      <c r="E50" s="63">
        <f t="shared" si="1"/>
        <v>93380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TRUNC(28778,-1)</f>
        <v>28770</v>
      </c>
      <c r="E52" s="63">
        <f t="shared" si="1"/>
        <v>95100</v>
      </c>
    </row>
    <row r="53" spans="1:7" x14ac:dyDescent="0.3">
      <c r="A53" s="2">
        <v>14</v>
      </c>
      <c r="C53" s="38" t="s">
        <v>25</v>
      </c>
      <c r="D53" s="42">
        <f>TRUNC(5673,-1)</f>
        <v>5670</v>
      </c>
      <c r="E53" s="63">
        <f t="shared" si="1"/>
        <v>18740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TRUNC(95652+631+1897-1669+259+5611,-1)</f>
        <v>102380</v>
      </c>
      <c r="E58" s="63">
        <f t="shared" si="1"/>
        <v>338440</v>
      </c>
      <c r="F58" s="2" t="s">
        <v>257</v>
      </c>
    </row>
    <row r="59" spans="1:7" ht="17.25" thickBot="1" x14ac:dyDescent="0.35">
      <c r="A59" s="2">
        <v>20</v>
      </c>
      <c r="C59" s="38" t="s">
        <v>149</v>
      </c>
      <c r="D59" s="43">
        <f>TRUNC(114181,-1)</f>
        <v>114180</v>
      </c>
      <c r="E59" s="64">
        <f t="shared" si="1"/>
        <v>377450</v>
      </c>
    </row>
    <row r="60" spans="1:7" x14ac:dyDescent="0.3">
      <c r="A60" s="2">
        <v>21</v>
      </c>
      <c r="C60" s="27" t="s">
        <v>112</v>
      </c>
      <c r="D60" s="39">
        <f>SUM(D40:D59)</f>
        <v>741510</v>
      </c>
      <c r="E60" s="39">
        <f>SUM(E40:E59)</f>
        <v>2451230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TRUNC(6635,-1)</f>
        <v>6630</v>
      </c>
      <c r="E63" s="62">
        <f>TRUNC(+D63*3.3058,-1)</f>
        <v>21910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6630</v>
      </c>
      <c r="E66" s="65">
        <f>SUM(E63:E65)</f>
        <v>21910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TRUNC(10443,-1)</f>
        <v>10440</v>
      </c>
      <c r="E91" s="63">
        <f t="shared" si="2"/>
        <v>34510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149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10440</v>
      </c>
      <c r="E95" s="39">
        <f>SUM(E69:E94)</f>
        <v>34510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TRUNC(12207,-1)</f>
        <v>12200</v>
      </c>
      <c r="E98" s="62">
        <f t="shared" ref="E98:E118" si="3">TRUNC(+D98*3.3058,-1)</f>
        <v>40330</v>
      </c>
    </row>
    <row r="99" spans="1:7" x14ac:dyDescent="0.3">
      <c r="A99" s="2">
        <v>2</v>
      </c>
      <c r="C99" s="38" t="s">
        <v>40</v>
      </c>
      <c r="D99" s="42">
        <f>TRUNC(4234,-1)</f>
        <v>4230</v>
      </c>
      <c r="E99" s="63">
        <f t="shared" si="3"/>
        <v>13980</v>
      </c>
    </row>
    <row r="100" spans="1:7" x14ac:dyDescent="0.3">
      <c r="A100" s="2">
        <v>3</v>
      </c>
      <c r="C100" s="38" t="s">
        <v>41</v>
      </c>
      <c r="D100" s="42">
        <v>8910</v>
      </c>
      <c r="E100" s="63">
        <f t="shared" si="3"/>
        <v>29450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TRUNC(3604,-1)</f>
        <v>3600</v>
      </c>
      <c r="E102" s="63">
        <f t="shared" si="3"/>
        <v>11900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  <c r="F116" s="2" t="s">
        <v>252</v>
      </c>
    </row>
    <row r="117" spans="1:7" x14ac:dyDescent="0.3">
      <c r="A117" s="2">
        <v>20</v>
      </c>
      <c r="C117" s="38" t="s">
        <v>149</v>
      </c>
      <c r="D117" s="42">
        <f>TRUNC(24723,-1)</f>
        <v>24720</v>
      </c>
      <c r="E117" s="63">
        <f t="shared" si="3"/>
        <v>81710</v>
      </c>
    </row>
    <row r="118" spans="1:7" ht="17.25" thickBot="1" x14ac:dyDescent="0.35">
      <c r="A118" s="2">
        <v>21</v>
      </c>
      <c r="C118" s="38" t="s">
        <v>47</v>
      </c>
      <c r="D118" s="43">
        <f>TRUNC(181,-1)</f>
        <v>180</v>
      </c>
      <c r="E118" s="64">
        <f t="shared" si="3"/>
        <v>590</v>
      </c>
    </row>
    <row r="119" spans="1:7" x14ac:dyDescent="0.3">
      <c r="A119" s="2">
        <v>22</v>
      </c>
      <c r="C119" s="27" t="s">
        <v>112</v>
      </c>
      <c r="D119" s="39">
        <f>SUM(D98:D118)</f>
        <v>53840</v>
      </c>
      <c r="E119" s="39">
        <f>SUM(E98:E118)</f>
        <v>177960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1350</v>
      </c>
      <c r="E125" s="63">
        <f t="shared" si="4"/>
        <v>4460</v>
      </c>
    </row>
    <row r="126" spans="1:7" x14ac:dyDescent="0.3">
      <c r="A126" s="2">
        <v>5</v>
      </c>
      <c r="C126" s="38" t="s">
        <v>53</v>
      </c>
      <c r="D126" s="42">
        <f>TRUNC(3978,-1)</f>
        <v>3970</v>
      </c>
      <c r="E126" s="63">
        <f t="shared" si="4"/>
        <v>13120</v>
      </c>
    </row>
    <row r="127" spans="1:7" x14ac:dyDescent="0.3">
      <c r="A127" s="2">
        <v>6</v>
      </c>
      <c r="C127" s="38" t="s">
        <v>56</v>
      </c>
      <c r="D127" s="42">
        <v>5750</v>
      </c>
      <c r="E127" s="63">
        <f t="shared" si="4"/>
        <v>19000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TRUNC(1306,-1)</f>
        <v>1300</v>
      </c>
      <c r="E130" s="63">
        <f t="shared" si="4"/>
        <v>4290</v>
      </c>
    </row>
    <row r="131" spans="1:7" x14ac:dyDescent="0.3">
      <c r="A131" s="2">
        <v>10</v>
      </c>
      <c r="C131" s="38" t="s">
        <v>149</v>
      </c>
      <c r="D131" s="42">
        <f>TRUNC(21231,-1)</f>
        <v>21230</v>
      </c>
      <c r="E131" s="63">
        <f t="shared" si="4"/>
        <v>70180</v>
      </c>
    </row>
    <row r="132" spans="1:7" ht="18" thickBot="1" x14ac:dyDescent="0.35">
      <c r="A132" s="2">
        <v>11</v>
      </c>
      <c r="C132" s="38" t="s">
        <v>47</v>
      </c>
      <c r="D132" s="43">
        <f>TRUNC(1300+181,-1)</f>
        <v>1480</v>
      </c>
      <c r="E132" s="64">
        <f t="shared" si="4"/>
        <v>4890</v>
      </c>
      <c r="F132" s="54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35080</v>
      </c>
      <c r="E133" s="39">
        <f>SUM(E122:E132)</f>
        <v>115940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21290</v>
      </c>
      <c r="E137" s="63">
        <f t="shared" si="5"/>
        <v>70380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TRUNC(7075,-1)</f>
        <v>7070</v>
      </c>
      <c r="E140" s="63">
        <f t="shared" si="5"/>
        <v>23370</v>
      </c>
    </row>
    <row r="141" spans="1:7" x14ac:dyDescent="0.3">
      <c r="A141" s="2">
        <v>6</v>
      </c>
      <c r="C141" s="38" t="s">
        <v>59</v>
      </c>
      <c r="D141" s="42">
        <f>TRUNC(17579,-1)</f>
        <v>17570</v>
      </c>
      <c r="E141" s="63">
        <f t="shared" si="5"/>
        <v>58080</v>
      </c>
    </row>
    <row r="142" spans="1:7" x14ac:dyDescent="0.3">
      <c r="A142" s="2">
        <v>7</v>
      </c>
      <c r="C142" s="38" t="s">
        <v>58</v>
      </c>
      <c r="D142" s="42">
        <f>TRUNC(7179,-1)</f>
        <v>7170</v>
      </c>
      <c r="E142" s="63">
        <f t="shared" si="5"/>
        <v>23700</v>
      </c>
    </row>
    <row r="143" spans="1:7" x14ac:dyDescent="0.3">
      <c r="A143" s="2">
        <v>8</v>
      </c>
      <c r="C143" s="38" t="s">
        <v>62</v>
      </c>
      <c r="D143" s="42">
        <f>TRUNC(1842,-1)</f>
        <v>1840</v>
      </c>
      <c r="E143" s="63">
        <f t="shared" si="5"/>
        <v>6080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54940</v>
      </c>
      <c r="E146" s="39">
        <f>SUM(E136:E145)</f>
        <v>181610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TRUNC(1263,-1)</f>
        <v>1260</v>
      </c>
      <c r="E149" s="62">
        <f>TRUNC(+D149*3.3058,-1)</f>
        <v>4160</v>
      </c>
    </row>
    <row r="150" spans="1:7" x14ac:dyDescent="0.3">
      <c r="A150" s="2">
        <v>2</v>
      </c>
      <c r="C150" s="38" t="s">
        <v>49</v>
      </c>
      <c r="D150" s="42">
        <f>TRUNC(5146,-1)</f>
        <v>5140</v>
      </c>
      <c r="E150" s="63">
        <f>TRUNC(+D150*3.3058,-1)</f>
        <v>16990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TRUNC(2798+3535,-1)</f>
        <v>6330</v>
      </c>
      <c r="E152" s="63">
        <f>TRUNC(+D152*3.3058,-1)</f>
        <v>20920</v>
      </c>
      <c r="F152" s="2" t="s">
        <v>258</v>
      </c>
    </row>
    <row r="153" spans="1:7" ht="17.25" thickBot="1" x14ac:dyDescent="0.35">
      <c r="A153" s="2">
        <v>5</v>
      </c>
      <c r="C153" s="38" t="s">
        <v>149</v>
      </c>
      <c r="D153" s="43">
        <f>TRUNC(53549,-1)</f>
        <v>53540</v>
      </c>
      <c r="E153" s="64">
        <f>TRUNC(+D153*3.3058,-1)</f>
        <v>176990</v>
      </c>
    </row>
    <row r="154" spans="1:7" x14ac:dyDescent="0.3">
      <c r="A154" s="2">
        <v>6</v>
      </c>
      <c r="C154" s="27" t="s">
        <v>112</v>
      </c>
      <c r="D154" s="39">
        <f>SUM(D149:D153)</f>
        <v>66270</v>
      </c>
      <c r="E154" s="39">
        <f>SUM(E149:E153)</f>
        <v>219060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2020-12-08T01:18:45Z</dcterms:modified>
</cp:coreProperties>
</file>