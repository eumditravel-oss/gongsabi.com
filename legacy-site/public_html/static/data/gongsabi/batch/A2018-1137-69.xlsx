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9" i="4" l="1"/>
  <c r="D93" i="4"/>
  <c r="D117" i="4"/>
  <c r="D131" i="4"/>
  <c r="D153" i="4"/>
  <c r="D160" i="4"/>
  <c r="D159" i="4"/>
  <c r="D158" i="4"/>
  <c r="D157" i="4"/>
  <c r="D152" i="4"/>
  <c r="D151" i="4"/>
  <c r="D150" i="4"/>
  <c r="D149" i="4"/>
  <c r="D144" i="4"/>
  <c r="D143" i="4"/>
  <c r="D139" i="4"/>
  <c r="D138" i="4"/>
  <c r="D141" i="4"/>
  <c r="D142" i="4"/>
  <c r="D137" i="4"/>
  <c r="D140" i="4"/>
  <c r="D128" i="4"/>
  <c r="D132" i="4"/>
  <c r="D127" i="4"/>
  <c r="D124" i="4"/>
  <c r="D125" i="4"/>
  <c r="D122" i="4"/>
  <c r="D130" i="4"/>
  <c r="D126" i="4"/>
  <c r="D105" i="4"/>
  <c r="D104" i="4"/>
  <c r="D103" i="4"/>
  <c r="D102" i="4"/>
  <c r="D101" i="4"/>
  <c r="D100" i="4"/>
  <c r="D99" i="4"/>
  <c r="D98" i="4"/>
  <c r="D118" i="4"/>
  <c r="D116" i="4"/>
  <c r="D94" i="4"/>
  <c r="D75" i="4"/>
  <c r="D92" i="4"/>
  <c r="D91" i="4"/>
  <c r="D89" i="4"/>
  <c r="D73" i="4"/>
  <c r="D71" i="4"/>
  <c r="D70" i="4"/>
  <c r="D69" i="4"/>
  <c r="D63" i="4"/>
  <c r="D58" i="4"/>
  <c r="D53" i="4"/>
  <c r="D52" i="4"/>
  <c r="D50" i="4"/>
  <c r="D49" i="4"/>
  <c r="D48" i="4"/>
  <c r="D46" i="4"/>
  <c r="D45" i="4"/>
  <c r="D44" i="4"/>
  <c r="D43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<sst xmlns="http://schemas.openxmlformats.org/spreadsheetml/2006/main" count="395" uniqueCount="270">
  <si>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</si>
  <si>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</si>
  <si>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</si>
  <si>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</si>
  <si>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</si>
  <si>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</si>
  <si>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</si>
  <si>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</si>
  <si>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</si>
  <si>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</si>
  <si>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</si>
  <si>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</si>
  <si>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</si>
  <si>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</si>
  <si>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</si>
  <si>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</si>
  <si>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</si>
  <si>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</si>
  <si>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</si>
  <si>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</si>
  <si>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</si>
  <si>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</si>
  <si>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</si>
  <si>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</si>
  <si>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</si>
  <si>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</si>
  <si>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</si>
  <si>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</si>
  <si>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</si>
  <si>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</si>
  <si>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</si>
  <si>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</si>
  <si>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</si>
  <si>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</si>
  <si>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</si>
  <si>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</si>
  <si>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</si>
  <si>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</si>
  <si>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</si>
  <si>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</si>
  <si>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</si>
  <si>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</si>
  <si>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</si>
  <si>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</si>
  <si>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</si>
  <si>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</si>
  <si>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</si>
  <si>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</si>
  <si>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</si>
  <si>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</si>
  <si>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</si>
  <si>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</si>
  <si>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</si>
  <si>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</si>
  <si>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</si>
  <si>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</si>
  <si>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</si>
  <si>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</si>
  <si>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</si>
  <si>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</si>
  <si>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</si>
  <si>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</si>
  <si>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</si>
  <si>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</si>
  <si>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</si>
  <si>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</si>
  <si>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</si>
  <si>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</si>
  <si>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</si>
  <si>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</si>
  <si>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</si>
  <si>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</si>
  <si>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</si>
  <si>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</si>
  <si>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</si>
  <si>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</si>
  <si>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</si>
  <si>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</si>
  <si>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</si>
  <si>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</si>
  <si>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</si>
  <si>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</si>
  <si>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</si>
  <si>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</si>
  <si>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</si>
  <si>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</si>
  <si>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</si>
  <si>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</si>
  <si>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</si>
  <si>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</si>
  <si>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</si>
  <si>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</si>
  <si>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</si>
  <si>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</si>
  <si>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</si>
  <si>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</si>
  <si>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</si>
  <si>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</si>
  <si>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</si>
  <si>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</si>
  <si>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</si>
  <si>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</si>
  <si>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</si>
  <si>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</si>
  <si>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</si>
  <si>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</si>
  <si>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</si>
  <si>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</si>
  <si>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</si>
  <si>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</si>
  <si>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</si>
  <si>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</si>
  <si>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</si>
  <si>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</si>
  <si>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</si>
  <si>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</si>
  <si>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</si>
  <si>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</si>
  <si>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</si>
  <si>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</si>
  <si>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</si>
  <si>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</si>
  <si>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</si>
  <si>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</si>
  <si>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</si>
  <si>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</si>
  <si>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</si>
  <si>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</si>
  <si>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</si>
  <si>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</si>
  <si>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</si>
  <si>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</si>
  <si>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</si>
  <si>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</si>
  <si>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</si>
  <si>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</si>
  <si>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</si>
  <si>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</si>
  <si>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</si>
  <si>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</si>
  <si>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</si>
  <si>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</si>
  <si>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</si>
  <si>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</si>
  <si>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</si>
  <si>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</si>
  <si>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</si>
  <si>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</si>
  <si>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</si>
  <si>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</si>
  <si>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</si>
  <si>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</si>
  <si>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</si>
  <si>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</si>
  <si>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</si>
  <si>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</si>
  <si>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</si>
  <si>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</si>
  <si>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</si>
  <si>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</si>
  <si>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</si>
  <si>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</si>
  <si>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</si>
  <si>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</si>
  <si>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</si>
  <si>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</si>
  <si>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</si>
  <si>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</si>
  <si>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</si>
  <si>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</si>
  <si>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</si>
  <si>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</si>
  <si>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</si>
  <si>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</si>
  <si>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</si>
  <si>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</si>
  <si>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</si>
  <si>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</si>
  <si>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</si>
  <si>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</si>
  <si>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</si>
  <si>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</si>
  <si>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</si>
  <si>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</si>
  <si>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</si>
  <si>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</si>
  <si>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</si>
  <si>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</si>
  <si>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</si>
  <si>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</si>
  <si>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</si>
  <si>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</si>
  <si>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</si>
  <si>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</si>
  <si>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</si>
  <si>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</si>
  <si>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</si>
  <si>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</si>
  <si>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</si>
  <si>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</si>
  <si>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</si>
  <si>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</si>
  <si>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</si>
  <si>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</si>
  <si>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</si>
  <si>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</si>
  <si>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</si>
  <si>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</si>
  <si>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</si>
  <si>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</si>
  <si>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</si>
  <si>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</si>
  <si>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</si>
  <si>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</si>
  <si>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</si>
  <si>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</si>
  <si>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</si>
  <si>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</si>
  <si>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</si>
  <si>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</si>
  <si>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</si>
  <si>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</si>
  <si>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</si>
  <si>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</si>
  <si>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</si>
  <si>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</si>
  <si>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</si>
  <si>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</si>
  <si>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</si>
  <si>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</si>
  <si>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</si>
  <si>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</si>
  <si>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</si>
  <si>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</si>
  <si>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</si>
  <si>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</si>
  <si>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</si>
  <si>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</si>
  <si>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</si>
  <si>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</si>
  <si>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</si>
  <si>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</si>
  <si>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</si>
  <si>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</si>
  <si>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</si>
  <si>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</si>
  <si>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</si>
  <si>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</si>
  <si>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해수자원화 전력시스템 연구센터 신축공사</t>
    <phoneticPr fontId="2" type="noConversion"/>
  </si>
  <si>
    <t>교육연구</t>
  </si>
  <si>
    <t>울산시</t>
  </si>
  <si>
    <t>지붕및홈통공사 포함</t>
    <phoneticPr fontId="2" type="noConversion"/>
  </si>
  <si>
    <t>창호및유리공사</t>
    <phoneticPr fontId="2" type="noConversion"/>
  </si>
  <si>
    <t xml:space="preserve">목공사및수장공사(인테리어공사 포함)  </t>
    <phoneticPr fontId="2" type="noConversion"/>
  </si>
  <si>
    <t>기초공사,골재비및운반비,기타공사</t>
    <phoneticPr fontId="2" type="noConversion"/>
  </si>
  <si>
    <t>기타공사</t>
    <phoneticPr fontId="2" type="noConversion"/>
  </si>
  <si>
    <t>전기인입 및 수변전 설비공사</t>
    <phoneticPr fontId="2" type="noConversion"/>
  </si>
  <si>
    <t xml:space="preserve">원격검침 설비공사,기타공사 </t>
    <phoneticPr fontId="2" type="noConversion"/>
  </si>
  <si>
    <t>CATV 및 TV 설비공사</t>
    <phoneticPr fontId="2" type="noConversion"/>
  </si>
  <si>
    <t>CCTV설비공사</t>
    <phoneticPr fontId="2" type="noConversion"/>
  </si>
  <si>
    <t>옥외소화배관공사,펌프실배관공사,</t>
    <phoneticPr fontId="2" type="noConversion"/>
  </si>
  <si>
    <t>우수공사,오수공사</t>
    <phoneticPr fontId="2" type="noConversion"/>
  </si>
  <si>
    <t>상수도공사,사급자재비,운반비,기타공사</t>
    <phoneticPr fontId="2" type="noConversion"/>
  </si>
  <si>
    <t>조경시설물</t>
    <phoneticPr fontId="2" type="noConversion"/>
  </si>
  <si>
    <t>포장공사,기타공사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</si>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</sst>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267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5443.49</v>
      </c>
      <c r="D7" s="36">
        <f>+C7/3.3058</f>
        <v>1646.648315082582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268</v>
      </c>
    </row>
    <row r="19" spans="1:5" x14ac:dyDescent="0.3">
      <c r="A19" s="2">
        <v>9</v>
      </c>
      <c r="B19" s="2" t="s">
        <v>269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820830</v>
      </c>
      <c r="E25" s="59">
        <f t="shared" si="0"/>
        <v>2713490</v>
      </c>
    </row>
    <row r="26" spans="1:5" x14ac:dyDescent="0.3">
      <c r="B26" s="2">
        <v>3</v>
      </c>
      <c r="C26" s="35" t="s">
        <v>95</v>
      </c>
      <c r="D26" s="45">
        <f>+D66</f>
        <v>70310</v>
      </c>
      <c r="E26" s="59">
        <f t="shared" si="0"/>
        <v>232430</v>
      </c>
    </row>
    <row r="27" spans="1:5" x14ac:dyDescent="0.3">
      <c r="B27" s="2">
        <v>4</v>
      </c>
      <c r="C27" s="35" t="s">
        <v>96</v>
      </c>
      <c r="D27" s="45">
        <f>+D95</f>
        <v>720950</v>
      </c>
      <c r="E27" s="59">
        <f t="shared" si="0"/>
        <v>2383310</v>
      </c>
    </row>
    <row r="28" spans="1:5" x14ac:dyDescent="0.3">
      <c r="B28" s="2">
        <v>5</v>
      </c>
      <c r="C28" s="35" t="s">
        <v>97</v>
      </c>
      <c r="D28" s="45">
        <f>+D119</f>
        <v>356320</v>
      </c>
      <c r="E28" s="59">
        <f t="shared" si="0"/>
        <v>1177920</v>
      </c>
    </row>
    <row r="29" spans="1:5" x14ac:dyDescent="0.3">
      <c r="B29" s="2">
        <v>6</v>
      </c>
      <c r="C29" s="35" t="s">
        <v>98</v>
      </c>
      <c r="D29" s="45">
        <f>+D133</f>
        <v>138710</v>
      </c>
      <c r="E29" s="59">
        <f t="shared" si="0"/>
        <v>458540</v>
      </c>
    </row>
    <row r="30" spans="1:5" x14ac:dyDescent="0.3">
      <c r="B30" s="2">
        <v>7</v>
      </c>
      <c r="C30" s="35" t="s">
        <v>99</v>
      </c>
      <c r="D30" s="45">
        <f>+D146</f>
        <v>80690</v>
      </c>
      <c r="E30" s="59">
        <f t="shared" si="0"/>
        <v>266740</v>
      </c>
    </row>
    <row r="31" spans="1:5" x14ac:dyDescent="0.3">
      <c r="B31" s="2">
        <v>8</v>
      </c>
      <c r="C31" s="35" t="s">
        <v>100</v>
      </c>
      <c r="D31" s="45">
        <f>+D154</f>
        <v>184390</v>
      </c>
      <c r="E31" s="59">
        <f t="shared" si="0"/>
        <v>609550</v>
      </c>
    </row>
    <row r="32" spans="1:5" x14ac:dyDescent="0.3">
      <c r="B32" s="2">
        <v>9</v>
      </c>
      <c r="C32" s="35" t="s">
        <v>101</v>
      </c>
      <c r="D32" s="45">
        <f>+D161</f>
        <v>24260</v>
      </c>
      <c r="E32" s="59">
        <f t="shared" si="0"/>
        <v>80190</v>
      </c>
    </row>
    <row r="33" spans="1:7" x14ac:dyDescent="0.3">
      <c r="B33" s="2">
        <v>10</v>
      </c>
      <c r="C33" s="35" t="s">
        <v>154</v>
      </c>
      <c r="D33" s="53">
        <f>TRUNC(SUM(D24:D32)*0.275,-1)</f>
        <v>659020</v>
      </c>
      <c r="E33" s="60">
        <f t="shared" si="0"/>
        <v>2178580</v>
      </c>
    </row>
    <row r="34" spans="1:7" x14ac:dyDescent="0.3">
      <c r="C34" s="35" t="s">
        <v>112</v>
      </c>
      <c r="D34" s="44">
        <f>SUM(D24:D33)</f>
        <v>3055480</v>
      </c>
      <c r="E34" s="44">
        <f>SUM(E24:E33)</f>
        <v>10100750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265</v>
      </c>
      <c r="E39" s="67" t="s">
        <v>266</v>
      </c>
      <c r="G39" s="68"/>
    </row>
    <row r="40" spans="1:7" x14ac:dyDescent="0.3">
      <c r="A40" s="2">
        <v>1</v>
      </c>
      <c r="C40" s="38" t="s">
        <v>15</v>
      </c>
      <c r="D40" s="40">
        <f>TRUNC(68092,-1)</f>
        <v>68090</v>
      </c>
      <c r="E40" s="62">
        <f t="shared" ref="E40:E59" si="1">TRUNC(+D40*3.3058,-1)</f>
        <v>225090</v>
      </c>
    </row>
    <row r="41" spans="1:7" x14ac:dyDescent="0.3">
      <c r="A41" s="2">
        <v>2</v>
      </c>
      <c r="C41" s="38" t="s">
        <v>13</v>
      </c>
      <c r="D41" s="42">
        <f>TRUNC(183099,-1)</f>
        <v>183090</v>
      </c>
      <c r="E41" s="63">
        <f t="shared" si="1"/>
        <v>605250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TRUNC(15828,-1)</f>
        <v>15820</v>
      </c>
      <c r="E43" s="63">
        <f t="shared" si="1"/>
        <v>52290</v>
      </c>
    </row>
    <row r="44" spans="1:7" x14ac:dyDescent="0.3">
      <c r="A44" s="2">
        <v>5</v>
      </c>
      <c r="C44" s="38" t="s">
        <v>17</v>
      </c>
      <c r="D44" s="42">
        <f>TRUNC(16257,-1)</f>
        <v>16250</v>
      </c>
      <c r="E44" s="63">
        <f t="shared" si="1"/>
        <v>53710</v>
      </c>
    </row>
    <row r="45" spans="1:7" x14ac:dyDescent="0.3">
      <c r="A45" s="2">
        <v>6</v>
      </c>
      <c r="C45" s="38" t="s">
        <v>18</v>
      </c>
      <c r="D45" s="42">
        <f>TRUNC(19079,-1)</f>
        <v>19070</v>
      </c>
      <c r="E45" s="63">
        <f t="shared" si="1"/>
        <v>63040</v>
      </c>
    </row>
    <row r="46" spans="1:7" x14ac:dyDescent="0.3">
      <c r="A46" s="2">
        <v>7</v>
      </c>
      <c r="C46" s="38" t="s">
        <v>19</v>
      </c>
      <c r="D46" s="42">
        <f>TRUNC(57129,-1)</f>
        <v>57120</v>
      </c>
      <c r="E46" s="63">
        <f t="shared" si="1"/>
        <v>188820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TRUNC(16237,-1)</f>
        <v>16230</v>
      </c>
      <c r="E48" s="63">
        <f t="shared" si="1"/>
        <v>53650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TRUNC(27342,-1)</f>
        <v>27340</v>
      </c>
      <c r="E49" s="63">
        <f t="shared" si="1"/>
        <v>90380</v>
      </c>
    </row>
    <row r="50" spans="1:7" x14ac:dyDescent="0.3">
      <c r="A50" s="2">
        <v>11</v>
      </c>
      <c r="C50" s="38" t="s">
        <v>155</v>
      </c>
      <c r="D50" s="42">
        <f>TRUNC(39275,-1)</f>
        <v>39270</v>
      </c>
      <c r="E50" s="63">
        <f t="shared" si="1"/>
        <v>129810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TRUNC(33302,-1)</f>
        <v>33300</v>
      </c>
      <c r="E52" s="63">
        <f t="shared" si="1"/>
        <v>110080</v>
      </c>
    </row>
    <row r="53" spans="1:7" x14ac:dyDescent="0.3">
      <c r="A53" s="2">
        <v>14</v>
      </c>
      <c r="C53" s="38" t="s">
        <v>25</v>
      </c>
      <c r="D53" s="42">
        <f>TRUNC(98267,-1)</f>
        <v>98260</v>
      </c>
      <c r="E53" s="63">
        <f t="shared" si="1"/>
        <v>324820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TRUNC(4573+7700+1265,-1)</f>
        <v>13530</v>
      </c>
      <c r="E58" s="63">
        <f t="shared" si="1"/>
        <v>44720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TRUNC(233463,-1)</f>
        <v>233460</v>
      </c>
      <c r="E59" s="64">
        <f t="shared" si="1"/>
        <v>771770</v>
      </c>
    </row>
    <row r="60" spans="1:7" x14ac:dyDescent="0.3">
      <c r="A60" s="2">
        <v>21</v>
      </c>
      <c r="C60" s="27" t="s">
        <v>112</v>
      </c>
      <c r="D60" s="39">
        <f>SUM(D40:D59)</f>
        <v>820830</v>
      </c>
      <c r="E60" s="39">
        <f>SUM(E40:E59)</f>
        <v>2713430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TRUNC(70315,-1)</f>
        <v>70310</v>
      </c>
      <c r="E63" s="62">
        <f>TRUNC(+D63*3.3058,-1)</f>
        <v>232430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70310</v>
      </c>
      <c r="E66" s="65">
        <f>SUM(E63:E65)</f>
        <v>232430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TRUNC(38061,-1)</f>
        <v>38060</v>
      </c>
      <c r="E69" s="62">
        <f t="shared" ref="E69:E94" si="2">TRUNC(+D69*3.3058,-1)</f>
        <v>125810</v>
      </c>
    </row>
    <row r="70" spans="1:7" ht="16.5" customHeight="1" x14ac:dyDescent="0.3">
      <c r="A70" s="2">
        <v>2</v>
      </c>
      <c r="C70" s="38" t="s">
        <v>31</v>
      </c>
      <c r="D70" s="42">
        <f>TRUNC(6110,-1)</f>
        <v>6110</v>
      </c>
      <c r="E70" s="63">
        <f t="shared" si="2"/>
        <v>20190</v>
      </c>
    </row>
    <row r="71" spans="1:7" x14ac:dyDescent="0.3">
      <c r="A71" s="2">
        <v>3</v>
      </c>
      <c r="C71" s="38" t="s">
        <v>32</v>
      </c>
      <c r="D71" s="42">
        <f>TRUNC(28747,-1)</f>
        <v>28740</v>
      </c>
      <c r="E71" s="63">
        <f t="shared" si="2"/>
        <v>95000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TRUNC(25005,-1)</f>
        <v>25000</v>
      </c>
      <c r="E73" s="63">
        <f t="shared" si="2"/>
        <v>82640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TRUNC(10065,-1)</f>
        <v>10060</v>
      </c>
      <c r="E75" s="63">
        <f t="shared" si="2"/>
        <v>33250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TRUNC(13956,-1)</f>
        <v>13950</v>
      </c>
      <c r="E89" s="63">
        <f t="shared" si="2"/>
        <v>46110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TRUNC(78432,-1)</f>
        <v>78430</v>
      </c>
      <c r="E91" s="63">
        <f t="shared" si="2"/>
        <v>259270</v>
      </c>
    </row>
    <row r="92" spans="1:7" x14ac:dyDescent="0.3">
      <c r="A92" s="2">
        <v>24</v>
      </c>
      <c r="C92" s="38" t="s">
        <v>38</v>
      </c>
      <c r="D92" s="42">
        <f>TRUNC(6725,-1)</f>
        <v>6720</v>
      </c>
      <c r="E92" s="63">
        <f t="shared" si="2"/>
        <v>22210</v>
      </c>
    </row>
    <row r="93" spans="1:7" x14ac:dyDescent="0.3">
      <c r="A93" s="2">
        <v>25</v>
      </c>
      <c r="C93" s="38" t="s">
        <v>148</v>
      </c>
      <c r="D93" s="42">
        <f>TRUNC(507884,-1)</f>
        <v>507880</v>
      </c>
      <c r="E93" s="63">
        <f t="shared" si="2"/>
        <v>1678940</v>
      </c>
    </row>
    <row r="94" spans="1:7" ht="17.25" thickBot="1" x14ac:dyDescent="0.35">
      <c r="A94" s="2">
        <v>26</v>
      </c>
      <c r="C94" s="38" t="s">
        <v>47</v>
      </c>
      <c r="D94" s="43">
        <f>TRUNC(6001,-1)</f>
        <v>6000</v>
      </c>
      <c r="E94" s="64">
        <f t="shared" si="2"/>
        <v>19830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720950</v>
      </c>
      <c r="E95" s="39">
        <f>SUM(E69:E94)</f>
        <v>2383250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TRUNC(19898,-1)</f>
        <v>19890</v>
      </c>
      <c r="E98" s="62">
        <f t="shared" ref="E98:E118" si="3">TRUNC(+D98*3.3058,-1)</f>
        <v>65750</v>
      </c>
    </row>
    <row r="99" spans="1:7" x14ac:dyDescent="0.3">
      <c r="A99" s="2">
        <v>2</v>
      </c>
      <c r="C99" s="38" t="s">
        <v>40</v>
      </c>
      <c r="D99" s="42">
        <f>TRUNC(11062,-1)</f>
        <v>11060</v>
      </c>
      <c r="E99" s="63">
        <f t="shared" si="3"/>
        <v>36560</v>
      </c>
    </row>
    <row r="100" spans="1:7" x14ac:dyDescent="0.3">
      <c r="A100" s="2">
        <v>3</v>
      </c>
      <c r="C100" s="38" t="s">
        <v>41</v>
      </c>
      <c r="D100" s="42">
        <f>TRUNC(37271,-1)</f>
        <v>37270</v>
      </c>
      <c r="E100" s="63">
        <f t="shared" si="3"/>
        <v>123200</v>
      </c>
    </row>
    <row r="101" spans="1:7" x14ac:dyDescent="0.3">
      <c r="A101" s="2">
        <v>4</v>
      </c>
      <c r="C101" s="38" t="s">
        <v>42</v>
      </c>
      <c r="D101" s="42">
        <f>TRUNC(4546,-1)</f>
        <v>4540</v>
      </c>
      <c r="E101" s="63">
        <f t="shared" si="3"/>
        <v>15000</v>
      </c>
    </row>
    <row r="102" spans="1:7" x14ac:dyDescent="0.3">
      <c r="A102" s="2">
        <v>5</v>
      </c>
      <c r="C102" s="38" t="s">
        <v>43</v>
      </c>
      <c r="D102" s="42">
        <f>TRUNC(23142,-1)</f>
        <v>23140</v>
      </c>
      <c r="E102" s="63">
        <f t="shared" si="3"/>
        <v>76490</v>
      </c>
    </row>
    <row r="103" spans="1:7" x14ac:dyDescent="0.3">
      <c r="A103" s="2">
        <v>6</v>
      </c>
      <c r="C103" s="38" t="s">
        <v>44</v>
      </c>
      <c r="D103" s="42">
        <f>TRUNC(6559,-1)</f>
        <v>6550</v>
      </c>
      <c r="E103" s="63">
        <f t="shared" si="3"/>
        <v>21650</v>
      </c>
    </row>
    <row r="104" spans="1:7" x14ac:dyDescent="0.3">
      <c r="A104" s="2">
        <v>7</v>
      </c>
      <c r="C104" s="38" t="s">
        <v>45</v>
      </c>
      <c r="D104" s="42">
        <f>TRUNC(17519,-1)</f>
        <v>17510</v>
      </c>
      <c r="E104" s="63">
        <f t="shared" si="3"/>
        <v>57880</v>
      </c>
    </row>
    <row r="105" spans="1:7" x14ac:dyDescent="0.3">
      <c r="A105" s="2">
        <v>8</v>
      </c>
      <c r="C105" s="38" t="s">
        <v>46</v>
      </c>
      <c r="D105" s="42">
        <f>TRUNC(18975,-1)</f>
        <v>18970</v>
      </c>
      <c r="E105" s="63">
        <f t="shared" si="3"/>
        <v>62710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TRUNC(44980,-1)</f>
        <v>44980</v>
      </c>
      <c r="E116" s="63">
        <f t="shared" si="3"/>
        <v>148690</v>
      </c>
      <c r="F116" s="2" t="s">
        <v>256</v>
      </c>
    </row>
    <row r="117" spans="1:7" x14ac:dyDescent="0.3">
      <c r="A117" s="2">
        <v>20</v>
      </c>
      <c r="C117" s="38" t="s">
        <v>148</v>
      </c>
      <c r="D117" s="42">
        <f>TRUNC(167971,-1)</f>
        <v>167970</v>
      </c>
      <c r="E117" s="63">
        <f t="shared" si="3"/>
        <v>555270</v>
      </c>
    </row>
    <row r="118" spans="1:7" ht="17.25" thickBot="1" x14ac:dyDescent="0.35">
      <c r="A118" s="2">
        <v>21</v>
      </c>
      <c r="C118" s="38" t="s">
        <v>47</v>
      </c>
      <c r="D118" s="43">
        <f>TRUNC(3319+1127,-1)</f>
        <v>4440</v>
      </c>
      <c r="E118" s="64">
        <f t="shared" si="3"/>
        <v>14670</v>
      </c>
      <c r="F118" s="2" t="s">
        <v>257</v>
      </c>
    </row>
    <row r="119" spans="1:7" x14ac:dyDescent="0.3">
      <c r="A119" s="2">
        <v>22</v>
      </c>
      <c r="C119" s="27" t="s">
        <v>112</v>
      </c>
      <c r="D119" s="39">
        <f>SUM(D98:D118)</f>
        <v>356320</v>
      </c>
      <c r="E119" s="39">
        <f>SUM(E98:E118)</f>
        <v>1177870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TRUNC(4531,-1)</f>
        <v>4530</v>
      </c>
      <c r="E122" s="62">
        <f t="shared" ref="E122:E132" si="4">TRUNC(+D122*3.3058,-1)</f>
        <v>14970</v>
      </c>
      <c r="F122" s="2" t="s">
        <v>258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TRUNC(2194,-1)</f>
        <v>2190</v>
      </c>
      <c r="E124" s="63">
        <f t="shared" si="4"/>
        <v>7230</v>
      </c>
    </row>
    <row r="125" spans="1:7" x14ac:dyDescent="0.3">
      <c r="A125" s="2">
        <v>4</v>
      </c>
      <c r="C125" s="38" t="s">
        <v>138</v>
      </c>
      <c r="D125" s="42">
        <f>TRUNC(8018,-1)</f>
        <v>8010</v>
      </c>
      <c r="E125" s="63">
        <f t="shared" si="4"/>
        <v>26470</v>
      </c>
    </row>
    <row r="126" spans="1:7" x14ac:dyDescent="0.3">
      <c r="A126" s="2">
        <v>5</v>
      </c>
      <c r="C126" s="38" t="s">
        <v>53</v>
      </c>
      <c r="D126" s="42">
        <f>TRUNC(7680,-1)</f>
        <v>7680</v>
      </c>
      <c r="E126" s="63">
        <f t="shared" si="4"/>
        <v>25380</v>
      </c>
    </row>
    <row r="127" spans="1:7" x14ac:dyDescent="0.3">
      <c r="A127" s="2">
        <v>6</v>
      </c>
      <c r="C127" s="38" t="s">
        <v>56</v>
      </c>
      <c r="D127" s="42">
        <f>TRUNC(8741,-1)</f>
        <v>8740</v>
      </c>
      <c r="E127" s="63">
        <f t="shared" si="4"/>
        <v>28890</v>
      </c>
    </row>
    <row r="128" spans="1:7" x14ac:dyDescent="0.3">
      <c r="A128" s="2">
        <v>7</v>
      </c>
      <c r="C128" s="38" t="s">
        <v>46</v>
      </c>
      <c r="D128" s="42">
        <f>TRUNC(9743,-1)</f>
        <v>9740</v>
      </c>
      <c r="E128" s="63">
        <f t="shared" si="4"/>
        <v>32190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TRUNC(21272,-1)</f>
        <v>21270</v>
      </c>
      <c r="E130" s="63">
        <f t="shared" si="4"/>
        <v>70310</v>
      </c>
    </row>
    <row r="131" spans="1:7" x14ac:dyDescent="0.3">
      <c r="A131" s="2">
        <v>10</v>
      </c>
      <c r="C131" s="38" t="s">
        <v>148</v>
      </c>
      <c r="D131" s="42">
        <f>TRUNC(74906,-1)</f>
        <v>74900</v>
      </c>
      <c r="E131" s="63">
        <f t="shared" si="4"/>
        <v>247600</v>
      </c>
    </row>
    <row r="132" spans="1:7" ht="18" thickBot="1" x14ac:dyDescent="0.35">
      <c r="A132" s="2">
        <v>11</v>
      </c>
      <c r="C132" s="38" t="s">
        <v>47</v>
      </c>
      <c r="D132" s="43">
        <f>TRUNC(1657,-1)</f>
        <v>1650</v>
      </c>
      <c r="E132" s="64">
        <f t="shared" si="4"/>
        <v>5450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138710</v>
      </c>
      <c r="E133" s="39">
        <f>SUM(E122:E132)</f>
        <v>458490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TRUNC(1197+2775,-1)</f>
        <v>3970</v>
      </c>
      <c r="E137" s="63">
        <f t="shared" si="5"/>
        <v>13120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f>TRUNC(1335,-1)</f>
        <v>1330</v>
      </c>
      <c r="E138" s="63">
        <f t="shared" si="5"/>
        <v>4390</v>
      </c>
    </row>
    <row r="139" spans="1:7" x14ac:dyDescent="0.3">
      <c r="A139" s="2">
        <v>4</v>
      </c>
      <c r="C139" s="38" t="s">
        <v>61</v>
      </c>
      <c r="D139" s="42">
        <f>TRUNC(2206,-1)</f>
        <v>2200</v>
      </c>
      <c r="E139" s="63">
        <f t="shared" si="5"/>
        <v>7270</v>
      </c>
    </row>
    <row r="140" spans="1:7" x14ac:dyDescent="0.3">
      <c r="A140" s="2">
        <v>5</v>
      </c>
      <c r="C140" s="38" t="s">
        <v>57</v>
      </c>
      <c r="D140" s="42">
        <f>TRUNC(1800,-1)</f>
        <v>1800</v>
      </c>
      <c r="E140" s="63">
        <f t="shared" si="5"/>
        <v>5950</v>
      </c>
    </row>
    <row r="141" spans="1:7" x14ac:dyDescent="0.3">
      <c r="A141" s="2">
        <v>6</v>
      </c>
      <c r="C141" s="38" t="s">
        <v>59</v>
      </c>
      <c r="D141" s="42">
        <f>TRUNC(35447,-1)</f>
        <v>35440</v>
      </c>
      <c r="E141" s="63">
        <f t="shared" si="5"/>
        <v>117150</v>
      </c>
    </row>
    <row r="142" spans="1:7" x14ac:dyDescent="0.3">
      <c r="A142" s="2">
        <v>7</v>
      </c>
      <c r="C142" s="38" t="s">
        <v>58</v>
      </c>
      <c r="D142" s="42">
        <f>TRUNC(6442,-1)</f>
        <v>6440</v>
      </c>
      <c r="E142" s="63">
        <f t="shared" si="5"/>
        <v>21280</v>
      </c>
    </row>
    <row r="143" spans="1:7" x14ac:dyDescent="0.3">
      <c r="A143" s="2">
        <v>8</v>
      </c>
      <c r="C143" s="38" t="s">
        <v>62</v>
      </c>
      <c r="D143" s="42">
        <f>TRUNC(6224,-1)</f>
        <v>6220</v>
      </c>
      <c r="E143" s="63">
        <f t="shared" si="5"/>
        <v>20560</v>
      </c>
    </row>
    <row r="144" spans="1:7" x14ac:dyDescent="0.3">
      <c r="A144" s="2">
        <v>9</v>
      </c>
      <c r="C144" s="38" t="s">
        <v>63</v>
      </c>
      <c r="D144" s="42">
        <f>TRUNC(23297,-1)</f>
        <v>23290</v>
      </c>
      <c r="E144" s="63">
        <f t="shared" si="5"/>
        <v>76990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80690</v>
      </c>
      <c r="E146" s="39">
        <f>SUM(E136:E145)</f>
        <v>266710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TRUNC(23161+1842,-1)</f>
        <v>25000</v>
      </c>
      <c r="E149" s="62">
        <f>TRUNC(+D149*3.3058,-1)</f>
        <v>82640</v>
      </c>
      <c r="F149" s="2" t="s">
        <v>261</v>
      </c>
    </row>
    <row r="150" spans="1:7" x14ac:dyDescent="0.3">
      <c r="A150" s="2">
        <v>2</v>
      </c>
      <c r="C150" s="38" t="s">
        <v>49</v>
      </c>
      <c r="D150" s="42">
        <f>TRUNC(9425,-1)</f>
        <v>9420</v>
      </c>
      <c r="E150" s="63">
        <f>TRUNC(+D150*3.3058,-1)</f>
        <v>31140</v>
      </c>
    </row>
    <row r="151" spans="1:7" x14ac:dyDescent="0.3">
      <c r="A151" s="2">
        <v>3</v>
      </c>
      <c r="C151" s="38" t="s">
        <v>50</v>
      </c>
      <c r="D151" s="42">
        <f>TRUNC(117353,-1)</f>
        <v>117350</v>
      </c>
      <c r="E151" s="63">
        <f>TRUNC(+D151*3.3058,-1)</f>
        <v>387930</v>
      </c>
    </row>
    <row r="152" spans="1:7" x14ac:dyDescent="0.3">
      <c r="A152" s="2">
        <v>4</v>
      </c>
      <c r="C152" s="38" t="s">
        <v>47</v>
      </c>
      <c r="D152" s="42">
        <f>TRUNC(1106+13408+173+723,-1)</f>
        <v>15410</v>
      </c>
      <c r="E152" s="63">
        <f>TRUNC(+D152*3.3058,-1)</f>
        <v>50940</v>
      </c>
      <c r="F152" s="2" t="s">
        <v>262</v>
      </c>
    </row>
    <row r="153" spans="1:7" ht="17.25" thickBot="1" x14ac:dyDescent="0.35">
      <c r="A153" s="2">
        <v>5</v>
      </c>
      <c r="C153" s="38" t="s">
        <v>148</v>
      </c>
      <c r="D153" s="43">
        <f>TRUNC(17215,-1)</f>
        <v>17210</v>
      </c>
      <c r="E153" s="64">
        <f>TRUNC(+D153*3.3058,-1)</f>
        <v>56890</v>
      </c>
    </row>
    <row r="154" spans="1:7" x14ac:dyDescent="0.3">
      <c r="A154" s="2">
        <v>6</v>
      </c>
      <c r="C154" s="27" t="s">
        <v>112</v>
      </c>
      <c r="D154" s="39">
        <f>SUM(D149:D153)</f>
        <v>184390</v>
      </c>
      <c r="E154" s="39">
        <f>SUM(E149:E153)</f>
        <v>609540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TRUNC(7892,-1)</f>
        <v>7890</v>
      </c>
      <c r="E157" s="62">
        <f>TRUNC(+D157*3.3058,-1)</f>
        <v>26080</v>
      </c>
    </row>
    <row r="158" spans="1:7" x14ac:dyDescent="0.3">
      <c r="A158" s="2">
        <v>2</v>
      </c>
      <c r="C158" s="38" t="s">
        <v>52</v>
      </c>
      <c r="D158" s="42">
        <f>TRUNC(128,-1)</f>
        <v>120</v>
      </c>
      <c r="E158" s="63">
        <f>TRUNC(+D158*3.3058,-1)</f>
        <v>390</v>
      </c>
      <c r="F158" s="2" t="s">
        <v>263</v>
      </c>
    </row>
    <row r="159" spans="1:7" x14ac:dyDescent="0.3">
      <c r="A159" s="2">
        <v>3</v>
      </c>
      <c r="C159" s="38" t="s">
        <v>47</v>
      </c>
      <c r="D159" s="42">
        <f>TRUNC(2970+7637,-1)</f>
        <v>10600</v>
      </c>
      <c r="E159" s="63">
        <f>TRUNC(+D159*3.3058,-1)</f>
        <v>35040</v>
      </c>
      <c r="F159" s="2" t="s">
        <v>264</v>
      </c>
    </row>
    <row r="160" spans="1:7" ht="17.25" thickBot="1" x14ac:dyDescent="0.35">
      <c r="A160" s="2">
        <v>4</v>
      </c>
      <c r="C160" s="38" t="s">
        <v>148</v>
      </c>
      <c r="D160" s="43">
        <f>TRUNC(5657,-1)</f>
        <v>5650</v>
      </c>
      <c r="E160" s="64">
        <f>TRUNC(+D160*3.3058,-1)</f>
        <v>18670</v>
      </c>
    </row>
    <row r="161" spans="1:5" x14ac:dyDescent="0.3">
      <c r="A161" s="2">
        <v>5</v>
      </c>
      <c r="C161" s="27" t="s">
        <v>112</v>
      </c>
      <c r="D161" s="39">
        <f>SUM(D157:D160)</f>
        <v>24260</v>
      </c>
      <c r="E161" s="39">
        <f>SUM(E157:E160)</f>
        <v>80180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2020-12-08T02:15:51Z</dcterms:modified>
</cp:coreProperties>
</file>