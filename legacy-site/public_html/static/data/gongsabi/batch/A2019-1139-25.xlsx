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3" i="4"/>
  <c r="D152" i="4"/>
  <c r="D151" i="4"/>
  <c r="D150" i="4"/>
  <c r="D149" i="4"/>
  <c r="D145" i="4"/>
  <c r="D144" i="4"/>
  <c r="D143" i="4"/>
  <c r="D142" i="4"/>
  <c r="D140" i="4"/>
  <c r="D139" i="4"/>
  <c r="D137" i="4"/>
  <c r="D132" i="4"/>
  <c r="D131" i="4"/>
  <c r="D130" i="4"/>
  <c r="D125" i="4"/>
  <c r="D122" i="4"/>
  <c r="D117" i="4"/>
  <c r="D105" i="4"/>
  <c r="D104" i="4"/>
  <c r="D102" i="4"/>
  <c r="D100" i="4"/>
  <c r="D99" i="4"/>
  <c r="D94" i="4"/>
  <c r="D93" i="4"/>
  <c r="D92" i="4"/>
  <c r="D91" i="4"/>
  <c r="D89" i="4"/>
  <c r="D76" i="4"/>
  <c r="D73" i="4"/>
  <c r="D72" i="4"/>
  <c r="D70" i="4"/>
  <c r="D69" i="4"/>
  <c r="D65" i="4"/>
  <c r="D63" i="4"/>
  <c r="D59" i="4"/>
  <c r="D58" i="4"/>
  <c r="D53" i="4"/>
  <c r="D52" i="4"/>
  <c r="D50" i="4"/>
  <c r="D49" i="4"/>
  <c r="D48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<sst xmlns="http://schemas.openxmlformats.org/spreadsheetml/2006/main" count="392" uniqueCount="266">
  <si>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</si>
  <si>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</si>
  <si>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</si>
  <si>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</si>
  <si>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</si>
  <si>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</si>
  <si>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</si>
  <si>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</si>
  <si>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</si>
  <si>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</si>
  <si>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</si>
  <si>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</si>
  <si>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</si>
  <si>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</si>
  <si>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</si>
  <si>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</si>
  <si>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</si>
  <si>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</si>
  <si>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</si>
  <si>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</si>
  <si>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</si>
  <si>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</si>
  <si>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</si>
  <si>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</si>
  <si>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</si>
  <si>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</si>
  <si>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</si>
  <si>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</si>
  <si>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</si>
  <si>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</si>
  <si>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</si>
  <si>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</si>
  <si>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</si>
  <si>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</si>
  <si>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</si>
  <si>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</si>
  <si>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</si>
  <si>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</si>
  <si>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</si>
  <si>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</si>
  <si>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</si>
  <si>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</si>
  <si>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</si>
  <si>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</si>
  <si>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</si>
  <si>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</si>
  <si>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</si>
  <si>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</si>
  <si>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</si>
  <si>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</si>
  <si>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</si>
  <si>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</si>
  <si>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</si>
  <si>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</si>
  <si>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</si>
  <si>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</si>
  <si>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</si>
  <si>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</si>
  <si>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</si>
  <si>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</si>
  <si>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</si>
  <si>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</si>
  <si>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</si>
  <si>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</si>
  <si>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</si>
  <si>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</si>
  <si>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</si>
  <si>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</si>
  <si>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</si>
  <si>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</si>
  <si>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</si>
  <si>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</si>
  <si>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</si>
  <si>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</si>
  <si>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</si>
  <si>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</si>
  <si>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</si>
  <si>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</si>
  <si>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</si>
  <si>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</si>
  <si>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</si>
  <si>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</si>
  <si>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</si>
  <si>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</si>
  <si>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</si>
  <si>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</si>
  <si>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</si>
  <si>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</si>
  <si>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</si>
  <si>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</si>
  <si>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</si>
  <si>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</si>
  <si>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</si>
  <si>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</si>
  <si>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</si>
  <si>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</si>
  <si>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</si>
  <si>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</si>
  <si>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</si>
  <si>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</si>
  <si>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</si>
  <si>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</si>
  <si>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</si>
  <si>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</si>
  <si>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</si>
  <si>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</si>
  <si>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</si>
  <si>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</si>
  <si>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</si>
  <si>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</si>
  <si>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</si>
  <si>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</si>
  <si>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</si>
  <si>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</si>
  <si>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</si>
  <si>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</si>
  <si>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</si>
  <si>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</si>
  <si>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</si>
  <si>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</si>
  <si>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</si>
  <si>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</si>
  <si>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</si>
  <si>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</si>
  <si>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</si>
  <si>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</si>
  <si>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</si>
  <si>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</si>
  <si>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</si>
  <si>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</si>
  <si>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</si>
  <si>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</si>
  <si>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</si>
  <si>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</si>
  <si>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</si>
  <si>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</si>
  <si>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</si>
  <si>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</si>
  <si>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</si>
  <si>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</si>
  <si>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</si>
  <si>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</si>
  <si>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</si>
  <si>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</si>
  <si>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</si>
  <si>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</si>
  <si>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</si>
  <si>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</si>
  <si>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</si>
  <si>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</si>
  <si>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</si>
  <si>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</si>
  <si>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</si>
  <si>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</si>
  <si>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</si>
  <si>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</si>
  <si>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</si>
  <si>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</si>
  <si>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</si>
  <si>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</si>
  <si>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</si>
  <si>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</si>
  <si>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</si>
  <si>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</si>
  <si>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</si>
  <si>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</si>
  <si>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</si>
  <si>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</si>
  <si>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</si>
  <si>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</si>
  <si>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</si>
  <si>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</si>
  <si>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</si>
  <si>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</si>
  <si>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</si>
  <si>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</si>
  <si>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</si>
  <si>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</si>
  <si>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</si>
  <si>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</si>
  <si>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</si>
  <si>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</si>
  <si>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</si>
  <si>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</si>
  <si>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</si>
  <si>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</si>
  <si>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</si>
  <si>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</si>
  <si>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</si>
  <si>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</si>
  <si>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</si>
  <si>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</si>
  <si>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</si>
  <si>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</si>
  <si>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</si>
  <si>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</si>
  <si>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</si>
  <si>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</si>
  <si>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</si>
  <si>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</si>
  <si>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</si>
  <si>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</si>
  <si>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</si>
  <si>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</si>
  <si>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</si>
  <si>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</si>
  <si>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</si>
  <si>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</si>
  <si>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</si>
  <si>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</si>
  <si>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</si>
  <si>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</si>
  <si>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</si>
  <si>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</si>
  <si>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</si>
  <si>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</si>
  <si>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</si>
  <si>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</si>
  <si>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</si>
  <si>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</si>
  <si>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</si>
  <si>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</si>
  <si>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</si>
  <si>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</si>
  <si>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</si>
  <si>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</si>
  <si>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</si>
  <si>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</si>
  <si>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</si>
  <si>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</si>
  <si>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</si>
  <si>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</si>
  <si>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</si>
  <si>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</si>
  <si>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</si>
  <si>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</si>
  <si>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</si>
  <si>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</si>
  <si>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</si>
  <si>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</si>
  <si>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</si>
  <si>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</si>
  <si>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</si>
  <si>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</si>
  <si>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</si>
  <si>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</si>
  <si>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</si>
  <si>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</si>
  <si>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</si>
  <si>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한국폴리텍대학 광주캠퍼스 공학관 증축 공사(건축, 토목, 조경, 기계설비)</t>
    <phoneticPr fontId="2" type="noConversion"/>
  </si>
  <si>
    <t>교육연구</t>
  </si>
  <si>
    <t>광주시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</si>
  <si>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</si>
  <si>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</si>
  <si>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</si>
  <si>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</t>
    <phoneticPr fontId="2" type="noConversion"/>
  </si>
  <si>
    <t>CATV 및 TV 설비공사</t>
    <phoneticPr fontId="2" type="noConversion"/>
  </si>
  <si>
    <t>CCTV설비공사</t>
    <phoneticPr fontId="2" type="noConversion"/>
  </si>
  <si>
    <t>펌프실배관공사,기타공사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</si>
  <si>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</si>
  <si>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</si>
  <si>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조경시설물</t>
    <phoneticPr fontId="2" type="noConversion"/>
  </si>
  <si>
    <t>기초공사,해체및철거공사,골재비및운반비,작업부산물,품질시험비,기타공사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</si>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</sst>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6411</v>
      </c>
      <c r="D7" s="36">
        <f>+C7/3.3058</f>
        <v>1939.3187730655211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843020</v>
      </c>
      <c r="E25" s="59">
        <f t="shared" si="0"/>
        <v>2786850</v>
      </c>
    </row>
    <row r="26" spans="1:5" x14ac:dyDescent="0.3">
      <c r="B26" s="2">
        <v>3</v>
      </c>
      <c r="C26" s="35" t="s">
        <v>95</v>
      </c>
      <c r="D26" s="45">
        <f>+D66</f>
        <v>42710</v>
      </c>
      <c r="E26" s="59">
        <f t="shared" si="0"/>
        <v>141190</v>
      </c>
    </row>
    <row r="27" spans="1:5" x14ac:dyDescent="0.3">
      <c r="B27" s="2">
        <v>4</v>
      </c>
      <c r="C27" s="35" t="s">
        <v>96</v>
      </c>
      <c r="D27" s="45">
        <f>+D95</f>
        <v>162360</v>
      </c>
      <c r="E27" s="59">
        <f t="shared" si="0"/>
        <v>536720</v>
      </c>
    </row>
    <row r="28" spans="1:5" x14ac:dyDescent="0.3">
      <c r="B28" s="2">
        <v>5</v>
      </c>
      <c r="C28" s="35" t="s">
        <v>97</v>
      </c>
      <c r="D28" s="45">
        <f>+D119</f>
        <v>189120</v>
      </c>
      <c r="E28" s="59">
        <f t="shared" si="0"/>
        <v>625190</v>
      </c>
    </row>
    <row r="29" spans="1:5" x14ac:dyDescent="0.3">
      <c r="B29" s="2">
        <v>6</v>
      </c>
      <c r="C29" s="35" t="s">
        <v>98</v>
      </c>
      <c r="D29" s="45">
        <f>+D133</f>
        <v>40420</v>
      </c>
      <c r="E29" s="59">
        <f t="shared" si="0"/>
        <v>133620</v>
      </c>
    </row>
    <row r="30" spans="1:5" x14ac:dyDescent="0.3">
      <c r="B30" s="2">
        <v>7</v>
      </c>
      <c r="C30" s="35" t="s">
        <v>99</v>
      </c>
      <c r="D30" s="45">
        <f>+D146</f>
        <v>38590</v>
      </c>
      <c r="E30" s="59">
        <f t="shared" si="0"/>
        <v>127570</v>
      </c>
    </row>
    <row r="31" spans="1:5" x14ac:dyDescent="0.3">
      <c r="B31" s="2">
        <v>8</v>
      </c>
      <c r="C31" s="35" t="s">
        <v>100</v>
      </c>
      <c r="D31" s="45">
        <f>+D154</f>
        <v>59840</v>
      </c>
      <c r="E31" s="59">
        <f t="shared" si="0"/>
        <v>197810</v>
      </c>
    </row>
    <row r="32" spans="1:5" x14ac:dyDescent="0.3">
      <c r="B32" s="2">
        <v>9</v>
      </c>
      <c r="C32" s="35" t="s">
        <v>101</v>
      </c>
      <c r="D32" s="45">
        <f>+D161</f>
        <v>14080</v>
      </c>
      <c r="E32" s="59">
        <f t="shared" si="0"/>
        <v>46540</v>
      </c>
    </row>
    <row r="33" spans="1:7" x14ac:dyDescent="0.3">
      <c r="B33" s="2">
        <v>10</v>
      </c>
      <c r="C33" s="35" t="s">
        <v>154</v>
      </c>
      <c r="D33" s="53">
        <f>TRUNC(SUM(D24:D32)*0.275,-1)</f>
        <v>382280</v>
      </c>
      <c r="E33" s="60">
        <f t="shared" si="0"/>
        <v>1263740</v>
      </c>
    </row>
    <row r="34" spans="1:7" x14ac:dyDescent="0.3">
      <c r="C34" s="35" t="s">
        <v>112</v>
      </c>
      <c r="D34" s="44">
        <f>SUM(D24:D33)</f>
        <v>1772420</v>
      </c>
      <c r="E34" s="44">
        <f>SUM(E24:E33)</f>
        <v>5859230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239</v>
      </c>
      <c r="D39" s="57" t="s">
        <v>235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TRUNC(73103,-1)</f>
        <v>73100</v>
      </c>
      <c r="E40" s="62">
        <f t="shared" ref="E40:E59" si="1">TRUNC(+D40*3.3058,-1)</f>
        <v>241650</v>
      </c>
    </row>
    <row r="41" spans="1:7" x14ac:dyDescent="0.3">
      <c r="A41" s="2">
        <v>2</v>
      </c>
      <c r="C41" s="38" t="s">
        <v>13</v>
      </c>
      <c r="D41" s="42">
        <f>TRUNC(169801,-1)</f>
        <v>169800</v>
      </c>
      <c r="E41" s="63">
        <f t="shared" si="1"/>
        <v>561320</v>
      </c>
    </row>
    <row r="42" spans="1:7" x14ac:dyDescent="0.3">
      <c r="A42" s="2">
        <v>3</v>
      </c>
      <c r="C42" s="38" t="s">
        <v>14</v>
      </c>
      <c r="D42" s="42">
        <f>TRUNC(441,-1)</f>
        <v>440</v>
      </c>
      <c r="E42" s="63">
        <f t="shared" si="1"/>
        <v>1450</v>
      </c>
    </row>
    <row r="43" spans="1:7" x14ac:dyDescent="0.3">
      <c r="A43" s="2">
        <v>4</v>
      </c>
      <c r="C43" s="38" t="s">
        <v>16</v>
      </c>
      <c r="D43" s="42">
        <f>TRUNC(52135,-1)</f>
        <v>52130</v>
      </c>
      <c r="E43" s="63">
        <f t="shared" si="1"/>
        <v>172330</v>
      </c>
    </row>
    <row r="44" spans="1:7" x14ac:dyDescent="0.3">
      <c r="A44" s="2">
        <v>5</v>
      </c>
      <c r="C44" s="38" t="s">
        <v>17</v>
      </c>
      <c r="D44" s="42">
        <f>TRUNC(33282,-1)</f>
        <v>33280</v>
      </c>
      <c r="E44" s="63">
        <f t="shared" si="1"/>
        <v>110010</v>
      </c>
    </row>
    <row r="45" spans="1:7" x14ac:dyDescent="0.3">
      <c r="A45" s="2">
        <v>6</v>
      </c>
      <c r="C45" s="38" t="s">
        <v>18</v>
      </c>
      <c r="D45" s="42">
        <v>12410</v>
      </c>
      <c r="E45" s="63">
        <f t="shared" si="1"/>
        <v>41020</v>
      </c>
    </row>
    <row r="46" spans="1:7" x14ac:dyDescent="0.3">
      <c r="A46" s="2">
        <v>7</v>
      </c>
      <c r="C46" s="38" t="s">
        <v>19</v>
      </c>
      <c r="D46" s="42">
        <v>22730</v>
      </c>
      <c r="E46" s="63">
        <f t="shared" si="1"/>
        <v>75140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TRUNC(29896,-1)</f>
        <v>29890</v>
      </c>
      <c r="E48" s="63">
        <f t="shared" si="1"/>
        <v>98810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TRUNC(32412,-1)</f>
        <v>32410</v>
      </c>
      <c r="E49" s="63">
        <f t="shared" si="1"/>
        <v>107140</v>
      </c>
    </row>
    <row r="50" spans="1:7" x14ac:dyDescent="0.3">
      <c r="A50" s="2">
        <v>11</v>
      </c>
      <c r="C50" s="38" t="s">
        <v>155</v>
      </c>
      <c r="D50" s="42">
        <f>TRUNC(46066,-1)</f>
        <v>46060</v>
      </c>
      <c r="E50" s="63">
        <f t="shared" si="1"/>
        <v>152260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TRUNC(25491,-1)</f>
        <v>25490</v>
      </c>
      <c r="E52" s="63">
        <f t="shared" si="1"/>
        <v>84260</v>
      </c>
    </row>
    <row r="53" spans="1:7" x14ac:dyDescent="0.3">
      <c r="A53" s="2">
        <v>14</v>
      </c>
      <c r="C53" s="38" t="s">
        <v>25</v>
      </c>
      <c r="D53" s="42">
        <f>TRUNC(46521,-1)</f>
        <v>46520</v>
      </c>
      <c r="E53" s="63">
        <f t="shared" si="1"/>
        <v>153780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TRUNC(12512+8+5035-4+143+2180,-1)</f>
        <v>19870</v>
      </c>
      <c r="E58" s="63">
        <f t="shared" si="1"/>
        <v>65680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TRUNC(278897,-1)</f>
        <v>278890</v>
      </c>
      <c r="E59" s="64">
        <f t="shared" si="1"/>
        <v>921950</v>
      </c>
    </row>
    <row r="60" spans="1:7" x14ac:dyDescent="0.3">
      <c r="A60" s="2">
        <v>21</v>
      </c>
      <c r="C60" s="27" t="s">
        <v>112</v>
      </c>
      <c r="D60" s="39">
        <f>SUM(D40:D59)</f>
        <v>843020</v>
      </c>
      <c r="E60" s="39">
        <f>SUM(E40:E59)</f>
        <v>2786800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TRUNC(12242,-1)</f>
        <v>12240</v>
      </c>
      <c r="E63" s="62">
        <f>TRUNC(+D63*3.3058,-1)</f>
        <v>40460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TRUNC(30471,-1)</f>
        <v>30470</v>
      </c>
      <c r="E65" s="64">
        <f>TRUNC(+D65*3.3058,-1)</f>
        <v>100720</v>
      </c>
    </row>
    <row r="66" spans="1:7" x14ac:dyDescent="0.3">
      <c r="A66" s="2">
        <v>4</v>
      </c>
      <c r="C66" s="27" t="s">
        <v>112</v>
      </c>
      <c r="D66" s="39">
        <f>SUM(D63:D65)</f>
        <v>42710</v>
      </c>
      <c r="E66" s="65">
        <f>SUM(E63:E65)</f>
        <v>141180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TRUNC(6221,-1)</f>
        <v>6220</v>
      </c>
      <c r="E69" s="62">
        <f t="shared" ref="E69:E94" si="2">TRUNC(+D69*3.3058,-1)</f>
        <v>20560</v>
      </c>
    </row>
    <row r="70" spans="1:7" ht="16.5" customHeight="1" x14ac:dyDescent="0.3">
      <c r="A70" s="2">
        <v>2</v>
      </c>
      <c r="C70" s="38" t="s">
        <v>31</v>
      </c>
      <c r="D70" s="42">
        <f>TRUNC(657,-1)</f>
        <v>650</v>
      </c>
      <c r="E70" s="63">
        <f t="shared" si="2"/>
        <v>2140</v>
      </c>
    </row>
    <row r="71" spans="1:7" x14ac:dyDescent="0.3">
      <c r="A71" s="2">
        <v>3</v>
      </c>
      <c r="C71" s="38" t="s">
        <v>32</v>
      </c>
      <c r="D71" s="42">
        <v>6520</v>
      </c>
      <c r="E71" s="63">
        <f t="shared" si="2"/>
        <v>21550</v>
      </c>
    </row>
    <row r="72" spans="1:7" x14ac:dyDescent="0.3">
      <c r="A72" s="2">
        <v>4</v>
      </c>
      <c r="C72" s="38" t="s">
        <v>33</v>
      </c>
      <c r="D72" s="42">
        <f>TRUNC(2856,-1)</f>
        <v>2850</v>
      </c>
      <c r="E72" s="63">
        <f t="shared" si="2"/>
        <v>9420</v>
      </c>
    </row>
    <row r="73" spans="1:7" x14ac:dyDescent="0.3">
      <c r="A73" s="2">
        <v>5</v>
      </c>
      <c r="C73" s="38" t="s">
        <v>34</v>
      </c>
      <c r="D73" s="42">
        <f>TRUNC(5184,-1)</f>
        <v>5180</v>
      </c>
      <c r="E73" s="63">
        <f t="shared" si="2"/>
        <v>17120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TRUNC(38123,-1)</f>
        <v>38120</v>
      </c>
      <c r="E76" s="63">
        <f t="shared" si="2"/>
        <v>126010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TRUNC(5732,-1)</f>
        <v>5730</v>
      </c>
      <c r="E89" s="63">
        <f t="shared" si="2"/>
        <v>18940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TRUNC(13182,-1)</f>
        <v>13180</v>
      </c>
      <c r="E91" s="63">
        <f t="shared" si="2"/>
        <v>43570</v>
      </c>
    </row>
    <row r="92" spans="1:7" x14ac:dyDescent="0.3">
      <c r="A92" s="2">
        <v>24</v>
      </c>
      <c r="C92" s="38" t="s">
        <v>38</v>
      </c>
      <c r="D92" s="42">
        <f>TRUNC(4806,-1)</f>
        <v>4800</v>
      </c>
      <c r="E92" s="63">
        <f t="shared" si="2"/>
        <v>15860</v>
      </c>
    </row>
    <row r="93" spans="1:7" x14ac:dyDescent="0.3">
      <c r="A93" s="2">
        <v>25</v>
      </c>
      <c r="C93" s="38" t="s">
        <v>148</v>
      </c>
      <c r="D93" s="42">
        <f>TRUNC(72121,-1)</f>
        <v>72120</v>
      </c>
      <c r="E93" s="63">
        <f t="shared" si="2"/>
        <v>238410</v>
      </c>
    </row>
    <row r="94" spans="1:7" ht="17.25" thickBot="1" x14ac:dyDescent="0.35">
      <c r="A94" s="2">
        <v>26</v>
      </c>
      <c r="C94" s="38" t="s">
        <v>47</v>
      </c>
      <c r="D94" s="43">
        <f>TRUNC(6996,-1)</f>
        <v>6990</v>
      </c>
      <c r="E94" s="64">
        <f t="shared" si="2"/>
        <v>23100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162360</v>
      </c>
      <c r="E95" s="39">
        <f>SUM(E69:E94)</f>
        <v>536680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24080</v>
      </c>
      <c r="E98" s="62">
        <f t="shared" ref="E98:E118" si="3">TRUNC(+D98*3.3058,-1)</f>
        <v>79600</v>
      </c>
    </row>
    <row r="99" spans="1:7" x14ac:dyDescent="0.3">
      <c r="A99" s="2">
        <v>2</v>
      </c>
      <c r="C99" s="38" t="s">
        <v>40</v>
      </c>
      <c r="D99" s="42">
        <f>TRUNC(13826,-1)</f>
        <v>13820</v>
      </c>
      <c r="E99" s="63">
        <f t="shared" si="3"/>
        <v>45680</v>
      </c>
    </row>
    <row r="100" spans="1:7" x14ac:dyDescent="0.3">
      <c r="A100" s="2">
        <v>3</v>
      </c>
      <c r="C100" s="38" t="s">
        <v>41</v>
      </c>
      <c r="D100" s="42">
        <f>TRUNC(40875,-1)</f>
        <v>40870</v>
      </c>
      <c r="E100" s="63">
        <f t="shared" si="3"/>
        <v>135100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TRUNC(15033,-1)</f>
        <v>15030</v>
      </c>
      <c r="E102" s="63">
        <f t="shared" si="3"/>
        <v>49680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TRUNC(3471,-1)</f>
        <v>3470</v>
      </c>
      <c r="E104" s="63">
        <f t="shared" si="3"/>
        <v>11470</v>
      </c>
    </row>
    <row r="105" spans="1:7" x14ac:dyDescent="0.3">
      <c r="A105" s="2">
        <v>8</v>
      </c>
      <c r="C105" s="38" t="s">
        <v>46</v>
      </c>
      <c r="D105" s="42">
        <f>TRUNC(4208,-1)</f>
        <v>4200</v>
      </c>
      <c r="E105" s="63">
        <f t="shared" si="3"/>
        <v>13880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TRUNC(87658,-1)</f>
        <v>87650</v>
      </c>
      <c r="E117" s="63">
        <f t="shared" si="3"/>
        <v>289750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189120</v>
      </c>
      <c r="E119" s="39">
        <f>SUM(E98:E118)</f>
        <v>625160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TRUNC(3172,-1)</f>
        <v>3170</v>
      </c>
      <c r="E122" s="62">
        <f t="shared" ref="E122:E132" si="4">TRUNC(+D122*3.3058,-1)</f>
        <v>10470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TRUNC(9404,-1)</f>
        <v>9400</v>
      </c>
      <c r="E125" s="63">
        <f t="shared" si="4"/>
        <v>31070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TRUNC(18035,-1)</f>
        <v>18030</v>
      </c>
      <c r="E130" s="63">
        <f t="shared" si="4"/>
        <v>59600</v>
      </c>
    </row>
    <row r="131" spans="1:7" x14ac:dyDescent="0.3">
      <c r="A131" s="2">
        <v>10</v>
      </c>
      <c r="C131" s="38" t="s">
        <v>148</v>
      </c>
      <c r="D131" s="42">
        <f>TRUNC(8395,-1)</f>
        <v>8390</v>
      </c>
      <c r="E131" s="63">
        <f t="shared" si="4"/>
        <v>27730</v>
      </c>
    </row>
    <row r="132" spans="1:7" ht="18" thickBot="1" x14ac:dyDescent="0.35">
      <c r="A132" s="2">
        <v>11</v>
      </c>
      <c r="C132" s="38" t="s">
        <v>47</v>
      </c>
      <c r="D132" s="43">
        <f>TRUNC(1437,-1)</f>
        <v>1430</v>
      </c>
      <c r="E132" s="64">
        <f t="shared" si="4"/>
        <v>4720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40420</v>
      </c>
      <c r="E133" s="39">
        <f>SUM(E122:E132)</f>
        <v>133590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TRUNC(2348+690,-1)</f>
        <v>3030</v>
      </c>
      <c r="E137" s="63">
        <f t="shared" si="5"/>
        <v>10010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TRUNC(707,-1)</f>
        <v>700</v>
      </c>
      <c r="E139" s="63">
        <f t="shared" si="5"/>
        <v>2310</v>
      </c>
    </row>
    <row r="140" spans="1:7" x14ac:dyDescent="0.3">
      <c r="A140" s="2">
        <v>5</v>
      </c>
      <c r="C140" s="38" t="s">
        <v>57</v>
      </c>
      <c r="D140" s="42">
        <f>TRUNC(278,-1)</f>
        <v>270</v>
      </c>
      <c r="E140" s="63">
        <f t="shared" si="5"/>
        <v>890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TRUNC(4689,-1)</f>
        <v>4680</v>
      </c>
      <c r="E142" s="63">
        <f t="shared" si="5"/>
        <v>15470</v>
      </c>
    </row>
    <row r="143" spans="1:7" x14ac:dyDescent="0.3">
      <c r="A143" s="2">
        <v>8</v>
      </c>
      <c r="C143" s="38" t="s">
        <v>62</v>
      </c>
      <c r="D143" s="42">
        <f>TRUNC(8439,-1)</f>
        <v>8430</v>
      </c>
      <c r="E143" s="63">
        <f t="shared" si="5"/>
        <v>27860</v>
      </c>
    </row>
    <row r="144" spans="1:7" x14ac:dyDescent="0.3">
      <c r="A144" s="2">
        <v>9</v>
      </c>
      <c r="C144" s="38" t="s">
        <v>63</v>
      </c>
      <c r="D144" s="42">
        <f>TRUNC(17638,-1)</f>
        <v>17630</v>
      </c>
      <c r="E144" s="63">
        <f t="shared" si="5"/>
        <v>58280</v>
      </c>
    </row>
    <row r="145" spans="1:7" ht="17.25" thickBot="1" x14ac:dyDescent="0.35">
      <c r="A145" s="2">
        <v>10</v>
      </c>
      <c r="C145" s="38" t="s">
        <v>148</v>
      </c>
      <c r="D145" s="43">
        <f>TRUNC(3854,-1)</f>
        <v>3850</v>
      </c>
      <c r="E145" s="64">
        <f t="shared" si="5"/>
        <v>12720</v>
      </c>
    </row>
    <row r="146" spans="1:7" x14ac:dyDescent="0.3">
      <c r="A146" s="2">
        <v>11</v>
      </c>
      <c r="C146" s="27" t="s">
        <v>112</v>
      </c>
      <c r="D146" s="39">
        <f>SUM(D136:D145)</f>
        <v>38590</v>
      </c>
      <c r="E146" s="39">
        <f>SUM(E136:E145)</f>
        <v>127540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TRUNC(11255+3367,-1)</f>
        <v>14620</v>
      </c>
      <c r="E149" s="62">
        <f>TRUNC(+D149*3.3058,-1)</f>
        <v>48330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TRUNC(5169,-1)</f>
        <v>5160</v>
      </c>
      <c r="E150" s="63">
        <f>TRUNC(+D150*3.3058,-1)</f>
        <v>17050</v>
      </c>
    </row>
    <row r="151" spans="1:7" x14ac:dyDescent="0.3">
      <c r="A151" s="2">
        <v>3</v>
      </c>
      <c r="C151" s="38" t="s">
        <v>50</v>
      </c>
      <c r="D151" s="42">
        <f>TRUNC(5199,-1)</f>
        <v>5190</v>
      </c>
      <c r="E151" s="63">
        <f>TRUNC(+D151*3.3058,-1)</f>
        <v>17150</v>
      </c>
    </row>
    <row r="152" spans="1:7" x14ac:dyDescent="0.3">
      <c r="A152" s="2">
        <v>4</v>
      </c>
      <c r="C152" s="38" t="s">
        <v>47</v>
      </c>
      <c r="D152" s="42">
        <f>TRUNC(189+4800,-1)</f>
        <v>4980</v>
      </c>
      <c r="E152" s="63">
        <f>TRUNC(+D152*3.3058,-1)</f>
        <v>16460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TRUNC(29898,-1)</f>
        <v>29890</v>
      </c>
      <c r="E153" s="64">
        <f>TRUNC(+D153*3.3058,-1)</f>
        <v>98810</v>
      </c>
    </row>
    <row r="154" spans="1:7" x14ac:dyDescent="0.3">
      <c r="A154" s="2">
        <v>6</v>
      </c>
      <c r="C154" s="27" t="s">
        <v>112</v>
      </c>
      <c r="D154" s="39">
        <f>SUM(D149:D153)</f>
        <v>59840</v>
      </c>
      <c r="E154" s="39">
        <f>SUM(E149:E153)</f>
        <v>197800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TRUNC(11244,-1)</f>
        <v>11240</v>
      </c>
      <c r="E157" s="62">
        <f>TRUNC(+D157*3.3058,-1)</f>
        <v>37150</v>
      </c>
    </row>
    <row r="158" spans="1:7" x14ac:dyDescent="0.3">
      <c r="A158" s="2">
        <v>2</v>
      </c>
      <c r="C158" s="38" t="s">
        <v>52</v>
      </c>
      <c r="D158" s="42">
        <f>TRUNC(2842,-1)</f>
        <v>2840</v>
      </c>
      <c r="E158" s="63">
        <f>TRUNC(+D158*3.3058,-1)</f>
        <v>9380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14080</v>
      </c>
      <c r="E161" s="39">
        <f>SUM(E157:E160)</f>
        <v>46530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2020-12-08T04:21:48Z</dcterms:modified>
</cp:coreProperties>
</file>