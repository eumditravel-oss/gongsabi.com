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9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8" i="4" l="1"/>
  <c r="D153" i="4"/>
  <c r="D151" i="4"/>
  <c r="D150" i="4"/>
  <c r="D144" i="4"/>
  <c r="D143" i="4"/>
  <c r="D142" i="4"/>
  <c r="D140" i="4"/>
  <c r="D139" i="4"/>
  <c r="D137" i="4"/>
  <c r="D132" i="4"/>
  <c r="D131" i="4"/>
  <c r="D128" i="4"/>
  <c r="D126" i="4"/>
  <c r="D125" i="4"/>
  <c r="D118" i="4"/>
  <c r="D117" i="4"/>
  <c r="D116" i="4"/>
  <c r="D105" i="4"/>
  <c r="D104" i="4"/>
  <c r="D103" i="4"/>
  <c r="D102" i="4"/>
  <c r="D101" i="4"/>
  <c r="D100" i="4"/>
  <c r="D99" i="4"/>
  <c r="D98" i="4"/>
  <c r="D93" i="4"/>
  <c r="D92" i="4"/>
  <c r="D91" i="4"/>
  <c r="D73" i="4"/>
  <c r="D72" i="4"/>
  <c r="D71" i="4"/>
  <c r="D69" i="4"/>
  <c r="D63" i="4"/>
  <c r="D59" i="4"/>
  <c r="D58" i="4"/>
  <c r="D53" i="4"/>
  <c r="D52" i="4"/>
  <c r="D50" i="4"/>
  <c r="D49" i="4"/>
  <c r="D48" i="4"/>
  <c r="D45" i="4"/>
  <c r="D44" i="4"/>
  <c r="D43" i="4"/>
  <c r="D41" i="4"/>
  <c r="D40" i="4"/>
  <c r="D152" i="4" l="1"/>
  <c r="D94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<sst xmlns="http://schemas.openxmlformats.org/spreadsheetml/2006/main" count="389" uniqueCount="263">
  <si>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</si>
  <si>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</si>
  <si>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</si>
  <si>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</si>
  <si>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</si>
  <si>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</si>
  <si>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</si>
  <si>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</si>
  <si>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</si>
  <si>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</si>
  <si>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</si>
  <si>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</si>
  <si>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</si>
  <si>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</si>
  <si>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</si>
  <si>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</si>
  <si>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</si>
  <si>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</si>
  <si>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</si>
  <si>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</si>
  <si>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</si>
  <si>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</si>
  <si>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</si>
  <si>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</si>
  <si>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</si>
  <si>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</si>
  <si>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</si>
  <si>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</si>
  <si>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</si>
  <si>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</si>
  <si>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</si>
  <si>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</si>
  <si>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</si>
  <si>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</si>
  <si>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</si>
  <si>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</si>
  <si>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</si>
  <si>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</si>
  <si>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</si>
  <si>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</si>
  <si>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</si>
  <si>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</si>
  <si>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</si>
  <si>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</si>
  <si>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</si>
  <si>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</si>
  <si>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</si>
  <si>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</si>
  <si>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</si>
  <si>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</si>
  <si>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</si>
  <si>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</si>
  <si>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</si>
  <si>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</si>
  <si>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</si>
  <si>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</si>
  <si>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</si>
  <si>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</si>
  <si>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</si>
  <si>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</si>
  <si>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</si>
  <si>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</si>
  <si>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</si>
  <si>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</si>
  <si>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</si>
  <si>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</si>
  <si>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</si>
  <si>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</si>
  <si>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</si>
  <si>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</si>
  <si>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</si>
  <si>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</si>
  <si>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</si>
  <si>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</si>
  <si>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</si>
  <si>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</si>
  <si>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</si>
  <si>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</si>
  <si>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</si>
  <si>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</si>
  <si>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</si>
  <si>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</si>
  <si>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</si>
  <si>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</si>
  <si>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</si>
  <si>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</si>
  <si>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</si>
  <si>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</si>
  <si>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</si>
  <si>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</si>
  <si>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</si>
  <si>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</si>
  <si>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</si>
  <si>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</si>
  <si>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</si>
  <si>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</si>
  <si>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</si>
  <si>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</si>
  <si>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</si>
  <si>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</si>
  <si>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</si>
  <si>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</si>
  <si>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</si>
  <si>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</si>
  <si>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</si>
  <si>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</si>
  <si>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</si>
  <si>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</si>
  <si>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</si>
  <si>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</si>
  <si>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</si>
  <si>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</si>
  <si>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</si>
  <si>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</si>
  <si>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</si>
  <si>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</si>
  <si>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</si>
  <si>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</si>
  <si>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</si>
  <si>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</si>
  <si>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</si>
  <si>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</si>
  <si>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</si>
  <si>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</si>
  <si>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</si>
  <si>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</si>
  <si>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</si>
  <si>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</si>
  <si>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</si>
  <si>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</si>
  <si>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</si>
  <si>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</si>
  <si>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</si>
  <si>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</si>
  <si>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</si>
  <si>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</si>
  <si>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</si>
  <si>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</si>
  <si>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</si>
  <si>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</si>
  <si>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</si>
  <si>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</si>
  <si>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</si>
  <si>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</si>
  <si>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</si>
  <si>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</si>
  <si>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</si>
  <si>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</si>
  <si>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</si>
  <si>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</si>
  <si>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</si>
  <si>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</si>
  <si>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</si>
  <si>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</si>
  <si>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</si>
  <si>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</si>
  <si>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</si>
  <si>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</si>
  <si>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</si>
  <si>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</si>
  <si>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</si>
  <si>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</si>
  <si>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</si>
  <si>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</si>
  <si>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</si>
  <si>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</si>
  <si>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</si>
  <si>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</si>
  <si>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</si>
  <si>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</si>
  <si>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</si>
  <si>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</si>
  <si>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</si>
  <si>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</si>
  <si>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</si>
  <si>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</si>
  <si>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</si>
  <si>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</si>
  <si>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</si>
  <si>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</si>
  <si>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</si>
  <si>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</si>
  <si>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</si>
  <si>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</si>
  <si>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</si>
  <si>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</si>
  <si>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</si>
  <si>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</si>
  <si>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</si>
  <si>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</si>
  <si>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</si>
  <si>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</si>
  <si>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</si>
  <si>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</si>
  <si>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</si>
  <si>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</si>
  <si>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</si>
  <si>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</si>
  <si>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</si>
  <si>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</si>
  <si>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</si>
  <si>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</si>
  <si>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</si>
  <si>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</si>
  <si>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</si>
  <si>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</si>
  <si>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</si>
  <si>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</si>
  <si>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</si>
  <si>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</si>
  <si>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</si>
  <si>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</si>
  <si>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</si>
  <si>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</si>
  <si>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</si>
  <si>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</si>
  <si>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</si>
  <si>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</si>
  <si>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</si>
  <si>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</si>
  <si>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</si>
  <si>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</si>
  <si>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</si>
  <si>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</si>
  <si>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</si>
  <si>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</si>
  <si>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</si>
  <si>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</si>
  <si>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</si>
  <si>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</si>
  <si>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</si>
  <si>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</si>
  <si>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</si>
  <si>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</si>
  <si>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</si>
  <si>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</si>
  <si>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</si>
  <si>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</si>
  <si>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</si>
  <si>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</si>
  <si>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</si>
  <si>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</si>
  <si>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</si>
  <si>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</si>
  <si>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</si>
  <si>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</si>
  <si>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</si>
  <si>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</si>
  <si>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</si>
  <si>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</si>
  <si>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중모고등학교 농업계 특성화고 전환공사</t>
    <phoneticPr fontId="2" type="noConversion"/>
  </si>
  <si>
    <t>경상도</t>
  </si>
  <si>
    <t>창호및유리공사</t>
    <phoneticPr fontId="2" type="noConversion"/>
  </si>
  <si>
    <t>목공사및수장공사(인테리어공사 포함)</t>
    <phoneticPr fontId="2" type="noConversion"/>
  </si>
  <si>
    <t>기초공사, 해체및철거공사, 폐기물처리비, 골재비및운반비, 품질시험비, 기타공사</t>
    <phoneticPr fontId="2" type="noConversion"/>
  </si>
  <si>
    <t>공조배관공사, 난방배관공사, 바닥난방공사, 기타공사</t>
    <phoneticPr fontId="2" type="noConversion"/>
  </si>
  <si>
    <t>전기인입 및 수변전 설비공사</t>
    <phoneticPr fontId="2" type="noConversion"/>
  </si>
  <si>
    <t>CCTV설비공사, 출입통제설비공사, 기타공사</t>
    <phoneticPr fontId="2" type="noConversion"/>
  </si>
  <si>
    <t>운반비, 기타공사</t>
    <phoneticPr fontId="2" type="noConversion"/>
  </si>
  <si>
    <t xml:space="preserve">                                                                                                                                            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</si>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</sst>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157</v>
      </c>
      <c r="B2" s="72" t="s">
        <v>0</v>
      </c>
      <c r="C2" s="73"/>
      <c r="D2" s="72" t="s">
        <v>1</v>
      </c>
      <c r="E2" s="73"/>
      <c r="F2" s="72" t="s">
        <v>158</v>
      </c>
      <c r="G2" s="73"/>
      <c r="H2" s="72" t="s">
        <v>2</v>
      </c>
      <c r="I2" s="73"/>
      <c r="J2" s="72" t="s">
        <v>3</v>
      </c>
      <c r="K2" s="73"/>
      <c r="L2" s="72" t="s">
        <v>159</v>
      </c>
      <c r="M2" s="73"/>
      <c r="N2" s="72" t="s">
        <v>160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260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250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11312.55</v>
      </c>
      <c r="D7" s="36">
        <f>+C7/3.3058</f>
        <v>3422.0309758606081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251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210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261</v>
      </c>
    </row>
    <row r="19" spans="1:5" x14ac:dyDescent="0.3">
      <c r="A19" s="2">
        <v>9</v>
      </c>
      <c r="B19" s="2" t="s">
        <v>262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921620</v>
      </c>
      <c r="E25" s="59">
        <f t="shared" si="0"/>
        <v>3046690</v>
      </c>
    </row>
    <row r="26" spans="1:5" x14ac:dyDescent="0.3">
      <c r="B26" s="2">
        <v>3</v>
      </c>
      <c r="C26" s="35" t="s">
        <v>95</v>
      </c>
      <c r="D26" s="45">
        <f>+D66</f>
        <v>7300</v>
      </c>
      <c r="E26" s="59">
        <f t="shared" si="0"/>
        <v>24130</v>
      </c>
    </row>
    <row r="27" spans="1:5" x14ac:dyDescent="0.3">
      <c r="B27" s="2">
        <v>4</v>
      </c>
      <c r="C27" s="35" t="s">
        <v>96</v>
      </c>
      <c r="D27" s="45">
        <f>+D95</f>
        <v>175290</v>
      </c>
      <c r="E27" s="59">
        <f t="shared" si="0"/>
        <v>579470</v>
      </c>
    </row>
    <row r="28" spans="1:5" x14ac:dyDescent="0.3">
      <c r="B28" s="2">
        <v>5</v>
      </c>
      <c r="C28" s="35" t="s">
        <v>97</v>
      </c>
      <c r="D28" s="45">
        <f>+D119</f>
        <v>219720</v>
      </c>
      <c r="E28" s="59">
        <f t="shared" si="0"/>
        <v>726350</v>
      </c>
    </row>
    <row r="29" spans="1:5" x14ac:dyDescent="0.3">
      <c r="B29" s="2">
        <v>6</v>
      </c>
      <c r="C29" s="35" t="s">
        <v>98</v>
      </c>
      <c r="D29" s="45">
        <f>+D133</f>
        <v>80500</v>
      </c>
      <c r="E29" s="59">
        <f t="shared" si="0"/>
        <v>266110</v>
      </c>
    </row>
    <row r="30" spans="1:5" x14ac:dyDescent="0.3">
      <c r="B30" s="2">
        <v>7</v>
      </c>
      <c r="C30" s="35" t="s">
        <v>99</v>
      </c>
      <c r="D30" s="45">
        <f>+D146</f>
        <v>29440</v>
      </c>
      <c r="E30" s="59">
        <f t="shared" si="0"/>
        <v>97320</v>
      </c>
    </row>
    <row r="31" spans="1:5" x14ac:dyDescent="0.3">
      <c r="B31" s="2">
        <v>8</v>
      </c>
      <c r="C31" s="35" t="s">
        <v>100</v>
      </c>
      <c r="D31" s="45">
        <f>+D154</f>
        <v>111030</v>
      </c>
      <c r="E31" s="59">
        <f t="shared" si="0"/>
        <v>367040</v>
      </c>
    </row>
    <row r="32" spans="1:5" x14ac:dyDescent="0.3">
      <c r="B32" s="2">
        <v>9</v>
      </c>
      <c r="C32" s="35" t="s">
        <v>101</v>
      </c>
      <c r="D32" s="45">
        <f>+D161</f>
        <v>30580</v>
      </c>
      <c r="E32" s="59">
        <f t="shared" si="0"/>
        <v>101090</v>
      </c>
    </row>
    <row r="33" spans="1:7" x14ac:dyDescent="0.3">
      <c r="B33" s="2">
        <v>10</v>
      </c>
      <c r="C33" s="35" t="s">
        <v>155</v>
      </c>
      <c r="D33" s="53">
        <f>TRUNC(SUM(D24:D32)*0.275,-1)</f>
        <v>433250</v>
      </c>
      <c r="E33" s="60">
        <f t="shared" si="0"/>
        <v>1432230</v>
      </c>
    </row>
    <row r="34" spans="1:7" x14ac:dyDescent="0.3">
      <c r="C34" s="35" t="s">
        <v>112</v>
      </c>
      <c r="D34" s="44">
        <f>SUM(D24:D33)</f>
        <v>2008730</v>
      </c>
      <c r="E34" s="44">
        <f>SUM(E24:E33)</f>
        <v>6640430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7" t="s">
        <v>113</v>
      </c>
      <c r="D39" s="57" t="s">
        <v>238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TRUNC(45396,-1)</f>
        <v>45390</v>
      </c>
      <c r="E40" s="62">
        <f t="shared" ref="E40:E59" si="1">TRUNC(+D40*3.3058,-1)</f>
        <v>150050</v>
      </c>
    </row>
    <row r="41" spans="1:7" x14ac:dyDescent="0.3">
      <c r="A41" s="2">
        <v>2</v>
      </c>
      <c r="C41" s="38" t="s">
        <v>13</v>
      </c>
      <c r="D41" s="42">
        <f>TRUNC(223979,-1)</f>
        <v>223970</v>
      </c>
      <c r="E41" s="63">
        <f t="shared" si="1"/>
        <v>740400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TRUNC(47324,-1)</f>
        <v>47320</v>
      </c>
      <c r="E43" s="63">
        <f t="shared" si="1"/>
        <v>156430</v>
      </c>
    </row>
    <row r="44" spans="1:7" x14ac:dyDescent="0.3">
      <c r="A44" s="2">
        <v>5</v>
      </c>
      <c r="C44" s="38" t="s">
        <v>17</v>
      </c>
      <c r="D44" s="42">
        <f>TRUNC(22761,-1)</f>
        <v>22760</v>
      </c>
      <c r="E44" s="63">
        <f t="shared" si="1"/>
        <v>75240</v>
      </c>
    </row>
    <row r="45" spans="1:7" x14ac:dyDescent="0.3">
      <c r="A45" s="2">
        <v>6</v>
      </c>
      <c r="C45" s="38" t="s">
        <v>18</v>
      </c>
      <c r="D45" s="42">
        <f>TRUNC(44659,-1)</f>
        <v>44650</v>
      </c>
      <c r="E45" s="63">
        <f t="shared" si="1"/>
        <v>147600</v>
      </c>
    </row>
    <row r="46" spans="1:7" x14ac:dyDescent="0.3">
      <c r="A46" s="2">
        <v>7</v>
      </c>
      <c r="C46" s="38" t="s">
        <v>19</v>
      </c>
      <c r="D46" s="42">
        <v>0</v>
      </c>
      <c r="E46" s="63">
        <f t="shared" si="1"/>
        <v>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TRUNC(61526,-1)</f>
        <v>61520</v>
      </c>
      <c r="E48" s="63">
        <f t="shared" si="1"/>
        <v>203370</v>
      </c>
    </row>
    <row r="49" spans="1:7" x14ac:dyDescent="0.3">
      <c r="A49" s="2">
        <v>10</v>
      </c>
      <c r="C49" s="38" t="s">
        <v>22</v>
      </c>
      <c r="D49" s="42">
        <f>TRUNC(24222,-1)</f>
        <v>24220</v>
      </c>
      <c r="E49" s="63">
        <f t="shared" si="1"/>
        <v>80060</v>
      </c>
    </row>
    <row r="50" spans="1:7" x14ac:dyDescent="0.3">
      <c r="A50" s="2">
        <v>11</v>
      </c>
      <c r="C50" s="38" t="s">
        <v>156</v>
      </c>
      <c r="D50" s="42">
        <f>TRUNC(51218,-1)</f>
        <v>51210</v>
      </c>
      <c r="E50" s="63">
        <f t="shared" si="1"/>
        <v>169290</v>
      </c>
      <c r="F50" s="2" t="s">
        <v>252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TRUNC(16588,-1)</f>
        <v>16580</v>
      </c>
      <c r="E52" s="63">
        <f t="shared" si="1"/>
        <v>54810</v>
      </c>
    </row>
    <row r="53" spans="1:7" x14ac:dyDescent="0.3">
      <c r="A53" s="2">
        <v>14</v>
      </c>
      <c r="C53" s="38" t="s">
        <v>25</v>
      </c>
      <c r="D53" s="42">
        <f>TRUNC(52018,-1)</f>
        <v>52010</v>
      </c>
      <c r="E53" s="63">
        <f t="shared" si="1"/>
        <v>171930</v>
      </c>
      <c r="F53" s="2" t="s">
        <v>253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TRUNC(18846+28434+159+7523+1132+51538,-1)</f>
        <v>107630</v>
      </c>
      <c r="E58" s="63">
        <f t="shared" si="1"/>
        <v>355800</v>
      </c>
      <c r="F58" s="2" t="s">
        <v>254</v>
      </c>
    </row>
    <row r="59" spans="1:7" ht="17.25" thickBot="1" x14ac:dyDescent="0.35">
      <c r="A59" s="2">
        <v>20</v>
      </c>
      <c r="C59" s="38" t="s">
        <v>149</v>
      </c>
      <c r="D59" s="43">
        <f>TRUNC(224365,-1)</f>
        <v>224360</v>
      </c>
      <c r="E59" s="64">
        <f t="shared" si="1"/>
        <v>741680</v>
      </c>
    </row>
    <row r="60" spans="1:7" x14ac:dyDescent="0.3">
      <c r="A60" s="2">
        <v>21</v>
      </c>
      <c r="C60" s="27" t="s">
        <v>112</v>
      </c>
      <c r="D60" s="39">
        <f>SUM(D40:D59)</f>
        <v>921620</v>
      </c>
      <c r="E60" s="39">
        <f>SUM(E40:E59)</f>
        <v>3046660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TRUNC(7304,-1)</f>
        <v>7300</v>
      </c>
      <c r="E63" s="62">
        <f>TRUNC(+D63*3.3058,-1)</f>
        <v>24130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7300</v>
      </c>
      <c r="E66" s="65">
        <f>SUM(E63:E65)</f>
        <v>24130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TRUNC(12359,-1)</f>
        <v>12350</v>
      </c>
      <c r="E69" s="62">
        <f t="shared" ref="E69:E94" si="2">TRUNC(+D69*3.3058,-1)</f>
        <v>40820</v>
      </c>
    </row>
    <row r="70" spans="1:7" ht="16.5" customHeight="1" x14ac:dyDescent="0.3">
      <c r="A70" s="2">
        <v>2</v>
      </c>
      <c r="C70" s="38" t="s">
        <v>31</v>
      </c>
      <c r="D70" s="42">
        <v>2820</v>
      </c>
      <c r="E70" s="63">
        <f t="shared" si="2"/>
        <v>9320</v>
      </c>
    </row>
    <row r="71" spans="1:7" x14ac:dyDescent="0.3">
      <c r="A71" s="2">
        <v>3</v>
      </c>
      <c r="C71" s="38" t="s">
        <v>32</v>
      </c>
      <c r="D71" s="42">
        <f>TRUNC(5335,-1)</f>
        <v>5330</v>
      </c>
      <c r="E71" s="63">
        <f t="shared" si="2"/>
        <v>17610</v>
      </c>
    </row>
    <row r="72" spans="1:7" x14ac:dyDescent="0.3">
      <c r="A72" s="2">
        <v>4</v>
      </c>
      <c r="C72" s="38" t="s">
        <v>33</v>
      </c>
      <c r="D72" s="42">
        <f>TRUNC(4996,-1)</f>
        <v>4990</v>
      </c>
      <c r="E72" s="63">
        <f t="shared" si="2"/>
        <v>16490</v>
      </c>
    </row>
    <row r="73" spans="1:7" x14ac:dyDescent="0.3">
      <c r="A73" s="2">
        <v>5</v>
      </c>
      <c r="C73" s="38" t="s">
        <v>34</v>
      </c>
      <c r="D73" s="42">
        <f>TRUNC(31521,-1)</f>
        <v>31520</v>
      </c>
      <c r="E73" s="63">
        <f t="shared" si="2"/>
        <v>104190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TRUNC(4551,-1)</f>
        <v>4550</v>
      </c>
      <c r="E91" s="63">
        <f t="shared" si="2"/>
        <v>15040</v>
      </c>
    </row>
    <row r="92" spans="1:7" x14ac:dyDescent="0.3">
      <c r="A92" s="2">
        <v>24</v>
      </c>
      <c r="C92" s="38" t="s">
        <v>38</v>
      </c>
      <c r="D92" s="42">
        <f>TRUNC(13093,-1)</f>
        <v>13090</v>
      </c>
      <c r="E92" s="63">
        <f t="shared" si="2"/>
        <v>43270</v>
      </c>
    </row>
    <row r="93" spans="1:7" x14ac:dyDescent="0.3">
      <c r="A93" s="2">
        <v>25</v>
      </c>
      <c r="C93" s="38" t="s">
        <v>149</v>
      </c>
      <c r="D93" s="42">
        <f>TRUNC(86385,-1)</f>
        <v>86380</v>
      </c>
      <c r="E93" s="63">
        <f t="shared" si="2"/>
        <v>285550</v>
      </c>
    </row>
    <row r="94" spans="1:7" ht="17.25" thickBot="1" x14ac:dyDescent="0.35">
      <c r="A94" s="2">
        <v>26</v>
      </c>
      <c r="C94" s="38" t="s">
        <v>47</v>
      </c>
      <c r="D94" s="43">
        <f>2904+480+2869+8007</f>
        <v>14260</v>
      </c>
      <c r="E94" s="64">
        <f t="shared" si="2"/>
        <v>47140</v>
      </c>
      <c r="F94" s="2" t="s">
        <v>255</v>
      </c>
    </row>
    <row r="95" spans="1:7" x14ac:dyDescent="0.3">
      <c r="A95" s="2">
        <v>27</v>
      </c>
      <c r="C95" s="27" t="s">
        <v>112</v>
      </c>
      <c r="D95" s="39">
        <f>SUM(D69:D94)</f>
        <v>175290</v>
      </c>
      <c r="E95" s="39">
        <f>SUM(E69:E94)</f>
        <v>579430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TRUNC(19557,-1)</f>
        <v>19550</v>
      </c>
      <c r="E98" s="62">
        <f t="shared" ref="E98:E118" si="3">TRUNC(+D98*3.3058,-1)</f>
        <v>64620</v>
      </c>
    </row>
    <row r="99" spans="1:7" x14ac:dyDescent="0.3">
      <c r="A99" s="2">
        <v>2</v>
      </c>
      <c r="C99" s="38" t="s">
        <v>40</v>
      </c>
      <c r="D99" s="42">
        <f>TRUNC(2867,-1)</f>
        <v>2860</v>
      </c>
      <c r="E99" s="63">
        <f t="shared" si="3"/>
        <v>9450</v>
      </c>
    </row>
    <row r="100" spans="1:7" x14ac:dyDescent="0.3">
      <c r="A100" s="2">
        <v>3</v>
      </c>
      <c r="C100" s="38" t="s">
        <v>41</v>
      </c>
      <c r="D100" s="42">
        <f>TRUNC(30379,-1)</f>
        <v>30370</v>
      </c>
      <c r="E100" s="63">
        <f t="shared" si="3"/>
        <v>100390</v>
      </c>
    </row>
    <row r="101" spans="1:7" x14ac:dyDescent="0.3">
      <c r="A101" s="2">
        <v>4</v>
      </c>
      <c r="C101" s="38" t="s">
        <v>42</v>
      </c>
      <c r="D101" s="42">
        <f>TRUNC(1244,-1)</f>
        <v>1240</v>
      </c>
      <c r="E101" s="63">
        <f t="shared" si="3"/>
        <v>4090</v>
      </c>
    </row>
    <row r="102" spans="1:7" x14ac:dyDescent="0.3">
      <c r="A102" s="2">
        <v>5</v>
      </c>
      <c r="C102" s="38" t="s">
        <v>43</v>
      </c>
      <c r="D102" s="42">
        <f>TRUNC(16549,-1)</f>
        <v>16540</v>
      </c>
      <c r="E102" s="63">
        <f t="shared" si="3"/>
        <v>54670</v>
      </c>
    </row>
    <row r="103" spans="1:7" x14ac:dyDescent="0.3">
      <c r="A103" s="2">
        <v>6</v>
      </c>
      <c r="C103" s="38" t="s">
        <v>44</v>
      </c>
      <c r="D103" s="42">
        <f>TRUNC(6787,-1)</f>
        <v>6780</v>
      </c>
      <c r="E103" s="63">
        <f t="shared" si="3"/>
        <v>22410</v>
      </c>
    </row>
    <row r="104" spans="1:7" x14ac:dyDescent="0.3">
      <c r="A104" s="2">
        <v>7</v>
      </c>
      <c r="C104" s="38" t="s">
        <v>45</v>
      </c>
      <c r="D104" s="42">
        <f>TRUNC(3935,-1)</f>
        <v>3930</v>
      </c>
      <c r="E104" s="63">
        <f t="shared" si="3"/>
        <v>12990</v>
      </c>
    </row>
    <row r="105" spans="1:7" x14ac:dyDescent="0.3">
      <c r="A105" s="2">
        <v>8</v>
      </c>
      <c r="C105" s="38" t="s">
        <v>46</v>
      </c>
      <c r="D105" s="42">
        <f>TRUNC(2478,-1)</f>
        <v>2470</v>
      </c>
      <c r="E105" s="63">
        <f t="shared" si="3"/>
        <v>8160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TRUNC(2043,-1)</f>
        <v>2040</v>
      </c>
      <c r="E116" s="63">
        <f t="shared" si="3"/>
        <v>6740</v>
      </c>
      <c r="F116" s="2" t="s">
        <v>256</v>
      </c>
    </row>
    <row r="117" spans="1:7" x14ac:dyDescent="0.3">
      <c r="A117" s="2">
        <v>20</v>
      </c>
      <c r="C117" s="38" t="s">
        <v>149</v>
      </c>
      <c r="D117" s="42">
        <f>TRUNC(130175,-1)</f>
        <v>130170</v>
      </c>
      <c r="E117" s="63">
        <f t="shared" si="3"/>
        <v>430310</v>
      </c>
    </row>
    <row r="118" spans="1:7" ht="17.25" thickBot="1" x14ac:dyDescent="0.35">
      <c r="A118" s="2">
        <v>21</v>
      </c>
      <c r="C118" s="38" t="s">
        <v>47</v>
      </c>
      <c r="D118" s="43">
        <f>TRUNC(3779,-1)</f>
        <v>3770</v>
      </c>
      <c r="E118" s="64">
        <f t="shared" si="3"/>
        <v>12460</v>
      </c>
    </row>
    <row r="119" spans="1:7" x14ac:dyDescent="0.3">
      <c r="A119" s="2">
        <v>22</v>
      </c>
      <c r="C119" s="27" t="s">
        <v>112</v>
      </c>
      <c r="D119" s="39">
        <f>SUM(D98:D118)</f>
        <v>219720</v>
      </c>
      <c r="E119" s="39">
        <f>SUM(E98:E118)</f>
        <v>726290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v>0</v>
      </c>
      <c r="E122" s="62">
        <f t="shared" ref="E122:E132" si="4">TRUNC(+D122*3.3058,-1)</f>
        <v>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TRUNC(9954,-1)</f>
        <v>9950</v>
      </c>
      <c r="E125" s="63">
        <f t="shared" si="4"/>
        <v>32890</v>
      </c>
    </row>
    <row r="126" spans="1:7" x14ac:dyDescent="0.3">
      <c r="A126" s="2">
        <v>5</v>
      </c>
      <c r="C126" s="38" t="s">
        <v>53</v>
      </c>
      <c r="D126" s="42">
        <f>TRUNC(3011,-1)</f>
        <v>3010</v>
      </c>
      <c r="E126" s="63">
        <f t="shared" si="4"/>
        <v>9950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TRUNC(6571,-1)</f>
        <v>6570</v>
      </c>
      <c r="E128" s="63">
        <f t="shared" si="4"/>
        <v>21710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11270</v>
      </c>
      <c r="E130" s="63">
        <f t="shared" si="4"/>
        <v>37250</v>
      </c>
    </row>
    <row r="131" spans="1:7" x14ac:dyDescent="0.3">
      <c r="A131" s="2">
        <v>10</v>
      </c>
      <c r="C131" s="38" t="s">
        <v>149</v>
      </c>
      <c r="D131" s="42">
        <f>TRUNC(47104,-1)</f>
        <v>47100</v>
      </c>
      <c r="E131" s="63">
        <f t="shared" si="4"/>
        <v>155700</v>
      </c>
    </row>
    <row r="132" spans="1:7" ht="18" thickBot="1" x14ac:dyDescent="0.35">
      <c r="A132" s="2">
        <v>11</v>
      </c>
      <c r="C132" s="38" t="s">
        <v>47</v>
      </c>
      <c r="D132" s="43">
        <f>TRUNC(1549+113+940,-1)</f>
        <v>2600</v>
      </c>
      <c r="E132" s="64">
        <f t="shared" si="4"/>
        <v>8590</v>
      </c>
      <c r="F132" s="54" t="s">
        <v>257</v>
      </c>
    </row>
    <row r="133" spans="1:7" x14ac:dyDescent="0.3">
      <c r="A133" s="2">
        <v>12</v>
      </c>
      <c r="C133" s="27" t="s">
        <v>112</v>
      </c>
      <c r="D133" s="39">
        <f>SUM(D122:D132)</f>
        <v>80500</v>
      </c>
      <c r="E133" s="39">
        <f>SUM(E122:E132)</f>
        <v>266090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TRUNC(3775,-1)</f>
        <v>3770</v>
      </c>
      <c r="E137" s="63">
        <f t="shared" si="5"/>
        <v>12460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TRUNC(1623,-1)</f>
        <v>1620</v>
      </c>
      <c r="E139" s="63">
        <f t="shared" si="5"/>
        <v>5350</v>
      </c>
    </row>
    <row r="140" spans="1:7" x14ac:dyDescent="0.3">
      <c r="A140" s="2">
        <v>5</v>
      </c>
      <c r="C140" s="38" t="s">
        <v>57</v>
      </c>
      <c r="D140" s="42">
        <f>TRUNC(5111,-1)</f>
        <v>5110</v>
      </c>
      <c r="E140" s="63">
        <f t="shared" si="5"/>
        <v>16890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f>TRUNC(8281,-1)</f>
        <v>8280</v>
      </c>
      <c r="E142" s="63">
        <f t="shared" si="5"/>
        <v>27370</v>
      </c>
    </row>
    <row r="143" spans="1:7" x14ac:dyDescent="0.3">
      <c r="A143" s="2">
        <v>8</v>
      </c>
      <c r="C143" s="38" t="s">
        <v>62</v>
      </c>
      <c r="D143" s="42">
        <f>TRUNC(5141,-1)</f>
        <v>5140</v>
      </c>
      <c r="E143" s="63">
        <f t="shared" si="5"/>
        <v>16990</v>
      </c>
    </row>
    <row r="144" spans="1:7" x14ac:dyDescent="0.3">
      <c r="A144" s="2">
        <v>9</v>
      </c>
      <c r="C144" s="38" t="s">
        <v>63</v>
      </c>
      <c r="D144" s="42">
        <f>TRUNC(5523,-1)</f>
        <v>5520</v>
      </c>
      <c r="E144" s="63">
        <f t="shared" si="5"/>
        <v>18240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29440</v>
      </c>
      <c r="E146" s="39">
        <f>SUM(E136:E145)</f>
        <v>97300</v>
      </c>
      <c r="F146" s="2" t="s">
        <v>259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v>18650</v>
      </c>
      <c r="E149" s="62">
        <f>TRUNC(+D149*3.3058,-1)</f>
        <v>61650</v>
      </c>
    </row>
    <row r="150" spans="1:7" x14ac:dyDescent="0.3">
      <c r="A150" s="2">
        <v>2</v>
      </c>
      <c r="C150" s="38" t="s">
        <v>49</v>
      </c>
      <c r="D150" s="42">
        <f>TRUNC(22372,-1)</f>
        <v>22370</v>
      </c>
      <c r="E150" s="63">
        <f>TRUNC(+D150*3.3058,-1)</f>
        <v>73950</v>
      </c>
    </row>
    <row r="151" spans="1:7" x14ac:dyDescent="0.3">
      <c r="A151" s="2">
        <v>3</v>
      </c>
      <c r="C151" s="38" t="s">
        <v>50</v>
      </c>
      <c r="D151" s="42">
        <f>TRUNC(20918,-1)</f>
        <v>20910</v>
      </c>
      <c r="E151" s="63">
        <f>TRUNC(+D151*3.3058,-1)</f>
        <v>69120</v>
      </c>
    </row>
    <row r="152" spans="1:7" x14ac:dyDescent="0.3">
      <c r="A152" s="2">
        <v>4</v>
      </c>
      <c r="C152" s="38" t="s">
        <v>47</v>
      </c>
      <c r="D152" s="42">
        <f>389+3321</f>
        <v>3710</v>
      </c>
      <c r="E152" s="63">
        <f>TRUNC(+D152*3.3058,-1)</f>
        <v>12260</v>
      </c>
      <c r="F152" s="2" t="s">
        <v>258</v>
      </c>
    </row>
    <row r="153" spans="1:7" ht="17.25" thickBot="1" x14ac:dyDescent="0.35">
      <c r="A153" s="2">
        <v>5</v>
      </c>
      <c r="C153" s="38" t="s">
        <v>149</v>
      </c>
      <c r="D153" s="43">
        <f>TRUNC(45396,-1)</f>
        <v>45390</v>
      </c>
      <c r="E153" s="64">
        <f>TRUNC(+D153*3.3058,-1)</f>
        <v>150050</v>
      </c>
    </row>
    <row r="154" spans="1:7" x14ac:dyDescent="0.3">
      <c r="A154" s="2">
        <v>6</v>
      </c>
      <c r="C154" s="27" t="s">
        <v>112</v>
      </c>
      <c r="D154" s="39">
        <f>SUM(D149:D153)</f>
        <v>111030</v>
      </c>
      <c r="E154" s="39">
        <f>SUM(E149:E153)</f>
        <v>367030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18590</v>
      </c>
      <c r="E157" s="62">
        <f>TRUNC(+D157*3.3058,-1)</f>
        <v>61450</v>
      </c>
    </row>
    <row r="158" spans="1:7" x14ac:dyDescent="0.3">
      <c r="A158" s="2">
        <v>2</v>
      </c>
      <c r="C158" s="38" t="s">
        <v>52</v>
      </c>
      <c r="D158" s="42">
        <f>TRUNC(11993,-1)</f>
        <v>11990</v>
      </c>
      <c r="E158" s="63">
        <f>TRUNC(+D158*3.3058,-1)</f>
        <v>39630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30580</v>
      </c>
      <c r="E161" s="39">
        <f>SUM(E157:E160)</f>
        <v>101080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2020-12-08T04:37:50Z</dcterms:modified>
</cp:coreProperties>
</file>