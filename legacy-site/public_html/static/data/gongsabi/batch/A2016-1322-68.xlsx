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50" i="4"/>
  <c r="D149" i="4"/>
  <c r="D144" i="4"/>
  <c r="D143" i="4"/>
  <c r="D142" i="4"/>
  <c r="D141" i="4"/>
  <c r="D140" i="4"/>
  <c r="D138" i="4"/>
  <c r="D137" i="4"/>
  <c r="D132" i="4"/>
  <c r="D131" i="4"/>
  <c r="D130" i="4"/>
  <c r="D128" i="4"/>
  <c r="D127" i="4"/>
  <c r="D125" i="4"/>
  <c r="D122" i="4"/>
  <c r="D118" i="4"/>
  <c r="D117" i="4"/>
  <c r="D116" i="4"/>
  <c r="D114" i="4"/>
  <c r="D105" i="4"/>
  <c r="D104" i="4"/>
  <c r="D102" i="4"/>
  <c r="D99" i="4"/>
  <c r="D98" i="4"/>
  <c r="D94" i="4"/>
  <c r="D93" i="4"/>
  <c r="D92" i="4"/>
  <c r="D91" i="4"/>
  <c r="D73" i="4"/>
  <c r="D72" i="4"/>
  <c r="D69" i="4"/>
  <c r="D65" i="4"/>
  <c r="D63" i="4"/>
  <c r="D59" i="4"/>
  <c r="D58" i="4"/>
  <c r="D53" i="4"/>
  <c r="D50" i="4"/>
  <c r="D49" i="4"/>
  <c r="D48" i="4"/>
  <c r="D46" i="4"/>
  <c r="D45" i="4"/>
  <c r="D44" i="4"/>
  <c r="D43" i="4"/>
  <c r="D42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<sst xmlns="http://schemas.openxmlformats.org/spreadsheetml/2006/main" count="392" uniqueCount="266">
  <si>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</si>
  <si>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</si>
  <si>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</si>
  <si>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</si>
  <si>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</si>
  <si>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</si>
  <si>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</si>
  <si>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</si>
  <si>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</si>
  <si>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</si>
  <si>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</si>
  <si>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</si>
  <si>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</si>
  <si>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</si>
  <si>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</si>
  <si>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</si>
  <si>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</si>
  <si>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</si>
  <si>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</si>
  <si>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</si>
  <si>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</si>
  <si>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</si>
  <si>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</si>
  <si>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</si>
  <si>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</si>
  <si>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</si>
  <si>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</si>
  <si>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</si>
  <si>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</si>
  <si>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</si>
  <si>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</si>
  <si>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</si>
  <si>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</si>
  <si>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</si>
  <si>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</si>
  <si>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</si>
  <si>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</si>
  <si>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</si>
  <si>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</si>
  <si>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</si>
  <si>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</si>
  <si>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</si>
  <si>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</si>
  <si>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</si>
  <si>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</si>
  <si>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</si>
  <si>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</si>
  <si>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</si>
  <si>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</si>
  <si>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</si>
  <si>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</si>
  <si>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</si>
  <si>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</si>
  <si>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</si>
  <si>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</si>
  <si>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</si>
  <si>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</si>
  <si>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</si>
  <si>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</si>
  <si>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</si>
  <si>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</si>
  <si>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</si>
  <si>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</si>
  <si>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</si>
  <si>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</si>
  <si>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</si>
  <si>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</si>
  <si>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</si>
  <si>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</si>
  <si>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</si>
  <si>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</si>
  <si>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</si>
  <si>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</si>
  <si>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</si>
  <si>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</si>
  <si>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</si>
  <si>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</si>
  <si>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</si>
  <si>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</si>
  <si>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</si>
  <si>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</si>
  <si>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</si>
  <si>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</si>
  <si>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</si>
  <si>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</si>
  <si>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</si>
  <si>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</si>
  <si>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</si>
  <si>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</si>
  <si>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</si>
  <si>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</si>
  <si>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</si>
  <si>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</si>
  <si>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</si>
  <si>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</si>
  <si>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</si>
  <si>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</si>
  <si>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</si>
  <si>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</si>
  <si>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</si>
  <si>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</si>
  <si>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</si>
  <si>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</si>
  <si>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</si>
  <si>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</si>
  <si>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</si>
  <si>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</si>
  <si>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</si>
  <si>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</si>
  <si>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</si>
  <si>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</si>
  <si>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</si>
  <si>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</si>
  <si>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</si>
  <si>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</si>
  <si>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</si>
  <si>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</si>
  <si>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</si>
  <si>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</si>
  <si>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</si>
  <si>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</si>
  <si>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</si>
  <si>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</si>
  <si>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</si>
  <si>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</si>
  <si>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</si>
  <si>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</si>
  <si>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</si>
  <si>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</si>
  <si>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</si>
  <si>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</si>
  <si>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</si>
  <si>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</si>
  <si>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</si>
  <si>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</si>
  <si>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</si>
  <si>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</si>
  <si>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</si>
  <si>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</si>
  <si>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</si>
  <si>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</si>
  <si>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</si>
  <si>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</si>
  <si>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</si>
  <si>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</si>
  <si>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</si>
  <si>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</si>
  <si>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</si>
  <si>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</si>
  <si>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</si>
  <si>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</si>
  <si>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</si>
  <si>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</si>
  <si>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</si>
  <si>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</si>
  <si>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</si>
  <si>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</si>
  <si>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</si>
  <si>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</si>
  <si>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</si>
  <si>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</si>
  <si>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</si>
  <si>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</si>
  <si>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</si>
  <si>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</si>
  <si>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</si>
  <si>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</si>
  <si>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</si>
  <si>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</si>
  <si>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</si>
  <si>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</si>
  <si>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</si>
  <si>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</si>
  <si>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</si>
  <si>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</si>
  <si>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</si>
  <si>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</si>
  <si>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</si>
  <si>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</si>
  <si>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</si>
  <si>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</si>
  <si>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</si>
  <si>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</si>
  <si>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</si>
  <si>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</si>
  <si>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</si>
  <si>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</si>
  <si>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</si>
  <si>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</si>
  <si>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</si>
  <si>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</si>
  <si>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</si>
  <si>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</si>
  <si>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</si>
  <si>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</si>
  <si>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</si>
  <si>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</si>
  <si>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</si>
  <si>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</si>
  <si>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</si>
  <si>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</si>
  <si>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</si>
  <si>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</si>
  <si>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</si>
  <si>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</si>
  <si>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</si>
  <si>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</si>
  <si>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</si>
  <si>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</si>
  <si>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</si>
  <si>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</si>
  <si>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</si>
  <si>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</si>
  <si>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</si>
  <si>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</si>
  <si>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</si>
  <si>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</si>
  <si>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</si>
  <si>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</si>
  <si>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</si>
  <si>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</si>
  <si>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</si>
  <si>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</si>
  <si>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</si>
  <si>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</si>
  <si>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</si>
  <si>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</si>
  <si>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</si>
  <si>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</si>
  <si>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</si>
  <si>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</si>
  <si>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</si>
  <si>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</si>
  <si>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</si>
  <si>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</si>
  <si>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</si>
  <si>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</si>
  <si>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</si>
  <si>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</si>
  <si>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</si>
  <si>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</si>
  <si>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</si>
  <si>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</si>
  <si>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</si>
  <si>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</si>
  <si>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</si>
  <si>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</si>
  <si>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</si>
  <si>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</si>
  <si>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</si>
  <si>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</si>
  <si>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</si>
  <si>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</si>
  <si>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</si>
  <si>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</si>
  <si>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업무</t>
  </si>
  <si>
    <t>통합교통정보센터 건립공사</t>
    <phoneticPr fontId="2" type="noConversion"/>
  </si>
  <si>
    <t>경기도</t>
  </si>
  <si>
    <t>골재비및운반비, 작업부산물, 품질시험비, 기타공사</t>
    <phoneticPr fontId="2" type="noConversion"/>
  </si>
  <si>
    <t>난방배관공사,바닥난방공사, 기타공사</t>
    <phoneticPr fontId="2" type="noConversion"/>
  </si>
  <si>
    <t>CCTV설비공사, 주차관제설비공사, 기타공사</t>
    <phoneticPr fontId="2" type="noConversion"/>
  </si>
  <si>
    <t>옥외소화배관공사, 펌프실배관공사</t>
    <phoneticPr fontId="2" type="noConversion"/>
  </si>
  <si>
    <t>상수도공사, 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</si>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</sst>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3884.94</v>
      </c>
      <c r="D7" s="36">
        <f>+C7/3.3058</f>
        <v>1175.1890616492226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944100</v>
      </c>
      <c r="E25" s="59">
        <f t="shared" si="0"/>
        <v>3121000</v>
      </c>
    </row>
    <row r="26" spans="1:5" x14ac:dyDescent="0.3">
      <c r="B26" s="2">
        <v>3</v>
      </c>
      <c r="C26" s="35" t="s">
        <v>95</v>
      </c>
      <c r="D26" s="45">
        <f>+D66</f>
        <v>84780</v>
      </c>
      <c r="E26" s="59">
        <f t="shared" si="0"/>
        <v>280260</v>
      </c>
    </row>
    <row r="27" spans="1:5" x14ac:dyDescent="0.3">
      <c r="B27" s="2">
        <v>4</v>
      </c>
      <c r="C27" s="35" t="s">
        <v>96</v>
      </c>
      <c r="D27" s="45">
        <f>+D95</f>
        <v>269640</v>
      </c>
      <c r="E27" s="59">
        <f t="shared" si="0"/>
        <v>891370</v>
      </c>
    </row>
    <row r="28" spans="1:5" x14ac:dyDescent="0.3">
      <c r="B28" s="2">
        <v>5</v>
      </c>
      <c r="C28" s="35" t="s">
        <v>97</v>
      </c>
      <c r="D28" s="45">
        <f>+D119</f>
        <v>288940</v>
      </c>
      <c r="E28" s="59">
        <f t="shared" si="0"/>
        <v>955170</v>
      </c>
    </row>
    <row r="29" spans="1:5" x14ac:dyDescent="0.3">
      <c r="B29" s="2">
        <v>6</v>
      </c>
      <c r="C29" s="35" t="s">
        <v>98</v>
      </c>
      <c r="D29" s="45">
        <f>+D133</f>
        <v>141200</v>
      </c>
      <c r="E29" s="59">
        <f t="shared" si="0"/>
        <v>466770</v>
      </c>
    </row>
    <row r="30" spans="1:5" x14ac:dyDescent="0.3">
      <c r="B30" s="2">
        <v>7</v>
      </c>
      <c r="C30" s="35" t="s">
        <v>99</v>
      </c>
      <c r="D30" s="45">
        <f>+D146</f>
        <v>74580</v>
      </c>
      <c r="E30" s="59">
        <f t="shared" si="0"/>
        <v>246540</v>
      </c>
    </row>
    <row r="31" spans="1:5" x14ac:dyDescent="0.3">
      <c r="B31" s="2">
        <v>8</v>
      </c>
      <c r="C31" s="35" t="s">
        <v>100</v>
      </c>
      <c r="D31" s="45">
        <f>+D154</f>
        <v>44590</v>
      </c>
      <c r="E31" s="59">
        <f t="shared" si="0"/>
        <v>147400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508150</v>
      </c>
      <c r="E33" s="60">
        <f t="shared" si="0"/>
        <v>1679840</v>
      </c>
    </row>
    <row r="34" spans="1:7" x14ac:dyDescent="0.3">
      <c r="C34" s="35" t="s">
        <v>112</v>
      </c>
      <c r="D34" s="44">
        <f>SUM(D24:D33)</f>
        <v>2355980</v>
      </c>
      <c r="E34" s="44">
        <f>SUM(E24:E33)</f>
        <v>7788350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TRUNC(59077,-1)</f>
        <v>59070</v>
      </c>
      <c r="E40" s="62">
        <f t="shared" ref="E40:E59" si="1">TRUNC(+D40*3.3058,-1)</f>
        <v>195270</v>
      </c>
    </row>
    <row r="41" spans="1:7" x14ac:dyDescent="0.3">
      <c r="A41" s="2">
        <v>2</v>
      </c>
      <c r="C41" s="38" t="s">
        <v>13</v>
      </c>
      <c r="D41" s="42">
        <v>165350</v>
      </c>
      <c r="E41" s="63">
        <f t="shared" si="1"/>
        <v>546610</v>
      </c>
    </row>
    <row r="42" spans="1:7" x14ac:dyDescent="0.3">
      <c r="A42" s="2">
        <v>3</v>
      </c>
      <c r="C42" s="38" t="s">
        <v>14</v>
      </c>
      <c r="D42" s="42">
        <f>TRUNC(72139,-1)</f>
        <v>72130</v>
      </c>
      <c r="E42" s="63">
        <f t="shared" si="1"/>
        <v>238440</v>
      </c>
    </row>
    <row r="43" spans="1:7" x14ac:dyDescent="0.3">
      <c r="A43" s="2">
        <v>4</v>
      </c>
      <c r="C43" s="38" t="s">
        <v>16</v>
      </c>
      <c r="D43" s="42">
        <f>TRUNC(19761,-1)</f>
        <v>19760</v>
      </c>
      <c r="E43" s="63">
        <f t="shared" si="1"/>
        <v>65320</v>
      </c>
    </row>
    <row r="44" spans="1:7" x14ac:dyDescent="0.3">
      <c r="A44" s="2">
        <v>5</v>
      </c>
      <c r="C44" s="38" t="s">
        <v>17</v>
      </c>
      <c r="D44" s="42">
        <f>TRUNC(31271,-1)</f>
        <v>31270</v>
      </c>
      <c r="E44" s="63">
        <f t="shared" si="1"/>
        <v>103370</v>
      </c>
    </row>
    <row r="45" spans="1:7" x14ac:dyDescent="0.3">
      <c r="A45" s="2">
        <v>6</v>
      </c>
      <c r="C45" s="38" t="s">
        <v>18</v>
      </c>
      <c r="D45" s="42">
        <f>TRUNC(5919,-1)</f>
        <v>5910</v>
      </c>
      <c r="E45" s="63">
        <f t="shared" si="1"/>
        <v>19530</v>
      </c>
    </row>
    <row r="46" spans="1:7" x14ac:dyDescent="0.3">
      <c r="A46" s="2">
        <v>7</v>
      </c>
      <c r="C46" s="38" t="s">
        <v>19</v>
      </c>
      <c r="D46" s="42">
        <f>TRUNC(21417,-1)</f>
        <v>21410</v>
      </c>
      <c r="E46" s="63">
        <f t="shared" si="1"/>
        <v>70770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TRUNC(32935,-1)</f>
        <v>32930</v>
      </c>
      <c r="E48" s="63">
        <f t="shared" si="1"/>
        <v>108850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TRUNC(29163,-1)</f>
        <v>29160</v>
      </c>
      <c r="E49" s="63">
        <f t="shared" si="1"/>
        <v>96390</v>
      </c>
    </row>
    <row r="50" spans="1:7" x14ac:dyDescent="0.3">
      <c r="A50" s="2">
        <v>11</v>
      </c>
      <c r="C50" s="38" t="s">
        <v>156</v>
      </c>
      <c r="D50" s="42">
        <f>TRUNC(51051,-1)</f>
        <v>51050</v>
      </c>
      <c r="E50" s="63">
        <f t="shared" si="1"/>
        <v>168760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22060</v>
      </c>
      <c r="E52" s="63">
        <f t="shared" si="1"/>
        <v>72920</v>
      </c>
    </row>
    <row r="53" spans="1:7" x14ac:dyDescent="0.3">
      <c r="A53" s="2">
        <v>14</v>
      </c>
      <c r="C53" s="38" t="s">
        <v>25</v>
      </c>
      <c r="D53" s="42">
        <f>TRUNC(112208,-1)</f>
        <v>112200</v>
      </c>
      <c r="E53" s="63">
        <f t="shared" si="1"/>
        <v>370910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TRUNC(7217-1032+2965+4421,-1)</f>
        <v>13570</v>
      </c>
      <c r="E58" s="63">
        <f t="shared" si="1"/>
        <v>44850</v>
      </c>
      <c r="F58" s="2" t="s">
        <v>258</v>
      </c>
    </row>
    <row r="59" spans="1:7" ht="17.25" thickBot="1" x14ac:dyDescent="0.35">
      <c r="A59" s="2">
        <v>20</v>
      </c>
      <c r="C59" s="38" t="s">
        <v>149</v>
      </c>
      <c r="D59" s="43">
        <f>TRUNC(308233,-1)</f>
        <v>308230</v>
      </c>
      <c r="E59" s="64">
        <f t="shared" si="1"/>
        <v>1018940</v>
      </c>
    </row>
    <row r="60" spans="1:7" x14ac:dyDescent="0.3">
      <c r="A60" s="2">
        <v>21</v>
      </c>
      <c r="C60" s="27" t="s">
        <v>112</v>
      </c>
      <c r="D60" s="39">
        <f>SUM(D40:D59)</f>
        <v>944100</v>
      </c>
      <c r="E60" s="39">
        <f>SUM(E40:E59)</f>
        <v>3120930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TRUNC(28593,-1)</f>
        <v>28590</v>
      </c>
      <c r="E63" s="62">
        <f>TRUNC(+D63*3.3058,-1)</f>
        <v>94510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TRUNC(56199,-1)</f>
        <v>56190</v>
      </c>
      <c r="E65" s="64">
        <f>TRUNC(+D65*3.3058,-1)</f>
        <v>185750</v>
      </c>
    </row>
    <row r="66" spans="1:7" x14ac:dyDescent="0.3">
      <c r="A66" s="2">
        <v>4</v>
      </c>
      <c r="C66" s="27" t="s">
        <v>112</v>
      </c>
      <c r="D66" s="39">
        <f>SUM(D63:D65)</f>
        <v>84780</v>
      </c>
      <c r="E66" s="65">
        <f>SUM(E63:E65)</f>
        <v>280260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TRUNC(4985,-1)</f>
        <v>4980</v>
      </c>
      <c r="E69" s="62">
        <f t="shared" ref="E69:E94" si="2">TRUNC(+D69*3.3058,-1)</f>
        <v>16460</v>
      </c>
    </row>
    <row r="70" spans="1:7" ht="16.5" customHeight="1" x14ac:dyDescent="0.3">
      <c r="A70" s="2">
        <v>2</v>
      </c>
      <c r="C70" s="38" t="s">
        <v>31</v>
      </c>
      <c r="D70" s="42">
        <v>200</v>
      </c>
      <c r="E70" s="63">
        <f t="shared" si="2"/>
        <v>660</v>
      </c>
    </row>
    <row r="71" spans="1:7" x14ac:dyDescent="0.3">
      <c r="A71" s="2">
        <v>3</v>
      </c>
      <c r="C71" s="38" t="s">
        <v>32</v>
      </c>
      <c r="D71" s="42">
        <v>5590</v>
      </c>
      <c r="E71" s="63">
        <f t="shared" si="2"/>
        <v>18470</v>
      </c>
    </row>
    <row r="72" spans="1:7" x14ac:dyDescent="0.3">
      <c r="A72" s="2">
        <v>4</v>
      </c>
      <c r="C72" s="38" t="s">
        <v>33</v>
      </c>
      <c r="D72" s="42">
        <f>TRUNC(4224,-1)</f>
        <v>4220</v>
      </c>
      <c r="E72" s="63">
        <f t="shared" si="2"/>
        <v>13950</v>
      </c>
    </row>
    <row r="73" spans="1:7" x14ac:dyDescent="0.3">
      <c r="A73" s="2">
        <v>5</v>
      </c>
      <c r="C73" s="38" t="s">
        <v>34</v>
      </c>
      <c r="D73" s="42">
        <f>TRUNC(4242,-1)</f>
        <v>4240</v>
      </c>
      <c r="E73" s="63">
        <f t="shared" si="2"/>
        <v>14010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4780</v>
      </c>
      <c r="E89" s="63">
        <f t="shared" si="2"/>
        <v>15800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TRUNC(6554,-1)</f>
        <v>6550</v>
      </c>
      <c r="E91" s="63">
        <f t="shared" si="2"/>
        <v>21650</v>
      </c>
    </row>
    <row r="92" spans="1:7" x14ac:dyDescent="0.3">
      <c r="A92" s="2">
        <v>24</v>
      </c>
      <c r="C92" s="38" t="s">
        <v>38</v>
      </c>
      <c r="D92" s="42">
        <f>TRUNC(5575,-1)</f>
        <v>5570</v>
      </c>
      <c r="E92" s="63">
        <f t="shared" si="2"/>
        <v>18410</v>
      </c>
    </row>
    <row r="93" spans="1:7" x14ac:dyDescent="0.3">
      <c r="A93" s="2">
        <v>25</v>
      </c>
      <c r="C93" s="38" t="s">
        <v>149</v>
      </c>
      <c r="D93" s="42">
        <f>TRUNC(233337,-1)</f>
        <v>233330</v>
      </c>
      <c r="E93" s="63">
        <f t="shared" si="2"/>
        <v>771340</v>
      </c>
    </row>
    <row r="94" spans="1:7" ht="17.25" thickBot="1" x14ac:dyDescent="0.35">
      <c r="A94" s="2">
        <v>26</v>
      </c>
      <c r="C94" s="38" t="s">
        <v>47</v>
      </c>
      <c r="D94" s="43">
        <f>TRUNC(183,-1)</f>
        <v>180</v>
      </c>
      <c r="E94" s="64">
        <f t="shared" si="2"/>
        <v>590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269640</v>
      </c>
      <c r="E95" s="39">
        <f>SUM(E69:E94)</f>
        <v>891340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TRUNC(31026,-1)</f>
        <v>31020</v>
      </c>
      <c r="E98" s="62">
        <f t="shared" ref="E98:E118" si="3">TRUNC(+D98*3.3058,-1)</f>
        <v>102540</v>
      </c>
    </row>
    <row r="99" spans="1:7" x14ac:dyDescent="0.3">
      <c r="A99" s="2">
        <v>2</v>
      </c>
      <c r="C99" s="38" t="s">
        <v>40</v>
      </c>
      <c r="D99" s="42">
        <f>TRUNC(10926,-1)</f>
        <v>10920</v>
      </c>
      <c r="E99" s="63">
        <f t="shared" si="3"/>
        <v>36090</v>
      </c>
    </row>
    <row r="100" spans="1:7" x14ac:dyDescent="0.3">
      <c r="A100" s="2">
        <v>3</v>
      </c>
      <c r="C100" s="38" t="s">
        <v>41</v>
      </c>
      <c r="D100" s="42">
        <v>36420</v>
      </c>
      <c r="E100" s="63">
        <f t="shared" si="3"/>
        <v>120390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TRUNC(15505,-1)</f>
        <v>15500</v>
      </c>
      <c r="E102" s="63">
        <f t="shared" si="3"/>
        <v>51230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TRUNC(20371,-1)</f>
        <v>20370</v>
      </c>
      <c r="E104" s="63">
        <f t="shared" si="3"/>
        <v>67330</v>
      </c>
    </row>
    <row r="105" spans="1:7" x14ac:dyDescent="0.3">
      <c r="A105" s="2">
        <v>8</v>
      </c>
      <c r="C105" s="38" t="s">
        <v>46</v>
      </c>
      <c r="D105" s="42">
        <f>TRUNC(8579,-1)</f>
        <v>8570</v>
      </c>
      <c r="E105" s="63">
        <f t="shared" si="3"/>
        <v>28330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TRUNC(1686,-1)</f>
        <v>1680</v>
      </c>
      <c r="E114" s="63">
        <f t="shared" si="3"/>
        <v>5550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TRUNC(4467,-1)</f>
        <v>4460</v>
      </c>
      <c r="E116" s="63">
        <f t="shared" si="3"/>
        <v>14740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TRUNC(159286,-1)</f>
        <v>159280</v>
      </c>
      <c r="E117" s="63">
        <f t="shared" si="3"/>
        <v>526540</v>
      </c>
    </row>
    <row r="118" spans="1:7" ht="17.25" thickBot="1" x14ac:dyDescent="0.35">
      <c r="A118" s="2">
        <v>21</v>
      </c>
      <c r="C118" s="38" t="s">
        <v>47</v>
      </c>
      <c r="D118" s="43">
        <f>TRUNC(726,-1)</f>
        <v>720</v>
      </c>
      <c r="E118" s="64">
        <f t="shared" si="3"/>
        <v>2380</v>
      </c>
    </row>
    <row r="119" spans="1:7" x14ac:dyDescent="0.3">
      <c r="A119" s="2">
        <v>22</v>
      </c>
      <c r="C119" s="27" t="s">
        <v>112</v>
      </c>
      <c r="D119" s="39">
        <f>SUM(D98:D118)</f>
        <v>288940</v>
      </c>
      <c r="E119" s="39">
        <f>SUM(E98:E118)</f>
        <v>955120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TRUNC(3322,-1)</f>
        <v>3320</v>
      </c>
      <c r="E122" s="62">
        <f t="shared" ref="E122:E132" si="4">TRUNC(+D122*3.3058,-1)</f>
        <v>10970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3630</v>
      </c>
      <c r="E124" s="63">
        <f t="shared" si="4"/>
        <v>12000</v>
      </c>
    </row>
    <row r="125" spans="1:7" x14ac:dyDescent="0.3">
      <c r="A125" s="2">
        <v>4</v>
      </c>
      <c r="C125" s="38" t="s">
        <v>138</v>
      </c>
      <c r="D125" s="42">
        <f>TRUNC(5921,-1)</f>
        <v>5920</v>
      </c>
      <c r="E125" s="63">
        <f t="shared" si="4"/>
        <v>19570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TRUNC(4689,-1)</f>
        <v>4680</v>
      </c>
      <c r="E127" s="63">
        <f t="shared" si="4"/>
        <v>15470</v>
      </c>
    </row>
    <row r="128" spans="1:7" x14ac:dyDescent="0.3">
      <c r="A128" s="2">
        <v>7</v>
      </c>
      <c r="C128" s="38" t="s">
        <v>46</v>
      </c>
      <c r="D128" s="42">
        <f>TRUNC(12453,-1)</f>
        <v>12450</v>
      </c>
      <c r="E128" s="63">
        <f t="shared" si="4"/>
        <v>41150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TRUNC(34513,-1)</f>
        <v>34510</v>
      </c>
      <c r="E130" s="63">
        <f t="shared" si="4"/>
        <v>114080</v>
      </c>
    </row>
    <row r="131" spans="1:7" x14ac:dyDescent="0.3">
      <c r="A131" s="2">
        <v>10</v>
      </c>
      <c r="C131" s="38" t="s">
        <v>149</v>
      </c>
      <c r="D131" s="42">
        <f>TRUNC(71842,-1)</f>
        <v>71840</v>
      </c>
      <c r="E131" s="63">
        <f t="shared" si="4"/>
        <v>237480</v>
      </c>
    </row>
    <row r="132" spans="1:7" ht="18" thickBot="1" x14ac:dyDescent="0.35">
      <c r="A132" s="2">
        <v>11</v>
      </c>
      <c r="C132" s="38" t="s">
        <v>47</v>
      </c>
      <c r="D132" s="43">
        <f>TRUNC(3192+938+726,-1)</f>
        <v>4850</v>
      </c>
      <c r="E132" s="64">
        <f t="shared" si="4"/>
        <v>16030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141200</v>
      </c>
      <c r="E133" s="39">
        <f>SUM(E122:E132)</f>
        <v>466750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TRUNC(1456+5373,-1)</f>
        <v>6820</v>
      </c>
      <c r="E137" s="63">
        <f t="shared" si="5"/>
        <v>22540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TRUNC(16622,-1)</f>
        <v>16620</v>
      </c>
      <c r="E138" s="63">
        <f t="shared" si="5"/>
        <v>54940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TRUNC(2401,-1)</f>
        <v>2400</v>
      </c>
      <c r="E140" s="63">
        <f t="shared" si="5"/>
        <v>7930</v>
      </c>
    </row>
    <row r="141" spans="1:7" x14ac:dyDescent="0.3">
      <c r="A141" s="2">
        <v>6</v>
      </c>
      <c r="C141" s="38" t="s">
        <v>59</v>
      </c>
      <c r="D141" s="42">
        <f>TRUNC(3354,-1)</f>
        <v>3350</v>
      </c>
      <c r="E141" s="63">
        <f t="shared" si="5"/>
        <v>11070</v>
      </c>
    </row>
    <row r="142" spans="1:7" x14ac:dyDescent="0.3">
      <c r="A142" s="2">
        <v>7</v>
      </c>
      <c r="C142" s="38" t="s">
        <v>58</v>
      </c>
      <c r="D142" s="42">
        <f>TRUNC(3085,-1)</f>
        <v>3080</v>
      </c>
      <c r="E142" s="63">
        <f t="shared" si="5"/>
        <v>10180</v>
      </c>
    </row>
    <row r="143" spans="1:7" x14ac:dyDescent="0.3">
      <c r="A143" s="2">
        <v>8</v>
      </c>
      <c r="C143" s="38" t="s">
        <v>62</v>
      </c>
      <c r="D143" s="42">
        <f>TRUNC(4168,-1)</f>
        <v>4160</v>
      </c>
      <c r="E143" s="63">
        <f t="shared" si="5"/>
        <v>13750</v>
      </c>
    </row>
    <row r="144" spans="1:7" x14ac:dyDescent="0.3">
      <c r="A144" s="2">
        <v>9</v>
      </c>
      <c r="C144" s="38" t="s">
        <v>63</v>
      </c>
      <c r="D144" s="42">
        <f>TRUNC(28425,-1)</f>
        <v>28420</v>
      </c>
      <c r="E144" s="63">
        <f t="shared" si="5"/>
        <v>93950</v>
      </c>
    </row>
    <row r="145" spans="1:7" ht="17.25" thickBot="1" x14ac:dyDescent="0.35">
      <c r="A145" s="2">
        <v>10</v>
      </c>
      <c r="C145" s="38" t="s">
        <v>149</v>
      </c>
      <c r="D145" s="43">
        <v>9730</v>
      </c>
      <c r="E145" s="64">
        <f t="shared" si="5"/>
        <v>32160</v>
      </c>
    </row>
    <row r="146" spans="1:7" x14ac:dyDescent="0.3">
      <c r="A146" s="2">
        <v>11</v>
      </c>
      <c r="C146" s="27" t="s">
        <v>112</v>
      </c>
      <c r="D146" s="39">
        <f>SUM(D136:D145)</f>
        <v>74580</v>
      </c>
      <c r="E146" s="39">
        <f>SUM(E136:E145)</f>
        <v>246520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TRUNC(6436+5772,-1)</f>
        <v>12200</v>
      </c>
      <c r="E149" s="62">
        <f>TRUNC(+D149*3.3058,-1)</f>
        <v>40330</v>
      </c>
    </row>
    <row r="150" spans="1:7" x14ac:dyDescent="0.3">
      <c r="A150" s="2">
        <v>2</v>
      </c>
      <c r="C150" s="38" t="s">
        <v>49</v>
      </c>
      <c r="D150" s="42">
        <f>TRUNC(12133,-1)</f>
        <v>12130</v>
      </c>
      <c r="E150" s="63">
        <f>TRUNC(+D150*3.3058,-1)</f>
        <v>40090</v>
      </c>
    </row>
    <row r="151" spans="1:7" x14ac:dyDescent="0.3">
      <c r="A151" s="2">
        <v>3</v>
      </c>
      <c r="C151" s="38" t="s">
        <v>50</v>
      </c>
      <c r="D151" s="42">
        <f>TRUNC(2312,-1)</f>
        <v>2310</v>
      </c>
      <c r="E151" s="63">
        <f>TRUNC(+D151*3.3058,-1)</f>
        <v>7630</v>
      </c>
    </row>
    <row r="152" spans="1:7" x14ac:dyDescent="0.3">
      <c r="A152" s="2">
        <v>4</v>
      </c>
      <c r="C152" s="38" t="s">
        <v>47</v>
      </c>
      <c r="D152" s="42">
        <f>TRUNC(455+15225+1170,-1)</f>
        <v>16850</v>
      </c>
      <c r="E152" s="63">
        <f>TRUNC(+D152*3.3058,-1)</f>
        <v>55700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TRUNC(1103,-1)</f>
        <v>1100</v>
      </c>
      <c r="E153" s="64">
        <f>TRUNC(+D153*3.3058,-1)</f>
        <v>3630</v>
      </c>
    </row>
    <row r="154" spans="1:7" x14ac:dyDescent="0.3">
      <c r="A154" s="2">
        <v>6</v>
      </c>
      <c r="C154" s="27" t="s">
        <v>112</v>
      </c>
      <c r="D154" s="39">
        <f>SUM(D149:D153)</f>
        <v>44590</v>
      </c>
      <c r="E154" s="39">
        <f>SUM(E149:E153)</f>
        <v>147380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2020-12-08T01:20:06Z</dcterms:modified>
</cp:coreProperties>
</file>