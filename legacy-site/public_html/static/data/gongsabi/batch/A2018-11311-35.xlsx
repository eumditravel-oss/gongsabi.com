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17" i="4"/>
  <c r="D9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94" i="4"/>
  <c r="D92" i="4"/>
  <c r="D91" i="4"/>
  <c r="D89" i="4"/>
  <c r="D73" i="4"/>
  <c r="D72" i="4"/>
  <c r="D71" i="4"/>
  <c r="D70" i="4"/>
  <c r="D69" i="4"/>
  <c r="D103" i="4"/>
  <c r="D102" i="4"/>
  <c r="D100" i="4"/>
  <c r="D99" i="4"/>
  <c r="D98" i="4"/>
  <c r="D114" i="4"/>
  <c r="D116" i="4"/>
  <c r="D105" i="4"/>
  <c r="D104" i="4"/>
  <c r="D118" i="4"/>
  <c r="D132" i="4"/>
  <c r="D128" i="4"/>
  <c r="D124" i="4"/>
  <c r="D125" i="4"/>
  <c r="D122" i="4"/>
  <c r="D130" i="4"/>
  <c r="D126" i="4"/>
  <c r="D137" i="4"/>
  <c r="D144" i="4"/>
  <c r="D143" i="4"/>
  <c r="D139" i="4"/>
  <c r="D142" i="4"/>
  <c r="D140" i="4"/>
  <c r="D63" i="4"/>
  <c r="D152" i="4"/>
  <c r="D151" i="4"/>
  <c r="D150" i="4"/>
  <c r="D149" i="4"/>
  <c r="D159" i="4"/>
  <c r="D158" i="4"/>
  <c r="D157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0" i="4" l="1"/>
  <c r="E95" i="4"/>
  <c r="E119" i="4"/>
  <c r="E133" i="4"/>
  <c r="E146" i="4"/>
  <c r="E154" i="4"/>
  <c r="D161" i="4"/>
  <c r="D154" i="4"/>
  <c r="D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30" i="4"/>
  <c r="E30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1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<sst xmlns="http://schemas.openxmlformats.org/spreadsheetml/2006/main" count="395" uniqueCount="270">
  <si>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</si>
  <si>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</si>
  <si>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</si>
  <si>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</si>
  <si>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</si>
  <si>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</si>
  <si>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</si>
  <si>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</si>
  <si>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</si>
  <si>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</si>
  <si>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</si>
  <si>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</si>
  <si>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</si>
  <si>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</si>
  <si>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</si>
  <si>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</si>
  <si>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</si>
  <si>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</si>
  <si>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</si>
  <si>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</si>
  <si>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</si>
  <si>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</si>
  <si>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</si>
  <si>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</si>
  <si>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</si>
  <si>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</si>
  <si>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</si>
  <si>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</si>
  <si>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</si>
  <si>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</si>
  <si>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</si>
  <si>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</si>
  <si>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</si>
  <si>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</si>
  <si>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</si>
  <si>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</si>
  <si>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</si>
  <si>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</si>
  <si>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</si>
  <si>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</si>
  <si>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</si>
  <si>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</si>
  <si>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</si>
  <si>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</si>
  <si>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</si>
  <si>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</si>
  <si>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</si>
  <si>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</si>
  <si>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</si>
  <si>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</si>
  <si>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</si>
  <si>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</si>
  <si>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</si>
  <si>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</si>
  <si>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</si>
  <si>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</si>
  <si>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</si>
  <si>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</si>
  <si>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</si>
  <si>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</si>
  <si>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</si>
  <si>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</si>
  <si>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</si>
  <si>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</si>
  <si>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</si>
  <si>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</si>
  <si>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</si>
  <si>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</si>
  <si>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</si>
  <si>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</si>
  <si>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</si>
  <si>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</si>
  <si>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</si>
  <si>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</si>
  <si>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</si>
  <si>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</si>
  <si>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</si>
  <si>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</si>
  <si>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</si>
  <si>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</si>
  <si>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</si>
  <si>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</si>
  <si>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</si>
  <si>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</si>
  <si>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</si>
  <si>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</si>
  <si>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</si>
  <si>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</si>
  <si>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</si>
  <si>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</si>
  <si>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</si>
  <si>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</si>
  <si>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</si>
  <si>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</si>
  <si>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</si>
  <si>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</si>
  <si>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</si>
  <si>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</si>
  <si>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</si>
  <si>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</si>
  <si>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</si>
  <si>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</si>
  <si>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</si>
  <si>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</si>
  <si>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</si>
  <si>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</si>
  <si>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</si>
  <si>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</si>
  <si>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</si>
  <si>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</si>
  <si>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</si>
  <si>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</si>
  <si>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</si>
  <si>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</si>
  <si>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</si>
  <si>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</si>
  <si>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</si>
  <si>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</si>
  <si>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</si>
  <si>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</si>
  <si>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</si>
  <si>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</si>
  <si>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</si>
  <si>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</si>
  <si>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</si>
  <si>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</si>
  <si>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</si>
  <si>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</si>
  <si>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</si>
  <si>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</si>
  <si>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</si>
  <si>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</si>
  <si>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</si>
  <si>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</si>
  <si>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</si>
  <si>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</si>
  <si>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</si>
  <si>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</si>
  <si>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</si>
  <si>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</si>
  <si>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</si>
  <si>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</si>
  <si>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</si>
  <si>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</si>
  <si>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</si>
  <si>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</si>
  <si>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</si>
  <si>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</si>
  <si>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</si>
  <si>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</si>
  <si>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</si>
  <si>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</si>
  <si>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</si>
  <si>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</si>
  <si>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</si>
  <si>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</si>
  <si>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</si>
  <si>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</si>
  <si>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</si>
  <si>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</si>
  <si>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</si>
  <si>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</si>
  <si>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</si>
  <si>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</si>
  <si>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</si>
  <si>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</si>
  <si>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</si>
  <si>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</si>
  <si>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</si>
  <si>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</si>
  <si>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</si>
  <si>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</si>
  <si>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</si>
  <si>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</si>
  <si>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</si>
  <si>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</si>
  <si>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</si>
  <si>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</si>
  <si>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</si>
  <si>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</si>
  <si>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</si>
  <si>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</si>
  <si>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</si>
  <si>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</si>
  <si>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</si>
  <si>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</si>
  <si>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</si>
  <si>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</si>
  <si>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</si>
  <si>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</si>
  <si>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</si>
  <si>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</si>
  <si>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</si>
  <si>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</si>
  <si>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</si>
  <si>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</si>
  <si>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</si>
  <si>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</si>
  <si>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</si>
  <si>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</si>
  <si>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</si>
  <si>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</si>
  <si>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</si>
  <si>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</si>
  <si>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</si>
  <si>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</si>
  <si>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</si>
  <si>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</si>
  <si>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</si>
  <si>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</si>
  <si>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</si>
  <si>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</si>
  <si>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</si>
  <si>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</si>
  <si>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</si>
  <si>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</si>
  <si>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</si>
  <si>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</si>
  <si>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</si>
  <si>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</si>
  <si>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</si>
  <si>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</si>
  <si>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</si>
  <si>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</si>
  <si>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</si>
  <si>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</si>
  <si>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</si>
  <si>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</si>
  <si>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</si>
  <si>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</si>
  <si>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</si>
  <si>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</si>
  <si>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</si>
  <si>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</si>
  <si>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</si>
  <si>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</si>
  <si>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</si>
  <si>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</si>
  <si>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</si>
  <si>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</si>
  <si>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</si>
  <si>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</si>
  <si>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</si>
  <si>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</si>
  <si>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</si>
  <si>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</si>
  <si>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</si>
  <si>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</si>
  <si>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공주대학교 천안캠퍼스 제1공학관 건립공사</t>
    <phoneticPr fontId="2" type="noConversion"/>
  </si>
  <si>
    <t>교육연구</t>
  </si>
  <si>
    <t>충청도</t>
  </si>
  <si>
    <t>기초공사,골재비및운반비,작업부산물,품질시험비,기타공사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</si>
  <si>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</si>
  <si>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</si>
  <si>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</si>
  <si>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우수처리시설공사,기타공사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</si>
  <si>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</si>
  <si>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</si>
  <si>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</si>
  <si>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</si>
  <si>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옥외소화배관공사,펌프실배관공사,제연덕트설치공사,기타공사</t>
    <phoneticPr fontId="2" type="noConversion"/>
  </si>
  <si>
    <t>우수공사,오수공사</t>
    <phoneticPr fontId="2" type="noConversion"/>
  </si>
  <si>
    <t>사급자재비,운반비,기타공사</t>
    <phoneticPr fontId="2" type="noConversion"/>
  </si>
  <si>
    <t>포장공사</t>
    <phoneticPr fontId="2" type="noConversion"/>
  </si>
  <si>
    <t>조경시설물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</si>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</sst>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7668.08</v>
      </c>
      <c r="D7" s="36">
        <f>+C7/3.3058</f>
        <v>2319.5837618730716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897830</v>
      </c>
      <c r="E25" s="59">
        <f t="shared" si="0"/>
        <v>2968040</v>
      </c>
    </row>
    <row r="26" spans="1:5" x14ac:dyDescent="0.3">
      <c r="B26" s="2">
        <v>3</v>
      </c>
      <c r="C26" s="35" t="s">
        <v>95</v>
      </c>
      <c r="D26" s="45">
        <f>+D66</f>
        <v>6660</v>
      </c>
      <c r="E26" s="59">
        <f t="shared" si="0"/>
        <v>22010</v>
      </c>
    </row>
    <row r="27" spans="1:5" x14ac:dyDescent="0.3">
      <c r="B27" s="2">
        <v>4</v>
      </c>
      <c r="C27" s="35" t="s">
        <v>96</v>
      </c>
      <c r="D27" s="45">
        <f>+D95</f>
        <v>187960</v>
      </c>
      <c r="E27" s="59">
        <f t="shared" si="0"/>
        <v>621350</v>
      </c>
    </row>
    <row r="28" spans="1:5" x14ac:dyDescent="0.3">
      <c r="B28" s="2">
        <v>5</v>
      </c>
      <c r="C28" s="35" t="s">
        <v>97</v>
      </c>
      <c r="D28" s="45">
        <f>+D119</f>
        <v>185530</v>
      </c>
      <c r="E28" s="59">
        <f t="shared" si="0"/>
        <v>613320</v>
      </c>
    </row>
    <row r="29" spans="1:5" x14ac:dyDescent="0.3">
      <c r="B29" s="2">
        <v>6</v>
      </c>
      <c r="C29" s="35" t="s">
        <v>98</v>
      </c>
      <c r="D29" s="45">
        <f>+D133</f>
        <v>170270</v>
      </c>
      <c r="E29" s="59">
        <f t="shared" si="0"/>
        <v>562870</v>
      </c>
    </row>
    <row r="30" spans="1:5" x14ac:dyDescent="0.3">
      <c r="B30" s="2">
        <v>7</v>
      </c>
      <c r="C30" s="35" t="s">
        <v>99</v>
      </c>
      <c r="D30" s="45">
        <f>+D146</f>
        <v>40510</v>
      </c>
      <c r="E30" s="59">
        <f t="shared" si="0"/>
        <v>133910</v>
      </c>
    </row>
    <row r="31" spans="1:5" x14ac:dyDescent="0.3">
      <c r="B31" s="2">
        <v>8</v>
      </c>
      <c r="C31" s="35" t="s">
        <v>100</v>
      </c>
      <c r="D31" s="45">
        <f>+D154</f>
        <v>18770</v>
      </c>
      <c r="E31" s="59">
        <f t="shared" si="0"/>
        <v>62040</v>
      </c>
    </row>
    <row r="32" spans="1:5" x14ac:dyDescent="0.3">
      <c r="B32" s="2">
        <v>9</v>
      </c>
      <c r="C32" s="35" t="s">
        <v>101</v>
      </c>
      <c r="D32" s="45">
        <f>+D161</f>
        <v>13440</v>
      </c>
      <c r="E32" s="59">
        <f t="shared" si="0"/>
        <v>44420</v>
      </c>
    </row>
    <row r="33" spans="1:7" x14ac:dyDescent="0.3">
      <c r="B33" s="2">
        <v>10</v>
      </c>
      <c r="C33" s="35" t="s">
        <v>154</v>
      </c>
      <c r="D33" s="53">
        <f>TRUNC(SUM(D24:D32)*0.275,-1)</f>
        <v>418260</v>
      </c>
      <c r="E33" s="60">
        <f t="shared" si="0"/>
        <v>1382680</v>
      </c>
    </row>
    <row r="34" spans="1:7" x14ac:dyDescent="0.3">
      <c r="C34" s="35" t="s">
        <v>112</v>
      </c>
      <c r="D34" s="44">
        <f>SUM(D24:D33)</f>
        <v>1939230</v>
      </c>
      <c r="E34" s="44">
        <f>SUM(E24:E33)</f>
        <v>6410640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TRUNC(70419,-1)</f>
        <v>70410</v>
      </c>
      <c r="E40" s="62">
        <f t="shared" ref="E40:E59" si="1">TRUNC(+D40*3.3058,-1)</f>
        <v>232760</v>
      </c>
    </row>
    <row r="41" spans="1:7" x14ac:dyDescent="0.3">
      <c r="A41" s="2">
        <v>2</v>
      </c>
      <c r="C41" s="38" t="s">
        <v>13</v>
      </c>
      <c r="D41" s="42">
        <f>TRUNC(157570,-1)</f>
        <v>157570</v>
      </c>
      <c r="E41" s="63">
        <f t="shared" si="1"/>
        <v>520890</v>
      </c>
    </row>
    <row r="42" spans="1:7" x14ac:dyDescent="0.3">
      <c r="A42" s="2">
        <v>3</v>
      </c>
      <c r="C42" s="38" t="s">
        <v>14</v>
      </c>
      <c r="D42" s="42">
        <f>TRUNC(7557,-1)</f>
        <v>7550</v>
      </c>
      <c r="E42" s="63">
        <f t="shared" si="1"/>
        <v>24950</v>
      </c>
    </row>
    <row r="43" spans="1:7" x14ac:dyDescent="0.3">
      <c r="A43" s="2">
        <v>4</v>
      </c>
      <c r="C43" s="38" t="s">
        <v>16</v>
      </c>
      <c r="D43" s="42">
        <f>TRUNC(23067,-1)</f>
        <v>23060</v>
      </c>
      <c r="E43" s="63">
        <f t="shared" si="1"/>
        <v>76230</v>
      </c>
    </row>
    <row r="44" spans="1:7" x14ac:dyDescent="0.3">
      <c r="A44" s="2">
        <v>5</v>
      </c>
      <c r="C44" s="38" t="s">
        <v>17</v>
      </c>
      <c r="D44" s="42">
        <f>TRUNC(17579,-1)</f>
        <v>17570</v>
      </c>
      <c r="E44" s="63">
        <f t="shared" si="1"/>
        <v>58080</v>
      </c>
    </row>
    <row r="45" spans="1:7" x14ac:dyDescent="0.3">
      <c r="A45" s="2">
        <v>6</v>
      </c>
      <c r="C45" s="38" t="s">
        <v>18</v>
      </c>
      <c r="D45" s="42">
        <f>TRUNC(16303,-1)</f>
        <v>16300</v>
      </c>
      <c r="E45" s="63">
        <f t="shared" si="1"/>
        <v>53880</v>
      </c>
    </row>
    <row r="46" spans="1:7" x14ac:dyDescent="0.3">
      <c r="A46" s="2">
        <v>7</v>
      </c>
      <c r="C46" s="38" t="s">
        <v>19</v>
      </c>
      <c r="D46" s="42">
        <f>TRUNC(39739,-1)</f>
        <v>39730</v>
      </c>
      <c r="E46" s="63">
        <f t="shared" si="1"/>
        <v>131330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TRUNC(23215,-1)</f>
        <v>23210</v>
      </c>
      <c r="E48" s="63">
        <f t="shared" si="1"/>
        <v>76720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TRUNC(25238,-1)</f>
        <v>25230</v>
      </c>
      <c r="E49" s="63">
        <f t="shared" si="1"/>
        <v>83400</v>
      </c>
    </row>
    <row r="50" spans="1:7" x14ac:dyDescent="0.3">
      <c r="A50" s="2">
        <v>11</v>
      </c>
      <c r="C50" s="38" t="s">
        <v>155</v>
      </c>
      <c r="D50" s="42">
        <f>TRUNC(51848,-1)</f>
        <v>51840</v>
      </c>
      <c r="E50" s="63">
        <f t="shared" si="1"/>
        <v>171370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TRUNC(11212,-1)</f>
        <v>11210</v>
      </c>
      <c r="E52" s="63">
        <f t="shared" si="1"/>
        <v>37050</v>
      </c>
    </row>
    <row r="53" spans="1:7" x14ac:dyDescent="0.3">
      <c r="A53" s="2">
        <v>14</v>
      </c>
      <c r="C53" s="38" t="s">
        <v>25</v>
      </c>
      <c r="D53" s="42">
        <f>TRUNC(88114,-1)</f>
        <v>88110</v>
      </c>
      <c r="E53" s="63">
        <f t="shared" si="1"/>
        <v>291270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TRUNC(22122+7865-914+2043+56355,-1)</f>
        <v>87470</v>
      </c>
      <c r="E58" s="63">
        <f t="shared" si="1"/>
        <v>289150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TRUNC(278573,-1)</f>
        <v>278570</v>
      </c>
      <c r="E59" s="64">
        <f t="shared" si="1"/>
        <v>920890</v>
      </c>
    </row>
    <row r="60" spans="1:7" x14ac:dyDescent="0.3">
      <c r="A60" s="2">
        <v>21</v>
      </c>
      <c r="C60" s="27" t="s">
        <v>112</v>
      </c>
      <c r="D60" s="39">
        <f>SUM(D40:D59)</f>
        <v>897830</v>
      </c>
      <c r="E60" s="39">
        <f>SUM(E40:E59)</f>
        <v>2967970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TRUNC(6669,-1)</f>
        <v>6660</v>
      </c>
      <c r="E63" s="62">
        <f>TRUNC(+D63*3.3058,-1)</f>
        <v>22010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6660</v>
      </c>
      <c r="E66" s="65">
        <f>SUM(E63:E65)</f>
        <v>22010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TRUNC(2921,-1)</f>
        <v>2920</v>
      </c>
      <c r="E69" s="62">
        <f t="shared" ref="E69:E94" si="2">TRUNC(+D69*3.3058,-1)</f>
        <v>9650</v>
      </c>
    </row>
    <row r="70" spans="1:7" ht="16.5" customHeight="1" x14ac:dyDescent="0.3">
      <c r="A70" s="2">
        <v>2</v>
      </c>
      <c r="C70" s="38" t="s">
        <v>31</v>
      </c>
      <c r="D70" s="42">
        <f>TRUNC(815,-1)</f>
        <v>810</v>
      </c>
      <c r="E70" s="63">
        <f t="shared" si="2"/>
        <v>2670</v>
      </c>
    </row>
    <row r="71" spans="1:7" x14ac:dyDescent="0.3">
      <c r="A71" s="2">
        <v>3</v>
      </c>
      <c r="C71" s="38" t="s">
        <v>32</v>
      </c>
      <c r="D71" s="42">
        <f>TRUNC(5950,-1)</f>
        <v>5950</v>
      </c>
      <c r="E71" s="63">
        <f t="shared" si="2"/>
        <v>19660</v>
      </c>
    </row>
    <row r="72" spans="1:7" x14ac:dyDescent="0.3">
      <c r="A72" s="2">
        <v>4</v>
      </c>
      <c r="C72" s="38" t="s">
        <v>33</v>
      </c>
      <c r="D72" s="42">
        <f>TRUNC(2021,-1)</f>
        <v>2020</v>
      </c>
      <c r="E72" s="63">
        <f t="shared" si="2"/>
        <v>6670</v>
      </c>
    </row>
    <row r="73" spans="1:7" x14ac:dyDescent="0.3">
      <c r="A73" s="2">
        <v>5</v>
      </c>
      <c r="C73" s="38" t="s">
        <v>34</v>
      </c>
      <c r="D73" s="42">
        <f>TRUNC(10769,-1)</f>
        <v>10760</v>
      </c>
      <c r="E73" s="63">
        <f t="shared" si="2"/>
        <v>35570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TRUNC(6636,-1)</f>
        <v>6630</v>
      </c>
      <c r="E89" s="63">
        <f t="shared" si="2"/>
        <v>21910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TRUNC(3843,-1)</f>
        <v>3840</v>
      </c>
      <c r="E91" s="63">
        <f t="shared" si="2"/>
        <v>12690</v>
      </c>
    </row>
    <row r="92" spans="1:7" x14ac:dyDescent="0.3">
      <c r="A92" s="2">
        <v>24</v>
      </c>
      <c r="C92" s="38" t="s">
        <v>38</v>
      </c>
      <c r="D92" s="42">
        <f>TRUNC(9574,-1)</f>
        <v>9570</v>
      </c>
      <c r="E92" s="63">
        <f t="shared" si="2"/>
        <v>31630</v>
      </c>
    </row>
    <row r="93" spans="1:7" x14ac:dyDescent="0.3">
      <c r="A93" s="2">
        <v>25</v>
      </c>
      <c r="C93" s="38" t="s">
        <v>148</v>
      </c>
      <c r="D93" s="42">
        <f>TRUNC(128806,-1)</f>
        <v>128800</v>
      </c>
      <c r="E93" s="63">
        <f t="shared" si="2"/>
        <v>425780</v>
      </c>
    </row>
    <row r="94" spans="1:7" ht="17.25" thickBot="1" x14ac:dyDescent="0.35">
      <c r="A94" s="2">
        <v>26</v>
      </c>
      <c r="C94" s="38" t="s">
        <v>47</v>
      </c>
      <c r="D94" s="43">
        <f>TRUNC(9323+7337,-1)</f>
        <v>16660</v>
      </c>
      <c r="E94" s="64">
        <f t="shared" si="2"/>
        <v>55070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187960</v>
      </c>
      <c r="E95" s="39">
        <f>SUM(E69:E94)</f>
        <v>621300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TRUNC(5614,-1)</f>
        <v>5610</v>
      </c>
      <c r="E98" s="62">
        <f t="shared" ref="E98:E118" si="3">TRUNC(+D98*3.3058,-1)</f>
        <v>18540</v>
      </c>
    </row>
    <row r="99" spans="1:7" x14ac:dyDescent="0.3">
      <c r="A99" s="2">
        <v>2</v>
      </c>
      <c r="C99" s="38" t="s">
        <v>40</v>
      </c>
      <c r="D99" s="42">
        <f>TRUNC(2459,-1)</f>
        <v>2450</v>
      </c>
      <c r="E99" s="63">
        <f t="shared" si="3"/>
        <v>8090</v>
      </c>
    </row>
    <row r="100" spans="1:7" x14ac:dyDescent="0.3">
      <c r="A100" s="2">
        <v>3</v>
      </c>
      <c r="C100" s="38" t="s">
        <v>41</v>
      </c>
      <c r="D100" s="42">
        <f>TRUNC(34680,-1)</f>
        <v>34680</v>
      </c>
      <c r="E100" s="63">
        <f t="shared" si="3"/>
        <v>114640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TRUNC(12002,-1)</f>
        <v>12000</v>
      </c>
      <c r="E102" s="63">
        <f t="shared" si="3"/>
        <v>39660</v>
      </c>
    </row>
    <row r="103" spans="1:7" x14ac:dyDescent="0.3">
      <c r="A103" s="2">
        <v>6</v>
      </c>
      <c r="C103" s="38" t="s">
        <v>44</v>
      </c>
      <c r="D103" s="42">
        <f>TRUNC(7827,-1)</f>
        <v>7820</v>
      </c>
      <c r="E103" s="63">
        <f t="shared" si="3"/>
        <v>25850</v>
      </c>
    </row>
    <row r="104" spans="1:7" x14ac:dyDescent="0.3">
      <c r="A104" s="2">
        <v>7</v>
      </c>
      <c r="C104" s="38" t="s">
        <v>45</v>
      </c>
      <c r="D104" s="42">
        <f>TRUNC(5002,-1)</f>
        <v>5000</v>
      </c>
      <c r="E104" s="63">
        <f t="shared" si="3"/>
        <v>16520</v>
      </c>
    </row>
    <row r="105" spans="1:7" x14ac:dyDescent="0.3">
      <c r="A105" s="2">
        <v>8</v>
      </c>
      <c r="C105" s="38" t="s">
        <v>46</v>
      </c>
      <c r="D105" s="42">
        <f>TRUNC(2197,-1)</f>
        <v>2190</v>
      </c>
      <c r="E105" s="63">
        <f t="shared" si="3"/>
        <v>7230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TRUNC(1683,-1)</f>
        <v>1680</v>
      </c>
      <c r="E114" s="63">
        <f t="shared" si="3"/>
        <v>5550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TRUNC(2427,-1)</f>
        <v>2420</v>
      </c>
      <c r="E116" s="63">
        <f t="shared" si="3"/>
        <v>8000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TRUNC(108835,-1)</f>
        <v>108830</v>
      </c>
      <c r="E117" s="63">
        <f t="shared" si="3"/>
        <v>359770</v>
      </c>
    </row>
    <row r="118" spans="1:7" ht="17.25" thickBot="1" x14ac:dyDescent="0.35">
      <c r="A118" s="2">
        <v>21</v>
      </c>
      <c r="C118" s="38" t="s">
        <v>47</v>
      </c>
      <c r="D118" s="43">
        <f>TRUNC(2856,-1)</f>
        <v>2850</v>
      </c>
      <c r="E118" s="64">
        <f t="shared" si="3"/>
        <v>9420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185530</v>
      </c>
      <c r="E119" s="39">
        <f>SUM(E98:E118)</f>
        <v>613270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TRUNC(6165,-1)</f>
        <v>6160</v>
      </c>
      <c r="E122" s="62">
        <f t="shared" ref="E122:E132" si="4">TRUNC(+D122*3.3058,-1)</f>
        <v>20360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TRUNC(1891,-1)</f>
        <v>1890</v>
      </c>
      <c r="E124" s="63">
        <f t="shared" si="4"/>
        <v>6240</v>
      </c>
    </row>
    <row r="125" spans="1:7" x14ac:dyDescent="0.3">
      <c r="A125" s="2">
        <v>4</v>
      </c>
      <c r="C125" s="38" t="s">
        <v>138</v>
      </c>
      <c r="D125" s="42">
        <f>TRUNC(9886,-1)</f>
        <v>9880</v>
      </c>
      <c r="E125" s="63">
        <f t="shared" si="4"/>
        <v>32660</v>
      </c>
    </row>
    <row r="126" spans="1:7" x14ac:dyDescent="0.3">
      <c r="A126" s="2">
        <v>5</v>
      </c>
      <c r="C126" s="38" t="s">
        <v>53</v>
      </c>
      <c r="D126" s="42">
        <f>TRUNC(1433,-1)</f>
        <v>1430</v>
      </c>
      <c r="E126" s="63">
        <f t="shared" si="4"/>
        <v>4720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TRUNC(1540,-1)</f>
        <v>1540</v>
      </c>
      <c r="E128" s="63">
        <f t="shared" si="4"/>
        <v>5090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TRUNC(15359,-1)</f>
        <v>15350</v>
      </c>
      <c r="E130" s="63">
        <f t="shared" si="4"/>
        <v>50740</v>
      </c>
    </row>
    <row r="131" spans="1:7" x14ac:dyDescent="0.3">
      <c r="A131" s="2">
        <v>10</v>
      </c>
      <c r="C131" s="38" t="s">
        <v>148</v>
      </c>
      <c r="D131" s="42">
        <f>TRUNC(122310,-1)</f>
        <v>122310</v>
      </c>
      <c r="E131" s="63">
        <f t="shared" si="4"/>
        <v>404330</v>
      </c>
    </row>
    <row r="132" spans="1:7" ht="18" thickBot="1" x14ac:dyDescent="0.35">
      <c r="A132" s="2">
        <v>11</v>
      </c>
      <c r="C132" s="38" t="s">
        <v>47</v>
      </c>
      <c r="D132" s="43">
        <f>TRUNC(143+11568,-1)</f>
        <v>11710</v>
      </c>
      <c r="E132" s="64">
        <f t="shared" si="4"/>
        <v>38710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170270</v>
      </c>
      <c r="E133" s="39">
        <f>SUM(E122:E132)</f>
        <v>562850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TRUNC(286+1793+2553+1851,-1)</f>
        <v>6480</v>
      </c>
      <c r="E137" s="63">
        <f t="shared" si="5"/>
        <v>21420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TRUNC(1345,-1)</f>
        <v>1340</v>
      </c>
      <c r="E139" s="63">
        <f t="shared" si="5"/>
        <v>4420</v>
      </c>
    </row>
    <row r="140" spans="1:7" x14ac:dyDescent="0.3">
      <c r="A140" s="2">
        <v>5</v>
      </c>
      <c r="C140" s="38" t="s">
        <v>57</v>
      </c>
      <c r="D140" s="42">
        <f>TRUNC(1659,-1)</f>
        <v>1650</v>
      </c>
      <c r="E140" s="63">
        <f t="shared" si="5"/>
        <v>5450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TRUNC(6493,-1)</f>
        <v>6490</v>
      </c>
      <c r="E142" s="63">
        <f t="shared" si="5"/>
        <v>21450</v>
      </c>
    </row>
    <row r="143" spans="1:7" x14ac:dyDescent="0.3">
      <c r="A143" s="2">
        <v>8</v>
      </c>
      <c r="C143" s="38" t="s">
        <v>62</v>
      </c>
      <c r="D143" s="42">
        <f>TRUNC(5139,-1)</f>
        <v>5130</v>
      </c>
      <c r="E143" s="63">
        <f t="shared" si="5"/>
        <v>16950</v>
      </c>
    </row>
    <row r="144" spans="1:7" x14ac:dyDescent="0.3">
      <c r="A144" s="2">
        <v>9</v>
      </c>
      <c r="C144" s="38" t="s">
        <v>63</v>
      </c>
      <c r="D144" s="42">
        <f>TRUNC(19427,-1)</f>
        <v>19420</v>
      </c>
      <c r="E144" s="63">
        <f t="shared" si="5"/>
        <v>64190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40510</v>
      </c>
      <c r="E146" s="39">
        <f>SUM(E136:E145)</f>
        <v>133880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TRUNC(5244+1751,-1)</f>
        <v>6990</v>
      </c>
      <c r="E149" s="62">
        <f>TRUNC(+D149*3.3058,-1)</f>
        <v>23100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TRUNC(3655,-1)</f>
        <v>3650</v>
      </c>
      <c r="E150" s="63">
        <f>TRUNC(+D150*3.3058,-1)</f>
        <v>12060</v>
      </c>
    </row>
    <row r="151" spans="1:7" x14ac:dyDescent="0.3">
      <c r="A151" s="2">
        <v>3</v>
      </c>
      <c r="C151" s="38" t="s">
        <v>50</v>
      </c>
      <c r="D151" s="42">
        <f>TRUNC(3270,-1)</f>
        <v>3270</v>
      </c>
      <c r="E151" s="63">
        <f>TRUNC(+D151*3.3058,-1)</f>
        <v>10800</v>
      </c>
    </row>
    <row r="152" spans="1:7" x14ac:dyDescent="0.3">
      <c r="A152" s="2">
        <v>4</v>
      </c>
      <c r="C152" s="38" t="s">
        <v>47</v>
      </c>
      <c r="D152" s="42">
        <f>TRUNC(3393+228+1244,-1)</f>
        <v>4860</v>
      </c>
      <c r="E152" s="63">
        <f>TRUNC(+D152*3.3058,-1)</f>
        <v>16060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18770</v>
      </c>
      <c r="E154" s="39">
        <f>SUM(E149:E153)</f>
        <v>62020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TRUNC(5948,-1)</f>
        <v>5940</v>
      </c>
      <c r="E157" s="62">
        <f>TRUNC(+D157*3.3058,-1)</f>
        <v>19630</v>
      </c>
    </row>
    <row r="158" spans="1:7" x14ac:dyDescent="0.3">
      <c r="A158" s="2">
        <v>2</v>
      </c>
      <c r="C158" s="38" t="s">
        <v>52</v>
      </c>
      <c r="D158" s="42">
        <f>TRUNC(1653,-1)</f>
        <v>1650</v>
      </c>
      <c r="E158" s="63">
        <f>TRUNC(+D158*3.3058,-1)</f>
        <v>5450</v>
      </c>
      <c r="F158" s="2" t="s">
        <v>264</v>
      </c>
    </row>
    <row r="159" spans="1:7" x14ac:dyDescent="0.3">
      <c r="A159" s="2">
        <v>3</v>
      </c>
      <c r="C159" s="38" t="s">
        <v>47</v>
      </c>
      <c r="D159" s="42">
        <f>TRUNC(5850,-1)</f>
        <v>5850</v>
      </c>
      <c r="E159" s="63">
        <f>TRUNC(+D159*3.3058,-1)</f>
        <v>19330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13440</v>
      </c>
      <c r="E161" s="39">
        <f>SUM(E157:E160)</f>
        <v>44410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2020-12-08T02:47:19Z</dcterms:modified>
</cp:coreProperties>
</file>