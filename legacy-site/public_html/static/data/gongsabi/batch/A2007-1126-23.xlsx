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32" i="4"/>
  <c r="D124" i="4"/>
  <c r="D123" i="4"/>
  <c r="D131" i="4"/>
  <c r="D130" i="4"/>
  <c r="D137" i="4"/>
  <c r="D104" i="4"/>
  <c r="D105" i="4"/>
  <c r="D108" i="4"/>
  <c r="D102" i="4"/>
  <c r="D100" i="4"/>
  <c r="D99" i="4"/>
  <c r="D98" i="4"/>
  <c r="D115" i="4"/>
  <c r="D114" i="4"/>
  <c r="D117" i="4"/>
  <c r="D94" i="4"/>
  <c r="D77" i="4"/>
  <c r="D81" i="4"/>
  <c r="D136" i="4"/>
  <c r="D92" i="4"/>
  <c r="D79" i="4"/>
  <c r="D71" i="4"/>
  <c r="D69" i="4"/>
  <c r="D93" i="4"/>
  <c r="D59" i="4"/>
  <c r="D159" i="4"/>
  <c r="D158" i="4"/>
  <c r="D157" i="4"/>
  <c r="D152" i="4"/>
  <c r="D150" i="4"/>
  <c r="D151" i="4"/>
  <c r="D149" i="4"/>
  <c r="D63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<sst xmlns="http://schemas.openxmlformats.org/spreadsheetml/2006/main" count="391" uniqueCount="266">
  <si>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</si>
  <si>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</si>
  <si>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</si>
  <si>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</si>
  <si>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</si>
  <si>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</si>
  <si>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</si>
  <si>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</si>
  <si>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</si>
  <si>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</si>
  <si>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</si>
  <si>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</si>
  <si>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</si>
  <si>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</si>
  <si>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</si>
  <si>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</si>
  <si>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</si>
  <si>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</si>
  <si>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</si>
  <si>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</si>
  <si>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</si>
  <si>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</si>
  <si>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</si>
  <si>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</si>
  <si>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</si>
  <si>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</si>
  <si>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</si>
  <si>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</si>
  <si>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</si>
  <si>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</si>
  <si>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</si>
  <si>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</si>
  <si>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</si>
  <si>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</si>
  <si>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</si>
  <si>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</si>
  <si>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</si>
  <si>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</si>
  <si>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</si>
  <si>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</si>
  <si>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</si>
  <si>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</si>
  <si>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</si>
  <si>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</si>
  <si>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</si>
  <si>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</si>
  <si>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</si>
  <si>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</si>
  <si>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</si>
  <si>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</si>
  <si>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</si>
  <si>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</si>
  <si>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</si>
  <si>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</si>
  <si>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</si>
  <si>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</si>
  <si>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</si>
  <si>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</si>
  <si>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</si>
  <si>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</si>
  <si>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</si>
  <si>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</si>
  <si>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</si>
  <si>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</si>
  <si>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</si>
  <si>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</si>
  <si>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</si>
  <si>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</si>
  <si>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</si>
  <si>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</si>
  <si>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</si>
  <si>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</si>
  <si>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</si>
  <si>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</si>
  <si>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</si>
  <si>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</si>
  <si>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</si>
  <si>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</si>
  <si>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</si>
  <si>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</si>
  <si>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</si>
  <si>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</si>
  <si>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</si>
  <si>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</si>
  <si>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</si>
  <si>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</si>
  <si>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</si>
  <si>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</si>
  <si>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</si>
  <si>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</si>
  <si>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</si>
  <si>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</si>
  <si>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</si>
  <si>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</si>
  <si>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</si>
  <si>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</si>
  <si>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</si>
  <si>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</si>
  <si>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</si>
  <si>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</si>
  <si>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</si>
  <si>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</si>
  <si>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</si>
  <si>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</si>
  <si>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</si>
  <si>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</si>
  <si>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</si>
  <si>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</si>
  <si>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</si>
  <si>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</si>
  <si>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</si>
  <si>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</si>
  <si>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</si>
  <si>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</si>
  <si>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</si>
  <si>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</si>
  <si>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</si>
  <si>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</si>
  <si>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</si>
  <si>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</si>
  <si>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</si>
  <si>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</si>
  <si>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</si>
  <si>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</si>
  <si>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</si>
  <si>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</si>
  <si>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</si>
  <si>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</si>
  <si>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</si>
  <si>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</si>
  <si>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</si>
  <si>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</si>
  <si>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</si>
  <si>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</si>
  <si>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</si>
  <si>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</si>
  <si>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</si>
  <si>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</si>
  <si>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</si>
  <si>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</si>
  <si>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</si>
  <si>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</si>
  <si>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</si>
  <si>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</si>
  <si>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</si>
  <si>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</si>
  <si>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</si>
  <si>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</si>
  <si>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</si>
  <si>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</si>
  <si>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</si>
  <si>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</si>
  <si>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</si>
  <si>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</si>
  <si>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</si>
  <si>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</si>
  <si>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</si>
  <si>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</si>
  <si>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</si>
  <si>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</si>
  <si>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</si>
  <si>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</si>
  <si>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</si>
  <si>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</si>
  <si>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</si>
  <si>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</si>
  <si>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</si>
  <si>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</si>
  <si>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</si>
  <si>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</si>
  <si>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</si>
  <si>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</si>
  <si>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</si>
  <si>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</si>
  <si>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</si>
  <si>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</si>
  <si>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</si>
  <si>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</si>
  <si>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</si>
  <si>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</si>
  <si>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</si>
  <si>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</si>
  <si>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</si>
  <si>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</si>
  <si>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</si>
  <si>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</si>
  <si>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</si>
  <si>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</si>
  <si>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</si>
  <si>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</si>
  <si>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</si>
  <si>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</si>
  <si>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</si>
  <si>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</si>
  <si>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</si>
  <si>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</si>
  <si>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</si>
  <si>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</si>
  <si>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</si>
  <si>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</si>
  <si>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</si>
  <si>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</si>
  <si>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</si>
  <si>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</si>
  <si>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</si>
  <si>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</si>
  <si>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</si>
  <si>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</si>
  <si>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</si>
  <si>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</si>
  <si>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</si>
  <si>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</si>
  <si>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</si>
  <si>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</si>
  <si>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</si>
  <si>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</si>
  <si>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</si>
  <si>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</si>
  <si>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</si>
  <si>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</si>
  <si>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</si>
  <si>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</si>
  <si>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</si>
  <si>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</si>
  <si>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</si>
  <si>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</si>
  <si>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</si>
  <si>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</si>
  <si>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</si>
  <si>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</si>
  <si>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</si>
  <si>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</si>
  <si>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</si>
  <si>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</si>
  <si>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</si>
  <si>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</si>
  <si>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</si>
  <si>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</si>
  <si>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</si>
  <si>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</si>
  <si>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</si>
  <si>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</si>
  <si>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</si>
  <si>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</si>
  <si>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</si>
  <si>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</si>
  <si>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</si>
  <si>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</si>
  <si>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 친환경교육 및 연구센터 신축공사</t>
    <phoneticPr fontId="2" type="noConversion"/>
  </si>
  <si>
    <t>교육연구</t>
  </si>
  <si>
    <t>대구시</t>
  </si>
  <si>
    <t>토공사,잡공사,정화조공사,골재비,운반비</t>
    <phoneticPr fontId="2" type="noConversion"/>
  </si>
  <si>
    <t>우수공사,오수공사</t>
    <phoneticPr fontId="2" type="noConversion"/>
  </si>
  <si>
    <t>지하수개발공사</t>
  </si>
  <si>
    <t>포장공사</t>
  </si>
  <si>
    <t>환기덕트설치공사</t>
  </si>
  <si>
    <t>위생설비공사</t>
  </si>
  <si>
    <t>기계 소화설비공사</t>
    <phoneticPr fontId="2" type="noConversion"/>
  </si>
  <si>
    <t>활성탄여과기설치공사,오수처리시설공사</t>
    <phoneticPr fontId="2" type="noConversion"/>
  </si>
  <si>
    <t>전기 소방설비공사,전기 비상방송간선공사</t>
    <phoneticPr fontId="2" type="noConversion"/>
  </si>
  <si>
    <t>인터폰설비공사,CCTV및방범공사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</si>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</sst>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4099</v>
      </c>
      <c r="D7" s="36">
        <f>+C7/3.3058</f>
        <v>1239.9419202613587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4620</v>
      </c>
      <c r="E24" s="58">
        <f t="shared" ref="E24:E33" si="0">TRUNC(+D24*3.3058,-1)</f>
        <v>15270</v>
      </c>
    </row>
    <row r="25" spans="1:5" x14ac:dyDescent="0.3">
      <c r="B25" s="2">
        <v>2</v>
      </c>
      <c r="C25" s="35" t="s">
        <v>111</v>
      </c>
      <c r="D25" s="45">
        <f>+D60</f>
        <v>519920</v>
      </c>
      <c r="E25" s="59">
        <f t="shared" si="0"/>
        <v>1718750</v>
      </c>
    </row>
    <row r="26" spans="1:5" x14ac:dyDescent="0.3">
      <c r="B26" s="2">
        <v>3</v>
      </c>
      <c r="C26" s="35" t="s">
        <v>95</v>
      </c>
      <c r="D26" s="45">
        <f>+D66</f>
        <v>4890</v>
      </c>
      <c r="E26" s="59">
        <f t="shared" si="0"/>
        <v>16160</v>
      </c>
    </row>
    <row r="27" spans="1:5" x14ac:dyDescent="0.3">
      <c r="B27" s="2">
        <v>4</v>
      </c>
      <c r="C27" s="35" t="s">
        <v>96</v>
      </c>
      <c r="D27" s="45">
        <f>+D95</f>
        <v>816340</v>
      </c>
      <c r="E27" s="59">
        <f t="shared" si="0"/>
        <v>2698650</v>
      </c>
    </row>
    <row r="28" spans="1:5" x14ac:dyDescent="0.3">
      <c r="B28" s="2">
        <v>5</v>
      </c>
      <c r="C28" s="35" t="s">
        <v>97</v>
      </c>
      <c r="D28" s="45">
        <f>+D119</f>
        <v>90250</v>
      </c>
      <c r="E28" s="59">
        <f t="shared" si="0"/>
        <v>298340</v>
      </c>
    </row>
    <row r="29" spans="1:5" x14ac:dyDescent="0.3">
      <c r="B29" s="2">
        <v>6</v>
      </c>
      <c r="C29" s="35" t="s">
        <v>98</v>
      </c>
      <c r="D29" s="45">
        <f>+D133</f>
        <v>52270</v>
      </c>
      <c r="E29" s="59">
        <f t="shared" si="0"/>
        <v>172790</v>
      </c>
    </row>
    <row r="30" spans="1:5" x14ac:dyDescent="0.3">
      <c r="B30" s="2">
        <v>7</v>
      </c>
      <c r="C30" s="35" t="s">
        <v>99</v>
      </c>
      <c r="D30" s="45">
        <f>+D146</f>
        <v>17650</v>
      </c>
      <c r="E30" s="59">
        <f t="shared" si="0"/>
        <v>58340</v>
      </c>
    </row>
    <row r="31" spans="1:5" x14ac:dyDescent="0.3">
      <c r="B31" s="2">
        <v>8</v>
      </c>
      <c r="C31" s="35" t="s">
        <v>100</v>
      </c>
      <c r="D31" s="45">
        <f>+D154</f>
        <v>31870</v>
      </c>
      <c r="E31" s="59">
        <f t="shared" si="0"/>
        <v>105350</v>
      </c>
    </row>
    <row r="32" spans="1:5" x14ac:dyDescent="0.3">
      <c r="B32" s="2">
        <v>9</v>
      </c>
      <c r="C32" s="35" t="s">
        <v>101</v>
      </c>
      <c r="D32" s="45">
        <f>+D161</f>
        <v>31680</v>
      </c>
      <c r="E32" s="59">
        <f t="shared" si="0"/>
        <v>104720</v>
      </c>
    </row>
    <row r="33" spans="1:7" x14ac:dyDescent="0.3">
      <c r="B33" s="2">
        <v>10</v>
      </c>
      <c r="C33" s="35" t="s">
        <v>154</v>
      </c>
      <c r="D33" s="53">
        <f>TRUNC(SUM(D24:D32)*0.275,-1)</f>
        <v>431600</v>
      </c>
      <c r="E33" s="60">
        <f t="shared" si="0"/>
        <v>1426780</v>
      </c>
    </row>
    <row r="34" spans="1:7" x14ac:dyDescent="0.3">
      <c r="C34" s="35" t="s">
        <v>112</v>
      </c>
      <c r="D34" s="44">
        <f>SUM(D24:D33)</f>
        <v>2001090</v>
      </c>
      <c r="E34" s="44">
        <f>SUM(E24:E33)</f>
        <v>6615150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TRUNC(4629.48963161747,-1)</f>
        <v>4620</v>
      </c>
      <c r="E37" s="61">
        <f>TRUNC(+D37*3.3058,-1)</f>
        <v>15270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TRUNC(26393.0783117834,-1)</f>
        <v>26390</v>
      </c>
      <c r="E40" s="62">
        <f t="shared" ref="E40:E59" si="1">TRUNC(+D40*3.3058,-1)</f>
        <v>87240</v>
      </c>
    </row>
    <row r="41" spans="1:7" x14ac:dyDescent="0.3">
      <c r="A41" s="2">
        <v>2</v>
      </c>
      <c r="C41" s="38" t="s">
        <v>13</v>
      </c>
      <c r="D41" s="42">
        <f>TRUNC(98646.5530617224,-1)</f>
        <v>98640</v>
      </c>
      <c r="E41" s="63">
        <f t="shared" si="1"/>
        <v>326080</v>
      </c>
    </row>
    <row r="42" spans="1:7" x14ac:dyDescent="0.3">
      <c r="A42" s="2">
        <v>3</v>
      </c>
      <c r="C42" s="38" t="s">
        <v>14</v>
      </c>
      <c r="D42" s="42">
        <f>TRUNC(3837.15711149061,-1)</f>
        <v>3830</v>
      </c>
      <c r="E42" s="63">
        <f t="shared" si="1"/>
        <v>12660</v>
      </c>
    </row>
    <row r="43" spans="1:7" x14ac:dyDescent="0.3">
      <c r="A43" s="2">
        <v>4</v>
      </c>
      <c r="C43" s="38" t="s">
        <v>16</v>
      </c>
      <c r="D43" s="42">
        <f>TRUNC(18372.7038302025,-1)</f>
        <v>18370</v>
      </c>
      <c r="E43" s="63">
        <f t="shared" si="1"/>
        <v>60720</v>
      </c>
    </row>
    <row r="44" spans="1:7" x14ac:dyDescent="0.3">
      <c r="A44" s="2">
        <v>5</v>
      </c>
      <c r="C44" s="38" t="s">
        <v>17</v>
      </c>
      <c r="D44" s="42">
        <f>TRUNC(16639.1493047084,-1)</f>
        <v>16630</v>
      </c>
      <c r="E44" s="63">
        <f t="shared" si="1"/>
        <v>54970</v>
      </c>
    </row>
    <row r="45" spans="1:7" x14ac:dyDescent="0.3">
      <c r="A45" s="2">
        <v>6</v>
      </c>
      <c r="C45" s="38" t="s">
        <v>18</v>
      </c>
      <c r="D45" s="42">
        <f>TRUNC(3923.24469382776,-1)</f>
        <v>3920</v>
      </c>
      <c r="E45" s="63">
        <f t="shared" si="1"/>
        <v>12950</v>
      </c>
    </row>
    <row r="46" spans="1:7" x14ac:dyDescent="0.3">
      <c r="A46" s="2">
        <v>7</v>
      </c>
      <c r="C46" s="38" t="s">
        <v>19</v>
      </c>
      <c r="D46" s="42">
        <f>TRUNC(48957.0375701391,-1)</f>
        <v>48950</v>
      </c>
      <c r="E46" s="63">
        <f t="shared" si="1"/>
        <v>161810</v>
      </c>
    </row>
    <row r="47" spans="1:7" x14ac:dyDescent="0.3">
      <c r="A47" s="2">
        <v>8</v>
      </c>
      <c r="C47" s="38" t="s">
        <v>20</v>
      </c>
      <c r="D47" s="42">
        <f>TRUNC(2326.06318614296,-1)</f>
        <v>2320</v>
      </c>
      <c r="E47" s="63">
        <f t="shared" si="1"/>
        <v>7660</v>
      </c>
    </row>
    <row r="48" spans="1:7" x14ac:dyDescent="0.3">
      <c r="A48" s="2">
        <v>9</v>
      </c>
      <c r="C48" s="38" t="s">
        <v>21</v>
      </c>
      <c r="D48" s="42">
        <f>TRUNC(53564.2881190534,-1)</f>
        <v>53560</v>
      </c>
      <c r="E48" s="63">
        <f t="shared" si="1"/>
        <v>177050</v>
      </c>
    </row>
    <row r="49" spans="1:7" x14ac:dyDescent="0.3">
      <c r="A49" s="2">
        <v>10</v>
      </c>
      <c r="C49" s="38" t="s">
        <v>22</v>
      </c>
      <c r="D49" s="42">
        <f>TRUNC(15335.8602098073,-1)</f>
        <v>15330</v>
      </c>
      <c r="E49" s="63">
        <f t="shared" si="1"/>
        <v>50670</v>
      </c>
    </row>
    <row r="50" spans="1:7" x14ac:dyDescent="0.3">
      <c r="A50" s="2">
        <v>11</v>
      </c>
      <c r="C50" s="38" t="s">
        <v>155</v>
      </c>
      <c r="D50" s="42">
        <f>TRUNC(51523.8248353257,-1)</f>
        <v>51520</v>
      </c>
      <c r="E50" s="63">
        <f t="shared" si="1"/>
        <v>170310</v>
      </c>
    </row>
    <row r="51" spans="1:7" x14ac:dyDescent="0.3">
      <c r="A51" s="2">
        <v>12</v>
      </c>
      <c r="C51" s="38" t="s">
        <v>23</v>
      </c>
      <c r="D51" s="42">
        <f>TRUNC(7709.33203220298,-1)</f>
        <v>7700</v>
      </c>
      <c r="E51" s="63">
        <f t="shared" si="1"/>
        <v>25450</v>
      </c>
    </row>
    <row r="52" spans="1:7" x14ac:dyDescent="0.3">
      <c r="A52" s="2">
        <v>13</v>
      </c>
      <c r="C52" s="38" t="s">
        <v>24</v>
      </c>
      <c r="D52" s="42">
        <f>TRUNC(10204.2598194682,-1)</f>
        <v>10200</v>
      </c>
      <c r="E52" s="63">
        <f t="shared" si="1"/>
        <v>33710</v>
      </c>
    </row>
    <row r="53" spans="1:7" x14ac:dyDescent="0.3">
      <c r="A53" s="2">
        <v>14</v>
      </c>
      <c r="C53" s="38" t="s">
        <v>25</v>
      </c>
      <c r="D53" s="42">
        <f>TRUNC(33588.4388875334,-1)</f>
        <v>33580</v>
      </c>
      <c r="E53" s="63">
        <f t="shared" si="1"/>
        <v>111000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TRUNC(2092.85191510124,-1)</f>
        <v>2090</v>
      </c>
      <c r="E55" s="63">
        <f t="shared" si="1"/>
        <v>6900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TRUNC(14049.2610392779+12995.9190046353+11211.0853866797+5140.33178824103+1205.94144913394,-1)</f>
        <v>44600</v>
      </c>
      <c r="E58" s="63">
        <f t="shared" si="1"/>
        <v>147430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TRUNC(82294.462063918,-1)</f>
        <v>82290</v>
      </c>
      <c r="E59" s="64">
        <f t="shared" si="1"/>
        <v>272030</v>
      </c>
    </row>
    <row r="60" spans="1:7" x14ac:dyDescent="0.3">
      <c r="A60" s="2">
        <v>21</v>
      </c>
      <c r="C60" s="27" t="s">
        <v>112</v>
      </c>
      <c r="D60" s="39">
        <f>SUM(D40:D59)</f>
        <v>519920</v>
      </c>
      <c r="E60" s="39">
        <f>SUM(E40:E59)</f>
        <v>1718640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TRUNC(4898.61161258844,-1)</f>
        <v>4890</v>
      </c>
      <c r="E63" s="62">
        <f>TRUNC(+D63*3.3058,-1)</f>
        <v>16160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4890</v>
      </c>
      <c r="E66" s="65">
        <f>SUM(E63:E65)</f>
        <v>16160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TRUNC(21865.2800683093,-1)</f>
        <v>21860</v>
      </c>
      <c r="E69" s="62">
        <f t="shared" ref="E69:E94" si="2">TRUNC(+D69*3.3058,-1)</f>
        <v>72260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TRUNC(15080.3583800927,-1)</f>
        <v>15080</v>
      </c>
      <c r="E71" s="63">
        <f t="shared" si="2"/>
        <v>49850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TRUNC(7257.86777262747,-1)</f>
        <v>7250</v>
      </c>
      <c r="E77" s="63">
        <f t="shared" si="2"/>
        <v>23960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TRUNC(3030.04293730178,-1)</f>
        <v>3030</v>
      </c>
      <c r="E79" s="63">
        <f t="shared" si="2"/>
        <v>10010</v>
      </c>
      <c r="F79" s="2" t="s">
        <v>255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TRUNC(2769.7987313979,-1)</f>
        <v>2760</v>
      </c>
      <c r="E81" s="63">
        <f t="shared" si="2"/>
        <v>9120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TRUNC(33059.760673335,-1)</f>
        <v>33050</v>
      </c>
      <c r="E92" s="63">
        <f t="shared" si="2"/>
        <v>109250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f>TRUNC(703773.35935594,-1)</f>
        <v>703770</v>
      </c>
      <c r="E93" s="63">
        <f t="shared" si="2"/>
        <v>2326520</v>
      </c>
    </row>
    <row r="94" spans="1:7" ht="17.25" thickBot="1" x14ac:dyDescent="0.35">
      <c r="A94" s="2">
        <v>26</v>
      </c>
      <c r="C94" s="38" t="s">
        <v>47</v>
      </c>
      <c r="D94" s="43">
        <f>TRUNC(5978.72871432057+23567.2537204196,-1)</f>
        <v>29540</v>
      </c>
      <c r="E94" s="64">
        <f t="shared" si="2"/>
        <v>97650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816340</v>
      </c>
      <c r="E95" s="39">
        <f>SUM(E69:E94)</f>
        <v>2698620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TRUNC(6573.67894608441,-1)</f>
        <v>6570</v>
      </c>
      <c r="E98" s="62">
        <f t="shared" ref="E98:E118" si="3">TRUNC(+D98*3.3058,-1)</f>
        <v>21710</v>
      </c>
    </row>
    <row r="99" spans="1:7" x14ac:dyDescent="0.3">
      <c r="A99" s="2">
        <v>2</v>
      </c>
      <c r="C99" s="38" t="s">
        <v>40</v>
      </c>
      <c r="D99" s="42">
        <f>TRUNC(1857.0727006587,-1)</f>
        <v>1850</v>
      </c>
      <c r="E99" s="63">
        <f t="shared" si="3"/>
        <v>6110</v>
      </c>
    </row>
    <row r="100" spans="1:7" x14ac:dyDescent="0.3">
      <c r="A100" s="2">
        <v>3</v>
      </c>
      <c r="C100" s="38" t="s">
        <v>41</v>
      </c>
      <c r="D100" s="42">
        <f>TRUNC(16767.8377653086,-1)</f>
        <v>16760</v>
      </c>
      <c r="E100" s="63">
        <f t="shared" si="3"/>
        <v>55400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TRUNC(6364.6701634545,-1)</f>
        <v>6360</v>
      </c>
      <c r="E102" s="63">
        <f t="shared" si="3"/>
        <v>21020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TRUNC(2182.281532081,-1)</f>
        <v>2180</v>
      </c>
      <c r="E104" s="63">
        <f t="shared" si="3"/>
        <v>7200</v>
      </c>
    </row>
    <row r="105" spans="1:7" x14ac:dyDescent="0.3">
      <c r="A105" s="2">
        <v>8</v>
      </c>
      <c r="C105" s="38" t="s">
        <v>46</v>
      </c>
      <c r="D105" s="42">
        <f>TRUNC(3740.0709929251,-1)</f>
        <v>3740</v>
      </c>
      <c r="E105" s="63">
        <f t="shared" si="3"/>
        <v>12360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TRUNC(2014.80019516955,-1)</f>
        <v>2010</v>
      </c>
      <c r="E108" s="63">
        <f t="shared" si="3"/>
        <v>6640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TRUNC(1317.78677726275,-1)</f>
        <v>1310</v>
      </c>
      <c r="E114" s="63">
        <f t="shared" si="3"/>
        <v>4330</v>
      </c>
    </row>
    <row r="115" spans="1:7" x14ac:dyDescent="0.3">
      <c r="A115" s="2">
        <v>18</v>
      </c>
      <c r="C115" s="38" t="s">
        <v>116</v>
      </c>
      <c r="D115" s="42">
        <f>TRUNC(4196.98389851183,-1)</f>
        <v>4190</v>
      </c>
      <c r="E115" s="63">
        <f t="shared" si="3"/>
        <v>13850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TRUNC(21726.7626250305+23553.7936081971,-1)</f>
        <v>45280</v>
      </c>
      <c r="E117" s="63">
        <f t="shared" si="3"/>
        <v>149680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90250</v>
      </c>
      <c r="E119" s="39">
        <f>SUM(E98:E118)</f>
        <v>298300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TRUNC(2014.72139546231,-1)</f>
        <v>2010</v>
      </c>
      <c r="E123" s="63">
        <f t="shared" si="4"/>
        <v>6640</v>
      </c>
    </row>
    <row r="124" spans="1:7" x14ac:dyDescent="0.3">
      <c r="A124" s="2">
        <v>3</v>
      </c>
      <c r="C124" s="38" t="s">
        <v>151</v>
      </c>
      <c r="D124" s="42">
        <f>TRUNC(2982.19224201025,-1)</f>
        <v>2980</v>
      </c>
      <c r="E124" s="63">
        <f t="shared" si="4"/>
        <v>9850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TRUNC(1707.16003903391,-1)</f>
        <v>1700</v>
      </c>
      <c r="E128" s="63">
        <f t="shared" si="4"/>
        <v>5610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TRUNC(10065.9780434252,-1)</f>
        <v>10060</v>
      </c>
      <c r="E130" s="63">
        <f t="shared" si="4"/>
        <v>33250</v>
      </c>
    </row>
    <row r="131" spans="1:7" x14ac:dyDescent="0.3">
      <c r="A131" s="2">
        <v>10</v>
      </c>
      <c r="C131" s="38" t="s">
        <v>148</v>
      </c>
      <c r="D131" s="42">
        <f>TRUNC(4403.51305196389+27074.8963161747,-1)</f>
        <v>31470</v>
      </c>
      <c r="E131" s="63">
        <f t="shared" si="4"/>
        <v>104030</v>
      </c>
    </row>
    <row r="132" spans="1:7" ht="18" thickBot="1" x14ac:dyDescent="0.35">
      <c r="A132" s="2">
        <v>11</v>
      </c>
      <c r="C132" s="38" t="s">
        <v>47</v>
      </c>
      <c r="D132" s="43">
        <f>TRUNC(178.839960966089+3878.51329592584,-1)</f>
        <v>4050</v>
      </c>
      <c r="E132" s="64">
        <f t="shared" si="4"/>
        <v>13380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52270</v>
      </c>
      <c r="E133" s="39">
        <f>SUM(E122:E132)</f>
        <v>172760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TRUNC(9334.62210295194,-1)</f>
        <v>9330</v>
      </c>
      <c r="E136" s="62">
        <f t="shared" ref="E136:E145" si="5">TRUNC(+D136*3.3058,-1)</f>
        <v>30840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f>TRUNC(6147.79165650159+2176.06586972432,-1)</f>
        <v>8320</v>
      </c>
      <c r="E137" s="63">
        <f t="shared" si="5"/>
        <v>27500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17650</v>
      </c>
      <c r="E146" s="39">
        <f>SUM(E136:E145)</f>
        <v>58340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TRUNC(8116.89948767992+4337.05903878995,-1)</f>
        <v>12450</v>
      </c>
      <c r="E149" s="62">
        <f>TRUNC(+D149*3.3058,-1)</f>
        <v>41150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TRUNC(7807.17809221761,-1)</f>
        <v>7800</v>
      </c>
      <c r="E150" s="63">
        <f>TRUNC(+D150*3.3058,-1)</f>
        <v>25780</v>
      </c>
    </row>
    <row r="151" spans="1:7" x14ac:dyDescent="0.3">
      <c r="A151" s="2">
        <v>3</v>
      </c>
      <c r="C151" s="38" t="s">
        <v>50</v>
      </c>
      <c r="D151" s="42">
        <f>TRUNC(3338.27592095633,-1)</f>
        <v>3330</v>
      </c>
      <c r="E151" s="63">
        <f>TRUNC(+D151*3.3058,-1)</f>
        <v>11000</v>
      </c>
    </row>
    <row r="152" spans="1:7" x14ac:dyDescent="0.3">
      <c r="A152" s="2">
        <v>4</v>
      </c>
      <c r="C152" s="38" t="s">
        <v>47</v>
      </c>
      <c r="D152" s="42">
        <f>TRUNC(8294.70602585996,-1)</f>
        <v>8290</v>
      </c>
      <c r="E152" s="63">
        <f>TRUNC(+D152*3.3058,-1)</f>
        <v>27400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31870</v>
      </c>
      <c r="E154" s="39">
        <f>SUM(E149:E153)</f>
        <v>105330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TRUNC(20412.6608929007,-1)</f>
        <v>20410</v>
      </c>
      <c r="E157" s="62">
        <f>TRUNC(+D157*3.3058,-1)</f>
        <v>67470</v>
      </c>
    </row>
    <row r="158" spans="1:7" x14ac:dyDescent="0.3">
      <c r="A158" s="2">
        <v>2</v>
      </c>
      <c r="C158" s="38" t="s">
        <v>52</v>
      </c>
      <c r="D158" s="42">
        <f>TRUNC(2709.1466211271,-1)</f>
        <v>2700</v>
      </c>
      <c r="E158" s="63">
        <f>TRUNC(+D158*3.3058,-1)</f>
        <v>8920</v>
      </c>
    </row>
    <row r="159" spans="1:7" x14ac:dyDescent="0.3">
      <c r="A159" s="2">
        <v>3</v>
      </c>
      <c r="C159" s="38" t="s">
        <v>47</v>
      </c>
      <c r="D159" s="42">
        <f>TRUNC(8576.65552573798,-1)</f>
        <v>8570</v>
      </c>
      <c r="E159" s="63">
        <f>TRUNC(+D159*3.3058,-1)</f>
        <v>28330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31680</v>
      </c>
      <c r="E161" s="39">
        <f>SUM(E157:E160)</f>
        <v>104720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2020-12-07T09:16:57Z</dcterms:modified>
</cp:coreProperties>
</file>