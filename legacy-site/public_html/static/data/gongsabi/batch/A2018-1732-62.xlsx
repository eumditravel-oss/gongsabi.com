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76" i="4" l="1"/>
  <c r="D75" i="4"/>
  <c r="D92" i="4"/>
  <c r="D91" i="4"/>
  <c r="D89" i="4"/>
  <c r="D73" i="4"/>
  <c r="D71" i="4"/>
  <c r="D70" i="4"/>
  <c r="D69" i="4"/>
  <c r="D101" i="4"/>
  <c r="D100" i="4"/>
  <c r="D99" i="4"/>
  <c r="D114" i="4"/>
  <c r="D98" i="4"/>
  <c r="D116" i="4"/>
  <c r="D105" i="4"/>
  <c r="D104" i="4"/>
  <c r="D102" i="4"/>
  <c r="D118" i="4"/>
  <c r="D132" i="4"/>
  <c r="D128" i="4"/>
  <c r="D127" i="4"/>
  <c r="D124" i="4"/>
  <c r="D125" i="4"/>
  <c r="D122" i="4"/>
  <c r="D130" i="4" l="1"/>
  <c r="D144" i="4"/>
  <c r="D143" i="4"/>
  <c r="D139" i="4"/>
  <c r="D141" i="4"/>
  <c r="D140" i="4"/>
  <c r="D142" i="4"/>
  <c r="D137" i="4"/>
  <c r="D152" i="4"/>
  <c r="D150" i="4"/>
  <c r="D149" i="4"/>
  <c r="D159" i="4"/>
  <c r="D158" i="4"/>
  <c r="D157" i="4"/>
  <c r="D65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45" i="4"/>
  <c r="D131" i="4"/>
  <c r="D11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19" i="4"/>
  <c r="E133" i="4"/>
  <c r="E146" i="4"/>
  <c r="E154" i="4"/>
  <c r="E95" i="4"/>
  <c r="E66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<sst xmlns="http://schemas.openxmlformats.org/spreadsheetml/2006/main" count="395" uniqueCount="270">
  <si>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</si>
  <si>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</si>
  <si>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</si>
  <si>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</si>
  <si>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</si>
  <si>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</si>
  <si>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</si>
  <si>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</si>
  <si>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</si>
  <si>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</si>
  <si>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</si>
  <si>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</si>
  <si>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</si>
  <si>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</si>
  <si>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</si>
  <si>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</si>
  <si>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</si>
  <si>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</si>
  <si>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</si>
  <si>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</si>
  <si>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</si>
  <si>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</si>
  <si>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</si>
  <si>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</si>
  <si>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</si>
  <si>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</si>
  <si>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</si>
  <si>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</si>
  <si>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</si>
  <si>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</si>
  <si>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</si>
  <si>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</si>
  <si>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</si>
  <si>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</si>
  <si>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</si>
  <si>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</si>
  <si>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</si>
  <si>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</si>
  <si>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</si>
  <si>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</si>
  <si>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</si>
  <si>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</si>
  <si>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</si>
  <si>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</si>
  <si>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</si>
  <si>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</si>
  <si>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</si>
  <si>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</si>
  <si>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</si>
  <si>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</si>
  <si>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</si>
  <si>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</si>
  <si>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</si>
  <si>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</si>
  <si>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</si>
  <si>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</si>
  <si>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</si>
  <si>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</si>
  <si>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</si>
  <si>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</si>
  <si>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</si>
  <si>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</si>
  <si>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</si>
  <si>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</si>
  <si>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</si>
  <si>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</si>
  <si>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</si>
  <si>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</si>
  <si>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</si>
  <si>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</si>
  <si>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</si>
  <si>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</si>
  <si>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</si>
  <si>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</si>
  <si>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</si>
  <si>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</si>
  <si>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</si>
  <si>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</si>
  <si>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</si>
  <si>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</si>
  <si>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</si>
  <si>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</si>
  <si>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</si>
  <si>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</si>
  <si>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</si>
  <si>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</si>
  <si>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</si>
  <si>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</si>
  <si>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</si>
  <si>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</si>
  <si>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</si>
  <si>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</si>
  <si>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</si>
  <si>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</si>
  <si>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</si>
  <si>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</si>
  <si>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</si>
  <si>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</si>
  <si>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</si>
  <si>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</si>
  <si>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</si>
  <si>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</si>
  <si>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</si>
  <si>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</si>
  <si>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</si>
  <si>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</si>
  <si>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</si>
  <si>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</si>
  <si>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</si>
  <si>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</si>
  <si>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</si>
  <si>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</si>
  <si>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</si>
  <si>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</si>
  <si>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</si>
  <si>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</si>
  <si>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</si>
  <si>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</si>
  <si>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</si>
  <si>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</si>
  <si>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</si>
  <si>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</si>
  <si>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</si>
  <si>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</si>
  <si>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</si>
  <si>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</si>
  <si>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</si>
  <si>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</si>
  <si>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</si>
  <si>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</si>
  <si>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</si>
  <si>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</si>
  <si>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</si>
  <si>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</si>
  <si>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</si>
  <si>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</si>
  <si>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</si>
  <si>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</si>
  <si>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</si>
  <si>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</si>
  <si>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</si>
  <si>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</si>
  <si>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</si>
  <si>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</si>
  <si>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</si>
  <si>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</si>
  <si>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</si>
  <si>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</si>
  <si>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</si>
  <si>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</si>
  <si>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</si>
  <si>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</si>
  <si>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</si>
  <si>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</si>
  <si>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</si>
  <si>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</si>
  <si>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</si>
  <si>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</si>
  <si>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</si>
  <si>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</si>
  <si>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</si>
  <si>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</si>
  <si>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</si>
  <si>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</si>
  <si>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</si>
  <si>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</si>
  <si>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</si>
  <si>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</si>
  <si>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</si>
  <si>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</si>
  <si>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</si>
  <si>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</si>
  <si>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</si>
  <si>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</si>
  <si>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</si>
  <si>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</si>
  <si>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</si>
  <si>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</si>
  <si>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</si>
  <si>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</si>
  <si>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</si>
  <si>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</si>
  <si>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</si>
  <si>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</si>
  <si>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</si>
  <si>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</si>
  <si>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</si>
  <si>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</si>
  <si>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</si>
  <si>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</si>
  <si>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</si>
  <si>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</si>
  <si>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</si>
  <si>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</si>
  <si>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</si>
  <si>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</si>
  <si>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</si>
  <si>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</si>
  <si>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</si>
  <si>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</si>
  <si>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</si>
  <si>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</si>
  <si>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</si>
  <si>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</si>
  <si>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</si>
  <si>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</si>
  <si>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</si>
  <si>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</si>
  <si>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</si>
  <si>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</si>
  <si>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</si>
  <si>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</si>
  <si>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</si>
  <si>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</si>
  <si>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</si>
  <si>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</si>
  <si>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</si>
  <si>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</si>
  <si>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</si>
  <si>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</si>
  <si>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</si>
  <si>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</si>
  <si>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</si>
  <si>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</si>
  <si>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</si>
  <si>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</si>
  <si>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</si>
  <si>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</si>
  <si>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</si>
  <si>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</si>
  <si>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</si>
  <si>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</si>
  <si>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</si>
  <si>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</si>
  <si>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</si>
  <si>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</si>
  <si>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</si>
  <si>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</si>
  <si>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</si>
  <si>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</si>
  <si>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</si>
  <si>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</si>
  <si>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</si>
  <si>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</si>
  <si>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</si>
  <si>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</si>
  <si>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</si>
  <si>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</si>
  <si>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</si>
  <si>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</si>
  <si>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하남시 청소년수련관 신축공사</t>
    <phoneticPr fontId="2" type="noConversion"/>
  </si>
  <si>
    <t>기초공사,폐기물처리비,골재비및운반비,작업부산물,기타공사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</si>
  <si>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</si>
  <si>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</si>
  <si>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</si>
  <si>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</si>
  <si>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</si>
  <si>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</si>
  <si>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</t>
    <phoneticPr fontId="2" type="noConversion"/>
  </si>
  <si>
    <t>옥외소화배관공사,펌프실배관공사</t>
    <phoneticPr fontId="2" type="noConversion"/>
  </si>
  <si>
    <t>우수공사,오수공사</t>
    <phoneticPr fontId="2" type="noConversion"/>
  </si>
  <si>
    <t>상수도공사,사급자재비,운반비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</si>
  <si>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</si>
  <si>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</si>
  <si>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공조배관공사,난방배관공사,바닥난방공사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</si>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</sst>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7144.05</v>
      </c>
      <c r="D7" s="36">
        <f>+C7/3.3058</f>
        <v>2161.065400205699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1117560</v>
      </c>
      <c r="E25" s="59">
        <f t="shared" si="0"/>
        <v>3694420</v>
      </c>
    </row>
    <row r="26" spans="1:5" x14ac:dyDescent="0.3">
      <c r="B26" s="2">
        <v>3</v>
      </c>
      <c r="C26" s="35" t="s">
        <v>95</v>
      </c>
      <c r="D26" s="45">
        <f>+D66</f>
        <v>47690</v>
      </c>
      <c r="E26" s="59">
        <f t="shared" si="0"/>
        <v>157650</v>
      </c>
    </row>
    <row r="27" spans="1:5" x14ac:dyDescent="0.3">
      <c r="B27" s="2">
        <v>4</v>
      </c>
      <c r="C27" s="35" t="s">
        <v>96</v>
      </c>
      <c r="D27" s="45">
        <f>+D95</f>
        <v>154400</v>
      </c>
      <c r="E27" s="59">
        <f t="shared" si="0"/>
        <v>510410</v>
      </c>
    </row>
    <row r="28" spans="1:5" x14ac:dyDescent="0.3">
      <c r="B28" s="2">
        <v>5</v>
      </c>
      <c r="C28" s="35" t="s">
        <v>97</v>
      </c>
      <c r="D28" s="45">
        <f>+D119</f>
        <v>146140</v>
      </c>
      <c r="E28" s="59">
        <f t="shared" si="0"/>
        <v>483100</v>
      </c>
    </row>
    <row r="29" spans="1:5" x14ac:dyDescent="0.3">
      <c r="B29" s="2">
        <v>6</v>
      </c>
      <c r="C29" s="35" t="s">
        <v>98</v>
      </c>
      <c r="D29" s="45">
        <f>+D133</f>
        <v>86370</v>
      </c>
      <c r="E29" s="59">
        <f t="shared" si="0"/>
        <v>285520</v>
      </c>
    </row>
    <row r="30" spans="1:5" x14ac:dyDescent="0.3">
      <c r="B30" s="2">
        <v>7</v>
      </c>
      <c r="C30" s="35" t="s">
        <v>99</v>
      </c>
      <c r="D30" s="45">
        <f>+D146</f>
        <v>51250</v>
      </c>
      <c r="E30" s="59">
        <f t="shared" si="0"/>
        <v>169420</v>
      </c>
    </row>
    <row r="31" spans="1:5" x14ac:dyDescent="0.3">
      <c r="B31" s="2">
        <v>8</v>
      </c>
      <c r="C31" s="35" t="s">
        <v>100</v>
      </c>
      <c r="D31" s="45">
        <f>+D154</f>
        <v>8190</v>
      </c>
      <c r="E31" s="59">
        <f t="shared" si="0"/>
        <v>27070</v>
      </c>
    </row>
    <row r="32" spans="1:5" x14ac:dyDescent="0.3">
      <c r="B32" s="2">
        <v>9</v>
      </c>
      <c r="C32" s="35" t="s">
        <v>101</v>
      </c>
      <c r="D32" s="45">
        <f>+D161</f>
        <v>24990</v>
      </c>
      <c r="E32" s="59">
        <f t="shared" si="0"/>
        <v>82610</v>
      </c>
    </row>
    <row r="33" spans="1:7" x14ac:dyDescent="0.3">
      <c r="B33" s="2">
        <v>10</v>
      </c>
      <c r="C33" s="35" t="s">
        <v>154</v>
      </c>
      <c r="D33" s="53">
        <f>TRUNC(SUM(D24:D32)*0.275,-1)</f>
        <v>450060</v>
      </c>
      <c r="E33" s="60">
        <f t="shared" si="0"/>
        <v>1487800</v>
      </c>
    </row>
    <row r="34" spans="1:7" x14ac:dyDescent="0.3">
      <c r="C34" s="35" t="s">
        <v>112</v>
      </c>
      <c r="D34" s="44">
        <f>SUM(D24:D33)</f>
        <v>2086650</v>
      </c>
      <c r="E34" s="44">
        <f>SUM(E24:E33)</f>
        <v>6898000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TRUNC(44016,-1)</f>
        <v>44010</v>
      </c>
      <c r="E40" s="62">
        <f t="shared" ref="E40:E59" si="1">TRUNC(+D40*3.3058,-1)</f>
        <v>145480</v>
      </c>
    </row>
    <row r="41" spans="1:7" x14ac:dyDescent="0.3">
      <c r="A41" s="2">
        <v>2</v>
      </c>
      <c r="C41" s="38" t="s">
        <v>13</v>
      </c>
      <c r="D41" s="42">
        <f>TRUNC(179365,-1)</f>
        <v>179360</v>
      </c>
      <c r="E41" s="63">
        <f t="shared" si="1"/>
        <v>592920</v>
      </c>
    </row>
    <row r="42" spans="1:7" x14ac:dyDescent="0.3">
      <c r="A42" s="2">
        <v>3</v>
      </c>
      <c r="C42" s="38" t="s">
        <v>14</v>
      </c>
      <c r="D42" s="42">
        <f>TRUNC(27171,-1)</f>
        <v>27170</v>
      </c>
      <c r="E42" s="63">
        <f t="shared" si="1"/>
        <v>89810</v>
      </c>
    </row>
    <row r="43" spans="1:7" x14ac:dyDescent="0.3">
      <c r="A43" s="2">
        <v>4</v>
      </c>
      <c r="C43" s="38" t="s">
        <v>16</v>
      </c>
      <c r="D43" s="42">
        <f>TRUNC(20909,-1)</f>
        <v>20900</v>
      </c>
      <c r="E43" s="63">
        <f t="shared" si="1"/>
        <v>69090</v>
      </c>
    </row>
    <row r="44" spans="1:7" x14ac:dyDescent="0.3">
      <c r="A44" s="2">
        <v>5</v>
      </c>
      <c r="C44" s="38" t="s">
        <v>17</v>
      </c>
      <c r="D44" s="42">
        <f>TRUNC(36487,-1)</f>
        <v>36480</v>
      </c>
      <c r="E44" s="63">
        <f t="shared" si="1"/>
        <v>120590</v>
      </c>
    </row>
    <row r="45" spans="1:7" x14ac:dyDescent="0.3">
      <c r="A45" s="2">
        <v>6</v>
      </c>
      <c r="C45" s="38" t="s">
        <v>18</v>
      </c>
      <c r="D45" s="42">
        <f>TRUNC(15020,-1)</f>
        <v>15020</v>
      </c>
      <c r="E45" s="63">
        <f t="shared" si="1"/>
        <v>49650</v>
      </c>
    </row>
    <row r="46" spans="1:7" x14ac:dyDescent="0.3">
      <c r="A46" s="2">
        <v>7</v>
      </c>
      <c r="C46" s="38" t="s">
        <v>19</v>
      </c>
      <c r="D46" s="42">
        <f>TRUNC(21214,-1)</f>
        <v>21210</v>
      </c>
      <c r="E46" s="63">
        <f t="shared" si="1"/>
        <v>70110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TRUNC(67638,-1)</f>
        <v>67630</v>
      </c>
      <c r="E48" s="63">
        <f t="shared" si="1"/>
        <v>223570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TRUNC(24266,-1)</f>
        <v>24260</v>
      </c>
      <c r="E49" s="63">
        <f t="shared" si="1"/>
        <v>80190</v>
      </c>
    </row>
    <row r="50" spans="1:7" x14ac:dyDescent="0.3">
      <c r="A50" s="2">
        <v>11</v>
      </c>
      <c r="C50" s="38" t="s">
        <v>155</v>
      </c>
      <c r="D50" s="42">
        <f>TRUNC(74138,-1)</f>
        <v>74130</v>
      </c>
      <c r="E50" s="63">
        <f t="shared" si="1"/>
        <v>245050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TRUNC(13878,-1)</f>
        <v>13870</v>
      </c>
      <c r="E52" s="63">
        <f t="shared" si="1"/>
        <v>45850</v>
      </c>
    </row>
    <row r="53" spans="1:7" x14ac:dyDescent="0.3">
      <c r="A53" s="2">
        <v>14</v>
      </c>
      <c r="C53" s="38" t="s">
        <v>25</v>
      </c>
      <c r="D53" s="42">
        <f>TRUNC(81166,-1)</f>
        <v>81160</v>
      </c>
      <c r="E53" s="63">
        <f t="shared" si="1"/>
        <v>268290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TRUNC(33368+56+5590+1031+45118,-1)</f>
        <v>85160</v>
      </c>
      <c r="E58" s="63">
        <f t="shared" si="1"/>
        <v>281520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TRUNC(427202,-1)</f>
        <v>427200</v>
      </c>
      <c r="E59" s="64">
        <f t="shared" si="1"/>
        <v>1412230</v>
      </c>
    </row>
    <row r="60" spans="1:7" x14ac:dyDescent="0.3">
      <c r="A60" s="2">
        <v>21</v>
      </c>
      <c r="C60" s="27" t="s">
        <v>112</v>
      </c>
      <c r="D60" s="39">
        <f>SUM(D40:D59)</f>
        <v>1117560</v>
      </c>
      <c r="E60" s="39">
        <f>SUM(E40:E59)</f>
        <v>3694350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TRUNC(939,-1)</f>
        <v>930</v>
      </c>
      <c r="E63" s="62">
        <f>TRUNC(+D63*3.3058,-1)</f>
        <v>3070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TRUNC(46763,-1)</f>
        <v>46760</v>
      </c>
      <c r="E65" s="64">
        <f>TRUNC(+D65*3.3058,-1)</f>
        <v>154570</v>
      </c>
    </row>
    <row r="66" spans="1:7" x14ac:dyDescent="0.3">
      <c r="A66" s="2">
        <v>4</v>
      </c>
      <c r="C66" s="27" t="s">
        <v>112</v>
      </c>
      <c r="D66" s="39">
        <f>SUM(D63:D65)</f>
        <v>47690</v>
      </c>
      <c r="E66" s="65">
        <f>SUM(E63:E65)</f>
        <v>157640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TRUNC(26860,-1)</f>
        <v>26860</v>
      </c>
      <c r="E69" s="62">
        <f t="shared" ref="E69:E94" si="2">TRUNC(+D69*3.3058,-1)</f>
        <v>88790</v>
      </c>
    </row>
    <row r="70" spans="1:7" ht="16.5" customHeight="1" x14ac:dyDescent="0.3">
      <c r="A70" s="2">
        <v>2</v>
      </c>
      <c r="C70" s="38" t="s">
        <v>31</v>
      </c>
      <c r="D70" s="42">
        <f>TRUNC(76,-1)</f>
        <v>70</v>
      </c>
      <c r="E70" s="63">
        <f t="shared" si="2"/>
        <v>230</v>
      </c>
    </row>
    <row r="71" spans="1:7" x14ac:dyDescent="0.3">
      <c r="A71" s="2">
        <v>3</v>
      </c>
      <c r="C71" s="38" t="s">
        <v>32</v>
      </c>
      <c r="D71" s="42">
        <f>TRUNC(19325,-1)</f>
        <v>19320</v>
      </c>
      <c r="E71" s="63">
        <f t="shared" si="2"/>
        <v>63860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TRUNC(7065,-1)</f>
        <v>7060</v>
      </c>
      <c r="E73" s="63">
        <f t="shared" si="2"/>
        <v>23330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TRUNC(2208,-1)</f>
        <v>2200</v>
      </c>
      <c r="E75" s="63">
        <f t="shared" si="2"/>
        <v>7270</v>
      </c>
    </row>
    <row r="76" spans="1:7" x14ac:dyDescent="0.3">
      <c r="A76" s="2">
        <v>8</v>
      </c>
      <c r="C76" s="38" t="s">
        <v>119</v>
      </c>
      <c r="D76" s="42">
        <f>TRUNC(50421,-1)</f>
        <v>50420</v>
      </c>
      <c r="E76" s="63">
        <f t="shared" si="2"/>
        <v>166670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TRUNC(10739,-1)</f>
        <v>10730</v>
      </c>
      <c r="E89" s="63">
        <f t="shared" si="2"/>
        <v>35470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TRUNC(10492,-1)</f>
        <v>10490</v>
      </c>
      <c r="E91" s="63">
        <f t="shared" si="2"/>
        <v>34670</v>
      </c>
    </row>
    <row r="92" spans="1:7" x14ac:dyDescent="0.3">
      <c r="A92" s="2">
        <v>24</v>
      </c>
      <c r="C92" s="38" t="s">
        <v>38</v>
      </c>
      <c r="D92" s="42">
        <f>TRUNC(4146,-1)</f>
        <v>4140</v>
      </c>
      <c r="E92" s="63">
        <f t="shared" si="2"/>
        <v>13680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TRUNC(21161+1788+163,-1)</f>
        <v>23110</v>
      </c>
      <c r="E94" s="64">
        <f t="shared" si="2"/>
        <v>76390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154400</v>
      </c>
      <c r="E95" s="39">
        <f>SUM(E69:E94)</f>
        <v>510360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TRUNC(8773,-1)</f>
        <v>8770</v>
      </c>
      <c r="E98" s="62">
        <f t="shared" ref="E98:E118" si="3">TRUNC(+D98*3.3058,-1)</f>
        <v>28990</v>
      </c>
    </row>
    <row r="99" spans="1:7" x14ac:dyDescent="0.3">
      <c r="A99" s="2">
        <v>2</v>
      </c>
      <c r="C99" s="38" t="s">
        <v>40</v>
      </c>
      <c r="D99" s="42">
        <f>TRUNC(10882,-1)</f>
        <v>10880</v>
      </c>
      <c r="E99" s="63">
        <f t="shared" si="3"/>
        <v>35960</v>
      </c>
    </row>
    <row r="100" spans="1:7" x14ac:dyDescent="0.3">
      <c r="A100" s="2">
        <v>3</v>
      </c>
      <c r="C100" s="38" t="s">
        <v>41</v>
      </c>
      <c r="D100" s="42">
        <f>TRUNC(33166,-1)</f>
        <v>33160</v>
      </c>
      <c r="E100" s="63">
        <f t="shared" si="3"/>
        <v>109620</v>
      </c>
    </row>
    <row r="101" spans="1:7" x14ac:dyDescent="0.3">
      <c r="A101" s="2">
        <v>4</v>
      </c>
      <c r="C101" s="38" t="s">
        <v>42</v>
      </c>
      <c r="D101" s="42">
        <f>TRUNC(1491,-1)</f>
        <v>1490</v>
      </c>
      <c r="E101" s="63">
        <f t="shared" si="3"/>
        <v>4920</v>
      </c>
    </row>
    <row r="102" spans="1:7" x14ac:dyDescent="0.3">
      <c r="A102" s="2">
        <v>5</v>
      </c>
      <c r="C102" s="38" t="s">
        <v>43</v>
      </c>
      <c r="D102" s="42">
        <f>TRUNC(9500,-1)</f>
        <v>9500</v>
      </c>
      <c r="E102" s="63">
        <f t="shared" si="3"/>
        <v>31400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TRUNC(6837,-1)</f>
        <v>6830</v>
      </c>
      <c r="E104" s="63">
        <f t="shared" si="3"/>
        <v>22570</v>
      </c>
    </row>
    <row r="105" spans="1:7" x14ac:dyDescent="0.3">
      <c r="A105" s="2">
        <v>8</v>
      </c>
      <c r="C105" s="38" t="s">
        <v>46</v>
      </c>
      <c r="D105" s="42">
        <f>TRUNC(3585,-1)</f>
        <v>3580</v>
      </c>
      <c r="E105" s="63">
        <f t="shared" si="3"/>
        <v>11830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TRUNC(1486,-1)</f>
        <v>1480</v>
      </c>
      <c r="E114" s="63">
        <f t="shared" si="3"/>
        <v>4890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TRUNC(1626,-1)</f>
        <v>1620</v>
      </c>
      <c r="E116" s="63">
        <f t="shared" si="3"/>
        <v>5350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TRUNC(68585,-1)</f>
        <v>68580</v>
      </c>
      <c r="E117" s="63">
        <f t="shared" si="3"/>
        <v>226710</v>
      </c>
    </row>
    <row r="118" spans="1:7" ht="17.25" thickBot="1" x14ac:dyDescent="0.35">
      <c r="A118" s="2">
        <v>21</v>
      </c>
      <c r="C118" s="38" t="s">
        <v>47</v>
      </c>
      <c r="D118" s="43">
        <f>TRUNC(257,-1)</f>
        <v>250</v>
      </c>
      <c r="E118" s="64">
        <f t="shared" si="3"/>
        <v>820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146140</v>
      </c>
      <c r="E119" s="39">
        <f>SUM(E98:E118)</f>
        <v>483060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TRUNC(3802,-1)</f>
        <v>3800</v>
      </c>
      <c r="E122" s="62">
        <f t="shared" ref="E122:E132" si="4">TRUNC(+D122*3.3058,-1)</f>
        <v>12560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TRUNC(2976,-1)</f>
        <v>2970</v>
      </c>
      <c r="E124" s="63">
        <f t="shared" si="4"/>
        <v>9810</v>
      </c>
    </row>
    <row r="125" spans="1:7" x14ac:dyDescent="0.3">
      <c r="A125" s="2">
        <v>4</v>
      </c>
      <c r="C125" s="38" t="s">
        <v>138</v>
      </c>
      <c r="D125" s="42">
        <f>TRUNC(5754,-1)</f>
        <v>5750</v>
      </c>
      <c r="E125" s="63">
        <f t="shared" si="4"/>
        <v>19000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TRUNC(1338,-1)</f>
        <v>1330</v>
      </c>
      <c r="E127" s="63">
        <f t="shared" si="4"/>
        <v>4390</v>
      </c>
    </row>
    <row r="128" spans="1:7" x14ac:dyDescent="0.3">
      <c r="A128" s="2">
        <v>7</v>
      </c>
      <c r="C128" s="38" t="s">
        <v>46</v>
      </c>
      <c r="D128" s="42">
        <f>TRUNC(3401,-1)</f>
        <v>3400</v>
      </c>
      <c r="E128" s="63">
        <f t="shared" si="4"/>
        <v>11230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TRUNC(7957,-1)</f>
        <v>7950</v>
      </c>
      <c r="E130" s="63">
        <f t="shared" si="4"/>
        <v>26280</v>
      </c>
    </row>
    <row r="131" spans="1:7" x14ac:dyDescent="0.3">
      <c r="A131" s="2">
        <v>10</v>
      </c>
      <c r="C131" s="38" t="s">
        <v>148</v>
      </c>
      <c r="D131" s="42">
        <f>TRUNC(58310,-1)</f>
        <v>58310</v>
      </c>
      <c r="E131" s="63">
        <f t="shared" si="4"/>
        <v>192760</v>
      </c>
    </row>
    <row r="132" spans="1:7" ht="18" thickBot="1" x14ac:dyDescent="0.35">
      <c r="A132" s="2">
        <v>11</v>
      </c>
      <c r="C132" s="38" t="s">
        <v>47</v>
      </c>
      <c r="D132" s="43">
        <f>TRUNC(1507+1360,-1)</f>
        <v>2860</v>
      </c>
      <c r="E132" s="64">
        <f t="shared" si="4"/>
        <v>9450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86370</v>
      </c>
      <c r="E133" s="39">
        <f>SUM(E122:E132)</f>
        <v>285480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TRUNC(256+2792,-1)</f>
        <v>3040</v>
      </c>
      <c r="E137" s="63">
        <f t="shared" si="5"/>
        <v>10040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TRUNC(1307,-1)</f>
        <v>1300</v>
      </c>
      <c r="E139" s="63">
        <f t="shared" si="5"/>
        <v>4290</v>
      </c>
    </row>
    <row r="140" spans="1:7" x14ac:dyDescent="0.3">
      <c r="A140" s="2">
        <v>5</v>
      </c>
      <c r="C140" s="38" t="s">
        <v>57</v>
      </c>
      <c r="D140" s="42">
        <f>TRUNC(1988,-1)</f>
        <v>1980</v>
      </c>
      <c r="E140" s="63">
        <f t="shared" si="5"/>
        <v>6540</v>
      </c>
    </row>
    <row r="141" spans="1:7" x14ac:dyDescent="0.3">
      <c r="A141" s="2">
        <v>6</v>
      </c>
      <c r="C141" s="38" t="s">
        <v>59</v>
      </c>
      <c r="D141" s="42">
        <f>TRUNC(8151,-1)</f>
        <v>8150</v>
      </c>
      <c r="E141" s="63">
        <f t="shared" si="5"/>
        <v>26940</v>
      </c>
    </row>
    <row r="142" spans="1:7" x14ac:dyDescent="0.3">
      <c r="A142" s="2">
        <v>7</v>
      </c>
      <c r="C142" s="38" t="s">
        <v>58</v>
      </c>
      <c r="D142" s="42">
        <f>TRUNC(7584,-1)</f>
        <v>7580</v>
      </c>
      <c r="E142" s="63">
        <f t="shared" si="5"/>
        <v>25050</v>
      </c>
    </row>
    <row r="143" spans="1:7" x14ac:dyDescent="0.3">
      <c r="A143" s="2">
        <v>8</v>
      </c>
      <c r="C143" s="38" t="s">
        <v>62</v>
      </c>
      <c r="D143" s="42">
        <f>TRUNC(4409,-1)</f>
        <v>4400</v>
      </c>
      <c r="E143" s="63">
        <f t="shared" si="5"/>
        <v>14540</v>
      </c>
    </row>
    <row r="144" spans="1:7" x14ac:dyDescent="0.3">
      <c r="A144" s="2">
        <v>9</v>
      </c>
      <c r="C144" s="38" t="s">
        <v>63</v>
      </c>
      <c r="D144" s="42">
        <f>TRUNC(22333,-1)</f>
        <v>22330</v>
      </c>
      <c r="E144" s="63">
        <f t="shared" si="5"/>
        <v>73810</v>
      </c>
    </row>
    <row r="145" spans="1:7" ht="17.25" thickBot="1" x14ac:dyDescent="0.35">
      <c r="A145" s="2">
        <v>10</v>
      </c>
      <c r="C145" s="38" t="s">
        <v>148</v>
      </c>
      <c r="D145" s="43">
        <f>TRUNC(2471,-1)</f>
        <v>2470</v>
      </c>
      <c r="E145" s="64">
        <f t="shared" si="5"/>
        <v>8160</v>
      </c>
    </row>
    <row r="146" spans="1:7" x14ac:dyDescent="0.3">
      <c r="A146" s="2">
        <v>11</v>
      </c>
      <c r="C146" s="27" t="s">
        <v>112</v>
      </c>
      <c r="D146" s="39">
        <f>SUM(D136:D145)</f>
        <v>51250</v>
      </c>
      <c r="E146" s="39">
        <f>SUM(E136:E145)</f>
        <v>169370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TRUNC(901+2422,-1)</f>
        <v>3320</v>
      </c>
      <c r="E149" s="62">
        <f>TRUNC(+D149*3.3058,-1)</f>
        <v>10970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TRUNC(350,-1)</f>
        <v>350</v>
      </c>
      <c r="E150" s="63">
        <f>TRUNC(+D150*3.3058,-1)</f>
        <v>1150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TRUNC(148+4375+1,-1)</f>
        <v>4520</v>
      </c>
      <c r="E152" s="63">
        <f>TRUNC(+D152*3.3058,-1)</f>
        <v>14940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8190</v>
      </c>
      <c r="E154" s="39">
        <f>SUM(E149:E153)</f>
        <v>27060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TRUNC(5547,-1)</f>
        <v>5540</v>
      </c>
      <c r="E157" s="62">
        <f>TRUNC(+D157*3.3058,-1)</f>
        <v>18310</v>
      </c>
    </row>
    <row r="158" spans="1:7" x14ac:dyDescent="0.3">
      <c r="A158" s="2">
        <v>2</v>
      </c>
      <c r="C158" s="38" t="s">
        <v>52</v>
      </c>
      <c r="D158" s="42">
        <f>TRUNC(11219,-1)</f>
        <v>11210</v>
      </c>
      <c r="E158" s="63">
        <f>TRUNC(+D158*3.3058,-1)</f>
        <v>37050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TRUNC(8241+7,-1)</f>
        <v>8240</v>
      </c>
      <c r="E159" s="63">
        <f>TRUNC(+D159*3.3058,-1)</f>
        <v>27230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24990</v>
      </c>
      <c r="E161" s="39">
        <f>SUM(E157:E160)</f>
        <v>82590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2020-12-08T02:35:10Z</dcterms:modified>
</cp:coreProperties>
</file>