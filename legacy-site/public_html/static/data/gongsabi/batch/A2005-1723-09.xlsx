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4" i="4"/>
  <c r="E91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71" i="4"/>
  <c r="E65" i="4"/>
  <c r="E64" i="4"/>
  <c r="E63" i="4"/>
  <c r="E66" i="4" s="1"/>
  <c r="E57" i="4"/>
  <c r="E56" i="4"/>
  <c r="E54" i="4"/>
  <c r="E46" i="4"/>
  <c r="E42" i="4"/>
  <c r="E146" i="4" l="1"/>
  <c r="E154" i="4"/>
  <c r="D161" i="4"/>
  <c r="D32" i="4" s="1"/>
  <c r="E32" i="4" s="1"/>
  <c r="D154" i="4"/>
  <c r="D31" i="4" s="1"/>
  <c r="E31" i="4" s="1"/>
  <c r="D146" i="4"/>
  <c r="D123" i="4"/>
  <c r="E123" i="4" s="1"/>
  <c r="D122" i="4"/>
  <c r="D117" i="4"/>
  <c r="E117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3" i="4"/>
  <c r="E93" i="4" s="1"/>
  <c r="D92" i="4"/>
  <c r="E92" i="4" s="1"/>
  <c r="D90" i="4"/>
  <c r="E90" i="4" s="1"/>
  <c r="D89" i="4"/>
  <c r="E89" i="4" s="1"/>
  <c r="D84" i="4"/>
  <c r="E84" i="4" s="1"/>
  <c r="D79" i="4"/>
  <c r="E79" i="4" s="1"/>
  <c r="D73" i="4"/>
  <c r="E73" i="4" s="1"/>
  <c r="D72" i="4"/>
  <c r="E72" i="4" s="1"/>
  <c r="D70" i="4"/>
  <c r="E70" i="4" s="1"/>
  <c r="D69" i="4"/>
  <c r="D66" i="4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5" i="4"/>
  <c r="E45" i="4" s="1"/>
  <c r="D44" i="4"/>
  <c r="E44" i="4" s="1"/>
  <c r="D43" i="4"/>
  <c r="E43" i="4" s="1"/>
  <c r="D41" i="4"/>
  <c r="E41" i="4" s="1"/>
  <c r="D40" i="4"/>
  <c r="D37" i="4"/>
  <c r="E37" i="4" s="1"/>
  <c r="D30" i="4"/>
  <c r="E30" i="4" s="1"/>
  <c r="D26" i="4"/>
  <c r="E26" i="4" s="1"/>
  <c r="D7" i="4"/>
  <c r="D119" i="4" l="1"/>
  <c r="D28" i="4" s="1"/>
  <c r="E28" i="4" s="1"/>
  <c r="E98" i="4"/>
  <c r="D133" i="4"/>
  <c r="D29" i="4" s="1"/>
  <c r="E29" i="4" s="1"/>
  <c r="E122" i="4"/>
  <c r="E133" i="4" s="1"/>
  <c r="E119" i="4"/>
  <c r="D24" i="4"/>
  <c r="E24" i="4" s="1"/>
  <c r="D60" i="4"/>
  <c r="D25" i="4" s="1"/>
  <c r="E25" i="4" s="1"/>
  <c r="E40" i="4"/>
  <c r="E60" i="4" s="1"/>
  <c r="D95" i="4"/>
  <c r="D27" i="4" s="1"/>
  <c r="E27" i="4" s="1"/>
  <c r="E69" i="4"/>
  <c r="E95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s="1"/>
  <c r="E33" i="4" l="1"/>
  <c r="E34" i="4" s="1"/>
</calcChain>
</file>

<file path=xl/sharedStrings.xml><?xml version="1.0" encoding="utf-8"?>
<sst xmlns="http://schemas.openxmlformats.org/spreadsheetml/2006/main" count="387" uniqueCount="260">
  <si>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</si>
  <si>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</si>
  <si>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</si>
  <si>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</si>
  <si>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</si>
  <si>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</si>
  <si>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</si>
  <si>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</si>
  <si>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</si>
  <si>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</si>
  <si>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</si>
  <si>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</si>
  <si>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</si>
  <si>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</si>
  <si>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</si>
  <si>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</si>
  <si>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</si>
  <si>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</si>
  <si>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</si>
  <si>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</si>
  <si>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</si>
  <si>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</si>
  <si>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</si>
  <si>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</si>
  <si>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</si>
  <si>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</si>
  <si>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</si>
  <si>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</si>
  <si>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</si>
  <si>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</si>
  <si>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</si>
  <si>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</si>
  <si>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</si>
  <si>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</si>
  <si>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</si>
  <si>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</si>
  <si>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</si>
  <si>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</si>
  <si>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</si>
  <si>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</si>
  <si>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</si>
  <si>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</si>
  <si>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</si>
  <si>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</si>
  <si>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</si>
  <si>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</si>
  <si>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</si>
  <si>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</si>
  <si>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</si>
  <si>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</si>
  <si>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</si>
  <si>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</si>
  <si>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</si>
  <si>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</si>
  <si>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</si>
  <si>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</si>
  <si>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</si>
  <si>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</si>
  <si>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</si>
  <si>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</si>
  <si>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</si>
  <si>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</si>
  <si>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</si>
  <si>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</si>
  <si>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</si>
  <si>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</si>
  <si>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</si>
  <si>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</si>
  <si>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</si>
  <si>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</si>
  <si>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</si>
  <si>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</si>
  <si>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</si>
  <si>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</si>
  <si>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</si>
  <si>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</si>
  <si>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</si>
  <si>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</si>
  <si>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</si>
  <si>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</si>
  <si>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</si>
  <si>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</si>
  <si>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</si>
  <si>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</si>
  <si>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</si>
  <si>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</si>
  <si>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</si>
  <si>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</si>
  <si>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</si>
  <si>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</si>
  <si>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</si>
  <si>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</si>
  <si>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</si>
  <si>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</si>
  <si>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</si>
  <si>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</si>
  <si>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</si>
  <si>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</si>
  <si>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</si>
  <si>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</si>
  <si>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</si>
  <si>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</si>
  <si>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</si>
  <si>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</si>
  <si>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</si>
  <si>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</si>
  <si>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</si>
  <si>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</si>
  <si>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</si>
  <si>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</si>
  <si>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</si>
  <si>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</si>
  <si>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</si>
  <si>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</si>
  <si>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</si>
  <si>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</si>
  <si>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</si>
  <si>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</si>
  <si>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</si>
  <si>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</si>
  <si>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</si>
  <si>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</si>
  <si>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</si>
  <si>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</si>
  <si>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</si>
  <si>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</si>
  <si>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</si>
  <si>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</si>
  <si>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</si>
  <si>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</si>
  <si>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</si>
  <si>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</si>
  <si>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</si>
  <si>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</si>
  <si>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</si>
  <si>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</si>
  <si>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</si>
  <si>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</si>
  <si>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</si>
  <si>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</si>
  <si>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</si>
  <si>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</si>
  <si>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</si>
  <si>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</si>
  <si>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</si>
  <si>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</si>
  <si>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</si>
  <si>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</si>
  <si>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</si>
  <si>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</si>
  <si>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</si>
  <si>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</si>
  <si>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</si>
  <si>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</si>
  <si>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</si>
  <si>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</si>
  <si>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</si>
  <si>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</si>
  <si>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</si>
  <si>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</si>
  <si>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</si>
  <si>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</si>
  <si>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</si>
  <si>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</si>
  <si>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</si>
  <si>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</si>
  <si>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</si>
  <si>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</si>
  <si>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</si>
  <si>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</si>
  <si>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</si>
  <si>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</si>
  <si>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</si>
  <si>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</si>
  <si>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</si>
  <si>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</si>
  <si>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</si>
  <si>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</si>
  <si>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</si>
  <si>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</si>
  <si>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</si>
  <si>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</si>
  <si>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</si>
  <si>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</si>
  <si>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</si>
  <si>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</si>
  <si>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</si>
  <si>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</si>
  <si>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</si>
  <si>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</si>
  <si>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</si>
  <si>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</si>
  <si>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</si>
  <si>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</si>
  <si>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</si>
  <si>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</si>
  <si>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</si>
  <si>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</si>
  <si>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</si>
  <si>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</si>
  <si>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</si>
  <si>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</si>
  <si>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</si>
  <si>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</si>
  <si>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</si>
  <si>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</si>
  <si>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</si>
  <si>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</si>
  <si>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</si>
  <si>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</si>
  <si>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</si>
  <si>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</si>
  <si>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</si>
  <si>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</si>
  <si>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</si>
  <si>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</si>
  <si>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</si>
  <si>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</si>
  <si>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</si>
  <si>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</si>
  <si>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</si>
  <si>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</si>
  <si>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</si>
  <si>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</si>
  <si>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</si>
  <si>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</si>
  <si>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</si>
  <si>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</si>
  <si>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</si>
  <si>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</si>
  <si>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</si>
  <si>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</si>
  <si>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</si>
  <si>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</si>
  <si>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</si>
  <si>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</si>
  <si>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</si>
  <si>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</si>
  <si>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</si>
  <si>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</si>
  <si>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</si>
  <si>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</si>
  <si>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</si>
  <si>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</si>
  <si>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</si>
  <si>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00노인전문요양원 신축공사</t>
  </si>
  <si>
    <t>인천시</t>
  </si>
  <si>
    <t>평</t>
    <phoneticPr fontId="2" type="noConversion"/>
  </si>
  <si>
    <t>원/ m2</t>
    <phoneticPr fontId="2" type="noConversion"/>
  </si>
  <si>
    <t>타일 및 석공사</t>
  </si>
  <si>
    <t>토공사,엘리베이터공사,철거공사,부대공사,조경공사,솔재비및운반비,폐기물처리비</t>
    <phoneticPr fontId="2" type="noConversion"/>
  </si>
  <si>
    <t>기계 장비설치공사,소화설비공사,전기소방공사</t>
    <phoneticPr fontId="2" type="noConversion"/>
  </si>
  <si>
    <t>도급자설치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</si>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</sst>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1719</v>
      </c>
      <c r="D7" s="36">
        <f>+C7/3.3058</f>
        <v>519.99516002177984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D37</f>
        <v>2680</v>
      </c>
      <c r="E24" s="59">
        <f t="shared" ref="E24:E33" si="0">TRUNC(+D24*3.3058,-1)</f>
        <v>8850</v>
      </c>
    </row>
    <row r="25" spans="1:5" x14ac:dyDescent="0.3">
      <c r="B25" s="2">
        <v>2</v>
      </c>
      <c r="C25" s="35" t="s">
        <v>111</v>
      </c>
      <c r="D25" s="45">
        <f>+D60</f>
        <v>641570</v>
      </c>
      <c r="E25" s="60">
        <f t="shared" si="0"/>
        <v>2120900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73070</v>
      </c>
      <c r="E27" s="60">
        <f t="shared" si="0"/>
        <v>241550</v>
      </c>
    </row>
    <row r="28" spans="1:5" x14ac:dyDescent="0.3">
      <c r="B28" s="2">
        <v>5</v>
      </c>
      <c r="C28" s="35" t="s">
        <v>97</v>
      </c>
      <c r="D28" s="45">
        <f>+D119</f>
        <v>36570</v>
      </c>
      <c r="E28" s="60">
        <f t="shared" si="0"/>
        <v>120890</v>
      </c>
    </row>
    <row r="29" spans="1:5" x14ac:dyDescent="0.3">
      <c r="B29" s="2">
        <v>6</v>
      </c>
      <c r="C29" s="35" t="s">
        <v>98</v>
      </c>
      <c r="D29" s="45">
        <f>+D133</f>
        <v>9470</v>
      </c>
      <c r="E29" s="60">
        <f t="shared" si="0"/>
        <v>31300</v>
      </c>
    </row>
    <row r="30" spans="1:5" x14ac:dyDescent="0.3">
      <c r="B30" s="2">
        <v>7</v>
      </c>
      <c r="C30" s="35" t="s">
        <v>99</v>
      </c>
      <c r="D30" s="45">
        <f>+D146</f>
        <v>39830</v>
      </c>
      <c r="E30" s="60">
        <f t="shared" si="0"/>
        <v>131670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220870</v>
      </c>
      <c r="E33" s="61">
        <f t="shared" si="0"/>
        <v>730150</v>
      </c>
    </row>
    <row r="34" spans="1:7" x14ac:dyDescent="0.3">
      <c r="C34" s="35" t="s">
        <v>112</v>
      </c>
      <c r="D34" s="44">
        <f>SUM(D24:D33)</f>
        <v>1024060</v>
      </c>
      <c r="E34" s="44">
        <f>SUM(E24:E33)</f>
        <v>3385310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234</v>
      </c>
      <c r="D36" s="56" t="s">
        <v>248</v>
      </c>
      <c r="E36" s="56" t="s">
        <v>254</v>
      </c>
      <c r="F36" s="54"/>
      <c r="G36" s="54"/>
    </row>
    <row r="37" spans="1:7" ht="17.25" thickBot="1" x14ac:dyDescent="0.35">
      <c r="C37" s="38" t="s">
        <v>143</v>
      </c>
      <c r="D37" s="52">
        <f>TRUNC(2689.97847585806,-1)</f>
        <v>2680</v>
      </c>
      <c r="E37" s="62">
        <f>TRUNC(+D37*3.3058,-1)</f>
        <v>8850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238</v>
      </c>
      <c r="D39" s="67" t="s">
        <v>255</v>
      </c>
      <c r="E39" s="67" t="s">
        <v>256</v>
      </c>
      <c r="G39" s="68"/>
    </row>
    <row r="40" spans="1:7" x14ac:dyDescent="0.3">
      <c r="A40" s="2">
        <v>1</v>
      </c>
      <c r="C40" s="38" t="s">
        <v>15</v>
      </c>
      <c r="D40" s="40">
        <f>TRUNC(29336.1593949971,-1)</f>
        <v>29330</v>
      </c>
      <c r="E40" s="63">
        <f t="shared" ref="E40:E59" si="1">TRUNC(+D40*3.3058,-1)</f>
        <v>96950</v>
      </c>
    </row>
    <row r="41" spans="1:7" x14ac:dyDescent="0.3">
      <c r="A41" s="2">
        <v>2</v>
      </c>
      <c r="C41" s="38" t="s">
        <v>13</v>
      </c>
      <c r="D41" s="42">
        <f>TRUNC(160468.812100058,-1)</f>
        <v>160460</v>
      </c>
      <c r="E41" s="64">
        <f t="shared" si="1"/>
        <v>530440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TRUNC(62188.9499709133,-1)</f>
        <v>62180</v>
      </c>
      <c r="E43" s="64">
        <f t="shared" si="1"/>
        <v>205550</v>
      </c>
    </row>
    <row r="44" spans="1:7" x14ac:dyDescent="0.3">
      <c r="A44" s="2">
        <v>5</v>
      </c>
      <c r="C44" s="38" t="s">
        <v>17</v>
      </c>
      <c r="D44" s="42">
        <f>TRUNC(16850.1349621873,-1)</f>
        <v>16850</v>
      </c>
      <c r="E44" s="64">
        <f t="shared" si="1"/>
        <v>55700</v>
      </c>
    </row>
    <row r="45" spans="1:7" x14ac:dyDescent="0.3">
      <c r="A45" s="2">
        <v>6</v>
      </c>
      <c r="C45" s="38" t="s">
        <v>18</v>
      </c>
      <c r="D45" s="42">
        <f>TRUNC(21140.4205933682,-1)</f>
        <v>21140</v>
      </c>
      <c r="E45" s="64">
        <f t="shared" si="1"/>
        <v>69880</v>
      </c>
      <c r="F45" s="2" t="s">
        <v>249</v>
      </c>
    </row>
    <row r="46" spans="1:7" x14ac:dyDescent="0.3">
      <c r="A46" s="2">
        <v>7</v>
      </c>
      <c r="C46" s="38" t="s">
        <v>19</v>
      </c>
      <c r="D46" s="42">
        <v>0</v>
      </c>
      <c r="E46" s="64">
        <f t="shared" si="1"/>
        <v>0</v>
      </c>
    </row>
    <row r="47" spans="1:7" x14ac:dyDescent="0.3">
      <c r="A47" s="2">
        <v>8</v>
      </c>
      <c r="C47" s="38" t="s">
        <v>20</v>
      </c>
      <c r="D47" s="42">
        <f>TRUNC(1909.3374054683,-1)</f>
        <v>1900</v>
      </c>
      <c r="E47" s="64">
        <f t="shared" si="1"/>
        <v>6280</v>
      </c>
    </row>
    <row r="48" spans="1:7" x14ac:dyDescent="0.3">
      <c r="A48" s="2">
        <v>9</v>
      </c>
      <c r="C48" s="38" t="s">
        <v>21</v>
      </c>
      <c r="D48" s="42">
        <f>TRUNC(23664.9522978476,-1)</f>
        <v>23660</v>
      </c>
      <c r="E48" s="64">
        <f t="shared" si="1"/>
        <v>78210</v>
      </c>
    </row>
    <row r="49" spans="1:7" x14ac:dyDescent="0.3">
      <c r="A49" s="2">
        <v>10</v>
      </c>
      <c r="C49" s="38" t="s">
        <v>22</v>
      </c>
      <c r="D49" s="42">
        <f>TRUNC(38636.4595695172,-1)</f>
        <v>38630</v>
      </c>
      <c r="E49" s="64">
        <f t="shared" si="1"/>
        <v>127700</v>
      </c>
    </row>
    <row r="50" spans="1:7" x14ac:dyDescent="0.3">
      <c r="A50" s="2">
        <v>11</v>
      </c>
      <c r="C50" s="38" t="s">
        <v>154</v>
      </c>
      <c r="D50" s="42">
        <f>TRUNC(45578.4077952298,-1)</f>
        <v>45570</v>
      </c>
      <c r="E50" s="64">
        <f t="shared" si="1"/>
        <v>150640</v>
      </c>
    </row>
    <row r="51" spans="1:7" x14ac:dyDescent="0.3">
      <c r="A51" s="2">
        <v>12</v>
      </c>
      <c r="C51" s="38" t="s">
        <v>23</v>
      </c>
      <c r="D51" s="42">
        <f>TRUNC(10487.6323443863,-1)</f>
        <v>10480</v>
      </c>
      <c r="E51" s="64">
        <f t="shared" si="1"/>
        <v>34640</v>
      </c>
    </row>
    <row r="52" spans="1:7" x14ac:dyDescent="0.3">
      <c r="A52" s="2">
        <v>13</v>
      </c>
      <c r="C52" s="38" t="s">
        <v>24</v>
      </c>
      <c r="D52" s="42">
        <f>TRUNC(12564.7614892379,-1)</f>
        <v>12560</v>
      </c>
      <c r="E52" s="64">
        <f t="shared" si="1"/>
        <v>41520</v>
      </c>
    </row>
    <row r="53" spans="1:7" x14ac:dyDescent="0.3">
      <c r="A53" s="2">
        <v>14</v>
      </c>
      <c r="C53" s="38" t="s">
        <v>25</v>
      </c>
      <c r="D53" s="42">
        <f>TRUNC(18433.2978475858,-1)</f>
        <v>18430</v>
      </c>
      <c r="E53" s="64">
        <f t="shared" si="1"/>
        <v>60920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TRUNC(2567.31471785922,-1)</f>
        <v>2560</v>
      </c>
      <c r="E55" s="64">
        <f t="shared" si="1"/>
        <v>8460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TRUNC(17656.4363001745+18774.1285631181+997.998836532868+5429.25945317045+10137.6323443863+4933.55031995346+2739.61605584642,-1)</f>
        <v>60660</v>
      </c>
      <c r="E58" s="64">
        <f t="shared" si="1"/>
        <v>200520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TRUNC(137161.721931355,-1)</f>
        <v>137160</v>
      </c>
      <c r="E59" s="65">
        <f t="shared" si="1"/>
        <v>453420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641570</v>
      </c>
      <c r="E60" s="39">
        <f>SUM(E40:E59)</f>
        <v>2120830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235</v>
      </c>
      <c r="C62" s="55" t="s">
        <v>236</v>
      </c>
      <c r="D62" s="56" t="s">
        <v>248</v>
      </c>
      <c r="E62" s="56" t="s">
        <v>254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237</v>
      </c>
      <c r="C68" s="55" t="s">
        <v>238</v>
      </c>
      <c r="D68" s="56" t="s">
        <v>248</v>
      </c>
      <c r="E68" s="56" t="s">
        <v>254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TRUNC(4809.70447934846,-1)</f>
        <v>4800</v>
      </c>
      <c r="E69" s="63">
        <f>TRUNC(+D69*3.3058,-1)</f>
        <v>15860</v>
      </c>
    </row>
    <row r="70" spans="1:7" ht="16.5" customHeight="1" x14ac:dyDescent="0.3">
      <c r="A70" s="2">
        <v>2</v>
      </c>
      <c r="C70" s="38" t="s">
        <v>31</v>
      </c>
      <c r="D70" s="42">
        <f>TRUNC(650.477021524142,-1)</f>
        <v>650</v>
      </c>
      <c r="E70" s="64">
        <f>TRUNC(+D70*3.3058,-1)</f>
        <v>2140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f>TRUNC(2870.8510762071,-1)</f>
        <v>2870</v>
      </c>
      <c r="E72" s="64">
        <f t="shared" si="2"/>
        <v>9480</v>
      </c>
    </row>
    <row r="73" spans="1:7" x14ac:dyDescent="0.3">
      <c r="A73" s="2">
        <v>5</v>
      </c>
      <c r="C73" s="38" t="s">
        <v>34</v>
      </c>
      <c r="D73" s="42">
        <f>TRUNC(8665.20535194881,-1)</f>
        <v>8660</v>
      </c>
      <c r="E73" s="64">
        <f t="shared" si="2"/>
        <v>28620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TRUNC(2941.07562536358,-1)</f>
        <v>2940</v>
      </c>
      <c r="E79" s="64">
        <f t="shared" si="3"/>
        <v>9710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TRUNC(19427.1489237929,-1)</f>
        <v>19420</v>
      </c>
      <c r="E84" s="64">
        <f>TRUNC(+D84*3.3058,-1)</f>
        <v>64190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TRUNC(8533.36242001164,-1)</f>
        <v>8530</v>
      </c>
      <c r="E89" s="64">
        <f t="shared" si="3"/>
        <v>28190</v>
      </c>
    </row>
    <row r="90" spans="1:7" x14ac:dyDescent="0.3">
      <c r="A90" s="2">
        <v>22</v>
      </c>
      <c r="C90" s="38" t="s">
        <v>36</v>
      </c>
      <c r="D90" s="42">
        <f>TRUNC(1742.95578824898,-1)</f>
        <v>1740</v>
      </c>
      <c r="E90" s="64">
        <f>TRUNC(+D90*3.3058,-1)</f>
        <v>5750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TRUNC(6654.75101803374,-1)</f>
        <v>6650</v>
      </c>
      <c r="E92" s="64">
        <f>TRUNC(+D92*3.3058,-1)</f>
        <v>21980</v>
      </c>
    </row>
    <row r="93" spans="1:7" x14ac:dyDescent="0.3">
      <c r="A93" s="2">
        <v>25</v>
      </c>
      <c r="C93" s="38" t="s">
        <v>148</v>
      </c>
      <c r="D93" s="42">
        <f>TRUNC(16813.8452588714,-1)</f>
        <v>16810</v>
      </c>
      <c r="E93" s="64">
        <f>TRUNC(+D93*3.3058,-1)</f>
        <v>55570</v>
      </c>
      <c r="F93" s="2" t="s">
        <v>253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73070</v>
      </c>
      <c r="E95" s="39">
        <f>SUM(E69:E94)</f>
        <v>241490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239</v>
      </c>
      <c r="C97" s="55" t="s">
        <v>238</v>
      </c>
      <c r="D97" s="56" t="s">
        <v>248</v>
      </c>
      <c r="E97" s="56" t="s">
        <v>254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TRUNC(2826.23269342641,-1)</f>
        <v>2820</v>
      </c>
      <c r="E98" s="63">
        <f t="shared" ref="E98:E118" si="4">TRUNC(+D98*3.3058,-1)</f>
        <v>9320</v>
      </c>
    </row>
    <row r="99" spans="1:7" x14ac:dyDescent="0.3">
      <c r="A99" s="2">
        <v>2</v>
      </c>
      <c r="C99" s="38" t="s">
        <v>40</v>
      </c>
      <c r="D99" s="42">
        <f>TRUNC(3445.05933682373,-1)</f>
        <v>3440</v>
      </c>
      <c r="E99" s="64">
        <f t="shared" si="4"/>
        <v>11370</v>
      </c>
    </row>
    <row r="100" spans="1:7" x14ac:dyDescent="0.3">
      <c r="A100" s="2">
        <v>3</v>
      </c>
      <c r="C100" s="38" t="s">
        <v>41</v>
      </c>
      <c r="D100" s="42">
        <f>TRUNC(11814.5968586387,-1)</f>
        <v>11810</v>
      </c>
      <c r="E100" s="64">
        <f t="shared" si="4"/>
        <v>39040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TRUNC(2848.37114601512,-1)</f>
        <v>2840</v>
      </c>
      <c r="E102" s="64">
        <f t="shared" si="4"/>
        <v>9380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TRUNC(483.132635253054,-1)</f>
        <v>480</v>
      </c>
      <c r="E104" s="64">
        <f t="shared" si="4"/>
        <v>1580</v>
      </c>
    </row>
    <row r="105" spans="1:7" x14ac:dyDescent="0.3">
      <c r="A105" s="2">
        <v>8</v>
      </c>
      <c r="C105" s="38" t="s">
        <v>46</v>
      </c>
      <c r="D105" s="42">
        <f>TRUNC(421.492728330425,-1)</f>
        <v>420</v>
      </c>
      <c r="E105" s="64">
        <f t="shared" si="4"/>
        <v>1380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TRUNC(14762.0709714951,-1)</f>
        <v>14760</v>
      </c>
      <c r="E117" s="64">
        <f t="shared" si="4"/>
        <v>48790</v>
      </c>
      <c r="F117" s="2" t="s">
        <v>252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36570</v>
      </c>
      <c r="E119" s="39">
        <f>SUM(E98:E118)</f>
        <v>120860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240</v>
      </c>
      <c r="C121" s="55" t="s">
        <v>238</v>
      </c>
      <c r="D121" s="56" t="s">
        <v>248</v>
      </c>
      <c r="E121" s="56" t="s">
        <v>254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TRUNC(4706.58522396742,-1)</f>
        <v>4700</v>
      </c>
      <c r="E122" s="63">
        <f t="shared" ref="E122:E132" si="5">TRUNC(+D122*3.3058,-1)</f>
        <v>15530</v>
      </c>
    </row>
    <row r="123" spans="1:7" x14ac:dyDescent="0.3">
      <c r="A123" s="2">
        <v>2</v>
      </c>
      <c r="C123" s="38" t="s">
        <v>124</v>
      </c>
      <c r="D123" s="42">
        <f>TRUNC(4775.63408958697,-1)</f>
        <v>4770</v>
      </c>
      <c r="E123" s="64">
        <f t="shared" si="5"/>
        <v>15760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9470</v>
      </c>
      <c r="E133" s="39">
        <f>SUM(E122:E132)</f>
        <v>31290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241</v>
      </c>
      <c r="C135" s="55" t="s">
        <v>238</v>
      </c>
      <c r="D135" s="56" t="s">
        <v>248</v>
      </c>
      <c r="E135" s="56" t="s">
        <v>254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39830</v>
      </c>
      <c r="E136" s="63">
        <f t="shared" ref="E136:E145" si="6">TRUNC(+D136*3.3058,-1)</f>
        <v>131670</v>
      </c>
      <c r="F136" s="2" t="s">
        <v>251</v>
      </c>
    </row>
    <row r="137" spans="1:7" x14ac:dyDescent="0.3">
      <c r="A137" s="2">
        <v>2</v>
      </c>
      <c r="C137" s="38" t="s">
        <v>47</v>
      </c>
      <c r="D137" s="42"/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39830</v>
      </c>
      <c r="E146" s="39">
        <f>SUM(E136:E145)</f>
        <v>131670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242</v>
      </c>
      <c r="C148" s="55" t="s">
        <v>238</v>
      </c>
      <c r="D148" s="56" t="s">
        <v>248</v>
      </c>
      <c r="E148" s="56" t="s">
        <v>254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  <c r="F152" s="58"/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243</v>
      </c>
      <c r="C156" s="55" t="s">
        <v>238</v>
      </c>
      <c r="D156" s="56" t="s">
        <v>248</v>
      </c>
      <c r="E156" s="56" t="s">
        <v>254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2020-12-07T09:03:01Z</dcterms:modified>
</cp:coreProperties>
</file>