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6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44" i="4" l="1"/>
  <c r="D143" i="4"/>
  <c r="D141" i="4"/>
  <c r="D132" i="4"/>
  <c r="D130" i="4"/>
  <c r="D125" i="4"/>
  <c r="D117" i="4"/>
  <c r="D103" i="4"/>
  <c r="D102" i="4"/>
  <c r="D100" i="4"/>
  <c r="D98" i="4"/>
  <c r="D94" i="4"/>
  <c r="D93" i="4"/>
  <c r="D92" i="4"/>
  <c r="D91" i="4"/>
  <c r="D73" i="4"/>
  <c r="D69" i="4"/>
  <c r="D59" i="4"/>
  <c r="D58" i="4"/>
  <c r="D53" i="4"/>
  <c r="D52" i="4"/>
  <c r="D50" i="4"/>
  <c r="D49" i="4"/>
  <c r="D48" i="4"/>
  <c r="D46" i="4"/>
  <c r="D45" i="4"/>
  <c r="D44" i="4"/>
  <c r="D43" i="4"/>
  <c r="D41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133" i="4"/>
  <c r="E146" i="4"/>
  <c r="E119" i="4"/>
  <c r="E95" i="4"/>
  <c r="E60" i="4"/>
  <c r="D161" i="4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60" i="4"/>
  <c r="D25" i="4" s="1"/>
  <c r="D24" i="4"/>
  <c r="E24" i="4" s="1"/>
  <c r="D26" i="4"/>
  <c r="E26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E34" i="4" l="1"/>
  <c r="D34" i="4"/>
</calcChain>
</file>

<file path=xl/sharedStrings.xml><?xml version="1.0" encoding="utf-8"?>
<sst xmlns="http://schemas.openxmlformats.org/spreadsheetml/2006/main" count="386" uniqueCount="260">
  <si>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</si>
  <si>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</si>
  <si>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</si>
  <si>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</si>
  <si>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</si>
  <si>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</si>
  <si>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</si>
  <si>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</si>
  <si>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</si>
  <si>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</si>
  <si>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</si>
  <si>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</si>
  <si>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</si>
  <si>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</si>
  <si>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</si>
  <si>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</si>
  <si>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</si>
  <si>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</si>
  <si>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</si>
  <si>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</si>
  <si>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</si>
  <si>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</si>
  <si>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</si>
  <si>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</si>
  <si>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</si>
  <si>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</si>
  <si>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</si>
  <si>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</si>
  <si>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</si>
  <si>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</si>
  <si>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</si>
  <si>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</si>
  <si>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</si>
  <si>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</si>
  <si>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</si>
  <si>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</si>
  <si>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</si>
  <si>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</si>
  <si>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</si>
  <si>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</si>
  <si>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</si>
  <si>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</si>
  <si>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</si>
  <si>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</si>
  <si>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</si>
  <si>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</si>
  <si>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</si>
  <si>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</si>
  <si>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</si>
  <si>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</si>
  <si>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</si>
  <si>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</si>
  <si>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</si>
  <si>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</si>
  <si>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</si>
  <si>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</si>
  <si>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</si>
  <si>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</si>
  <si>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</si>
  <si>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</si>
  <si>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</si>
  <si>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</si>
  <si>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</si>
  <si>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</si>
  <si>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</si>
  <si>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</si>
  <si>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</si>
  <si>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</si>
  <si>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</si>
  <si>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</si>
  <si>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</si>
  <si>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</si>
  <si>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</si>
  <si>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</si>
  <si>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</si>
  <si>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</si>
  <si>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</si>
  <si>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</si>
  <si>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</si>
  <si>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</si>
  <si>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</si>
  <si>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</si>
  <si>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</si>
  <si>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</si>
  <si>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</si>
  <si>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</si>
  <si>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</si>
  <si>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</si>
  <si>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</si>
  <si>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</si>
  <si>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</si>
  <si>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</si>
  <si>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</si>
  <si>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</si>
  <si>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</si>
  <si>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</si>
  <si>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</si>
  <si>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</si>
  <si>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</si>
  <si>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</si>
  <si>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</si>
  <si>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</si>
  <si>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</si>
  <si>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</si>
  <si>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</si>
  <si>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</si>
  <si>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</si>
  <si>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</si>
  <si>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</si>
  <si>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</si>
  <si>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</si>
  <si>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</si>
  <si>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</si>
  <si>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</si>
  <si>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</si>
  <si>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</si>
  <si>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</si>
  <si>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</si>
  <si>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</si>
  <si>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</si>
  <si>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</si>
  <si>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</si>
  <si>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</si>
  <si>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</si>
  <si>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</si>
  <si>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</si>
  <si>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</si>
  <si>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</si>
  <si>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</si>
  <si>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</si>
  <si>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</si>
  <si>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</si>
  <si>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</si>
  <si>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</si>
  <si>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</si>
  <si>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</si>
  <si>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</si>
  <si>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</si>
  <si>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</si>
  <si>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</si>
  <si>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</si>
  <si>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</si>
  <si>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</si>
  <si>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</si>
  <si>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</si>
  <si>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</si>
  <si>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</si>
  <si>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</si>
  <si>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</si>
  <si>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</si>
  <si>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</si>
  <si>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</si>
  <si>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</si>
  <si>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</si>
  <si>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</si>
  <si>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</si>
  <si>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</si>
  <si>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</si>
  <si>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</si>
  <si>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</si>
  <si>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</si>
  <si>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</si>
  <si>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</si>
  <si>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</si>
  <si>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</si>
  <si>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</si>
  <si>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</si>
  <si>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</si>
  <si>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</si>
  <si>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</si>
  <si>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</si>
  <si>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</si>
  <si>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</si>
  <si>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</si>
  <si>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</si>
  <si>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</si>
  <si>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</si>
  <si>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</si>
  <si>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</si>
  <si>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</si>
  <si>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</si>
  <si>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</si>
  <si>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</si>
  <si>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</si>
  <si>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</si>
  <si>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</si>
  <si>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</si>
  <si>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</si>
  <si>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</si>
  <si>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</si>
  <si>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</si>
  <si>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</si>
  <si>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</si>
  <si>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</si>
  <si>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</si>
  <si>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</si>
  <si>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</si>
  <si>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</si>
  <si>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</si>
  <si>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</si>
  <si>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</si>
  <si>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</si>
  <si>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</si>
  <si>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</si>
  <si>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</si>
  <si>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</si>
  <si>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</si>
  <si>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</si>
  <si>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</si>
  <si>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</si>
  <si>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</si>
  <si>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</si>
  <si>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</si>
  <si>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</si>
  <si>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</si>
  <si>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</si>
  <si>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</si>
  <si>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</si>
  <si>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</si>
  <si>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</si>
  <si>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</si>
  <si>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</si>
  <si>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</si>
  <si>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</si>
  <si>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</si>
  <si>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</si>
  <si>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</si>
  <si>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</si>
  <si>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</si>
  <si>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</si>
  <si>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</si>
  <si>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</si>
  <si>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</si>
  <si>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</si>
  <si>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</si>
  <si>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</si>
  <si>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</si>
  <si>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</si>
  <si>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</si>
  <si>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</si>
  <si>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</si>
  <si>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</si>
  <si>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</si>
  <si>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</si>
  <si>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</si>
  <si>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</si>
  <si>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</si>
  <si>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</si>
  <si>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</si>
  <si>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</si>
  <si>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</si>
  <si>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</si>
  <si>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CCTV설비공사, 기타공사</t>
    <phoneticPr fontId="2" type="noConversion"/>
  </si>
  <si>
    <t>부산해사고등학교 승선생활관 증축공사</t>
    <phoneticPr fontId="2" type="noConversion"/>
  </si>
  <si>
    <t>부산시</t>
  </si>
  <si>
    <t>교육연구</t>
  </si>
  <si>
    <t>기초공사, 해체및철거공사, 골재비및운반비, 기타공사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</si>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</sst>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157</v>
      </c>
      <c r="B2" s="72" t="s">
        <v>0</v>
      </c>
      <c r="C2" s="73"/>
      <c r="D2" s="72" t="s">
        <v>1</v>
      </c>
      <c r="E2" s="73"/>
      <c r="F2" s="72" t="s">
        <v>158</v>
      </c>
      <c r="G2" s="73"/>
      <c r="H2" s="72" t="s">
        <v>2</v>
      </c>
      <c r="I2" s="73"/>
      <c r="J2" s="72" t="s">
        <v>3</v>
      </c>
      <c r="K2" s="73"/>
      <c r="L2" s="72" t="s">
        <v>159</v>
      </c>
      <c r="M2" s="73"/>
      <c r="N2" s="72" t="s">
        <v>160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257</v>
      </c>
      <c r="H5" s="5">
        <v>1</v>
      </c>
      <c r="I5" s="1" t="s">
        <v>161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162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163</v>
      </c>
    </row>
    <row r="6" spans="1:33" x14ac:dyDescent="0.3">
      <c r="A6" s="4">
        <f>+A5+1</f>
        <v>2</v>
      </c>
      <c r="B6" s="5">
        <f>+B5+1</f>
        <v>2</v>
      </c>
      <c r="C6" s="17" t="s">
        <v>164</v>
      </c>
      <c r="D6" s="5">
        <v>2</v>
      </c>
      <c r="E6" s="1" t="s">
        <v>165</v>
      </c>
      <c r="F6" s="5">
        <v>2</v>
      </c>
      <c r="G6" s="17" t="s">
        <v>166</v>
      </c>
      <c r="H6" s="5">
        <v>2</v>
      </c>
      <c r="I6" s="1" t="s">
        <v>213</v>
      </c>
      <c r="J6" s="19">
        <v>2</v>
      </c>
      <c r="K6" s="1" t="s">
        <v>214</v>
      </c>
      <c r="L6" s="5">
        <v>2</v>
      </c>
      <c r="M6" s="6" t="s">
        <v>215</v>
      </c>
      <c r="N6" s="5">
        <v>2</v>
      </c>
      <c r="O6" s="6" t="s">
        <v>216</v>
      </c>
      <c r="P6" s="5">
        <v>2</v>
      </c>
      <c r="Q6" s="1" t="s">
        <v>217</v>
      </c>
      <c r="R6" s="28">
        <v>2</v>
      </c>
      <c r="S6" s="29" t="s">
        <v>218</v>
      </c>
      <c r="T6" s="28">
        <v>2</v>
      </c>
      <c r="U6" s="29" t="s">
        <v>219</v>
      </c>
      <c r="V6" s="28">
        <v>2</v>
      </c>
      <c r="W6" s="29" t="s">
        <v>220</v>
      </c>
      <c r="X6" s="28">
        <v>2</v>
      </c>
      <c r="Y6" s="29" t="s">
        <v>221</v>
      </c>
      <c r="Z6" s="28">
        <v>2</v>
      </c>
      <c r="AA6" s="29" t="s">
        <v>222</v>
      </c>
      <c r="AB6" s="28">
        <v>2</v>
      </c>
      <c r="AC6" s="29" t="s">
        <v>223</v>
      </c>
      <c r="AD6" s="28">
        <v>2</v>
      </c>
      <c r="AE6" s="29" t="s">
        <v>224</v>
      </c>
      <c r="AF6" s="28">
        <v>2</v>
      </c>
      <c r="AG6" s="38" t="s">
        <v>225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226</v>
      </c>
      <c r="D7" s="5">
        <v>3</v>
      </c>
      <c r="E7" s="1" t="s">
        <v>227</v>
      </c>
      <c r="F7" s="5">
        <v>3</v>
      </c>
      <c r="G7" s="17" t="s">
        <v>228</v>
      </c>
      <c r="H7" s="5">
        <v>3</v>
      </c>
      <c r="I7" s="1" t="s">
        <v>229</v>
      </c>
      <c r="J7" s="19">
        <v>3</v>
      </c>
      <c r="K7" s="1" t="s">
        <v>230</v>
      </c>
      <c r="L7" s="5">
        <v>3</v>
      </c>
      <c r="M7" s="6" t="s">
        <v>231</v>
      </c>
      <c r="N7" s="5">
        <v>3</v>
      </c>
      <c r="O7" s="6" t="s">
        <v>232</v>
      </c>
      <c r="P7" s="5">
        <v>3</v>
      </c>
      <c r="Q7" s="1" t="s">
        <v>233</v>
      </c>
      <c r="R7" s="28">
        <v>3</v>
      </c>
      <c r="S7" s="29" t="s">
        <v>234</v>
      </c>
      <c r="T7" s="28">
        <v>3</v>
      </c>
      <c r="U7" s="29" t="s">
        <v>235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167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168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169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170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149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171</v>
      </c>
      <c r="F9" s="5">
        <v>5</v>
      </c>
      <c r="G9" s="17" t="s">
        <v>172</v>
      </c>
      <c r="H9" s="5">
        <v>5</v>
      </c>
      <c r="I9" s="1" t="s">
        <v>79</v>
      </c>
      <c r="J9" s="19">
        <v>5</v>
      </c>
      <c r="K9" s="1" t="s">
        <v>173</v>
      </c>
      <c r="L9" s="5"/>
      <c r="M9" s="6"/>
      <c r="N9" s="5"/>
      <c r="O9" s="6"/>
      <c r="P9" s="5">
        <v>5</v>
      </c>
      <c r="Q9" s="1" t="s">
        <v>174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149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175</v>
      </c>
      <c r="J10" s="19">
        <v>6</v>
      </c>
      <c r="K10" s="1" t="s">
        <v>176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177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178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179</v>
      </c>
      <c r="F12" s="5">
        <v>8</v>
      </c>
      <c r="G12" s="17" t="s">
        <v>180</v>
      </c>
      <c r="H12" s="5">
        <v>8</v>
      </c>
      <c r="I12" s="1" t="s">
        <v>81</v>
      </c>
      <c r="J12" s="19">
        <v>8</v>
      </c>
      <c r="K12" s="1" t="s">
        <v>181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182</v>
      </c>
      <c r="X12" s="28">
        <v>8</v>
      </c>
      <c r="Y12" s="29" t="s">
        <v>46</v>
      </c>
      <c r="Z12" s="28">
        <v>8</v>
      </c>
      <c r="AA12" s="29" t="s">
        <v>183</v>
      </c>
      <c r="AB12" s="28">
        <v>8</v>
      </c>
      <c r="AC12" s="29" t="s">
        <v>184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185</v>
      </c>
      <c r="D13" s="5">
        <v>9</v>
      </c>
      <c r="E13" s="1" t="s">
        <v>186</v>
      </c>
      <c r="F13" s="5"/>
      <c r="G13" s="17"/>
      <c r="H13" s="5">
        <v>9</v>
      </c>
      <c r="I13" s="1" t="s">
        <v>82</v>
      </c>
      <c r="J13" s="19">
        <v>9</v>
      </c>
      <c r="K13" s="1" t="s">
        <v>187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188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189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190</v>
      </c>
      <c r="Z14" s="28">
        <v>10</v>
      </c>
      <c r="AA14" s="29" t="s">
        <v>149</v>
      </c>
      <c r="AB14" s="28">
        <v>10</v>
      </c>
      <c r="AC14" s="29" t="s">
        <v>149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191</v>
      </c>
      <c r="J15" s="19">
        <v>11</v>
      </c>
      <c r="K15" s="1" t="s">
        <v>192</v>
      </c>
      <c r="L15" s="5"/>
      <c r="M15" s="6"/>
      <c r="N15" s="5"/>
      <c r="O15" s="6"/>
      <c r="P15" s="5"/>
      <c r="Q15" s="1"/>
      <c r="R15" s="28">
        <v>11</v>
      </c>
      <c r="S15" s="29" t="s">
        <v>193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194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195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196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197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198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199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200</v>
      </c>
      <c r="L19" s="5"/>
      <c r="M19" s="6"/>
      <c r="N19" s="5"/>
      <c r="O19" s="6"/>
      <c r="P19" s="5"/>
      <c r="Q19" s="1"/>
      <c r="R19" s="28">
        <v>15</v>
      </c>
      <c r="S19" s="29" t="s">
        <v>201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202</v>
      </c>
      <c r="L20" s="5"/>
      <c r="M20" s="6"/>
      <c r="N20" s="5"/>
      <c r="O20" s="6"/>
      <c r="P20" s="5"/>
      <c r="Q20" s="1"/>
      <c r="R20" s="28">
        <v>16</v>
      </c>
      <c r="S20" s="29" t="s">
        <v>145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203</v>
      </c>
      <c r="L21" s="5"/>
      <c r="M21" s="6"/>
      <c r="N21" s="5"/>
      <c r="O21" s="6"/>
      <c r="P21" s="5"/>
      <c r="Q21" s="1"/>
      <c r="R21" s="28">
        <v>17</v>
      </c>
      <c r="S21" s="29" t="s">
        <v>146</v>
      </c>
      <c r="T21" s="28"/>
      <c r="U21" s="29"/>
      <c r="V21" s="28">
        <v>17</v>
      </c>
      <c r="W21" s="29" t="s">
        <v>204</v>
      </c>
      <c r="X21" s="28">
        <v>17</v>
      </c>
      <c r="Y21" s="29" t="s">
        <v>205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206</v>
      </c>
      <c r="L22" s="5"/>
      <c r="M22" s="6"/>
      <c r="N22" s="5"/>
      <c r="O22" s="6"/>
      <c r="P22" s="5"/>
      <c r="Q22" s="1"/>
      <c r="R22" s="28">
        <v>18</v>
      </c>
      <c r="S22" s="29" t="s">
        <v>147</v>
      </c>
      <c r="T22" s="28"/>
      <c r="U22" s="29"/>
      <c r="V22" s="28">
        <v>18</v>
      </c>
      <c r="W22" s="29" t="s">
        <v>207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208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209</v>
      </c>
      <c r="L24" s="5"/>
      <c r="M24" s="6"/>
      <c r="N24" s="5"/>
      <c r="O24" s="6"/>
      <c r="P24" s="5"/>
      <c r="Q24" s="1"/>
      <c r="R24" s="28">
        <v>20</v>
      </c>
      <c r="S24" s="29" t="s">
        <v>149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149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210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211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212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149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253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255</v>
      </c>
    </row>
    <row r="6" spans="1:4" ht="17.25" thickBot="1" x14ac:dyDescent="0.35">
      <c r="A6" s="2">
        <v>3</v>
      </c>
      <c r="B6" s="2" t="s">
        <v>151</v>
      </c>
      <c r="C6" s="2" t="s">
        <v>104</v>
      </c>
      <c r="D6" s="35" t="s">
        <v>237</v>
      </c>
    </row>
    <row r="7" spans="1:4" ht="17.25" thickBot="1" x14ac:dyDescent="0.35">
      <c r="C7" s="37">
        <v>972.94</v>
      </c>
      <c r="D7" s="36">
        <f>+C7/3.3058</f>
        <v>294.31302559138487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254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206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150</v>
      </c>
    </row>
    <row r="17" spans="1:5" x14ac:dyDescent="0.3">
      <c r="A17" s="2">
        <v>8</v>
      </c>
      <c r="B17" s="2" t="s">
        <v>258</v>
      </c>
    </row>
    <row r="19" spans="1:5" x14ac:dyDescent="0.3">
      <c r="A19" s="2">
        <v>9</v>
      </c>
      <c r="B19" s="2" t="s">
        <v>259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154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1069200</v>
      </c>
      <c r="E25" s="59">
        <f t="shared" si="0"/>
        <v>3534560</v>
      </c>
    </row>
    <row r="26" spans="1:5" x14ac:dyDescent="0.3">
      <c r="B26" s="2">
        <v>3</v>
      </c>
      <c r="C26" s="35" t="s">
        <v>95</v>
      </c>
      <c r="D26" s="45">
        <f>+D66</f>
        <v>0</v>
      </c>
      <c r="E26" s="59">
        <f t="shared" si="0"/>
        <v>0</v>
      </c>
    </row>
    <row r="27" spans="1:5" x14ac:dyDescent="0.3">
      <c r="B27" s="2">
        <v>4</v>
      </c>
      <c r="C27" s="35" t="s">
        <v>96</v>
      </c>
      <c r="D27" s="45">
        <f>+D95</f>
        <v>229600</v>
      </c>
      <c r="E27" s="59">
        <f t="shared" si="0"/>
        <v>759010</v>
      </c>
    </row>
    <row r="28" spans="1:5" x14ac:dyDescent="0.3">
      <c r="B28" s="2">
        <v>5</v>
      </c>
      <c r="C28" s="35" t="s">
        <v>97</v>
      </c>
      <c r="D28" s="45">
        <f>+D119</f>
        <v>139780</v>
      </c>
      <c r="E28" s="59">
        <f t="shared" si="0"/>
        <v>462080</v>
      </c>
    </row>
    <row r="29" spans="1:5" x14ac:dyDescent="0.3">
      <c r="B29" s="2">
        <v>6</v>
      </c>
      <c r="C29" s="35" t="s">
        <v>98</v>
      </c>
      <c r="D29" s="45">
        <f>+D133</f>
        <v>58610</v>
      </c>
      <c r="E29" s="59">
        <f t="shared" si="0"/>
        <v>193750</v>
      </c>
    </row>
    <row r="30" spans="1:5" x14ac:dyDescent="0.3">
      <c r="B30" s="2">
        <v>7</v>
      </c>
      <c r="C30" s="35" t="s">
        <v>99</v>
      </c>
      <c r="D30" s="45">
        <f>+D146</f>
        <v>74860</v>
      </c>
      <c r="E30" s="59">
        <f t="shared" si="0"/>
        <v>247470</v>
      </c>
    </row>
    <row r="31" spans="1:5" x14ac:dyDescent="0.3">
      <c r="B31" s="2">
        <v>8</v>
      </c>
      <c r="C31" s="35" t="s">
        <v>100</v>
      </c>
      <c r="D31" s="45">
        <f>+D154</f>
        <v>0</v>
      </c>
      <c r="E31" s="59">
        <f t="shared" si="0"/>
        <v>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155</v>
      </c>
      <c r="D33" s="53">
        <f>TRUNC(SUM(D24:D32)*0.275,-1)</f>
        <v>432310</v>
      </c>
      <c r="E33" s="60">
        <f t="shared" si="0"/>
        <v>1429130</v>
      </c>
    </row>
    <row r="34" spans="1:7" x14ac:dyDescent="0.3">
      <c r="C34" s="35" t="s">
        <v>112</v>
      </c>
      <c r="D34" s="44">
        <f>SUM(D24:D33)</f>
        <v>2004360</v>
      </c>
      <c r="E34" s="44">
        <f>SUM(E24:E33)</f>
        <v>6626000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236</v>
      </c>
      <c r="E36" s="57" t="s">
        <v>154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144</v>
      </c>
      <c r="C39" s="57" t="s">
        <v>113</v>
      </c>
      <c r="D39" s="57" t="s">
        <v>238</v>
      </c>
      <c r="E39" s="57" t="s">
        <v>154</v>
      </c>
      <c r="G39" s="55"/>
    </row>
    <row r="40" spans="1:7" x14ac:dyDescent="0.3">
      <c r="A40" s="2">
        <v>1</v>
      </c>
      <c r="C40" s="38" t="s">
        <v>15</v>
      </c>
      <c r="D40" s="40">
        <v>58590</v>
      </c>
      <c r="E40" s="62">
        <f t="shared" ref="E40:E59" si="1">TRUNC(+D40*3.3058,-1)</f>
        <v>193680</v>
      </c>
    </row>
    <row r="41" spans="1:7" x14ac:dyDescent="0.3">
      <c r="A41" s="2">
        <v>2</v>
      </c>
      <c r="C41" s="38" t="s">
        <v>13</v>
      </c>
      <c r="D41" s="42">
        <f>TRUNC(271167,-1)</f>
        <v>271160</v>
      </c>
      <c r="E41" s="63">
        <f t="shared" si="1"/>
        <v>896400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f>TRUNC(57863,-1)</f>
        <v>57860</v>
      </c>
      <c r="E43" s="63">
        <f t="shared" si="1"/>
        <v>191270</v>
      </c>
    </row>
    <row r="44" spans="1:7" x14ac:dyDescent="0.3">
      <c r="A44" s="2">
        <v>5</v>
      </c>
      <c r="C44" s="38" t="s">
        <v>17</v>
      </c>
      <c r="D44" s="42">
        <f>TRUNC(20338,-1)</f>
        <v>20330</v>
      </c>
      <c r="E44" s="63">
        <f t="shared" si="1"/>
        <v>67200</v>
      </c>
    </row>
    <row r="45" spans="1:7" x14ac:dyDescent="0.3">
      <c r="A45" s="2">
        <v>6</v>
      </c>
      <c r="C45" s="38" t="s">
        <v>18</v>
      </c>
      <c r="D45" s="42">
        <f>TRUNC(26145,-1)</f>
        <v>26140</v>
      </c>
      <c r="E45" s="63">
        <f t="shared" si="1"/>
        <v>86410</v>
      </c>
    </row>
    <row r="46" spans="1:7" x14ac:dyDescent="0.3">
      <c r="A46" s="2">
        <v>7</v>
      </c>
      <c r="C46" s="38" t="s">
        <v>19</v>
      </c>
      <c r="D46" s="42">
        <f>TRUNC(12053,-1)</f>
        <v>12050</v>
      </c>
      <c r="E46" s="63">
        <f t="shared" si="1"/>
        <v>39830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TRUNC(50871,-1)</f>
        <v>50870</v>
      </c>
      <c r="E48" s="63">
        <f t="shared" si="1"/>
        <v>168160</v>
      </c>
      <c r="F48" s="2" t="s">
        <v>249</v>
      </c>
    </row>
    <row r="49" spans="1:7" x14ac:dyDescent="0.3">
      <c r="A49" s="2">
        <v>10</v>
      </c>
      <c r="C49" s="38" t="s">
        <v>22</v>
      </c>
      <c r="D49" s="42">
        <f>TRUNC(31474,-1)</f>
        <v>31470</v>
      </c>
      <c r="E49" s="63">
        <f t="shared" si="1"/>
        <v>104030</v>
      </c>
    </row>
    <row r="50" spans="1:7" x14ac:dyDescent="0.3">
      <c r="A50" s="2">
        <v>11</v>
      </c>
      <c r="C50" s="38" t="s">
        <v>156</v>
      </c>
      <c r="D50" s="42">
        <f>TRUNC(95397,-1)</f>
        <v>95390</v>
      </c>
      <c r="E50" s="63">
        <f t="shared" si="1"/>
        <v>315340</v>
      </c>
      <c r="F50" s="2" t="s">
        <v>250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  <c r="F51" s="35"/>
    </row>
    <row r="52" spans="1:7" x14ac:dyDescent="0.3">
      <c r="A52" s="2">
        <v>13</v>
      </c>
      <c r="C52" s="38" t="s">
        <v>24</v>
      </c>
      <c r="D52" s="42">
        <f>TRUNC(29014,-1)</f>
        <v>29010</v>
      </c>
      <c r="E52" s="63">
        <f t="shared" si="1"/>
        <v>95900</v>
      </c>
    </row>
    <row r="53" spans="1:7" x14ac:dyDescent="0.3">
      <c r="A53" s="2">
        <v>14</v>
      </c>
      <c r="C53" s="38" t="s">
        <v>25</v>
      </c>
      <c r="D53" s="42">
        <f>TRUNC(52764,-1)</f>
        <v>52760</v>
      </c>
      <c r="E53" s="63">
        <f t="shared" si="1"/>
        <v>174410</v>
      </c>
      <c r="F53" s="2" t="s">
        <v>251</v>
      </c>
    </row>
    <row r="54" spans="1:7" x14ac:dyDescent="0.3">
      <c r="A54" s="2">
        <v>15</v>
      </c>
      <c r="C54" s="38" t="s">
        <v>148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145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146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147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TRUNC(69512+12153+13367+11969,-1)</f>
        <v>107000</v>
      </c>
      <c r="E58" s="63">
        <f t="shared" si="1"/>
        <v>353720</v>
      </c>
      <c r="F58" s="2" t="s">
        <v>256</v>
      </c>
    </row>
    <row r="59" spans="1:7" ht="17.25" thickBot="1" x14ac:dyDescent="0.35">
      <c r="A59" s="2">
        <v>20</v>
      </c>
      <c r="C59" s="38" t="s">
        <v>149</v>
      </c>
      <c r="D59" s="43">
        <f>TRUNC(256575,-1)</f>
        <v>256570</v>
      </c>
      <c r="E59" s="64">
        <f t="shared" si="1"/>
        <v>848160</v>
      </c>
    </row>
    <row r="60" spans="1:7" x14ac:dyDescent="0.3">
      <c r="A60" s="2">
        <v>21</v>
      </c>
      <c r="C60" s="27" t="s">
        <v>112</v>
      </c>
      <c r="D60" s="39">
        <f>SUM(D40:D59)</f>
        <v>1069200</v>
      </c>
      <c r="E60" s="39">
        <f>SUM(E40:E59)</f>
        <v>3534510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154</v>
      </c>
      <c r="G62" s="55"/>
    </row>
    <row r="63" spans="1:7" x14ac:dyDescent="0.3">
      <c r="A63" s="2">
        <v>1</v>
      </c>
      <c r="C63" s="38" t="s">
        <v>27</v>
      </c>
      <c r="D63" s="40">
        <v>0</v>
      </c>
      <c r="E63" s="62">
        <f>TRUNC(+D63*3.3058,-1)</f>
        <v>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0</v>
      </c>
      <c r="E66" s="65">
        <f>SUM(E63:E65)</f>
        <v>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236</v>
      </c>
      <c r="E68" s="57" t="s">
        <v>154</v>
      </c>
      <c r="G68" s="55"/>
    </row>
    <row r="69" spans="1:7" x14ac:dyDescent="0.3">
      <c r="A69" s="2">
        <v>1</v>
      </c>
      <c r="C69" s="38" t="s">
        <v>30</v>
      </c>
      <c r="D69" s="40">
        <f>TRUNC(1182,-1)</f>
        <v>1180</v>
      </c>
      <c r="E69" s="62">
        <f t="shared" ref="E69:E94" si="2">TRUNC(+D69*3.3058,-1)</f>
        <v>3900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 t="shared" si="2"/>
        <v>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f>TRUNC(68959,-1)</f>
        <v>68950</v>
      </c>
      <c r="E73" s="63">
        <f t="shared" si="2"/>
        <v>227930</v>
      </c>
    </row>
    <row r="74" spans="1:7" x14ac:dyDescent="0.3">
      <c r="A74" s="2">
        <v>6</v>
      </c>
      <c r="C74" s="38" t="s">
        <v>177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153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2"/>
        <v>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TRUNC(6317,-1)</f>
        <v>6310</v>
      </c>
      <c r="E91" s="63">
        <f t="shared" si="2"/>
        <v>20850</v>
      </c>
    </row>
    <row r="92" spans="1:7" x14ac:dyDescent="0.3">
      <c r="A92" s="2">
        <v>24</v>
      </c>
      <c r="C92" s="38" t="s">
        <v>38</v>
      </c>
      <c r="D92" s="42">
        <f>TRUNC(19649,-1)</f>
        <v>19640</v>
      </c>
      <c r="E92" s="63">
        <f t="shared" si="2"/>
        <v>64920</v>
      </c>
    </row>
    <row r="93" spans="1:7" x14ac:dyDescent="0.3">
      <c r="A93" s="2">
        <v>25</v>
      </c>
      <c r="C93" s="38" t="s">
        <v>149</v>
      </c>
      <c r="D93" s="42">
        <f>TRUNC(132726,-1)</f>
        <v>132720</v>
      </c>
      <c r="E93" s="63">
        <f t="shared" si="2"/>
        <v>438740</v>
      </c>
    </row>
    <row r="94" spans="1:7" ht="17.25" thickBot="1" x14ac:dyDescent="0.35">
      <c r="A94" s="2">
        <v>26</v>
      </c>
      <c r="C94" s="38" t="s">
        <v>47</v>
      </c>
      <c r="D94" s="43">
        <f>TRUNC(803,-1)</f>
        <v>800</v>
      </c>
      <c r="E94" s="64">
        <f t="shared" si="2"/>
        <v>2640</v>
      </c>
    </row>
    <row r="95" spans="1:7" x14ac:dyDescent="0.3">
      <c r="A95" s="2">
        <v>27</v>
      </c>
      <c r="C95" s="27" t="s">
        <v>112</v>
      </c>
      <c r="D95" s="39">
        <f>SUM(D69:D94)</f>
        <v>229600</v>
      </c>
      <c r="E95" s="39">
        <f>SUM(E69:E94)</f>
        <v>758980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236</v>
      </c>
      <c r="E97" s="57" t="s">
        <v>154</v>
      </c>
      <c r="G97" s="55"/>
    </row>
    <row r="98" spans="1:7" x14ac:dyDescent="0.3">
      <c r="A98" s="2">
        <v>1</v>
      </c>
      <c r="C98" s="38" t="s">
        <v>39</v>
      </c>
      <c r="D98" s="40">
        <f>TRUNC(36299,-1)</f>
        <v>36290</v>
      </c>
      <c r="E98" s="62">
        <f t="shared" ref="E98:E118" si="3">TRUNC(+D98*3.3058,-1)</f>
        <v>119960</v>
      </c>
    </row>
    <row r="99" spans="1:7" x14ac:dyDescent="0.3">
      <c r="A99" s="2">
        <v>2</v>
      </c>
      <c r="C99" s="38" t="s">
        <v>40</v>
      </c>
      <c r="D99" s="42">
        <v>0</v>
      </c>
      <c r="E99" s="63">
        <f t="shared" si="3"/>
        <v>0</v>
      </c>
    </row>
    <row r="100" spans="1:7" x14ac:dyDescent="0.3">
      <c r="A100" s="2">
        <v>3</v>
      </c>
      <c r="C100" s="38" t="s">
        <v>41</v>
      </c>
      <c r="D100" s="42">
        <f>TRUNC(37704,-1)</f>
        <v>37700</v>
      </c>
      <c r="E100" s="63">
        <f t="shared" si="3"/>
        <v>124620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TRUNC(19138,-1)</f>
        <v>19130</v>
      </c>
      <c r="E102" s="63">
        <f t="shared" si="3"/>
        <v>63230</v>
      </c>
    </row>
    <row r="103" spans="1:7" x14ac:dyDescent="0.3">
      <c r="A103" s="2">
        <v>6</v>
      </c>
      <c r="C103" s="38" t="s">
        <v>44</v>
      </c>
      <c r="D103" s="42">
        <f>TRUNC(12248,-1)</f>
        <v>12240</v>
      </c>
      <c r="E103" s="63">
        <f t="shared" si="3"/>
        <v>40460</v>
      </c>
    </row>
    <row r="104" spans="1:7" x14ac:dyDescent="0.3">
      <c r="A104" s="2">
        <v>7</v>
      </c>
      <c r="C104" s="38" t="s">
        <v>45</v>
      </c>
      <c r="D104" s="42">
        <v>0</v>
      </c>
      <c r="E104" s="63">
        <f t="shared" si="3"/>
        <v>0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3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149</v>
      </c>
      <c r="D117" s="42">
        <f>TRUNC(34421,-1)</f>
        <v>34420</v>
      </c>
      <c r="E117" s="63">
        <f t="shared" si="3"/>
        <v>113780</v>
      </c>
    </row>
    <row r="118" spans="1:7" ht="17.25" thickBot="1" x14ac:dyDescent="0.35">
      <c r="A118" s="2">
        <v>21</v>
      </c>
      <c r="C118" s="38" t="s">
        <v>47</v>
      </c>
      <c r="D118" s="43">
        <v>0</v>
      </c>
      <c r="E118" s="64">
        <f t="shared" si="3"/>
        <v>0</v>
      </c>
    </row>
    <row r="119" spans="1:7" x14ac:dyDescent="0.3">
      <c r="A119" s="2">
        <v>22</v>
      </c>
      <c r="C119" s="27" t="s">
        <v>112</v>
      </c>
      <c r="D119" s="39">
        <f>SUM(D98:D118)</f>
        <v>139780</v>
      </c>
      <c r="E119" s="39">
        <f>SUM(E98:E118)</f>
        <v>462050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236</v>
      </c>
      <c r="E121" s="57" t="s">
        <v>154</v>
      </c>
      <c r="G121" s="55"/>
    </row>
    <row r="122" spans="1:7" x14ac:dyDescent="0.3">
      <c r="A122" s="2">
        <v>1</v>
      </c>
      <c r="C122" s="38" t="s">
        <v>55</v>
      </c>
      <c r="D122" s="40">
        <v>0</v>
      </c>
      <c r="E122" s="62">
        <f t="shared" ref="E122:E132" si="4">TRUNC(+D122*3.3058,-1)</f>
        <v>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152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TRUNC(6396,-1)</f>
        <v>6390</v>
      </c>
      <c r="E125" s="63">
        <f t="shared" si="4"/>
        <v>21120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4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TRUNC(49994,-1)</f>
        <v>49990</v>
      </c>
      <c r="E130" s="63">
        <f t="shared" si="4"/>
        <v>165250</v>
      </c>
    </row>
    <row r="131" spans="1:7" x14ac:dyDescent="0.3">
      <c r="A131" s="2">
        <v>10</v>
      </c>
      <c r="C131" s="38" t="s">
        <v>149</v>
      </c>
      <c r="D131" s="42">
        <v>0</v>
      </c>
      <c r="E131" s="63">
        <f t="shared" si="4"/>
        <v>0</v>
      </c>
    </row>
    <row r="132" spans="1:7" ht="18" thickBot="1" x14ac:dyDescent="0.35">
      <c r="A132" s="2">
        <v>11</v>
      </c>
      <c r="C132" s="38" t="s">
        <v>47</v>
      </c>
      <c r="D132" s="43">
        <f>TRUNC(1270+969,-1)</f>
        <v>2230</v>
      </c>
      <c r="E132" s="64">
        <f t="shared" si="4"/>
        <v>7370</v>
      </c>
      <c r="F132" s="54" t="s">
        <v>252</v>
      </c>
    </row>
    <row r="133" spans="1:7" x14ac:dyDescent="0.3">
      <c r="A133" s="2">
        <v>12</v>
      </c>
      <c r="C133" s="27" t="s">
        <v>112</v>
      </c>
      <c r="D133" s="39">
        <f>SUM(D122:D132)</f>
        <v>58610</v>
      </c>
      <c r="E133" s="39">
        <f>SUM(E122:E132)</f>
        <v>193740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236</v>
      </c>
      <c r="E135" s="57" t="s">
        <v>154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v>0</v>
      </c>
      <c r="E137" s="63">
        <f t="shared" si="5"/>
        <v>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10750</v>
      </c>
      <c r="E140" s="63">
        <f t="shared" si="5"/>
        <v>35530</v>
      </c>
    </row>
    <row r="141" spans="1:7" x14ac:dyDescent="0.3">
      <c r="A141" s="2">
        <v>6</v>
      </c>
      <c r="C141" s="38" t="s">
        <v>59</v>
      </c>
      <c r="D141" s="42">
        <f>TRUNC(28719,-1)</f>
        <v>28710</v>
      </c>
      <c r="E141" s="63">
        <f t="shared" si="5"/>
        <v>94900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5"/>
        <v>0</v>
      </c>
    </row>
    <row r="143" spans="1:7" x14ac:dyDescent="0.3">
      <c r="A143" s="2">
        <v>8</v>
      </c>
      <c r="C143" s="38" t="s">
        <v>62</v>
      </c>
      <c r="D143" s="42">
        <f>TRUNC(5708,-1)</f>
        <v>5700</v>
      </c>
      <c r="E143" s="63">
        <f t="shared" si="5"/>
        <v>18840</v>
      </c>
    </row>
    <row r="144" spans="1:7" x14ac:dyDescent="0.3">
      <c r="A144" s="2">
        <v>9</v>
      </c>
      <c r="C144" s="38" t="s">
        <v>63</v>
      </c>
      <c r="D144" s="42">
        <f>TRUNC(29702,-1)</f>
        <v>29700</v>
      </c>
      <c r="E144" s="63">
        <f t="shared" si="5"/>
        <v>98180</v>
      </c>
    </row>
    <row r="145" spans="1:7" ht="17.25" thickBot="1" x14ac:dyDescent="0.35">
      <c r="A145" s="2">
        <v>10</v>
      </c>
      <c r="C145" s="38" t="s">
        <v>149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74860</v>
      </c>
      <c r="E146" s="39">
        <f>SUM(E136:E145)</f>
        <v>247450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236</v>
      </c>
      <c r="E148" s="57" t="s">
        <v>154</v>
      </c>
      <c r="G148" s="55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v>0</v>
      </c>
      <c r="E152" s="63">
        <f>TRUNC(+D152*3.3058,-1)</f>
        <v>0</v>
      </c>
    </row>
    <row r="153" spans="1:7" ht="17.25" thickBot="1" x14ac:dyDescent="0.35">
      <c r="A153" s="2">
        <v>5</v>
      </c>
      <c r="C153" s="38" t="s">
        <v>149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0</v>
      </c>
      <c r="E154" s="39">
        <f>SUM(E149:E153)</f>
        <v>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236</v>
      </c>
      <c r="E156" s="57" t="s">
        <v>154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149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2020-12-08T01:14:12Z</dcterms:modified>
</cp:coreProperties>
</file>