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2" i="4"/>
  <c r="E118" i="4"/>
  <c r="E117" i="4"/>
  <c r="E116" i="4"/>
  <c r="E115" i="4"/>
  <c r="E114" i="4"/>
  <c r="E113" i="4"/>
  <c r="E112" i="4"/>
  <c r="E111" i="4"/>
  <c r="E110" i="4"/>
  <c r="E109" i="4"/>
  <c r="E107" i="4"/>
  <c r="E106" i="4"/>
  <c r="E105" i="4"/>
  <c r="E104" i="4"/>
  <c r="E103" i="4"/>
  <c r="E101" i="4"/>
  <c r="E99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1" i="4"/>
  <c r="E65" i="4"/>
  <c r="E64" i="4"/>
  <c r="E63" i="4"/>
  <c r="E59" i="4"/>
  <c r="E57" i="4"/>
  <c r="E56" i="4"/>
  <c r="E54" i="4"/>
  <c r="E42" i="4"/>
  <c r="E66" i="4" l="1"/>
  <c r="E161" i="4"/>
  <c r="D132" i="4"/>
  <c r="E132" i="4" s="1"/>
  <c r="D123" i="4"/>
  <c r="E123" i="4" s="1"/>
  <c r="E133" i="4" s="1"/>
  <c r="D108" i="4"/>
  <c r="E108" i="4" s="1"/>
  <c r="D102" i="4"/>
  <c r="E102" i="4" s="1"/>
  <c r="D100" i="4"/>
  <c r="E100" i="4" s="1"/>
  <c r="D98" i="4"/>
  <c r="E98" i="4" s="1"/>
  <c r="E119" i="4" s="1"/>
  <c r="D94" i="4"/>
  <c r="E94" i="4" s="1"/>
  <c r="D72" i="4"/>
  <c r="E72" i="4" s="1"/>
  <c r="D70" i="4"/>
  <c r="E70" i="4" s="1"/>
  <c r="D69" i="4"/>
  <c r="E69" i="4" s="1"/>
  <c r="E95" i="4" s="1"/>
  <c r="D159" i="4"/>
  <c r="E159" i="4" s="1"/>
  <c r="D152" i="4"/>
  <c r="E152" i="4" s="1"/>
  <c r="E154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37" i="4"/>
  <c r="E37" i="4" s="1"/>
  <c r="D40" i="4"/>
  <c r="E40" i="4" s="1"/>
  <c r="E60" i="4" l="1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<sst xmlns="http://schemas.openxmlformats.org/spreadsheetml/2006/main" count="386" uniqueCount="261">
  <si>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</si>
  <si>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</si>
  <si>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</si>
  <si>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</si>
  <si>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</si>
  <si>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</si>
  <si>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</si>
  <si>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</si>
  <si>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</si>
  <si>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</si>
  <si>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</si>
  <si>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</si>
  <si>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</si>
  <si>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</si>
  <si>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</si>
  <si>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</si>
  <si>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</si>
  <si>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</si>
  <si>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</si>
  <si>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</si>
  <si>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</si>
  <si>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</si>
  <si>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</si>
  <si>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</si>
  <si>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</si>
  <si>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</si>
  <si>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</si>
  <si>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</si>
  <si>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</si>
  <si>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</si>
  <si>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</si>
  <si>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</si>
  <si>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</si>
  <si>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</si>
  <si>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</si>
  <si>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</si>
  <si>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</si>
  <si>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</si>
  <si>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</si>
  <si>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</si>
  <si>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</si>
  <si>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</si>
  <si>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</si>
  <si>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</si>
  <si>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</si>
  <si>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</si>
  <si>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</si>
  <si>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</si>
  <si>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</si>
  <si>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</si>
  <si>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</si>
  <si>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</si>
  <si>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</si>
  <si>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</si>
  <si>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</si>
  <si>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</si>
  <si>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</si>
  <si>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</si>
  <si>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</si>
  <si>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</si>
  <si>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</si>
  <si>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</si>
  <si>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</si>
  <si>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</si>
  <si>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</si>
  <si>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</si>
  <si>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</si>
  <si>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</si>
  <si>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</si>
  <si>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</si>
  <si>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</si>
  <si>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</si>
  <si>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</si>
  <si>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</si>
  <si>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</si>
  <si>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</si>
  <si>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</si>
  <si>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</si>
  <si>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</si>
  <si>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</si>
  <si>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</si>
  <si>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</si>
  <si>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</si>
  <si>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</si>
  <si>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</si>
  <si>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</si>
  <si>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</si>
  <si>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</si>
  <si>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</si>
  <si>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</si>
  <si>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</si>
  <si>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</si>
  <si>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</si>
  <si>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</si>
  <si>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</si>
  <si>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</si>
  <si>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</si>
  <si>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</si>
  <si>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</si>
  <si>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</si>
  <si>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</si>
  <si>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</si>
  <si>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</si>
  <si>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</si>
  <si>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</si>
  <si>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</si>
  <si>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</si>
  <si>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</si>
  <si>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</si>
  <si>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</si>
  <si>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</si>
  <si>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</si>
  <si>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</si>
  <si>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</si>
  <si>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</si>
  <si>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</si>
  <si>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</si>
  <si>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</si>
  <si>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</si>
  <si>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</si>
  <si>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</si>
  <si>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</si>
  <si>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</si>
  <si>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</si>
  <si>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</si>
  <si>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</si>
  <si>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</si>
  <si>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</si>
  <si>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</si>
  <si>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</si>
  <si>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</si>
  <si>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</si>
  <si>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</si>
  <si>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</si>
  <si>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</si>
  <si>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</si>
  <si>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</si>
  <si>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</si>
  <si>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</si>
  <si>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</si>
  <si>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</si>
  <si>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</si>
  <si>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</si>
  <si>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</si>
  <si>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</si>
  <si>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</si>
  <si>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</si>
  <si>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</si>
  <si>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</si>
  <si>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</si>
  <si>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</si>
  <si>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</si>
  <si>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</si>
  <si>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</si>
  <si>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</si>
  <si>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</si>
  <si>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</si>
  <si>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</si>
  <si>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</si>
  <si>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</si>
  <si>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</si>
  <si>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</si>
  <si>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</si>
  <si>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</si>
  <si>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</si>
  <si>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</si>
  <si>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</si>
  <si>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</si>
  <si>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</si>
  <si>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</si>
  <si>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</si>
  <si>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</si>
  <si>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</si>
  <si>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</si>
  <si>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</si>
  <si>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</si>
  <si>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</si>
  <si>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</si>
  <si>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</si>
  <si>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</si>
  <si>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</si>
  <si>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</si>
  <si>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</si>
  <si>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</si>
  <si>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</si>
  <si>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</si>
  <si>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</si>
  <si>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</si>
  <si>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</si>
  <si>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</si>
  <si>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</si>
  <si>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</si>
  <si>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</si>
  <si>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</si>
  <si>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</si>
  <si>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</si>
  <si>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</si>
  <si>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</si>
  <si>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</si>
  <si>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</si>
  <si>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</si>
  <si>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</si>
  <si>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</si>
  <si>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</si>
  <si>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</si>
  <si>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</si>
  <si>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</si>
  <si>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</si>
  <si>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</si>
  <si>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</si>
  <si>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</si>
  <si>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</si>
  <si>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</si>
  <si>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</si>
  <si>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</si>
  <si>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</si>
  <si>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</si>
  <si>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</si>
  <si>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</si>
  <si>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</si>
  <si>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</si>
  <si>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</si>
  <si>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</si>
  <si>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</si>
  <si>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</si>
  <si>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</si>
  <si>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</si>
  <si>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</si>
  <si>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</si>
  <si>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</si>
  <si>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</si>
  <si>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</si>
  <si>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</si>
  <si>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</si>
  <si>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</si>
  <si>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</si>
  <si>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</si>
  <si>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</si>
  <si>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</si>
  <si>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</si>
  <si>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</si>
  <si>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</si>
  <si>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</si>
  <si>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</si>
  <si>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</si>
  <si>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</si>
  <si>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</si>
  <si>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</si>
  <si>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 000지구대 신축공사</t>
    <phoneticPr fontId="2" type="noConversion"/>
  </si>
  <si>
    <t>업무</t>
  </si>
  <si>
    <t>서울</t>
  </si>
  <si>
    <t>토및지정공사,정화조공사,기타공사,철거공사,골재비및운반비</t>
    <phoneticPr fontId="2" type="noConversion"/>
  </si>
  <si>
    <t>부대공사</t>
    <phoneticPr fontId="2" type="noConversion"/>
  </si>
  <si>
    <t>조경공사</t>
    <phoneticPr fontId="2" type="noConversion"/>
  </si>
  <si>
    <t>난방배관공사,위생배관공사</t>
    <phoneticPr fontId="2" type="noConversion"/>
  </si>
  <si>
    <t>구내전송설비공사,CCTV설비공사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</si>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</sst>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495</v>
      </c>
      <c r="D7" s="36">
        <f>+C7/3.3058</f>
        <v>149.73682618428217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2150</v>
      </c>
      <c r="E24" s="58">
        <f t="shared" ref="E24:E33" si="0">TRUNC(+D24*3.3058,-1)</f>
        <v>7100</v>
      </c>
    </row>
    <row r="25" spans="1:5" x14ac:dyDescent="0.3">
      <c r="B25" s="2">
        <v>2</v>
      </c>
      <c r="C25" s="35" t="s">
        <v>111</v>
      </c>
      <c r="D25" s="45">
        <f>+D60</f>
        <v>782180</v>
      </c>
      <c r="E25" s="59">
        <f t="shared" si="0"/>
        <v>2585730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70150</v>
      </c>
      <c r="E27" s="59">
        <f t="shared" si="0"/>
        <v>231900</v>
      </c>
    </row>
    <row r="28" spans="1:5" x14ac:dyDescent="0.3">
      <c r="B28" s="2">
        <v>5</v>
      </c>
      <c r="C28" s="35" t="s">
        <v>97</v>
      </c>
      <c r="D28" s="45">
        <f>+D119</f>
        <v>91860</v>
      </c>
      <c r="E28" s="59">
        <f t="shared" si="0"/>
        <v>303670</v>
      </c>
    </row>
    <row r="29" spans="1:5" x14ac:dyDescent="0.3">
      <c r="B29" s="2">
        <v>6</v>
      </c>
      <c r="C29" s="35" t="s">
        <v>98</v>
      </c>
      <c r="D29" s="45">
        <f>+D133</f>
        <v>33420</v>
      </c>
      <c r="E29" s="59">
        <f t="shared" si="0"/>
        <v>110470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43840</v>
      </c>
      <c r="E31" s="59">
        <f t="shared" si="0"/>
        <v>144920</v>
      </c>
    </row>
    <row r="32" spans="1:5" x14ac:dyDescent="0.3">
      <c r="B32" s="2">
        <v>9</v>
      </c>
      <c r="C32" s="35" t="s">
        <v>101</v>
      </c>
      <c r="D32" s="45">
        <f>+D161</f>
        <v>3820</v>
      </c>
      <c r="E32" s="59">
        <f t="shared" si="0"/>
        <v>12620</v>
      </c>
    </row>
    <row r="33" spans="1:7" x14ac:dyDescent="0.3">
      <c r="B33" s="2">
        <v>10</v>
      </c>
      <c r="C33" s="35" t="s">
        <v>154</v>
      </c>
      <c r="D33" s="53">
        <f>TRUNC(SUM(D24:D32)*0.275,-1)</f>
        <v>282540</v>
      </c>
      <c r="E33" s="60">
        <f t="shared" si="0"/>
        <v>934020</v>
      </c>
    </row>
    <row r="34" spans="1:7" x14ac:dyDescent="0.3">
      <c r="C34" s="35" t="s">
        <v>112</v>
      </c>
      <c r="D34" s="44">
        <f>SUM(D24:D33)</f>
        <v>1309960</v>
      </c>
      <c r="E34" s="44">
        <f>SUM(E24:E33)</f>
        <v>4330430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TRUNC(2152,-1)</f>
        <v>2150</v>
      </c>
      <c r="E37" s="61">
        <f>TRUNC(+D37*3.3058,-1)</f>
        <v>7100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256</v>
      </c>
      <c r="E39" s="67" t="s">
        <v>257</v>
      </c>
      <c r="G39" s="68"/>
    </row>
    <row r="40" spans="1:7" x14ac:dyDescent="0.3">
      <c r="A40" s="2">
        <v>1</v>
      </c>
      <c r="C40" s="38" t="s">
        <v>15</v>
      </c>
      <c r="D40" s="40">
        <f>TRUNC(36421,-1)</f>
        <v>36420</v>
      </c>
      <c r="E40" s="62">
        <f t="shared" ref="E40:E59" si="1">TRUNC(+D40*3.3058,-1)</f>
        <v>120390</v>
      </c>
    </row>
    <row r="41" spans="1:7" x14ac:dyDescent="0.3">
      <c r="A41" s="2">
        <v>2</v>
      </c>
      <c r="C41" s="38" t="s">
        <v>13</v>
      </c>
      <c r="D41" s="42">
        <f>TRUNC(140351,-1)</f>
        <v>140350</v>
      </c>
      <c r="E41" s="63">
        <f t="shared" si="1"/>
        <v>463960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TRUNC(3708,-1)</f>
        <v>3700</v>
      </c>
      <c r="E43" s="63">
        <f t="shared" si="1"/>
        <v>12230</v>
      </c>
    </row>
    <row r="44" spans="1:7" x14ac:dyDescent="0.3">
      <c r="A44" s="2">
        <v>5</v>
      </c>
      <c r="C44" s="38" t="s">
        <v>17</v>
      </c>
      <c r="D44" s="42">
        <f>TRUNC(20859,-1)</f>
        <v>20850</v>
      </c>
      <c r="E44" s="63">
        <f t="shared" si="1"/>
        <v>68920</v>
      </c>
    </row>
    <row r="45" spans="1:7" x14ac:dyDescent="0.3">
      <c r="A45" s="2">
        <v>6</v>
      </c>
      <c r="C45" s="38" t="s">
        <v>18</v>
      </c>
      <c r="D45" s="42">
        <f>TRUNC(10452,-1)</f>
        <v>10450</v>
      </c>
      <c r="E45" s="63">
        <f t="shared" si="1"/>
        <v>34540</v>
      </c>
    </row>
    <row r="46" spans="1:7" x14ac:dyDescent="0.3">
      <c r="A46" s="2">
        <v>7</v>
      </c>
      <c r="C46" s="38" t="s">
        <v>19</v>
      </c>
      <c r="D46" s="42">
        <f>TRUNC(32863,-1)</f>
        <v>32860</v>
      </c>
      <c r="E46" s="63">
        <f t="shared" si="1"/>
        <v>108620</v>
      </c>
    </row>
    <row r="47" spans="1:7" x14ac:dyDescent="0.3">
      <c r="A47" s="2">
        <v>8</v>
      </c>
      <c r="C47" s="38" t="s">
        <v>20</v>
      </c>
      <c r="D47" s="42">
        <f>TRUNC(9493,-1)</f>
        <v>9490</v>
      </c>
      <c r="E47" s="63">
        <f t="shared" si="1"/>
        <v>31370</v>
      </c>
    </row>
    <row r="48" spans="1:7" x14ac:dyDescent="0.3">
      <c r="A48" s="2">
        <v>9</v>
      </c>
      <c r="C48" s="38" t="s">
        <v>21</v>
      </c>
      <c r="D48" s="42">
        <f>TRUNC(30894,-1)</f>
        <v>30890</v>
      </c>
      <c r="E48" s="63">
        <f t="shared" si="1"/>
        <v>102110</v>
      </c>
    </row>
    <row r="49" spans="1:7" x14ac:dyDescent="0.3">
      <c r="A49" s="2">
        <v>10</v>
      </c>
      <c r="C49" s="38" t="s">
        <v>22</v>
      </c>
      <c r="D49" s="42">
        <f>TRUNC(47241,-1)</f>
        <v>47240</v>
      </c>
      <c r="E49" s="63">
        <f t="shared" si="1"/>
        <v>156160</v>
      </c>
    </row>
    <row r="50" spans="1:7" x14ac:dyDescent="0.3">
      <c r="A50" s="2">
        <v>11</v>
      </c>
      <c r="C50" s="38" t="s">
        <v>155</v>
      </c>
      <c r="D50" s="42">
        <f>TRUNC(54766,-1)</f>
        <v>54760</v>
      </c>
      <c r="E50" s="63">
        <f t="shared" si="1"/>
        <v>181020</v>
      </c>
    </row>
    <row r="51" spans="1:7" x14ac:dyDescent="0.3">
      <c r="A51" s="2">
        <v>12</v>
      </c>
      <c r="C51" s="38" t="s">
        <v>23</v>
      </c>
      <c r="D51" s="42">
        <f>TRUNC(11687,-1)</f>
        <v>11680</v>
      </c>
      <c r="E51" s="63">
        <f t="shared" si="1"/>
        <v>38610</v>
      </c>
    </row>
    <row r="52" spans="1:7" x14ac:dyDescent="0.3">
      <c r="A52" s="2">
        <v>13</v>
      </c>
      <c r="C52" s="38" t="s">
        <v>24</v>
      </c>
      <c r="D52" s="42">
        <f>TRUNC(12113,-1)</f>
        <v>12110</v>
      </c>
      <c r="E52" s="63">
        <f t="shared" si="1"/>
        <v>40030</v>
      </c>
    </row>
    <row r="53" spans="1:7" x14ac:dyDescent="0.3">
      <c r="A53" s="2">
        <v>14</v>
      </c>
      <c r="C53" s="38" t="s">
        <v>25</v>
      </c>
      <c r="D53" s="42">
        <f>TRUNC(305973,-1)</f>
        <v>305970</v>
      </c>
      <c r="E53" s="63">
        <f t="shared" si="1"/>
        <v>1011470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TRUNC(4642,-1)</f>
        <v>4640</v>
      </c>
      <c r="E55" s="63">
        <f t="shared" si="1"/>
        <v>15330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TRUNC(33510+8659+2275+8773+7557,-1)</f>
        <v>60770</v>
      </c>
      <c r="E58" s="63">
        <f t="shared" si="1"/>
        <v>200890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782180</v>
      </c>
      <c r="E60" s="39">
        <f>SUM(E40:E59)</f>
        <v>2585650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TRUNC(9054,-1)</f>
        <v>9050</v>
      </c>
      <c r="E69" s="62">
        <f t="shared" ref="E69:E94" si="2">TRUNC(+D69*3.3058,-1)</f>
        <v>29910</v>
      </c>
    </row>
    <row r="70" spans="1:7" ht="16.5" customHeight="1" x14ac:dyDescent="0.3">
      <c r="A70" s="2">
        <v>2</v>
      </c>
      <c r="C70" s="38" t="s">
        <v>31</v>
      </c>
      <c r="D70" s="42">
        <f>TRUNC(1422,-1)</f>
        <v>1420</v>
      </c>
      <c r="E70" s="63">
        <f t="shared" si="2"/>
        <v>4690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TRUNC(9511,-1)</f>
        <v>9510</v>
      </c>
      <c r="E72" s="63">
        <f t="shared" si="2"/>
        <v>31430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TRUNC(12707+37466,-1)</f>
        <v>50170</v>
      </c>
      <c r="E94" s="64">
        <f t="shared" si="2"/>
        <v>165850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70150</v>
      </c>
      <c r="E95" s="39">
        <f>SUM(E69:E94)</f>
        <v>231880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TRUNC(23672,-1)</f>
        <v>23670</v>
      </c>
      <c r="E98" s="62">
        <f t="shared" ref="E98:E118" si="3">TRUNC(+D98*3.3058,-1)</f>
        <v>78240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TRUNC(41888,-1)</f>
        <v>41880</v>
      </c>
      <c r="E100" s="63">
        <f t="shared" si="3"/>
        <v>138440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TRUNC(17922,-1)</f>
        <v>17920</v>
      </c>
      <c r="E102" s="63">
        <f t="shared" si="3"/>
        <v>59230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TRUNC(8392,-1)</f>
        <v>8390</v>
      </c>
      <c r="E108" s="63">
        <f t="shared" si="3"/>
        <v>27730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91860</v>
      </c>
      <c r="E119" s="39">
        <f>SUM(E98:E118)</f>
        <v>303640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f>TRUNC(26937,-1)</f>
        <v>26930</v>
      </c>
      <c r="E123" s="63">
        <f t="shared" si="4"/>
        <v>89020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TRUNC(4682+1811,-1)</f>
        <v>6490</v>
      </c>
      <c r="E132" s="64">
        <f t="shared" si="4"/>
        <v>21450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33420</v>
      </c>
      <c r="E133" s="39">
        <f>SUM(E122:E132)</f>
        <v>110470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TRUNC(43840,-1)</f>
        <v>43840</v>
      </c>
      <c r="E152" s="63">
        <f>TRUNC(+D152*3.3058,-1)</f>
        <v>144920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43840</v>
      </c>
      <c r="E154" s="39">
        <f>SUM(E149:E153)</f>
        <v>144920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TRUNC(3824,-1)</f>
        <v>3820</v>
      </c>
      <c r="E159" s="63">
        <f>TRUNC(+D159*3.3058,-1)</f>
        <v>12620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3820</v>
      </c>
      <c r="E161" s="39">
        <f>SUM(E157:E160)</f>
        <v>12620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2020-12-07T09:39:48Z</dcterms:modified>
</cp:coreProperties>
</file>