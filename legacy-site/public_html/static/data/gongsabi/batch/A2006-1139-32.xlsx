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51" i="4"/>
  <c r="E145" i="4"/>
  <c r="E142" i="4"/>
  <c r="E141" i="4"/>
  <c r="E140" i="4"/>
  <c r="E139" i="4"/>
  <c r="E138" i="4"/>
  <c r="E131" i="4"/>
  <c r="E130" i="4"/>
  <c r="E129" i="4"/>
  <c r="E128" i="4"/>
  <c r="E127" i="4"/>
  <c r="E124" i="4"/>
  <c r="E116" i="4"/>
  <c r="E115" i="4"/>
  <c r="E113" i="4"/>
  <c r="E112" i="4"/>
  <c r="E111" i="4"/>
  <c r="E110" i="4"/>
  <c r="E109" i="4"/>
  <c r="E107" i="4"/>
  <c r="E106" i="4"/>
  <c r="E105" i="4"/>
  <c r="E104" i="4"/>
  <c r="E103" i="4"/>
  <c r="E101" i="4"/>
  <c r="E93" i="4"/>
  <c r="E91" i="4"/>
  <c r="E88" i="4"/>
  <c r="E87" i="4"/>
  <c r="E86" i="4"/>
  <c r="E85" i="4"/>
  <c r="E84" i="4"/>
  <c r="E83" i="4"/>
  <c r="E82" i="4"/>
  <c r="E81" i="4"/>
  <c r="E80" i="4"/>
  <c r="E78" i="4"/>
  <c r="E77" i="4"/>
  <c r="E76" i="4"/>
  <c r="E75" i="4"/>
  <c r="E74" i="4"/>
  <c r="E65" i="4"/>
  <c r="E57" i="4"/>
  <c r="E56" i="4"/>
  <c r="E54" i="4"/>
  <c r="E37" i="4"/>
  <c r="D152" i="4" l="1"/>
  <c r="E152" i="4" s="1"/>
  <c r="D150" i="4"/>
  <c r="E150" i="4" s="1"/>
  <c r="D149" i="4"/>
  <c r="E149" i="4" s="1"/>
  <c r="E154" i="4" s="1"/>
  <c r="D144" i="4"/>
  <c r="E144" i="4" s="1"/>
  <c r="D143" i="4"/>
  <c r="E143" i="4" s="1"/>
  <c r="D137" i="4"/>
  <c r="E137" i="4" s="1"/>
  <c r="D136" i="4"/>
  <c r="E136" i="4" s="1"/>
  <c r="D132" i="4"/>
  <c r="E132" i="4" s="1"/>
  <c r="D126" i="4"/>
  <c r="E126" i="4" s="1"/>
  <c r="D125" i="4"/>
  <c r="E125" i="4" s="1"/>
  <c r="D123" i="4"/>
  <c r="E123" i="4" s="1"/>
  <c r="D122" i="4"/>
  <c r="E122" i="4" s="1"/>
  <c r="E133" i="4" s="1"/>
  <c r="D118" i="4"/>
  <c r="E118" i="4" s="1"/>
  <c r="D117" i="4"/>
  <c r="E117" i="4" s="1"/>
  <c r="D114" i="4"/>
  <c r="E114" i="4" s="1"/>
  <c r="D108" i="4"/>
  <c r="E108" i="4" s="1"/>
  <c r="D102" i="4"/>
  <c r="E102" i="4" s="1"/>
  <c r="D100" i="4"/>
  <c r="E100" i="4" s="1"/>
  <c r="D99" i="4"/>
  <c r="E99" i="4" s="1"/>
  <c r="D98" i="4"/>
  <c r="E98" i="4" s="1"/>
  <c r="E119" i="4" s="1"/>
  <c r="D94" i="4"/>
  <c r="E94" i="4" s="1"/>
  <c r="D92" i="4"/>
  <c r="E92" i="4" s="1"/>
  <c r="D90" i="4"/>
  <c r="E90" i="4" s="1"/>
  <c r="D89" i="4"/>
  <c r="E89" i="4" s="1"/>
  <c r="D79" i="4"/>
  <c r="E79" i="4" s="1"/>
  <c r="D73" i="4"/>
  <c r="E73" i="4" s="1"/>
  <c r="D72" i="4"/>
  <c r="E72" i="4" s="1"/>
  <c r="D71" i="4"/>
  <c r="E71" i="4" s="1"/>
  <c r="D70" i="4"/>
  <c r="E70" i="4" s="1"/>
  <c r="D69" i="4"/>
  <c r="E69" i="4" s="1"/>
  <c r="D64" i="4"/>
  <c r="E64" i="4" s="1"/>
  <c r="D63" i="4"/>
  <c r="E63" i="4" s="1"/>
  <c r="E66" i="4" s="1"/>
  <c r="D59" i="4"/>
  <c r="E59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E146" i="4" l="1"/>
  <c r="E95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4" i="4" l="1"/>
  <c r="D33" i="4"/>
  <c r="E33" i="4" s="1"/>
  <c r="D34" i="4" l="1"/>
</calcChain>
</file>

<file path=xl/sharedStrings.xml><?xml version="1.0" encoding="utf-8"?>
<sst xmlns="http://schemas.openxmlformats.org/spreadsheetml/2006/main" count="392" uniqueCount="268">
  <si>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</si>
  <si>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</si>
  <si>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</si>
  <si>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</si>
  <si>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</si>
  <si>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</si>
  <si>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</si>
  <si>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</si>
  <si>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</si>
  <si>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</si>
  <si>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</si>
  <si>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</si>
  <si>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</si>
  <si>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</si>
  <si>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</si>
  <si>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</si>
  <si>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</si>
  <si>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</si>
  <si>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</si>
  <si>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</si>
  <si>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</si>
  <si>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</si>
  <si>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</si>
  <si>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</si>
  <si>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</si>
  <si>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</si>
  <si>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</si>
  <si>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</si>
  <si>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</si>
  <si>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</si>
  <si>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</si>
  <si>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</si>
  <si>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</si>
  <si>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</si>
  <si>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</si>
  <si>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</si>
  <si>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</si>
  <si>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</si>
  <si>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</si>
  <si>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</si>
  <si>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</si>
  <si>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</si>
  <si>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</si>
  <si>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</si>
  <si>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</si>
  <si>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</si>
  <si>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</si>
  <si>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</si>
  <si>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</si>
  <si>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</si>
  <si>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</si>
  <si>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</si>
  <si>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</si>
  <si>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</si>
  <si>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</si>
  <si>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</si>
  <si>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</si>
  <si>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</si>
  <si>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</si>
  <si>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</si>
  <si>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</si>
  <si>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</si>
  <si>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</si>
  <si>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</si>
  <si>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</si>
  <si>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</si>
  <si>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</si>
  <si>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</si>
  <si>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</si>
  <si>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</si>
  <si>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</si>
  <si>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</si>
  <si>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</si>
  <si>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</si>
  <si>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</si>
  <si>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</si>
  <si>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</si>
  <si>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</si>
  <si>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</si>
  <si>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</si>
  <si>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</si>
  <si>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</si>
  <si>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</si>
  <si>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</si>
  <si>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</si>
  <si>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</si>
  <si>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</si>
  <si>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</si>
  <si>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</si>
  <si>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</si>
  <si>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</si>
  <si>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</si>
  <si>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</si>
  <si>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</si>
  <si>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</si>
  <si>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</si>
  <si>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</si>
  <si>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</si>
  <si>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</si>
  <si>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</si>
  <si>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</si>
  <si>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</si>
  <si>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</si>
  <si>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</si>
  <si>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</si>
  <si>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</si>
  <si>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</si>
  <si>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</si>
  <si>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</si>
  <si>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</si>
  <si>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</si>
  <si>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</si>
  <si>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</si>
  <si>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</si>
  <si>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</si>
  <si>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</si>
  <si>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</si>
  <si>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</si>
  <si>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</si>
  <si>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</si>
  <si>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</si>
  <si>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</si>
  <si>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</si>
  <si>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</si>
  <si>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</si>
  <si>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</si>
  <si>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</si>
  <si>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</si>
  <si>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</si>
  <si>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</si>
  <si>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</si>
  <si>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</si>
  <si>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</si>
  <si>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</si>
  <si>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</si>
  <si>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</si>
  <si>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</si>
  <si>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</si>
  <si>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</si>
  <si>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</si>
  <si>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</si>
  <si>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</si>
  <si>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</si>
  <si>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</si>
  <si>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</si>
  <si>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</si>
  <si>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</si>
  <si>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</si>
  <si>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</si>
  <si>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</si>
  <si>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</si>
  <si>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</si>
  <si>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</si>
  <si>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</si>
  <si>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</si>
  <si>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</si>
  <si>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</si>
  <si>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</si>
  <si>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</si>
  <si>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</si>
  <si>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</si>
  <si>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</si>
  <si>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</si>
  <si>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</si>
  <si>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</si>
  <si>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</si>
  <si>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</si>
  <si>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</si>
  <si>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</si>
  <si>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</si>
  <si>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</si>
  <si>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</si>
  <si>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</si>
  <si>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</si>
  <si>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</si>
  <si>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</si>
  <si>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</si>
  <si>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</si>
  <si>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</si>
  <si>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</si>
  <si>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</si>
  <si>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</si>
  <si>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</si>
  <si>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</si>
  <si>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</si>
  <si>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</si>
  <si>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</si>
  <si>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</si>
  <si>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</si>
  <si>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</si>
  <si>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</si>
  <si>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</si>
  <si>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</si>
  <si>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</si>
  <si>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</si>
  <si>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</si>
  <si>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</si>
  <si>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</si>
  <si>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</si>
  <si>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</si>
  <si>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</si>
  <si>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</si>
  <si>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</si>
  <si>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</si>
  <si>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</si>
  <si>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</si>
  <si>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</si>
  <si>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</si>
  <si>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</si>
  <si>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</si>
  <si>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</si>
  <si>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</si>
  <si>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</si>
  <si>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</si>
  <si>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</si>
  <si>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</si>
  <si>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</si>
  <si>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</si>
  <si>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</si>
  <si>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</si>
  <si>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</si>
  <si>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</si>
  <si>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</si>
  <si>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</si>
  <si>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</si>
  <si>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</si>
  <si>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</si>
  <si>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</si>
  <si>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</si>
  <si>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</si>
  <si>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</si>
  <si>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</si>
  <si>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</si>
  <si>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</si>
  <si>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</si>
  <si>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</si>
  <si>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</si>
  <si>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</si>
  <si>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</si>
  <si>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</si>
  <si>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</si>
  <si>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</si>
  <si>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</si>
  <si>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</si>
  <si>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</si>
  <si>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</si>
  <si>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</si>
  <si>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</si>
  <si>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광주시</t>
  </si>
  <si>
    <t>00초등학교 신축공사</t>
  </si>
  <si>
    <t>골재및운반공사, 기타공사, 암막커텐시설공사, 작업부산물, 토공및지정공사, 주요자재비,폐기물위탁처리,품질시험비</t>
    <phoneticPr fontId="2" type="noConversion"/>
  </si>
  <si>
    <t>도급자설치관급자재대, 관급자설치관급자재대</t>
    <phoneticPr fontId="2" type="noConversion"/>
  </si>
  <si>
    <t>단지내포장시설공사</t>
  </si>
  <si>
    <t>운동장시설공사, 스탠드 및 계단시설공사, 자연석시설공사, 담장시설공사, 구령대시설공사, 음수대시설공사, 국기게양대시설공사, 출입문시설공사, 기타부대시설공사, 신발흙털이시설공사, 운반공사, 철근고재</t>
    <phoneticPr fontId="2" type="noConversion"/>
  </si>
  <si>
    <t>오배수통기공사</t>
  </si>
  <si>
    <t>화장실환기공사</t>
  </si>
  <si>
    <t>에어콘드레인공사, 필림난방공사, 조리실배기덕트, 주방기구설치공사</t>
    <phoneticPr fontId="2" type="noConversion"/>
  </si>
  <si>
    <t>선풍기 전원설비, 환기덕트 전열설비</t>
    <phoneticPr fontId="2" type="noConversion"/>
  </si>
  <si>
    <t>도급자설치관급자재</t>
  </si>
  <si>
    <t>옥외방송공사</t>
  </si>
  <si>
    <t>LAN공사,전화공사</t>
    <phoneticPr fontId="2" type="noConversion"/>
  </si>
  <si>
    <t>원 /평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</si>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</sst>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7953</v>
      </c>
      <c r="D7" s="36">
        <f>+C7/3.3058</f>
        <v>2405.7716740274668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261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539610</v>
      </c>
      <c r="E25" s="59">
        <f t="shared" si="0"/>
        <v>1783840</v>
      </c>
    </row>
    <row r="26" spans="1:5" x14ac:dyDescent="0.3">
      <c r="B26" s="2">
        <v>3</v>
      </c>
      <c r="C26" s="35" t="s">
        <v>95</v>
      </c>
      <c r="D26" s="45">
        <f>+D66</f>
        <v>28290</v>
      </c>
      <c r="E26" s="59">
        <f t="shared" si="0"/>
        <v>93520</v>
      </c>
    </row>
    <row r="27" spans="1:5" x14ac:dyDescent="0.3">
      <c r="B27" s="2">
        <v>4</v>
      </c>
      <c r="C27" s="35" t="s">
        <v>96</v>
      </c>
      <c r="D27" s="45">
        <f>+D95</f>
        <v>48320</v>
      </c>
      <c r="E27" s="59">
        <f t="shared" si="0"/>
        <v>159730</v>
      </c>
    </row>
    <row r="28" spans="1:5" x14ac:dyDescent="0.3">
      <c r="B28" s="2">
        <v>5</v>
      </c>
      <c r="C28" s="35" t="s">
        <v>97</v>
      </c>
      <c r="D28" s="45">
        <f>+D119</f>
        <v>43190</v>
      </c>
      <c r="E28" s="59">
        <f t="shared" si="0"/>
        <v>142770</v>
      </c>
    </row>
    <row r="29" spans="1:5" x14ac:dyDescent="0.3">
      <c r="B29" s="2">
        <v>6</v>
      </c>
      <c r="C29" s="35" t="s">
        <v>98</v>
      </c>
      <c r="D29" s="45">
        <f>+D133</f>
        <v>15200</v>
      </c>
      <c r="E29" s="59">
        <f t="shared" si="0"/>
        <v>50240</v>
      </c>
    </row>
    <row r="30" spans="1:5" x14ac:dyDescent="0.3">
      <c r="B30" s="2">
        <v>7</v>
      </c>
      <c r="C30" s="35" t="s">
        <v>99</v>
      </c>
      <c r="D30" s="45">
        <f>+D146</f>
        <v>10780</v>
      </c>
      <c r="E30" s="59">
        <f t="shared" si="0"/>
        <v>35630</v>
      </c>
    </row>
    <row r="31" spans="1:5" x14ac:dyDescent="0.3">
      <c r="B31" s="2">
        <v>8</v>
      </c>
      <c r="C31" s="35" t="s">
        <v>100</v>
      </c>
      <c r="D31" s="45">
        <f>+D154</f>
        <v>51110</v>
      </c>
      <c r="E31" s="59">
        <f t="shared" si="0"/>
        <v>168950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202530</v>
      </c>
      <c r="E33" s="60">
        <f t="shared" si="0"/>
        <v>669520</v>
      </c>
    </row>
    <row r="34" spans="1:7" x14ac:dyDescent="0.3">
      <c r="C34" s="35" t="s">
        <v>112</v>
      </c>
      <c r="D34" s="44">
        <f>SUM(D24:D33)</f>
        <v>939030</v>
      </c>
      <c r="E34" s="44">
        <f>SUM(E24:E33)</f>
        <v>3104200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237</v>
      </c>
      <c r="D36" s="57" t="s">
        <v>234</v>
      </c>
      <c r="E36" s="57" t="s">
        <v>261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241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TRUNC(28722.0899031812,-1)</f>
        <v>28720</v>
      </c>
      <c r="E40" s="62">
        <f t="shared" ref="E40:E59" si="1">TRUNC(+D40*3.3058,-1)</f>
        <v>94940</v>
      </c>
    </row>
    <row r="41" spans="1:7" x14ac:dyDescent="0.3">
      <c r="A41" s="2">
        <v>2</v>
      </c>
      <c r="C41" s="38" t="s">
        <v>13</v>
      </c>
      <c r="D41" s="42">
        <f>TRUNC(110667.823211367,-1)</f>
        <v>110660</v>
      </c>
      <c r="E41" s="63">
        <f t="shared" si="1"/>
        <v>365810</v>
      </c>
    </row>
    <row r="42" spans="1:7" x14ac:dyDescent="0.3">
      <c r="A42" s="2">
        <v>3</v>
      </c>
      <c r="C42" s="38" t="s">
        <v>14</v>
      </c>
      <c r="D42" s="42">
        <f>TRUNC(5230.67408525085,-1)</f>
        <v>5230</v>
      </c>
      <c r="E42" s="63">
        <f t="shared" si="1"/>
        <v>17280</v>
      </c>
    </row>
    <row r="43" spans="1:7" x14ac:dyDescent="0.3">
      <c r="A43" s="2">
        <v>4</v>
      </c>
      <c r="C43" s="38" t="s">
        <v>16</v>
      </c>
      <c r="D43" s="42">
        <f>TRUNC(20904.6579906953,-1)</f>
        <v>20900</v>
      </c>
      <c r="E43" s="63">
        <f t="shared" si="1"/>
        <v>69090</v>
      </c>
    </row>
    <row r="44" spans="1:7" x14ac:dyDescent="0.3">
      <c r="A44" s="2">
        <v>5</v>
      </c>
      <c r="C44" s="38" t="s">
        <v>17</v>
      </c>
      <c r="D44" s="42">
        <f>TRUNC(16290.4965421853,-1)</f>
        <v>16290</v>
      </c>
      <c r="E44" s="63">
        <f t="shared" si="1"/>
        <v>53850</v>
      </c>
    </row>
    <row r="45" spans="1:7" x14ac:dyDescent="0.3">
      <c r="A45" s="2">
        <v>6</v>
      </c>
      <c r="C45" s="38" t="s">
        <v>18</v>
      </c>
      <c r="D45" s="42">
        <f>TRUNC(6754.19439205331,-1)</f>
        <v>6750</v>
      </c>
      <c r="E45" s="63">
        <f t="shared" si="1"/>
        <v>22310</v>
      </c>
    </row>
    <row r="46" spans="1:7" x14ac:dyDescent="0.3">
      <c r="A46" s="2">
        <v>7</v>
      </c>
      <c r="C46" s="38" t="s">
        <v>19</v>
      </c>
      <c r="D46" s="42">
        <f>TRUNC(5362.02891990444,-1)</f>
        <v>5360</v>
      </c>
      <c r="E46" s="63">
        <f t="shared" si="1"/>
        <v>17710</v>
      </c>
    </row>
    <row r="47" spans="1:7" x14ac:dyDescent="0.3">
      <c r="A47" s="2">
        <v>8</v>
      </c>
      <c r="C47" s="38" t="s">
        <v>20</v>
      </c>
      <c r="D47" s="42">
        <f>TRUNC(14558.2742361373,-1)</f>
        <v>14550</v>
      </c>
      <c r="E47" s="63">
        <f t="shared" si="1"/>
        <v>48090</v>
      </c>
    </row>
    <row r="48" spans="1:7" x14ac:dyDescent="0.3">
      <c r="A48" s="2">
        <v>9</v>
      </c>
      <c r="C48" s="38" t="s">
        <v>21</v>
      </c>
      <c r="D48" s="42">
        <f>TRUNC(27000.1170627436,-1)</f>
        <v>27000</v>
      </c>
      <c r="E48" s="63">
        <f t="shared" si="1"/>
        <v>89250</v>
      </c>
    </row>
    <row r="49" spans="1:7" x14ac:dyDescent="0.3">
      <c r="A49" s="2">
        <v>10</v>
      </c>
      <c r="C49" s="38" t="s">
        <v>22</v>
      </c>
      <c r="D49" s="42">
        <f>TRUNC(19560.5164089023,-1)</f>
        <v>19560</v>
      </c>
      <c r="E49" s="63">
        <f t="shared" si="1"/>
        <v>64660</v>
      </c>
    </row>
    <row r="50" spans="1:7" x14ac:dyDescent="0.3">
      <c r="A50" s="2">
        <v>11</v>
      </c>
      <c r="C50" s="38" t="s">
        <v>154</v>
      </c>
      <c r="D50" s="42">
        <f>TRUNC(46836.8401860933,-1)</f>
        <v>46830</v>
      </c>
      <c r="E50" s="63">
        <f t="shared" si="1"/>
        <v>154810</v>
      </c>
    </row>
    <row r="51" spans="1:7" x14ac:dyDescent="0.3">
      <c r="A51" s="2">
        <v>12</v>
      </c>
      <c r="C51" s="38" t="s">
        <v>23</v>
      </c>
      <c r="D51" s="42">
        <f>TRUNC(5551.90682761222,-1)</f>
        <v>5550</v>
      </c>
      <c r="E51" s="63">
        <f t="shared" si="1"/>
        <v>18340</v>
      </c>
    </row>
    <row r="52" spans="1:7" x14ac:dyDescent="0.3">
      <c r="A52" s="2">
        <v>13</v>
      </c>
      <c r="C52" s="38" t="s">
        <v>24</v>
      </c>
      <c r="D52" s="42">
        <f>TRUNC(7670.52420470263,-1)</f>
        <v>7670</v>
      </c>
      <c r="E52" s="63">
        <f t="shared" si="1"/>
        <v>25350</v>
      </c>
    </row>
    <row r="53" spans="1:7" x14ac:dyDescent="0.3">
      <c r="A53" s="2">
        <v>14</v>
      </c>
      <c r="C53" s="38" t="s">
        <v>25</v>
      </c>
      <c r="D53" s="42">
        <f>TRUNC(34996.6655350182,-1)</f>
        <v>34990</v>
      </c>
      <c r="E53" s="63">
        <f t="shared" si="1"/>
        <v>115660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TRUNC(6896.39217905193+5788.61624544197,-1)</f>
        <v>12680</v>
      </c>
      <c r="E55" s="63">
        <f t="shared" si="1"/>
        <v>41910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TRUNC(7082.22758707406+2864.71520181064+6720.35709795046-438.58166729536+7588.01232239407+9090.08776562304+1957.44373192506+546.30328178046,-1)</f>
        <v>35410</v>
      </c>
      <c r="E58" s="63">
        <f t="shared" si="1"/>
        <v>117050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f>TRUNC(135889.727146989+5574.37444989312,-1)</f>
        <v>141460</v>
      </c>
      <c r="E59" s="64">
        <f t="shared" si="1"/>
        <v>467630</v>
      </c>
      <c r="F59" s="2" t="s">
        <v>251</v>
      </c>
    </row>
    <row r="60" spans="1:7" x14ac:dyDescent="0.3">
      <c r="A60" s="2">
        <v>21</v>
      </c>
      <c r="C60" s="27" t="s">
        <v>112</v>
      </c>
      <c r="D60" s="39">
        <f>SUM(D40:D59)</f>
        <v>539610</v>
      </c>
      <c r="E60" s="39">
        <f>SUM(E40:E59)</f>
        <v>1783740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238</v>
      </c>
      <c r="C62" s="56" t="s">
        <v>239</v>
      </c>
      <c r="D62" s="57" t="s">
        <v>236</v>
      </c>
      <c r="E62" s="57" t="s">
        <v>262</v>
      </c>
      <c r="G62" s="55"/>
    </row>
    <row r="63" spans="1:7" x14ac:dyDescent="0.3">
      <c r="A63" s="2">
        <v>1</v>
      </c>
      <c r="C63" s="38" t="s">
        <v>27</v>
      </c>
      <c r="D63" s="40">
        <f>TRUNC(2847.32604048787,-1)</f>
        <v>2840</v>
      </c>
      <c r="E63" s="62">
        <f>TRUNC(+D63*3.3058,-1)</f>
        <v>9380</v>
      </c>
    </row>
    <row r="64" spans="1:7" x14ac:dyDescent="0.3">
      <c r="A64" s="2">
        <v>2</v>
      </c>
      <c r="C64" s="38" t="s">
        <v>29</v>
      </c>
      <c r="D64" s="42">
        <f>TRUNC(25450.3360995851,-1)</f>
        <v>25450</v>
      </c>
      <c r="E64" s="63">
        <f>TRUNC(+D64*3.3058,-1)</f>
        <v>84130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28290</v>
      </c>
      <c r="E66" s="65">
        <f>SUM(E63:E65)</f>
        <v>93510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240</v>
      </c>
      <c r="C68" s="56" t="s">
        <v>241</v>
      </c>
      <c r="D68" s="57" t="s">
        <v>234</v>
      </c>
      <c r="E68" s="57" t="s">
        <v>262</v>
      </c>
      <c r="G68" s="55"/>
    </row>
    <row r="69" spans="1:7" x14ac:dyDescent="0.3">
      <c r="A69" s="2">
        <v>1</v>
      </c>
      <c r="C69" s="38" t="s">
        <v>30</v>
      </c>
      <c r="D69" s="40">
        <f>TRUNC(9780.4785615491,-1)</f>
        <v>9780</v>
      </c>
      <c r="E69" s="62">
        <f>TRUNC(+D69*3.3058,-1)</f>
        <v>32330</v>
      </c>
    </row>
    <row r="70" spans="1:7" ht="16.5" customHeight="1" x14ac:dyDescent="0.3">
      <c r="A70" s="2">
        <v>2</v>
      </c>
      <c r="C70" s="38" t="s">
        <v>31</v>
      </c>
      <c r="D70" s="42">
        <f>TRUNC(1347.58896014083,-1)</f>
        <v>1340</v>
      </c>
      <c r="E70" s="63">
        <f>TRUNC(+D70*3.3058,-1)</f>
        <v>4420</v>
      </c>
    </row>
    <row r="71" spans="1:7" x14ac:dyDescent="0.3">
      <c r="A71" s="2">
        <v>3</v>
      </c>
      <c r="C71" s="38" t="s">
        <v>32</v>
      </c>
      <c r="D71" s="42">
        <f>TRUNC(4929.17188482334,-1)</f>
        <v>4920</v>
      </c>
      <c r="E71" s="63">
        <f t="shared" ref="E71:E73" si="2">TRUNC(+D71*3.3058,-1)</f>
        <v>16260</v>
      </c>
    </row>
    <row r="72" spans="1:7" x14ac:dyDescent="0.3">
      <c r="A72" s="2">
        <v>4</v>
      </c>
      <c r="C72" s="38" t="s">
        <v>33</v>
      </c>
      <c r="D72" s="42">
        <f>TRUNC(1439.45894630957,-1)</f>
        <v>1430</v>
      </c>
      <c r="E72" s="63">
        <f t="shared" si="2"/>
        <v>4720</v>
      </c>
    </row>
    <row r="73" spans="1:7" x14ac:dyDescent="0.3">
      <c r="A73" s="2">
        <v>5</v>
      </c>
      <c r="C73" s="38" t="s">
        <v>34</v>
      </c>
      <c r="D73" s="42">
        <f>TRUNC(12623.358606815,-1)</f>
        <v>12620</v>
      </c>
      <c r="E73" s="63">
        <f t="shared" si="2"/>
        <v>41710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f>TRUNC(1087.22934741607,-1)</f>
        <v>1080</v>
      </c>
      <c r="E79" s="63">
        <f t="shared" si="3"/>
        <v>3570</v>
      </c>
      <c r="F79" s="2" t="s">
        <v>255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f>TRUNC(4559.15956242927,-1)</f>
        <v>4550</v>
      </c>
      <c r="E89" s="63">
        <f t="shared" si="3"/>
        <v>15040</v>
      </c>
      <c r="F89" s="2" t="s">
        <v>254</v>
      </c>
    </row>
    <row r="90" spans="1:7" x14ac:dyDescent="0.3">
      <c r="A90" s="2">
        <v>22</v>
      </c>
      <c r="C90" s="38" t="s">
        <v>36</v>
      </c>
      <c r="D90" s="42">
        <f>TRUNC(456.920658870866,-1)</f>
        <v>450</v>
      </c>
      <c r="E90" s="63">
        <f>TRUNC(+D90*3.3058,-1)</f>
        <v>1480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>TRUNC(+D91*3.3058,-1)</f>
        <v>0</v>
      </c>
    </row>
    <row r="92" spans="1:7" x14ac:dyDescent="0.3">
      <c r="A92" s="2">
        <v>24</v>
      </c>
      <c r="C92" s="38" t="s">
        <v>38</v>
      </c>
      <c r="D92" s="42">
        <f>TRUNC(6740.09153778448,-1)</f>
        <v>6740</v>
      </c>
      <c r="E92" s="63">
        <f>TRUNC(+D92*3.3058,-1)</f>
        <v>22280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>TRUNC(+D93*3.3058,-1)</f>
        <v>0</v>
      </c>
    </row>
    <row r="94" spans="1:7" ht="17.25" thickBot="1" x14ac:dyDescent="0.35">
      <c r="A94" s="2">
        <v>26</v>
      </c>
      <c r="C94" s="38" t="s">
        <v>47</v>
      </c>
      <c r="D94" s="43">
        <f>TRUNC(2117.47994467497+10.0980761976613+1287.14459952219+2003.5458317616,-1)</f>
        <v>5410</v>
      </c>
      <c r="E94" s="64">
        <f>TRUNC(+D94*3.3058,-1)</f>
        <v>17880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48320</v>
      </c>
      <c r="E95" s="39">
        <f>SUM(E69:E94)</f>
        <v>159690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242</v>
      </c>
      <c r="C97" s="56" t="s">
        <v>241</v>
      </c>
      <c r="D97" s="57" t="s">
        <v>234</v>
      </c>
      <c r="E97" s="57" t="s">
        <v>262</v>
      </c>
      <c r="G97" s="55"/>
    </row>
    <row r="98" spans="1:7" x14ac:dyDescent="0.3">
      <c r="A98" s="2">
        <v>1</v>
      </c>
      <c r="C98" s="38" t="s">
        <v>39</v>
      </c>
      <c r="D98" s="40">
        <f>TRUNC(11769.9553627562,-1)</f>
        <v>11760</v>
      </c>
      <c r="E98" s="62">
        <f t="shared" ref="E98:E118" si="4">TRUNC(+D98*3.3058,-1)</f>
        <v>38870</v>
      </c>
    </row>
    <row r="99" spans="1:7" x14ac:dyDescent="0.3">
      <c r="A99" s="2">
        <v>2</v>
      </c>
      <c r="C99" s="38" t="s">
        <v>40</v>
      </c>
      <c r="D99" s="42">
        <f>TRUNC(1951.83440211241,-1)</f>
        <v>1950</v>
      </c>
      <c r="E99" s="63">
        <f t="shared" si="4"/>
        <v>6440</v>
      </c>
    </row>
    <row r="100" spans="1:7" x14ac:dyDescent="0.3">
      <c r="A100" s="2">
        <v>3</v>
      </c>
      <c r="C100" s="38" t="s">
        <v>41</v>
      </c>
      <c r="D100" s="42">
        <f>TRUNC(12024.9238023387,-1)</f>
        <v>12020</v>
      </c>
      <c r="E100" s="63">
        <f t="shared" si="4"/>
        <v>39730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TRUNC(4000.43291839557,-1)</f>
        <v>4000</v>
      </c>
      <c r="E102" s="63">
        <f t="shared" si="4"/>
        <v>13220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f>TRUNC(1983.54444863574,-1)</f>
        <v>1980</v>
      </c>
      <c r="E108" s="63">
        <f t="shared" si="4"/>
        <v>6540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f>TRUNC(1013.23374827109,-1)</f>
        <v>1010</v>
      </c>
      <c r="E114" s="63">
        <f t="shared" si="4"/>
        <v>3330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TRUNC(7528.3540802213,-1)</f>
        <v>7520</v>
      </c>
      <c r="E117" s="63">
        <f t="shared" si="4"/>
        <v>24850</v>
      </c>
      <c r="F117" s="2" t="s">
        <v>258</v>
      </c>
    </row>
    <row r="118" spans="1:7" ht="17.25" thickBot="1" x14ac:dyDescent="0.35">
      <c r="A118" s="2">
        <v>21</v>
      </c>
      <c r="C118" s="38" t="s">
        <v>47</v>
      </c>
      <c r="D118" s="43">
        <f>TRUNC(1794.06639004149+1159.96793662769,-1)</f>
        <v>2950</v>
      </c>
      <c r="E118" s="64">
        <f t="shared" si="4"/>
        <v>9750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43190</v>
      </c>
      <c r="E119" s="39">
        <f>SUM(E98:E118)</f>
        <v>142730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243</v>
      </c>
      <c r="C121" s="56" t="s">
        <v>241</v>
      </c>
      <c r="D121" s="57" t="s">
        <v>234</v>
      </c>
      <c r="E121" s="57" t="s">
        <v>262</v>
      </c>
      <c r="G121" s="55"/>
    </row>
    <row r="122" spans="1:7" x14ac:dyDescent="0.3">
      <c r="A122" s="2">
        <v>1</v>
      </c>
      <c r="C122" s="38" t="s">
        <v>55</v>
      </c>
      <c r="D122" s="40">
        <f>TRUNC(1479.15277253866,-1)</f>
        <v>1470</v>
      </c>
      <c r="E122" s="62">
        <f t="shared" ref="E122:E132" si="5">TRUNC(+D122*3.3058,-1)</f>
        <v>4850</v>
      </c>
    </row>
    <row r="123" spans="1:7" x14ac:dyDescent="0.3">
      <c r="A123" s="2">
        <v>2</v>
      </c>
      <c r="C123" s="38" t="s">
        <v>124</v>
      </c>
      <c r="D123" s="42">
        <f>TRUNC(3393.39419087137+5528.78310071671,-1)</f>
        <v>8920</v>
      </c>
      <c r="E123" s="63">
        <f t="shared" si="5"/>
        <v>29480</v>
      </c>
      <c r="F123" s="2" t="s">
        <v>260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f>TRUNC(4071.49327297875,-1)</f>
        <v>4070</v>
      </c>
      <c r="E125" s="63">
        <f t="shared" si="5"/>
        <v>13450</v>
      </c>
    </row>
    <row r="126" spans="1:7" x14ac:dyDescent="0.3">
      <c r="A126" s="2">
        <v>5</v>
      </c>
      <c r="C126" s="38" t="s">
        <v>53</v>
      </c>
      <c r="D126" s="42">
        <f>TRUNC(603.36602539922,-1)</f>
        <v>600</v>
      </c>
      <c r="E126" s="63">
        <f t="shared" si="5"/>
        <v>1980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5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5"/>
        <v>0</v>
      </c>
    </row>
    <row r="132" spans="1:7" ht="18" thickBot="1" x14ac:dyDescent="0.35">
      <c r="A132" s="2">
        <v>11</v>
      </c>
      <c r="C132" s="38" t="s">
        <v>47</v>
      </c>
      <c r="D132" s="43">
        <f>TRUNC(140.288318873381,-1)</f>
        <v>140</v>
      </c>
      <c r="E132" s="64">
        <f t="shared" si="5"/>
        <v>460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15200</v>
      </c>
      <c r="E133" s="39">
        <f>SUM(E122:E132)</f>
        <v>50220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244</v>
      </c>
      <c r="C135" s="56" t="s">
        <v>241</v>
      </c>
      <c r="D135" s="57" t="s">
        <v>234</v>
      </c>
      <c r="E135" s="57" t="s">
        <v>262</v>
      </c>
      <c r="G135" s="55"/>
    </row>
    <row r="136" spans="1:7" x14ac:dyDescent="0.3">
      <c r="A136" s="2">
        <v>1</v>
      </c>
      <c r="C136" s="38" t="s">
        <v>131</v>
      </c>
      <c r="D136" s="40">
        <f>TRUNC(5422.04677480196,-1)</f>
        <v>5420</v>
      </c>
      <c r="E136" s="62">
        <f t="shared" ref="E136:E145" si="6">TRUNC(+D136*3.3058,-1)</f>
        <v>17910</v>
      </c>
    </row>
    <row r="137" spans="1:7" x14ac:dyDescent="0.3">
      <c r="A137" s="2">
        <v>2</v>
      </c>
      <c r="C137" s="38" t="s">
        <v>47</v>
      </c>
      <c r="D137" s="42">
        <f>TRUNC(137.665157802087,-1)</f>
        <v>130</v>
      </c>
      <c r="E137" s="63">
        <f t="shared" si="6"/>
        <v>420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f>TRUNC(1939.94832138816,-1)</f>
        <v>1930</v>
      </c>
      <c r="E143" s="63">
        <f t="shared" si="6"/>
        <v>6380</v>
      </c>
    </row>
    <row r="144" spans="1:7" x14ac:dyDescent="0.3">
      <c r="A144" s="2">
        <v>9</v>
      </c>
      <c r="C144" s="38" t="s">
        <v>63</v>
      </c>
      <c r="D144" s="42">
        <f>TRUNC(3309.2523576009,-1)</f>
        <v>3300</v>
      </c>
      <c r="E144" s="63">
        <f t="shared" si="6"/>
        <v>10900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10780</v>
      </c>
      <c r="E146" s="39">
        <f>SUM(E136:E145)</f>
        <v>35610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245</v>
      </c>
      <c r="C148" s="56" t="s">
        <v>241</v>
      </c>
      <c r="D148" s="57" t="s">
        <v>234</v>
      </c>
      <c r="E148" s="57" t="s">
        <v>262</v>
      </c>
      <c r="G148" s="55"/>
    </row>
    <row r="149" spans="1:7" x14ac:dyDescent="0.3">
      <c r="A149" s="2">
        <v>1</v>
      </c>
      <c r="C149" s="38" t="s">
        <v>48</v>
      </c>
      <c r="D149" s="40">
        <f>TRUNC(9210.8276122218+1496.46284420973,-1)</f>
        <v>10700</v>
      </c>
      <c r="E149" s="62">
        <f>TRUNC(+D149*3.3058,-1)</f>
        <v>35370</v>
      </c>
    </row>
    <row r="150" spans="1:7" x14ac:dyDescent="0.3">
      <c r="A150" s="2">
        <v>2</v>
      </c>
      <c r="C150" s="38" t="s">
        <v>49</v>
      </c>
      <c r="D150" s="42">
        <f>TRUNC(13916.4139318496,-1)</f>
        <v>13910</v>
      </c>
      <c r="E150" s="63">
        <f>TRUNC(+D150*3.3058,-1)</f>
        <v>45980</v>
      </c>
      <c r="F150" s="2" t="s">
        <v>252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TRUNC(2652.31925059726+613.329058217025+3881.69168867094+8207.28982773796+771.345152772539+687.541053690431+182.997359486986+2084.64705142713+5594.16886709418+1723.92355086131+121.683892870615-11.1354205960015,-1)</f>
        <v>26500</v>
      </c>
      <c r="E152" s="63">
        <f>TRUNC(+D152*3.3058,-1)</f>
        <v>87600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51110</v>
      </c>
      <c r="E154" s="39">
        <f>SUM(E149:E153)</f>
        <v>168950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246</v>
      </c>
      <c r="C156" s="56" t="s">
        <v>241</v>
      </c>
      <c r="D156" s="57" t="s">
        <v>234</v>
      </c>
      <c r="E156" s="57" t="s">
        <v>262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2020-12-07T09:07:05Z</dcterms:modified>
</cp:coreProperties>
</file>