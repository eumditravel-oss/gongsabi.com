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38" i="4"/>
  <c r="E136" i="4"/>
  <c r="E129" i="4"/>
  <c r="E126" i="4"/>
  <c r="E125" i="4"/>
  <c r="E123" i="4"/>
  <c r="E116" i="4"/>
  <c r="E113" i="4"/>
  <c r="E112" i="4"/>
  <c r="E111" i="4"/>
  <c r="E110" i="4"/>
  <c r="E109" i="4"/>
  <c r="E107" i="4"/>
  <c r="E106" i="4"/>
  <c r="E103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4" i="4"/>
  <c r="E57" i="4"/>
  <c r="E56" i="4"/>
  <c r="E55" i="4"/>
  <c r="E54" i="4"/>
  <c r="E51" i="4"/>
  <c r="E47" i="4"/>
  <c r="E42" i="4"/>
  <c r="E37" i="4"/>
  <c r="D59" i="4" l="1"/>
  <c r="E59" i="4" s="1"/>
  <c r="D93" i="4"/>
  <c r="E93" i="4" s="1"/>
  <c r="D117" i="4"/>
  <c r="E117" i="4" s="1"/>
  <c r="D131" i="4"/>
  <c r="E131" i="4" s="1"/>
  <c r="D145" i="4"/>
  <c r="E145" i="4" s="1"/>
  <c r="D158" i="4" l="1"/>
  <c r="E158" i="4" s="1"/>
  <c r="D157" i="4"/>
  <c r="E157" i="4" s="1"/>
  <c r="D150" i="4"/>
  <c r="E150" i="4" s="1"/>
  <c r="D144" i="4"/>
  <c r="E144" i="4" s="1"/>
  <c r="D143" i="4"/>
  <c r="E143" i="4" s="1"/>
  <c r="D142" i="4"/>
  <c r="E142" i="4" s="1"/>
  <c r="D141" i="4"/>
  <c r="E141" i="4" s="1"/>
  <c r="D140" i="4"/>
  <c r="E140" i="4" s="1"/>
  <c r="D139" i="4"/>
  <c r="E139" i="4" s="1"/>
  <c r="D130" i="4"/>
  <c r="E130" i="4" s="1"/>
  <c r="D128" i="4"/>
  <c r="E128" i="4" s="1"/>
  <c r="D127" i="4"/>
  <c r="E127" i="4" s="1"/>
  <c r="D124" i="4"/>
  <c r="E124" i="4" s="1"/>
  <c r="D122" i="4"/>
  <c r="E122" i="4" s="1"/>
  <c r="D118" i="4"/>
  <c r="E118" i="4" s="1"/>
  <c r="D115" i="4"/>
  <c r="E115" i="4" s="1"/>
  <c r="D114" i="4"/>
  <c r="E114" i="4" s="1"/>
  <c r="D108" i="4"/>
  <c r="E108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E119" i="4" s="1"/>
  <c r="D98" i="4"/>
  <c r="E98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E69" i="4" s="1"/>
  <c r="D65" i="4"/>
  <c r="E65" i="4" s="1"/>
  <c r="D63" i="4"/>
  <c r="E63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E40" i="4" s="1"/>
  <c r="E60" i="4" s="1"/>
  <c r="D159" i="4"/>
  <c r="E159" i="4" s="1"/>
  <c r="D152" i="4"/>
  <c r="E152" i="4" s="1"/>
  <c r="D149" i="4"/>
  <c r="E149" i="4" s="1"/>
  <c r="E154" i="4" s="1"/>
  <c r="D137" i="4"/>
  <c r="E137" i="4" s="1"/>
  <c r="E146" i="4" s="1"/>
  <c r="D132" i="4"/>
  <c r="E132" i="4" s="1"/>
  <c r="D94" i="4"/>
  <c r="E94" i="4" s="1"/>
  <c r="D58" i="4"/>
  <c r="E58" i="4" s="1"/>
  <c r="E95" i="4" l="1"/>
  <c r="E133" i="4"/>
  <c r="E161" i="4"/>
  <c r="E66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<sst xmlns="http://schemas.openxmlformats.org/spreadsheetml/2006/main" count="393" uniqueCount="268">
  <si>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</si>
  <si>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</si>
  <si>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</si>
  <si>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</si>
  <si>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</si>
  <si>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</si>
  <si>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</si>
  <si>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</si>
  <si>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</si>
  <si>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</si>
  <si>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</si>
  <si>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</si>
  <si>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</si>
  <si>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</si>
  <si>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</si>
  <si>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</si>
  <si>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</si>
  <si>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</si>
  <si>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</si>
  <si>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</si>
  <si>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</si>
  <si>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</si>
  <si>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</si>
  <si>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</si>
  <si>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</si>
  <si>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</si>
  <si>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</si>
  <si>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</si>
  <si>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</si>
  <si>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</si>
  <si>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</si>
  <si>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</si>
  <si>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</si>
  <si>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</si>
  <si>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</si>
  <si>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</si>
  <si>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</si>
  <si>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</si>
  <si>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</si>
  <si>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</si>
  <si>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</si>
  <si>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</si>
  <si>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</si>
  <si>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</si>
  <si>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</si>
  <si>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</si>
  <si>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</si>
  <si>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</si>
  <si>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</si>
  <si>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</si>
  <si>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</si>
  <si>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</si>
  <si>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</si>
  <si>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</si>
  <si>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</si>
  <si>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</si>
  <si>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</si>
  <si>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</si>
  <si>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</si>
  <si>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</si>
  <si>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</si>
  <si>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</si>
  <si>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</si>
  <si>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</si>
  <si>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</si>
  <si>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</si>
  <si>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</si>
  <si>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</si>
  <si>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</si>
  <si>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</si>
  <si>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</si>
  <si>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</si>
  <si>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</si>
  <si>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</si>
  <si>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</si>
  <si>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</si>
  <si>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</si>
  <si>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</si>
  <si>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</si>
  <si>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</si>
  <si>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</si>
  <si>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</si>
  <si>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</si>
  <si>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</si>
  <si>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</si>
  <si>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</si>
  <si>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</si>
  <si>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</si>
  <si>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</si>
  <si>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</si>
  <si>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</si>
  <si>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</si>
  <si>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</si>
  <si>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</si>
  <si>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</si>
  <si>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</si>
  <si>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</si>
  <si>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</si>
  <si>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</si>
  <si>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</si>
  <si>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</si>
  <si>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</si>
  <si>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</si>
  <si>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</si>
  <si>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</si>
  <si>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</si>
  <si>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</si>
  <si>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</si>
  <si>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</si>
  <si>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</si>
  <si>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</si>
  <si>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</si>
  <si>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</si>
  <si>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</si>
  <si>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</si>
  <si>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</si>
  <si>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</si>
  <si>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</si>
  <si>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</si>
  <si>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</si>
  <si>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</si>
  <si>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</si>
  <si>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</si>
  <si>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</si>
  <si>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</si>
  <si>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</si>
  <si>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</si>
  <si>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</si>
  <si>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</si>
  <si>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</si>
  <si>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</si>
  <si>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</si>
  <si>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</si>
  <si>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</si>
  <si>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</si>
  <si>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</si>
  <si>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</si>
  <si>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</si>
  <si>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</si>
  <si>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</si>
  <si>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</si>
  <si>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</si>
  <si>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</si>
  <si>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</si>
  <si>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</si>
  <si>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</si>
  <si>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</si>
  <si>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</si>
  <si>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</si>
  <si>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</si>
  <si>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</si>
  <si>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</si>
  <si>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</si>
  <si>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</si>
  <si>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</si>
  <si>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</si>
  <si>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</si>
  <si>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</si>
  <si>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</si>
  <si>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</si>
  <si>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</si>
  <si>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</si>
  <si>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</si>
  <si>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</si>
  <si>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</si>
  <si>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</si>
  <si>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</si>
  <si>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</si>
  <si>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</si>
  <si>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</si>
  <si>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</si>
  <si>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</si>
  <si>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</si>
  <si>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</si>
  <si>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</si>
  <si>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</si>
  <si>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</si>
  <si>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</si>
  <si>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</si>
  <si>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</si>
  <si>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</si>
  <si>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</si>
  <si>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</si>
  <si>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</si>
  <si>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</si>
  <si>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</si>
  <si>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</si>
  <si>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</si>
  <si>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</si>
  <si>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</si>
  <si>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</si>
  <si>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</si>
  <si>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</si>
  <si>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</si>
  <si>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</si>
  <si>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</si>
  <si>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</si>
  <si>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</si>
  <si>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</si>
  <si>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</si>
  <si>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</si>
  <si>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</si>
  <si>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</si>
  <si>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</si>
  <si>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</si>
  <si>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</si>
  <si>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</si>
  <si>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</si>
  <si>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</si>
  <si>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</si>
  <si>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</si>
  <si>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</si>
  <si>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</si>
  <si>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</si>
  <si>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</si>
  <si>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</si>
  <si>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</si>
  <si>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</si>
  <si>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</si>
  <si>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</si>
  <si>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</si>
  <si>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</si>
  <si>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</si>
  <si>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</si>
  <si>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</si>
  <si>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</si>
  <si>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</si>
  <si>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</si>
  <si>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</si>
  <si>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</si>
  <si>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</si>
  <si>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</si>
  <si>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</si>
  <si>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</si>
  <si>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</si>
  <si>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</si>
  <si>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</si>
  <si>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</si>
  <si>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</si>
  <si>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</si>
  <si>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</si>
  <si>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</si>
  <si>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</si>
  <si>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</si>
  <si>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</si>
  <si>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</si>
  <si>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</si>
  <si>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</si>
  <si>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서울</t>
  </si>
  <si>
    <t>지붕및홈통공사 포함</t>
    <phoneticPr fontId="2" type="noConversion"/>
  </si>
  <si>
    <t>목공사및수장공사(인테리어공사 포함)</t>
    <phoneticPr fontId="2" type="noConversion"/>
  </si>
  <si>
    <t>한국고전번역원 청사이전 신축사업</t>
    <phoneticPr fontId="2" type="noConversion"/>
  </si>
  <si>
    <t>창호및유리공사</t>
    <phoneticPr fontId="2" type="noConversion"/>
  </si>
  <si>
    <t>골재비및운반비,작업부산물,기타공사</t>
    <phoneticPr fontId="2" type="noConversion"/>
  </si>
  <si>
    <t>공조배관공사,기타공사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</si>
  <si>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</si>
  <si>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</si>
  <si>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</si>
  <si>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펌프실배관공사,옥외소화배관공사</t>
    <phoneticPr fontId="2" type="noConversion"/>
  </si>
  <si>
    <t>우수공사,오수공사</t>
    <phoneticPr fontId="2" type="noConversion"/>
  </si>
  <si>
    <t>상수도공사,운반비,기타공사</t>
    <phoneticPr fontId="2" type="noConversion"/>
  </si>
  <si>
    <t>포장공사,기타공사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</si>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</sst>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7510.72</v>
      </c>
      <c r="D7" s="36">
        <f>+C7/3.3058</f>
        <v>2271.9825760784079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262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726670</v>
      </c>
      <c r="E25" s="59">
        <f t="shared" si="0"/>
        <v>2402220</v>
      </c>
    </row>
    <row r="26" spans="1:5" x14ac:dyDescent="0.3">
      <c r="B26" s="2">
        <v>3</v>
      </c>
      <c r="C26" s="35" t="s">
        <v>95</v>
      </c>
      <c r="D26" s="45">
        <f>+D66</f>
        <v>35730</v>
      </c>
      <c r="E26" s="59">
        <f t="shared" si="0"/>
        <v>118110</v>
      </c>
    </row>
    <row r="27" spans="1:5" x14ac:dyDescent="0.3">
      <c r="B27" s="2">
        <v>4</v>
      </c>
      <c r="C27" s="35" t="s">
        <v>96</v>
      </c>
      <c r="D27" s="45">
        <f>+D95</f>
        <v>262940</v>
      </c>
      <c r="E27" s="59">
        <f t="shared" si="0"/>
        <v>869220</v>
      </c>
    </row>
    <row r="28" spans="1:5" x14ac:dyDescent="0.3">
      <c r="B28" s="2">
        <v>5</v>
      </c>
      <c r="C28" s="35" t="s">
        <v>97</v>
      </c>
      <c r="D28" s="45">
        <f>+D119</f>
        <v>185180</v>
      </c>
      <c r="E28" s="59">
        <f t="shared" si="0"/>
        <v>612160</v>
      </c>
    </row>
    <row r="29" spans="1:5" x14ac:dyDescent="0.3">
      <c r="B29" s="2">
        <v>6</v>
      </c>
      <c r="C29" s="35" t="s">
        <v>98</v>
      </c>
      <c r="D29" s="45">
        <f>+D133</f>
        <v>94440</v>
      </c>
      <c r="E29" s="59">
        <f t="shared" si="0"/>
        <v>312190</v>
      </c>
    </row>
    <row r="30" spans="1:5" x14ac:dyDescent="0.3">
      <c r="B30" s="2">
        <v>7</v>
      </c>
      <c r="C30" s="35" t="s">
        <v>99</v>
      </c>
      <c r="D30" s="45">
        <f>+D146</f>
        <v>41180</v>
      </c>
      <c r="E30" s="59">
        <f t="shared" si="0"/>
        <v>136130</v>
      </c>
    </row>
    <row r="31" spans="1:5" x14ac:dyDescent="0.3">
      <c r="B31" s="2">
        <v>8</v>
      </c>
      <c r="C31" s="35" t="s">
        <v>100</v>
      </c>
      <c r="D31" s="45">
        <f>+D154</f>
        <v>7430</v>
      </c>
      <c r="E31" s="59">
        <f t="shared" si="0"/>
        <v>24560</v>
      </c>
    </row>
    <row r="32" spans="1:5" x14ac:dyDescent="0.3">
      <c r="B32" s="2">
        <v>9</v>
      </c>
      <c r="C32" s="35" t="s">
        <v>101</v>
      </c>
      <c r="D32" s="45">
        <f>+D161</f>
        <v>20110</v>
      </c>
      <c r="E32" s="59">
        <f t="shared" si="0"/>
        <v>66470</v>
      </c>
    </row>
    <row r="33" spans="1:7" x14ac:dyDescent="0.3">
      <c r="B33" s="2">
        <v>10</v>
      </c>
      <c r="C33" s="35" t="s">
        <v>153</v>
      </c>
      <c r="D33" s="53">
        <f>TRUNC(SUM(D24:D32)*0.275,-1)</f>
        <v>377760</v>
      </c>
      <c r="E33" s="60">
        <f t="shared" si="0"/>
        <v>1248790</v>
      </c>
    </row>
    <row r="34" spans="1:7" x14ac:dyDescent="0.3">
      <c r="C34" s="35" t="s">
        <v>112</v>
      </c>
      <c r="D34" s="44">
        <f>SUM(D24:D33)</f>
        <v>1751440</v>
      </c>
      <c r="E34" s="44">
        <f>SUM(E24:E33)</f>
        <v>5789850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262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TRUNC(53131,-1)</f>
        <v>53130</v>
      </c>
      <c r="E40" s="62">
        <f t="shared" ref="E40:E59" si="1">TRUNC(+D40*3.3058,-1)</f>
        <v>175630</v>
      </c>
    </row>
    <row r="41" spans="1:7" x14ac:dyDescent="0.3">
      <c r="A41" s="2">
        <v>2</v>
      </c>
      <c r="C41" s="38" t="s">
        <v>13</v>
      </c>
      <c r="D41" s="42">
        <f>TRUNC(163363,-1)</f>
        <v>163360</v>
      </c>
      <c r="E41" s="63">
        <f t="shared" si="1"/>
        <v>540030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TRUNC(18360,-1)</f>
        <v>18360</v>
      </c>
      <c r="E43" s="63">
        <f t="shared" si="1"/>
        <v>60690</v>
      </c>
    </row>
    <row r="44" spans="1:7" x14ac:dyDescent="0.3">
      <c r="A44" s="2">
        <v>5</v>
      </c>
      <c r="C44" s="38" t="s">
        <v>17</v>
      </c>
      <c r="D44" s="42">
        <f>TRUNC(23485,-1)</f>
        <v>23480</v>
      </c>
      <c r="E44" s="63">
        <f t="shared" si="1"/>
        <v>77620</v>
      </c>
    </row>
    <row r="45" spans="1:7" x14ac:dyDescent="0.3">
      <c r="A45" s="2">
        <v>6</v>
      </c>
      <c r="C45" s="38" t="s">
        <v>18</v>
      </c>
      <c r="D45" s="42">
        <f>TRUNC(9865,-1)</f>
        <v>9860</v>
      </c>
      <c r="E45" s="63">
        <f t="shared" si="1"/>
        <v>32590</v>
      </c>
    </row>
    <row r="46" spans="1:7" x14ac:dyDescent="0.3">
      <c r="A46" s="2">
        <v>7</v>
      </c>
      <c r="C46" s="38" t="s">
        <v>19</v>
      </c>
      <c r="D46" s="42">
        <f>TRUNC(57492,-1)</f>
        <v>57490</v>
      </c>
      <c r="E46" s="63">
        <f t="shared" si="1"/>
        <v>190050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TRUNC(36482,-1)</f>
        <v>36480</v>
      </c>
      <c r="E48" s="63">
        <f t="shared" si="1"/>
        <v>120590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TRUNC(4752,-1)</f>
        <v>4750</v>
      </c>
      <c r="E49" s="63">
        <f t="shared" si="1"/>
        <v>15700</v>
      </c>
    </row>
    <row r="50" spans="1:7" x14ac:dyDescent="0.3">
      <c r="A50" s="2">
        <v>11</v>
      </c>
      <c r="C50" s="38" t="s">
        <v>154</v>
      </c>
      <c r="D50" s="42">
        <f>TRUNC(40906,-1)</f>
        <v>40900</v>
      </c>
      <c r="E50" s="63">
        <f t="shared" si="1"/>
        <v>135200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TRUNC(13069,-1)</f>
        <v>13060</v>
      </c>
      <c r="E52" s="63">
        <f t="shared" si="1"/>
        <v>43170</v>
      </c>
    </row>
    <row r="53" spans="1:7" x14ac:dyDescent="0.3">
      <c r="A53" s="2">
        <v>14</v>
      </c>
      <c r="C53" s="38" t="s">
        <v>25</v>
      </c>
      <c r="D53" s="42">
        <f>TRUNC(88278,-1)</f>
        <v>88270</v>
      </c>
      <c r="E53" s="63">
        <f t="shared" si="1"/>
        <v>291800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TRUNC(3020-509+3560,-1)</f>
        <v>6070</v>
      </c>
      <c r="E58" s="63">
        <f t="shared" si="1"/>
        <v>20060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TRUNC(211466,-1)</f>
        <v>211460</v>
      </c>
      <c r="E59" s="64">
        <f t="shared" si="1"/>
        <v>699040</v>
      </c>
    </row>
    <row r="60" spans="1:7" x14ac:dyDescent="0.3">
      <c r="A60" s="2">
        <v>21</v>
      </c>
      <c r="C60" s="27" t="s">
        <v>112</v>
      </c>
      <c r="D60" s="39">
        <f>SUM(D40:D59)</f>
        <v>726670</v>
      </c>
      <c r="E60" s="39">
        <f>SUM(E40:E59)</f>
        <v>2402170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262</v>
      </c>
      <c r="G62" s="55"/>
    </row>
    <row r="63" spans="1:7" x14ac:dyDescent="0.3">
      <c r="A63" s="2">
        <v>1</v>
      </c>
      <c r="C63" s="38" t="s">
        <v>27</v>
      </c>
      <c r="D63" s="40">
        <f>TRUNC(1380,-1)</f>
        <v>1380</v>
      </c>
      <c r="E63" s="62">
        <f>TRUNC(+D63*3.3058,-1)</f>
        <v>4560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TRUNC(34359,-1)</f>
        <v>34350</v>
      </c>
      <c r="E65" s="64">
        <f>TRUNC(+D65*3.3058,-1)</f>
        <v>113550</v>
      </c>
    </row>
    <row r="66" spans="1:7" x14ac:dyDescent="0.3">
      <c r="A66" s="2">
        <v>4</v>
      </c>
      <c r="C66" s="27" t="s">
        <v>112</v>
      </c>
      <c r="D66" s="39">
        <f>SUM(D63:D65)</f>
        <v>35730</v>
      </c>
      <c r="E66" s="65">
        <f>SUM(E63:E65)</f>
        <v>118110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262</v>
      </c>
      <c r="G68" s="55"/>
    </row>
    <row r="69" spans="1:7" x14ac:dyDescent="0.3">
      <c r="A69" s="2">
        <v>1</v>
      </c>
      <c r="C69" s="38" t="s">
        <v>30</v>
      </c>
      <c r="D69" s="40">
        <f>TRUNC(11995,-1)</f>
        <v>11990</v>
      </c>
      <c r="E69" s="62">
        <f t="shared" ref="E69:E94" si="2">TRUNC(+D69*3.3058,-1)</f>
        <v>39630</v>
      </c>
    </row>
    <row r="70" spans="1:7" ht="16.5" customHeight="1" x14ac:dyDescent="0.3">
      <c r="A70" s="2">
        <v>2</v>
      </c>
      <c r="C70" s="38" t="s">
        <v>31</v>
      </c>
      <c r="D70" s="42">
        <f>TRUNC(127,-1)</f>
        <v>120</v>
      </c>
      <c r="E70" s="63">
        <f t="shared" si="2"/>
        <v>390</v>
      </c>
    </row>
    <row r="71" spans="1:7" x14ac:dyDescent="0.3">
      <c r="A71" s="2">
        <v>3</v>
      </c>
      <c r="C71" s="38" t="s">
        <v>32</v>
      </c>
      <c r="D71" s="42">
        <f>TRUNC(7180,-1)</f>
        <v>7180</v>
      </c>
      <c r="E71" s="63">
        <f t="shared" si="2"/>
        <v>23730</v>
      </c>
    </row>
    <row r="72" spans="1:7" x14ac:dyDescent="0.3">
      <c r="A72" s="2">
        <v>4</v>
      </c>
      <c r="C72" s="38" t="s">
        <v>33</v>
      </c>
      <c r="D72" s="42">
        <f>TRUNC(2837,-1)</f>
        <v>2830</v>
      </c>
      <c r="E72" s="63">
        <f t="shared" si="2"/>
        <v>9350</v>
      </c>
    </row>
    <row r="73" spans="1:7" x14ac:dyDescent="0.3">
      <c r="A73" s="2">
        <v>5</v>
      </c>
      <c r="C73" s="38" t="s">
        <v>34</v>
      </c>
      <c r="D73" s="42">
        <f>TRUNC(7157,-1)</f>
        <v>7150</v>
      </c>
      <c r="E73" s="63">
        <f t="shared" si="2"/>
        <v>23630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TRUNC(131,-1)</f>
        <v>130</v>
      </c>
      <c r="E75" s="63">
        <f t="shared" si="2"/>
        <v>420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TRUNC(5684,-1)</f>
        <v>5680</v>
      </c>
      <c r="E89" s="63">
        <f t="shared" si="2"/>
        <v>18770</v>
      </c>
    </row>
    <row r="90" spans="1:7" x14ac:dyDescent="0.3">
      <c r="A90" s="2">
        <v>22</v>
      </c>
      <c r="C90" s="38" t="s">
        <v>36</v>
      </c>
      <c r="D90" s="42">
        <f>TRUNC(1592,-1)</f>
        <v>1590</v>
      </c>
      <c r="E90" s="63">
        <f t="shared" si="2"/>
        <v>5250</v>
      </c>
    </row>
    <row r="91" spans="1:7" x14ac:dyDescent="0.3">
      <c r="A91" s="2">
        <v>23</v>
      </c>
      <c r="C91" s="38" t="s">
        <v>37</v>
      </c>
      <c r="D91" s="42">
        <f>TRUNC(7498,-1)</f>
        <v>7490</v>
      </c>
      <c r="E91" s="63">
        <f t="shared" si="2"/>
        <v>24760</v>
      </c>
    </row>
    <row r="92" spans="1:7" x14ac:dyDescent="0.3">
      <c r="A92" s="2">
        <v>24</v>
      </c>
      <c r="C92" s="38" t="s">
        <v>38</v>
      </c>
      <c r="D92" s="42">
        <f>TRUNC(4657,-1)</f>
        <v>4650</v>
      </c>
      <c r="E92" s="63">
        <f t="shared" si="2"/>
        <v>15370</v>
      </c>
    </row>
    <row r="93" spans="1:7" x14ac:dyDescent="0.3">
      <c r="A93" s="2">
        <v>25</v>
      </c>
      <c r="C93" s="38" t="s">
        <v>148</v>
      </c>
      <c r="D93" s="42">
        <f>TRUNC(189973,-1)</f>
        <v>189970</v>
      </c>
      <c r="E93" s="63">
        <f t="shared" si="2"/>
        <v>628000</v>
      </c>
    </row>
    <row r="94" spans="1:7" ht="17.25" thickBot="1" x14ac:dyDescent="0.35">
      <c r="A94" s="2">
        <v>26</v>
      </c>
      <c r="C94" s="38" t="s">
        <v>47</v>
      </c>
      <c r="D94" s="43">
        <f>TRUNC(23233+935,-1)</f>
        <v>24160</v>
      </c>
      <c r="E94" s="64">
        <f t="shared" si="2"/>
        <v>79860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262940</v>
      </c>
      <c r="E95" s="39">
        <f>SUM(E69:E94)</f>
        <v>869160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262</v>
      </c>
      <c r="G97" s="55"/>
    </row>
    <row r="98" spans="1:7" x14ac:dyDescent="0.3">
      <c r="A98" s="2">
        <v>1</v>
      </c>
      <c r="C98" s="38" t="s">
        <v>39</v>
      </c>
      <c r="D98" s="40">
        <f>TRUNC(7409,-1)</f>
        <v>7400</v>
      </c>
      <c r="E98" s="62">
        <f t="shared" ref="E98:E118" si="3">TRUNC(+D98*3.3058,-1)</f>
        <v>24460</v>
      </c>
    </row>
    <row r="99" spans="1:7" x14ac:dyDescent="0.3">
      <c r="A99" s="2">
        <v>2</v>
      </c>
      <c r="C99" s="38" t="s">
        <v>40</v>
      </c>
      <c r="D99" s="42">
        <f>TRUNC(9563,-1)</f>
        <v>9560</v>
      </c>
      <c r="E99" s="63">
        <f t="shared" si="3"/>
        <v>31600</v>
      </c>
    </row>
    <row r="100" spans="1:7" x14ac:dyDescent="0.3">
      <c r="A100" s="2">
        <v>3</v>
      </c>
      <c r="C100" s="38" t="s">
        <v>41</v>
      </c>
      <c r="D100" s="42">
        <f>TRUNC(30642,-1)</f>
        <v>30640</v>
      </c>
      <c r="E100" s="63">
        <f t="shared" si="3"/>
        <v>101280</v>
      </c>
    </row>
    <row r="101" spans="1:7" x14ac:dyDescent="0.3">
      <c r="A101" s="2">
        <v>4</v>
      </c>
      <c r="C101" s="38" t="s">
        <v>42</v>
      </c>
      <c r="D101" s="42">
        <f>TRUNC(391,-1)</f>
        <v>390</v>
      </c>
      <c r="E101" s="63">
        <f t="shared" si="3"/>
        <v>1280</v>
      </c>
    </row>
    <row r="102" spans="1:7" x14ac:dyDescent="0.3">
      <c r="A102" s="2">
        <v>5</v>
      </c>
      <c r="C102" s="38" t="s">
        <v>43</v>
      </c>
      <c r="D102" s="42">
        <f>TRUNC(13435,-1)</f>
        <v>13430</v>
      </c>
      <c r="E102" s="63">
        <f t="shared" si="3"/>
        <v>44390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TRUNC(6828,-1)</f>
        <v>6820</v>
      </c>
      <c r="E104" s="63">
        <f t="shared" si="3"/>
        <v>22540</v>
      </c>
    </row>
    <row r="105" spans="1:7" x14ac:dyDescent="0.3">
      <c r="A105" s="2">
        <v>8</v>
      </c>
      <c r="C105" s="38" t="s">
        <v>46</v>
      </c>
      <c r="D105" s="42">
        <f>TRUNC(4212,-1)</f>
        <v>4210</v>
      </c>
      <c r="E105" s="63">
        <f t="shared" si="3"/>
        <v>13910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TRUNC(6067,-1)</f>
        <v>6060</v>
      </c>
      <c r="E108" s="63">
        <f t="shared" si="3"/>
        <v>20030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TRUNC(3223,-1)</f>
        <v>3220</v>
      </c>
      <c r="E114" s="63">
        <f t="shared" si="3"/>
        <v>10640</v>
      </c>
    </row>
    <row r="115" spans="1:7" x14ac:dyDescent="0.3">
      <c r="A115" s="2">
        <v>18</v>
      </c>
      <c r="C115" s="38" t="s">
        <v>116</v>
      </c>
      <c r="D115" s="42">
        <f>TRUNC(4237,-1)</f>
        <v>4230</v>
      </c>
      <c r="E115" s="63">
        <f t="shared" si="3"/>
        <v>13980</v>
      </c>
      <c r="F115" s="2" t="s">
        <v>255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TRUNC(98451,-1)</f>
        <v>98450</v>
      </c>
      <c r="E117" s="63">
        <f t="shared" si="3"/>
        <v>325450</v>
      </c>
    </row>
    <row r="118" spans="1:7" ht="17.25" thickBot="1" x14ac:dyDescent="0.35">
      <c r="A118" s="2">
        <v>21</v>
      </c>
      <c r="C118" s="38" t="s">
        <v>47</v>
      </c>
      <c r="D118" s="43">
        <f>TRUNC(777,-1)</f>
        <v>770</v>
      </c>
      <c r="E118" s="64">
        <f t="shared" si="3"/>
        <v>2540</v>
      </c>
    </row>
    <row r="119" spans="1:7" x14ac:dyDescent="0.3">
      <c r="A119" s="2">
        <v>22</v>
      </c>
      <c r="C119" s="27" t="s">
        <v>112</v>
      </c>
      <c r="D119" s="39">
        <f>SUM(D98:D118)</f>
        <v>185180</v>
      </c>
      <c r="E119" s="39">
        <f>SUM(E98:E118)</f>
        <v>612100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262</v>
      </c>
      <c r="G121" s="55"/>
    </row>
    <row r="122" spans="1:7" x14ac:dyDescent="0.3">
      <c r="A122" s="2">
        <v>1</v>
      </c>
      <c r="C122" s="38" t="s">
        <v>55</v>
      </c>
      <c r="D122" s="40">
        <f>TRUNC(2581,-1)</f>
        <v>2580</v>
      </c>
      <c r="E122" s="62">
        <f t="shared" ref="E122:E132" si="4">TRUNC(+D122*3.3058,-1)</f>
        <v>8520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TRUNC(7965,-1)</f>
        <v>7960</v>
      </c>
      <c r="E124" s="63">
        <f t="shared" si="4"/>
        <v>26310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TRUNC(417,-1)</f>
        <v>410</v>
      </c>
      <c r="E127" s="63">
        <f t="shared" si="4"/>
        <v>1350</v>
      </c>
    </row>
    <row r="128" spans="1:7" x14ac:dyDescent="0.3">
      <c r="A128" s="2">
        <v>7</v>
      </c>
      <c r="C128" s="38" t="s">
        <v>46</v>
      </c>
      <c r="D128" s="42">
        <f>TRUNC(6795,-1)</f>
        <v>6790</v>
      </c>
      <c r="E128" s="63">
        <f t="shared" si="4"/>
        <v>22440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TRUNC(21891,-1)</f>
        <v>21890</v>
      </c>
      <c r="E130" s="63">
        <f t="shared" si="4"/>
        <v>72360</v>
      </c>
    </row>
    <row r="131" spans="1:7" x14ac:dyDescent="0.3">
      <c r="A131" s="2">
        <v>10</v>
      </c>
      <c r="C131" s="38" t="s">
        <v>148</v>
      </c>
      <c r="D131" s="42">
        <f>TRUNC(54435,-1)</f>
        <v>54430</v>
      </c>
      <c r="E131" s="63">
        <f t="shared" si="4"/>
        <v>179930</v>
      </c>
    </row>
    <row r="132" spans="1:7" ht="18" thickBot="1" x14ac:dyDescent="0.35">
      <c r="A132" s="2">
        <v>11</v>
      </c>
      <c r="C132" s="38" t="s">
        <v>47</v>
      </c>
      <c r="D132" s="43">
        <f>TRUNC(312+74,-1)</f>
        <v>380</v>
      </c>
      <c r="E132" s="64">
        <f t="shared" si="4"/>
        <v>1250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94440</v>
      </c>
      <c r="E133" s="39">
        <f>SUM(E122:E132)</f>
        <v>312160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262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TRUNC(2734+161,-1)</f>
        <v>2890</v>
      </c>
      <c r="E137" s="63">
        <f t="shared" si="5"/>
        <v>9550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TRUNC(1698,-1)</f>
        <v>1690</v>
      </c>
      <c r="E139" s="63">
        <f t="shared" si="5"/>
        <v>5580</v>
      </c>
    </row>
    <row r="140" spans="1:7" x14ac:dyDescent="0.3">
      <c r="A140" s="2">
        <v>5</v>
      </c>
      <c r="C140" s="38" t="s">
        <v>57</v>
      </c>
      <c r="D140" s="42">
        <f>TRUNC(1734,-1)</f>
        <v>1730</v>
      </c>
      <c r="E140" s="63">
        <f t="shared" si="5"/>
        <v>5710</v>
      </c>
    </row>
    <row r="141" spans="1:7" x14ac:dyDescent="0.3">
      <c r="A141" s="2">
        <v>6</v>
      </c>
      <c r="C141" s="38" t="s">
        <v>59</v>
      </c>
      <c r="D141" s="42">
        <f>TRUNC(4575,-1)</f>
        <v>4570</v>
      </c>
      <c r="E141" s="63">
        <f t="shared" si="5"/>
        <v>15100</v>
      </c>
    </row>
    <row r="142" spans="1:7" x14ac:dyDescent="0.3">
      <c r="A142" s="2">
        <v>7</v>
      </c>
      <c r="C142" s="38" t="s">
        <v>58</v>
      </c>
      <c r="D142" s="42">
        <f>TRUNC(4782,-1)</f>
        <v>4780</v>
      </c>
      <c r="E142" s="63">
        <f t="shared" si="5"/>
        <v>15800</v>
      </c>
    </row>
    <row r="143" spans="1:7" x14ac:dyDescent="0.3">
      <c r="A143" s="2">
        <v>8</v>
      </c>
      <c r="C143" s="38" t="s">
        <v>62</v>
      </c>
      <c r="D143" s="42">
        <f>TRUNC(6235,-1)</f>
        <v>6230</v>
      </c>
      <c r="E143" s="63">
        <f t="shared" si="5"/>
        <v>20590</v>
      </c>
    </row>
    <row r="144" spans="1:7" x14ac:dyDescent="0.3">
      <c r="A144" s="2">
        <v>9</v>
      </c>
      <c r="C144" s="38" t="s">
        <v>63</v>
      </c>
      <c r="D144" s="42">
        <f>TRUNC(17221,-1)</f>
        <v>17220</v>
      </c>
      <c r="E144" s="63">
        <f t="shared" si="5"/>
        <v>56920</v>
      </c>
    </row>
    <row r="145" spans="1:7" ht="17.25" thickBot="1" x14ac:dyDescent="0.35">
      <c r="A145" s="2">
        <v>10</v>
      </c>
      <c r="C145" s="38" t="s">
        <v>148</v>
      </c>
      <c r="D145" s="43">
        <f>TRUNC(2072,-1)</f>
        <v>2070</v>
      </c>
      <c r="E145" s="64">
        <f t="shared" si="5"/>
        <v>6840</v>
      </c>
    </row>
    <row r="146" spans="1:7" x14ac:dyDescent="0.3">
      <c r="A146" s="2">
        <v>11</v>
      </c>
      <c r="C146" s="27" t="s">
        <v>112</v>
      </c>
      <c r="D146" s="39">
        <f>SUM(D136:D145)</f>
        <v>41180</v>
      </c>
      <c r="E146" s="39">
        <f>SUM(E136:E145)</f>
        <v>136090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262</v>
      </c>
      <c r="G148" s="55"/>
    </row>
    <row r="149" spans="1:7" x14ac:dyDescent="0.3">
      <c r="A149" s="2">
        <v>1</v>
      </c>
      <c r="C149" s="38" t="s">
        <v>48</v>
      </c>
      <c r="D149" s="40">
        <f>TRUNC(3353+334,-1)</f>
        <v>3680</v>
      </c>
      <c r="E149" s="62">
        <f>TRUNC(+D149*3.3058,-1)</f>
        <v>12160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TRUNC(1777,-1)</f>
        <v>1770</v>
      </c>
      <c r="E150" s="63">
        <f>TRUNC(+D150*3.3058,-1)</f>
        <v>5850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TRUNC(241+309+1434,-1)</f>
        <v>1980</v>
      </c>
      <c r="E152" s="63">
        <f>TRUNC(+D152*3.3058,-1)</f>
        <v>6540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7430</v>
      </c>
      <c r="E154" s="39">
        <f>SUM(E149:E153)</f>
        <v>24550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262</v>
      </c>
      <c r="G156" s="55"/>
    </row>
    <row r="157" spans="1:7" x14ac:dyDescent="0.3">
      <c r="A157" s="2">
        <v>1</v>
      </c>
      <c r="C157" s="38" t="s">
        <v>51</v>
      </c>
      <c r="D157" s="40">
        <f>TRUNC(11170,-1)</f>
        <v>11170</v>
      </c>
      <c r="E157" s="62">
        <f>TRUNC(+D157*3.3058,-1)</f>
        <v>36920</v>
      </c>
    </row>
    <row r="158" spans="1:7" x14ac:dyDescent="0.3">
      <c r="A158" s="2">
        <v>2</v>
      </c>
      <c r="C158" s="38" t="s">
        <v>52</v>
      </c>
      <c r="D158" s="42">
        <f>TRUNC(3717,-1)</f>
        <v>3710</v>
      </c>
      <c r="E158" s="63">
        <f>TRUNC(+D158*3.3058,-1)</f>
        <v>12260</v>
      </c>
    </row>
    <row r="159" spans="1:7" x14ac:dyDescent="0.3">
      <c r="A159" s="2">
        <v>3</v>
      </c>
      <c r="C159" s="38" t="s">
        <v>47</v>
      </c>
      <c r="D159" s="42">
        <f>TRUNC(3442+1795,-1)</f>
        <v>5230</v>
      </c>
      <c r="E159" s="63">
        <f>TRUNC(+D159*3.3058,-1)</f>
        <v>17280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20110</v>
      </c>
      <c r="E161" s="39">
        <f>SUM(E157:E160)</f>
        <v>66460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2020-12-08T01:19:38Z</dcterms:modified>
</cp:coreProperties>
</file>