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0" i="4"/>
  <c r="D149" i="4"/>
  <c r="D144" i="4"/>
  <c r="D143" i="4"/>
  <c r="D142" i="4"/>
  <c r="D141" i="4"/>
  <c r="D140" i="4"/>
  <c r="D139" i="4"/>
  <c r="D138" i="4"/>
  <c r="D137" i="4"/>
  <c r="D132" i="4"/>
  <c r="D130" i="4"/>
  <c r="D128" i="4"/>
  <c r="D127" i="4"/>
  <c r="D125" i="4"/>
  <c r="D124" i="4"/>
  <c r="D114" i="4"/>
  <c r="D116" i="4"/>
  <c r="D118" i="4"/>
  <c r="D105" i="4"/>
  <c r="D104" i="4"/>
  <c r="D103" i="4"/>
  <c r="D102" i="4"/>
  <c r="D101" i="4"/>
  <c r="D100" i="4"/>
  <c r="D99" i="4"/>
  <c r="D98" i="4"/>
  <c r="D92" i="4"/>
  <c r="D91" i="4"/>
  <c r="D90" i="4"/>
  <c r="D89" i="4"/>
  <c r="D75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60" i="4"/>
  <c r="D153" i="4"/>
  <c r="D145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<sst xmlns="http://schemas.openxmlformats.org/spreadsheetml/2006/main" count="394" uniqueCount="269">
  <si>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</si>
  <si>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</si>
  <si>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</si>
  <si>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</si>
  <si>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</si>
  <si>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</si>
  <si>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</si>
  <si>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</si>
  <si>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</si>
  <si>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</si>
  <si>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</si>
  <si>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</si>
  <si>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</si>
  <si>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</si>
  <si>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</si>
  <si>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</si>
  <si>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</si>
  <si>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</si>
  <si>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</si>
  <si>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</si>
  <si>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</si>
  <si>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</si>
  <si>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</si>
  <si>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</si>
  <si>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</si>
  <si>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</si>
  <si>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</si>
  <si>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</si>
  <si>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</si>
  <si>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</si>
  <si>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</si>
  <si>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</si>
  <si>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</si>
  <si>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</si>
  <si>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</si>
  <si>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</si>
  <si>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</si>
  <si>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</si>
  <si>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</si>
  <si>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</si>
  <si>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</si>
  <si>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</si>
  <si>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</si>
  <si>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</si>
  <si>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</si>
  <si>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</si>
  <si>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</si>
  <si>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</si>
  <si>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</si>
  <si>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</si>
  <si>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</si>
  <si>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</si>
  <si>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</si>
  <si>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</si>
  <si>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</si>
  <si>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</si>
  <si>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</si>
  <si>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</si>
  <si>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</si>
  <si>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</si>
  <si>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</si>
  <si>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</si>
  <si>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</si>
  <si>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</si>
  <si>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</si>
  <si>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</si>
  <si>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</si>
  <si>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</si>
  <si>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</si>
  <si>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</si>
  <si>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</si>
  <si>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</si>
  <si>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</si>
  <si>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</si>
  <si>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</si>
  <si>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</si>
  <si>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</si>
  <si>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</si>
  <si>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</si>
  <si>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</si>
  <si>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</si>
  <si>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</si>
  <si>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</si>
  <si>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</si>
  <si>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</si>
  <si>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</si>
  <si>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</si>
  <si>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</si>
  <si>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</si>
  <si>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</si>
  <si>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</si>
  <si>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</si>
  <si>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</si>
  <si>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</si>
  <si>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</si>
  <si>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</si>
  <si>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</si>
  <si>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</si>
  <si>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</si>
  <si>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</si>
  <si>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</si>
  <si>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</si>
  <si>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</si>
  <si>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</si>
  <si>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</si>
  <si>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</si>
  <si>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</si>
  <si>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</si>
  <si>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</si>
  <si>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</si>
  <si>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</si>
  <si>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</si>
  <si>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</si>
  <si>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</si>
  <si>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</si>
  <si>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</si>
  <si>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</si>
  <si>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</si>
  <si>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</si>
  <si>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</si>
  <si>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</si>
  <si>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</si>
  <si>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</si>
  <si>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</si>
  <si>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</si>
  <si>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</si>
  <si>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</si>
  <si>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</si>
  <si>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</si>
  <si>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</si>
  <si>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</si>
  <si>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</si>
  <si>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</si>
  <si>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</si>
  <si>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</si>
  <si>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</si>
  <si>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</si>
  <si>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</si>
  <si>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</si>
  <si>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</si>
  <si>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</si>
  <si>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</si>
  <si>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</si>
  <si>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</si>
  <si>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</si>
  <si>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</si>
  <si>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</si>
  <si>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</si>
  <si>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</si>
  <si>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</si>
  <si>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</si>
  <si>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</si>
  <si>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</si>
  <si>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</si>
  <si>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</si>
  <si>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</si>
  <si>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</si>
  <si>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</si>
  <si>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</si>
  <si>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</si>
  <si>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</si>
  <si>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</si>
  <si>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</si>
  <si>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</si>
  <si>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</si>
  <si>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</si>
  <si>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</si>
  <si>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</si>
  <si>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</si>
  <si>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</si>
  <si>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</si>
  <si>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</si>
  <si>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</si>
  <si>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</si>
  <si>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</si>
  <si>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</si>
  <si>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</si>
  <si>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</si>
  <si>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</si>
  <si>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</si>
  <si>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</si>
  <si>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</si>
  <si>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</si>
  <si>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</si>
  <si>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</si>
  <si>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</si>
  <si>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</si>
  <si>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</si>
  <si>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</si>
  <si>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</si>
  <si>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</si>
  <si>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</si>
  <si>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</si>
  <si>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</si>
  <si>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</si>
  <si>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</si>
  <si>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</si>
  <si>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</si>
  <si>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</si>
  <si>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</si>
  <si>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</si>
  <si>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</si>
  <si>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</si>
  <si>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</si>
  <si>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</si>
  <si>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</si>
  <si>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</si>
  <si>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</si>
  <si>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</si>
  <si>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</si>
  <si>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</si>
  <si>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</si>
  <si>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</si>
  <si>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</si>
  <si>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</si>
  <si>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</si>
  <si>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</si>
  <si>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</si>
  <si>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</si>
  <si>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</si>
  <si>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</si>
  <si>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</si>
  <si>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</si>
  <si>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</si>
  <si>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</si>
  <si>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</si>
  <si>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</si>
  <si>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</si>
  <si>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</si>
  <si>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</si>
  <si>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</si>
  <si>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</si>
  <si>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</si>
  <si>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</si>
  <si>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</si>
  <si>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</si>
  <si>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</si>
  <si>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</si>
  <si>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</si>
  <si>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</si>
  <si>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</si>
  <si>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</si>
  <si>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</si>
  <si>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</si>
  <si>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</si>
  <si>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</si>
  <si>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</si>
  <si>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</si>
  <si>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정부충남지방합동청사 신축 건설공사</t>
    <phoneticPr fontId="2" type="noConversion"/>
  </si>
  <si>
    <t>업무</t>
  </si>
  <si>
    <t>충청도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</si>
  <si>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</si>
  <si>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</si>
  <si>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</si>
  <si>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골재비및운반비,작업부산물,품질시험비,기타공사</t>
    <phoneticPr fontId="2" type="noConversion"/>
  </si>
  <si>
    <t xml:space="preserve">전기인입 및 수변전 설비공사  </t>
    <phoneticPr fontId="2" type="noConversion"/>
  </si>
  <si>
    <t xml:space="preserve">원격검침 설비공사,기타공사 </t>
    <phoneticPr fontId="2" type="noConversion"/>
  </si>
  <si>
    <t>CCTV설비공사,주차관제설비공사,기타공사</t>
    <phoneticPr fontId="2" type="noConversion"/>
  </si>
  <si>
    <t>옥외소화배관공사,펌프실배관공사,기타공사</t>
    <phoneticPr fontId="2" type="noConversion"/>
  </si>
  <si>
    <t>오수공사</t>
    <phoneticPr fontId="2" type="noConversion"/>
  </si>
  <si>
    <t>기타공사</t>
    <phoneticPr fontId="2" type="noConversion"/>
  </si>
  <si>
    <t>포장공사</t>
    <phoneticPr fontId="2" type="noConversion"/>
  </si>
  <si>
    <t xml:space="preserve">조경시설물  </t>
    <phoneticPr fontId="2" type="noConversion"/>
  </si>
  <si>
    <t>공조배관공사,기타공사,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</si>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</sst>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8134.29</v>
      </c>
      <c r="D7" s="36">
        <f>+C7/3.3058</f>
        <v>2460.611652247565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717070</v>
      </c>
      <c r="E25" s="59">
        <f t="shared" si="0"/>
        <v>2370490</v>
      </c>
    </row>
    <row r="26" spans="1:5" x14ac:dyDescent="0.3">
      <c r="B26" s="2">
        <v>3</v>
      </c>
      <c r="C26" s="35" t="s">
        <v>95</v>
      </c>
      <c r="D26" s="45">
        <f>+D66</f>
        <v>19610</v>
      </c>
      <c r="E26" s="59">
        <f t="shared" si="0"/>
        <v>64820</v>
      </c>
    </row>
    <row r="27" spans="1:5" x14ac:dyDescent="0.3">
      <c r="B27" s="2">
        <v>4</v>
      </c>
      <c r="C27" s="35" t="s">
        <v>96</v>
      </c>
      <c r="D27" s="45">
        <f>+D95</f>
        <v>353390</v>
      </c>
      <c r="E27" s="59">
        <f t="shared" si="0"/>
        <v>1168230</v>
      </c>
    </row>
    <row r="28" spans="1:5" x14ac:dyDescent="0.3">
      <c r="B28" s="2">
        <v>5</v>
      </c>
      <c r="C28" s="35" t="s">
        <v>97</v>
      </c>
      <c r="D28" s="45">
        <f>+D119</f>
        <v>211180</v>
      </c>
      <c r="E28" s="59">
        <f t="shared" si="0"/>
        <v>698110</v>
      </c>
    </row>
    <row r="29" spans="1:5" x14ac:dyDescent="0.3">
      <c r="B29" s="2">
        <v>6</v>
      </c>
      <c r="C29" s="35" t="s">
        <v>98</v>
      </c>
      <c r="D29" s="45">
        <f>+D133</f>
        <v>196520</v>
      </c>
      <c r="E29" s="59">
        <f t="shared" si="0"/>
        <v>649650</v>
      </c>
    </row>
    <row r="30" spans="1:5" x14ac:dyDescent="0.3">
      <c r="B30" s="2">
        <v>7</v>
      </c>
      <c r="C30" s="35" t="s">
        <v>99</v>
      </c>
      <c r="D30" s="45">
        <f>+D146</f>
        <v>71870</v>
      </c>
      <c r="E30" s="59">
        <f t="shared" si="0"/>
        <v>237580</v>
      </c>
    </row>
    <row r="31" spans="1:5" x14ac:dyDescent="0.3">
      <c r="B31" s="2">
        <v>8</v>
      </c>
      <c r="C31" s="35" t="s">
        <v>100</v>
      </c>
      <c r="D31" s="45">
        <f>+D154</f>
        <v>49910</v>
      </c>
      <c r="E31" s="59">
        <f t="shared" si="0"/>
        <v>164990</v>
      </c>
    </row>
    <row r="32" spans="1:5" x14ac:dyDescent="0.3">
      <c r="B32" s="2">
        <v>9</v>
      </c>
      <c r="C32" s="35" t="s">
        <v>101</v>
      </c>
      <c r="D32" s="45">
        <f>+D161</f>
        <v>44910</v>
      </c>
      <c r="E32" s="59">
        <f t="shared" si="0"/>
        <v>148460</v>
      </c>
    </row>
    <row r="33" spans="1:7" x14ac:dyDescent="0.3">
      <c r="B33" s="2">
        <v>10</v>
      </c>
      <c r="C33" s="35" t="s">
        <v>154</v>
      </c>
      <c r="D33" s="53">
        <f>TRUNC(SUM(D24:D32)*0.275,-1)</f>
        <v>457720</v>
      </c>
      <c r="E33" s="60">
        <f t="shared" si="0"/>
        <v>1513130</v>
      </c>
    </row>
    <row r="34" spans="1:7" x14ac:dyDescent="0.3">
      <c r="C34" s="35" t="s">
        <v>112</v>
      </c>
      <c r="D34" s="44">
        <f>SUM(D24:D33)</f>
        <v>2122180</v>
      </c>
      <c r="E34" s="44">
        <f>SUM(E24:E33)</f>
        <v>7015460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TRUNC(56947,-1)</f>
        <v>56940</v>
      </c>
      <c r="E40" s="62">
        <f t="shared" ref="E40:E59" si="1">TRUNC(+D40*3.3058,-1)</f>
        <v>188230</v>
      </c>
    </row>
    <row r="41" spans="1:7" x14ac:dyDescent="0.3">
      <c r="A41" s="2">
        <v>2</v>
      </c>
      <c r="C41" s="38" t="s">
        <v>13</v>
      </c>
      <c r="D41" s="42">
        <f>TRUNC(146432,-1)</f>
        <v>146430</v>
      </c>
      <c r="E41" s="63">
        <f t="shared" si="1"/>
        <v>484060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TRUNC(10963,-1)</f>
        <v>10960</v>
      </c>
      <c r="E43" s="63">
        <f t="shared" si="1"/>
        <v>36230</v>
      </c>
    </row>
    <row r="44" spans="1:7" x14ac:dyDescent="0.3">
      <c r="A44" s="2">
        <v>5</v>
      </c>
      <c r="C44" s="38" t="s">
        <v>17</v>
      </c>
      <c r="D44" s="42">
        <f>TRUNC(22295,-1)</f>
        <v>22290</v>
      </c>
      <c r="E44" s="63">
        <f t="shared" si="1"/>
        <v>73680</v>
      </c>
    </row>
    <row r="45" spans="1:7" x14ac:dyDescent="0.3">
      <c r="A45" s="2">
        <v>6</v>
      </c>
      <c r="C45" s="38" t="s">
        <v>18</v>
      </c>
      <c r="D45" s="42">
        <f>TRUNC(11610,-1)</f>
        <v>11610</v>
      </c>
      <c r="E45" s="63">
        <f t="shared" si="1"/>
        <v>38380</v>
      </c>
    </row>
    <row r="46" spans="1:7" x14ac:dyDescent="0.3">
      <c r="A46" s="2">
        <v>7</v>
      </c>
      <c r="C46" s="38" t="s">
        <v>19</v>
      </c>
      <c r="D46" s="42">
        <f>TRUNC(14242,-1)</f>
        <v>14240</v>
      </c>
      <c r="E46" s="63">
        <f t="shared" si="1"/>
        <v>47070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TRUNC(22280,-1)</f>
        <v>22280</v>
      </c>
      <c r="E48" s="63">
        <f t="shared" si="1"/>
        <v>73650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TRUNC(6972,-1)</f>
        <v>6970</v>
      </c>
      <c r="E49" s="63">
        <f t="shared" si="1"/>
        <v>23040</v>
      </c>
    </row>
    <row r="50" spans="1:7" x14ac:dyDescent="0.3">
      <c r="A50" s="2">
        <v>11</v>
      </c>
      <c r="C50" s="38" t="s">
        <v>155</v>
      </c>
      <c r="D50" s="42">
        <f>TRUNC(46392,-1)</f>
        <v>46390</v>
      </c>
      <c r="E50" s="63">
        <f t="shared" si="1"/>
        <v>153350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TRUNC(14121,-1)</f>
        <v>14120</v>
      </c>
      <c r="E52" s="63">
        <f t="shared" si="1"/>
        <v>46670</v>
      </c>
    </row>
    <row r="53" spans="1:7" x14ac:dyDescent="0.3">
      <c r="A53" s="2">
        <v>14</v>
      </c>
      <c r="C53" s="38" t="s">
        <v>25</v>
      </c>
      <c r="D53" s="42">
        <f>TRUNC(130420,-1)</f>
        <v>130420</v>
      </c>
      <c r="E53" s="63">
        <f t="shared" si="1"/>
        <v>431140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TRUNC(7682-812+709+18829,-1)</f>
        <v>26400</v>
      </c>
      <c r="E58" s="63">
        <f t="shared" si="1"/>
        <v>87270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TRUNC(208021,-1)</f>
        <v>208020</v>
      </c>
      <c r="E59" s="64">
        <f t="shared" si="1"/>
        <v>687670</v>
      </c>
    </row>
    <row r="60" spans="1:7" x14ac:dyDescent="0.3">
      <c r="A60" s="2">
        <v>21</v>
      </c>
      <c r="C60" s="27" t="s">
        <v>112</v>
      </c>
      <c r="D60" s="39">
        <f>SUM(D40:D59)</f>
        <v>717070</v>
      </c>
      <c r="E60" s="39">
        <f>SUM(E40:E59)</f>
        <v>2370440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TRUNC(19614,-1)</f>
        <v>19610</v>
      </c>
      <c r="E63" s="62">
        <f>TRUNC(+D63*3.3058,-1)</f>
        <v>64820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19610</v>
      </c>
      <c r="E66" s="65">
        <f>SUM(E63:E65)</f>
        <v>64820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TRUNC(25484,-1)</f>
        <v>25480</v>
      </c>
      <c r="E69" s="62">
        <f t="shared" ref="E69:E94" si="2">TRUNC(+D69*3.3058,-1)</f>
        <v>84230</v>
      </c>
    </row>
    <row r="70" spans="1:7" ht="16.5" customHeight="1" x14ac:dyDescent="0.3">
      <c r="A70" s="2">
        <v>2</v>
      </c>
      <c r="C70" s="38" t="s">
        <v>31</v>
      </c>
      <c r="D70" s="42">
        <f>TRUNC(8142,-1)</f>
        <v>8140</v>
      </c>
      <c r="E70" s="63">
        <f t="shared" si="2"/>
        <v>26900</v>
      </c>
    </row>
    <row r="71" spans="1:7" x14ac:dyDescent="0.3">
      <c r="A71" s="2">
        <v>3</v>
      </c>
      <c r="C71" s="38" t="s">
        <v>32</v>
      </c>
      <c r="D71" s="42">
        <f>TRUNC(41856,-1)</f>
        <v>41850</v>
      </c>
      <c r="E71" s="63">
        <f t="shared" si="2"/>
        <v>138340</v>
      </c>
    </row>
    <row r="72" spans="1:7" x14ac:dyDescent="0.3">
      <c r="A72" s="2">
        <v>4</v>
      </c>
      <c r="C72" s="38" t="s">
        <v>33</v>
      </c>
      <c r="D72" s="42">
        <f>TRUNC(1464,-1)</f>
        <v>1460</v>
      </c>
      <c r="E72" s="63">
        <f t="shared" si="2"/>
        <v>4820</v>
      </c>
    </row>
    <row r="73" spans="1:7" x14ac:dyDescent="0.3">
      <c r="A73" s="2">
        <v>5</v>
      </c>
      <c r="C73" s="38" t="s">
        <v>34</v>
      </c>
      <c r="D73" s="42">
        <f>TRUNC(5964,-1)</f>
        <v>5960</v>
      </c>
      <c r="E73" s="63">
        <f t="shared" si="2"/>
        <v>19700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TRUNC(3186,-1)</f>
        <v>3180</v>
      </c>
      <c r="E75" s="63">
        <f t="shared" si="2"/>
        <v>10510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TRUNC(9867,-1)</f>
        <v>9860</v>
      </c>
      <c r="E89" s="63">
        <f t="shared" si="2"/>
        <v>32590</v>
      </c>
    </row>
    <row r="90" spans="1:7" x14ac:dyDescent="0.3">
      <c r="A90" s="2">
        <v>22</v>
      </c>
      <c r="C90" s="38" t="s">
        <v>36</v>
      </c>
      <c r="D90" s="42">
        <f>TRUNC(2950,-1)</f>
        <v>2950</v>
      </c>
      <c r="E90" s="63">
        <f t="shared" si="2"/>
        <v>9750</v>
      </c>
    </row>
    <row r="91" spans="1:7" x14ac:dyDescent="0.3">
      <c r="A91" s="2">
        <v>23</v>
      </c>
      <c r="C91" s="38" t="s">
        <v>37</v>
      </c>
      <c r="D91" s="42">
        <f>TRUNC(36214,-1)</f>
        <v>36210</v>
      </c>
      <c r="E91" s="63">
        <f t="shared" si="2"/>
        <v>119700</v>
      </c>
    </row>
    <row r="92" spans="1:7" x14ac:dyDescent="0.3">
      <c r="A92" s="2">
        <v>24</v>
      </c>
      <c r="C92" s="38" t="s">
        <v>38</v>
      </c>
      <c r="D92" s="42">
        <f>TRUNC(6459,-1)</f>
        <v>6450</v>
      </c>
      <c r="E92" s="63">
        <f t="shared" si="2"/>
        <v>21320</v>
      </c>
    </row>
    <row r="93" spans="1:7" x14ac:dyDescent="0.3">
      <c r="A93" s="2">
        <v>25</v>
      </c>
      <c r="C93" s="38" t="s">
        <v>148</v>
      </c>
      <c r="D93" s="42">
        <f>TRUNC(142746,-1)</f>
        <v>142740</v>
      </c>
      <c r="E93" s="63">
        <f t="shared" si="2"/>
        <v>471860</v>
      </c>
    </row>
    <row r="94" spans="1:7" ht="17.25" thickBot="1" x14ac:dyDescent="0.35">
      <c r="A94" s="2">
        <v>26</v>
      </c>
      <c r="C94" s="38" t="s">
        <v>47</v>
      </c>
      <c r="D94" s="43">
        <f>TRUNC(22597+44985+1531,-1)</f>
        <v>69110</v>
      </c>
      <c r="E94" s="64">
        <f t="shared" si="2"/>
        <v>228460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353390</v>
      </c>
      <c r="E95" s="39">
        <f>SUM(E69:E94)</f>
        <v>1168180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TRUNC(16023,-1)</f>
        <v>16020</v>
      </c>
      <c r="E98" s="62">
        <f t="shared" ref="E98:E118" si="3">TRUNC(+D98*3.3058,-1)</f>
        <v>52950</v>
      </c>
    </row>
    <row r="99" spans="1:7" x14ac:dyDescent="0.3">
      <c r="A99" s="2">
        <v>2</v>
      </c>
      <c r="C99" s="38" t="s">
        <v>40</v>
      </c>
      <c r="D99" s="42">
        <f>TRUNC(9048,-1)</f>
        <v>9040</v>
      </c>
      <c r="E99" s="63">
        <f t="shared" si="3"/>
        <v>29880</v>
      </c>
    </row>
    <row r="100" spans="1:7" x14ac:dyDescent="0.3">
      <c r="A100" s="2">
        <v>3</v>
      </c>
      <c r="C100" s="38" t="s">
        <v>41</v>
      </c>
      <c r="D100" s="42">
        <f>TRUNC(29326,-1)</f>
        <v>29320</v>
      </c>
      <c r="E100" s="63">
        <f t="shared" si="3"/>
        <v>96920</v>
      </c>
    </row>
    <row r="101" spans="1:7" x14ac:dyDescent="0.3">
      <c r="A101" s="2">
        <v>4</v>
      </c>
      <c r="C101" s="38" t="s">
        <v>42</v>
      </c>
      <c r="D101" s="42">
        <f>TRUNC(6318,-1)</f>
        <v>6310</v>
      </c>
      <c r="E101" s="63">
        <f t="shared" si="3"/>
        <v>20850</v>
      </c>
    </row>
    <row r="102" spans="1:7" x14ac:dyDescent="0.3">
      <c r="A102" s="2">
        <v>5</v>
      </c>
      <c r="C102" s="38" t="s">
        <v>43</v>
      </c>
      <c r="D102" s="42">
        <f>TRUNC(18310,-1)</f>
        <v>18310</v>
      </c>
      <c r="E102" s="63">
        <f t="shared" si="3"/>
        <v>60520</v>
      </c>
    </row>
    <row r="103" spans="1:7" x14ac:dyDescent="0.3">
      <c r="A103" s="2">
        <v>6</v>
      </c>
      <c r="C103" s="38" t="s">
        <v>44</v>
      </c>
      <c r="D103" s="42">
        <f>TRUNC(6071,-1)</f>
        <v>6070</v>
      </c>
      <c r="E103" s="63">
        <f t="shared" si="3"/>
        <v>20060</v>
      </c>
    </row>
    <row r="104" spans="1:7" x14ac:dyDescent="0.3">
      <c r="A104" s="2">
        <v>7</v>
      </c>
      <c r="C104" s="38" t="s">
        <v>45</v>
      </c>
      <c r="D104" s="42">
        <f>TRUNC(3889,-1)</f>
        <v>3880</v>
      </c>
      <c r="E104" s="63">
        <f t="shared" si="3"/>
        <v>12820</v>
      </c>
    </row>
    <row r="105" spans="1:7" x14ac:dyDescent="0.3">
      <c r="A105" s="2">
        <v>8</v>
      </c>
      <c r="C105" s="38" t="s">
        <v>46</v>
      </c>
      <c r="D105" s="42">
        <f>TRUNC(5793,-1)</f>
        <v>5790</v>
      </c>
      <c r="E105" s="63">
        <f t="shared" si="3"/>
        <v>19140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TRUNC(4875,-1)</f>
        <v>4870</v>
      </c>
      <c r="E114" s="63">
        <f t="shared" si="3"/>
        <v>16090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TRUNC(1576,-1)</f>
        <v>1570</v>
      </c>
      <c r="E116" s="63">
        <f t="shared" si="3"/>
        <v>5190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TRUNC(106596,-1)</f>
        <v>106590</v>
      </c>
      <c r="E117" s="63">
        <f t="shared" si="3"/>
        <v>352360</v>
      </c>
    </row>
    <row r="118" spans="1:7" ht="17.25" thickBot="1" x14ac:dyDescent="0.35">
      <c r="A118" s="2">
        <v>21</v>
      </c>
      <c r="C118" s="38" t="s">
        <v>47</v>
      </c>
      <c r="D118" s="43">
        <f>TRUNC(1918+1500,-1)</f>
        <v>3410</v>
      </c>
      <c r="E118" s="64">
        <f t="shared" si="3"/>
        <v>11270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211180</v>
      </c>
      <c r="E119" s="39">
        <f>SUM(E98:E118)</f>
        <v>698050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TRUNC(1457,-1)</f>
        <v>1450</v>
      </c>
      <c r="E124" s="63">
        <f t="shared" si="4"/>
        <v>4790</v>
      </c>
    </row>
    <row r="125" spans="1:7" x14ac:dyDescent="0.3">
      <c r="A125" s="2">
        <v>4</v>
      </c>
      <c r="C125" s="38" t="s">
        <v>138</v>
      </c>
      <c r="D125" s="42">
        <f>TRUNC(12661,-1)</f>
        <v>12660</v>
      </c>
      <c r="E125" s="63">
        <f t="shared" si="4"/>
        <v>41850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TRUNC(5678,-1)</f>
        <v>5670</v>
      </c>
      <c r="E127" s="63">
        <f t="shared" si="4"/>
        <v>18740</v>
      </c>
    </row>
    <row r="128" spans="1:7" x14ac:dyDescent="0.3">
      <c r="A128" s="2">
        <v>7</v>
      </c>
      <c r="C128" s="38" t="s">
        <v>46</v>
      </c>
      <c r="D128" s="42">
        <f>TRUNC(7370,-1)</f>
        <v>7370</v>
      </c>
      <c r="E128" s="63">
        <f t="shared" si="4"/>
        <v>24360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TRUNC(30845,-1)</f>
        <v>30840</v>
      </c>
      <c r="E130" s="63">
        <f t="shared" si="4"/>
        <v>101950</v>
      </c>
    </row>
    <row r="131" spans="1:7" x14ac:dyDescent="0.3">
      <c r="A131" s="2">
        <v>10</v>
      </c>
      <c r="C131" s="38" t="s">
        <v>148</v>
      </c>
      <c r="D131" s="42">
        <f>TRUNC(133740,-1)</f>
        <v>133740</v>
      </c>
      <c r="E131" s="63">
        <f t="shared" si="4"/>
        <v>442110</v>
      </c>
    </row>
    <row r="132" spans="1:7" ht="18" thickBot="1" x14ac:dyDescent="0.35">
      <c r="A132" s="2">
        <v>11</v>
      </c>
      <c r="C132" s="38" t="s">
        <v>47</v>
      </c>
      <c r="D132" s="43">
        <f>TRUNC(2272+1561+958,-1)</f>
        <v>4790</v>
      </c>
      <c r="E132" s="64">
        <f t="shared" si="4"/>
        <v>15830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196520</v>
      </c>
      <c r="E133" s="39">
        <f>SUM(E122:E132)</f>
        <v>649630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TRUNC(200+3949+1733,-1)</f>
        <v>5880</v>
      </c>
      <c r="E137" s="63">
        <f t="shared" si="5"/>
        <v>19430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TRUNC(2379,-1)</f>
        <v>2370</v>
      </c>
      <c r="E138" s="63">
        <f t="shared" si="5"/>
        <v>7830</v>
      </c>
    </row>
    <row r="139" spans="1:7" x14ac:dyDescent="0.3">
      <c r="A139" s="2">
        <v>4</v>
      </c>
      <c r="C139" s="38" t="s">
        <v>61</v>
      </c>
      <c r="D139" s="42">
        <f>TRUNC(2728,-1)</f>
        <v>2720</v>
      </c>
      <c r="E139" s="63">
        <f t="shared" si="5"/>
        <v>8990</v>
      </c>
    </row>
    <row r="140" spans="1:7" x14ac:dyDescent="0.3">
      <c r="A140" s="2">
        <v>5</v>
      </c>
      <c r="C140" s="38" t="s">
        <v>57</v>
      </c>
      <c r="D140" s="42">
        <f>TRUNC(1691,-1)</f>
        <v>1690</v>
      </c>
      <c r="E140" s="63">
        <f t="shared" si="5"/>
        <v>5580</v>
      </c>
    </row>
    <row r="141" spans="1:7" x14ac:dyDescent="0.3">
      <c r="A141" s="2">
        <v>6</v>
      </c>
      <c r="C141" s="38" t="s">
        <v>59</v>
      </c>
      <c r="D141" s="42">
        <f>TRUNC(23004,-1)</f>
        <v>23000</v>
      </c>
      <c r="E141" s="63">
        <f t="shared" si="5"/>
        <v>76030</v>
      </c>
    </row>
    <row r="142" spans="1:7" x14ac:dyDescent="0.3">
      <c r="A142" s="2">
        <v>7</v>
      </c>
      <c r="C142" s="38" t="s">
        <v>58</v>
      </c>
      <c r="D142" s="42">
        <f>TRUNC(4232,-1)</f>
        <v>4230</v>
      </c>
      <c r="E142" s="63">
        <f t="shared" si="5"/>
        <v>13980</v>
      </c>
    </row>
    <row r="143" spans="1:7" x14ac:dyDescent="0.3">
      <c r="A143" s="2">
        <v>8</v>
      </c>
      <c r="C143" s="38" t="s">
        <v>62</v>
      </c>
      <c r="D143" s="42">
        <f>TRUNC(7635,-1)</f>
        <v>7630</v>
      </c>
      <c r="E143" s="63">
        <f t="shared" si="5"/>
        <v>25220</v>
      </c>
    </row>
    <row r="144" spans="1:7" x14ac:dyDescent="0.3">
      <c r="A144" s="2">
        <v>9</v>
      </c>
      <c r="C144" s="38" t="s">
        <v>63</v>
      </c>
      <c r="D144" s="42">
        <f>TRUNC(20637,-1)</f>
        <v>20630</v>
      </c>
      <c r="E144" s="63">
        <f t="shared" si="5"/>
        <v>68190</v>
      </c>
    </row>
    <row r="145" spans="1:7" ht="17.25" thickBot="1" x14ac:dyDescent="0.35">
      <c r="A145" s="2">
        <v>10</v>
      </c>
      <c r="C145" s="38" t="s">
        <v>148</v>
      </c>
      <c r="D145" s="43">
        <f>TRUNC(3728,-1)</f>
        <v>3720</v>
      </c>
      <c r="E145" s="64">
        <f t="shared" si="5"/>
        <v>12290</v>
      </c>
    </row>
    <row r="146" spans="1:7" x14ac:dyDescent="0.3">
      <c r="A146" s="2">
        <v>11</v>
      </c>
      <c r="C146" s="27" t="s">
        <v>112</v>
      </c>
      <c r="D146" s="39">
        <f>SUM(D136:D145)</f>
        <v>71870</v>
      </c>
      <c r="E146" s="39">
        <f>SUM(E136:E145)</f>
        <v>237540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TRUNC(16504,-1)</f>
        <v>16500</v>
      </c>
      <c r="E149" s="62">
        <f>TRUNC(+D149*3.3058,-1)</f>
        <v>54540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TRUNC(9544,-1)</f>
        <v>9540</v>
      </c>
      <c r="E150" s="63">
        <f>TRUNC(+D150*3.3058,-1)</f>
        <v>31530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TRUNC(2136,-1)</f>
        <v>2130</v>
      </c>
      <c r="E152" s="63">
        <f>TRUNC(+D152*3.3058,-1)</f>
        <v>7040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TRUNC(21749,-1)</f>
        <v>21740</v>
      </c>
      <c r="E153" s="64">
        <f>TRUNC(+D153*3.3058,-1)</f>
        <v>71860</v>
      </c>
    </row>
    <row r="154" spans="1:7" x14ac:dyDescent="0.3">
      <c r="A154" s="2">
        <v>6</v>
      </c>
      <c r="C154" s="27" t="s">
        <v>112</v>
      </c>
      <c r="D154" s="39">
        <f>SUM(D149:D153)</f>
        <v>49910</v>
      </c>
      <c r="E154" s="39">
        <f>SUM(E149:E153)</f>
        <v>164970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TRUNC(29679,-1)</f>
        <v>29670</v>
      </c>
      <c r="E157" s="62">
        <f>TRUNC(+D157*3.3058,-1)</f>
        <v>98080</v>
      </c>
    </row>
    <row r="158" spans="1:7" x14ac:dyDescent="0.3">
      <c r="A158" s="2">
        <v>2</v>
      </c>
      <c r="C158" s="38" t="s">
        <v>52</v>
      </c>
      <c r="D158" s="42">
        <f>TRUNC(8728,-1)</f>
        <v>8720</v>
      </c>
      <c r="E158" s="63">
        <f>TRUNC(+D158*3.3058,-1)</f>
        <v>28820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TRUNC(1065,-1)</f>
        <v>1060</v>
      </c>
      <c r="E159" s="63">
        <f>TRUNC(+D159*3.3058,-1)</f>
        <v>3500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TRUNC(5466,-1)</f>
        <v>5460</v>
      </c>
      <c r="E160" s="64">
        <f>TRUNC(+D160*3.3058,-1)</f>
        <v>18040</v>
      </c>
    </row>
    <row r="161" spans="1:5" x14ac:dyDescent="0.3">
      <c r="A161" s="2">
        <v>5</v>
      </c>
      <c r="C161" s="27" t="s">
        <v>112</v>
      </c>
      <c r="D161" s="39">
        <f>SUM(D157:D160)</f>
        <v>44910</v>
      </c>
      <c r="E161" s="39">
        <f>SUM(E157:E160)</f>
        <v>148440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2020-12-08T04:02:20Z</dcterms:modified>
</cp:coreProperties>
</file>