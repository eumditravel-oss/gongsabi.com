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0" i="4"/>
  <c r="D144" i="4"/>
  <c r="D140" i="4"/>
  <c r="D139" i="4"/>
  <c r="D132" i="4"/>
  <c r="D131" i="4"/>
  <c r="D130" i="4"/>
  <c r="D128" i="4"/>
  <c r="D127" i="4"/>
  <c r="D126" i="4"/>
  <c r="D124" i="4"/>
  <c r="D122" i="4"/>
  <c r="D118" i="4"/>
  <c r="D117" i="4"/>
  <c r="D114" i="4"/>
  <c r="D105" i="4"/>
  <c r="D104" i="4"/>
  <c r="D103" i="4"/>
  <c r="D102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5" i="4"/>
  <c r="D44" i="4"/>
  <c r="D41" i="4"/>
  <c r="D40" i="4"/>
  <c r="D152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<sst xmlns="http://schemas.openxmlformats.org/spreadsheetml/2006/main" count="390" uniqueCount="265">
  <si>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</si>
  <si>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</si>
  <si>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</si>
  <si>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</si>
  <si>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</si>
  <si>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</si>
  <si>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</si>
  <si>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</si>
  <si>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</si>
  <si>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</si>
  <si>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</si>
  <si>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</si>
  <si>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</si>
  <si>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</si>
  <si>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</si>
  <si>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</si>
  <si>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</si>
  <si>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</si>
  <si>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</si>
  <si>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</si>
  <si>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</si>
  <si>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</si>
  <si>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</si>
  <si>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</si>
  <si>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</si>
  <si>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</si>
  <si>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</si>
  <si>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</si>
  <si>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</si>
  <si>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</si>
  <si>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</si>
  <si>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</si>
  <si>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</si>
  <si>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</si>
  <si>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</si>
  <si>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</si>
  <si>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</si>
  <si>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</si>
  <si>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</si>
  <si>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</si>
  <si>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</si>
  <si>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</si>
  <si>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</si>
  <si>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</si>
  <si>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</si>
  <si>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</si>
  <si>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</si>
  <si>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</si>
  <si>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</si>
  <si>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</si>
  <si>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</si>
  <si>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</si>
  <si>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</si>
  <si>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</si>
  <si>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</si>
  <si>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</si>
  <si>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</si>
  <si>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</si>
  <si>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</si>
  <si>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</si>
  <si>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</si>
  <si>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</si>
  <si>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</si>
  <si>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</si>
  <si>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</si>
  <si>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</si>
  <si>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</si>
  <si>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</si>
  <si>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</si>
  <si>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</si>
  <si>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</si>
  <si>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</si>
  <si>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</si>
  <si>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</si>
  <si>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</si>
  <si>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</si>
  <si>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</si>
  <si>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</si>
  <si>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</si>
  <si>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</si>
  <si>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</si>
  <si>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</si>
  <si>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</si>
  <si>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</si>
  <si>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</si>
  <si>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</si>
  <si>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</si>
  <si>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</si>
  <si>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</si>
  <si>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</si>
  <si>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</si>
  <si>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</si>
  <si>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</si>
  <si>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</si>
  <si>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</si>
  <si>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</si>
  <si>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</si>
  <si>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</si>
  <si>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</si>
  <si>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</si>
  <si>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</si>
  <si>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</si>
  <si>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</si>
  <si>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</si>
  <si>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</si>
  <si>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</si>
  <si>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</si>
  <si>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</si>
  <si>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</si>
  <si>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</si>
  <si>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</si>
  <si>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</si>
  <si>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</si>
  <si>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</si>
  <si>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</si>
  <si>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</si>
  <si>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</si>
  <si>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</si>
  <si>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</si>
  <si>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</si>
  <si>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</si>
  <si>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</si>
  <si>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</si>
  <si>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</si>
  <si>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</si>
  <si>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</si>
  <si>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</si>
  <si>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</si>
  <si>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</si>
  <si>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</si>
  <si>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</si>
  <si>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</si>
  <si>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</si>
  <si>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</si>
  <si>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</si>
  <si>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</si>
  <si>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</si>
  <si>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</si>
  <si>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</si>
  <si>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</si>
  <si>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</si>
  <si>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</si>
  <si>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</si>
  <si>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</si>
  <si>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</si>
  <si>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</si>
  <si>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</si>
  <si>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</si>
  <si>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</si>
  <si>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</si>
  <si>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</si>
  <si>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</si>
  <si>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</si>
  <si>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</si>
  <si>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</si>
  <si>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</si>
  <si>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</si>
  <si>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</si>
  <si>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</si>
  <si>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</si>
  <si>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</si>
  <si>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</si>
  <si>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</si>
  <si>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</si>
  <si>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</si>
  <si>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</si>
  <si>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</si>
  <si>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</si>
  <si>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</si>
  <si>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</si>
  <si>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</si>
  <si>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</si>
  <si>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</si>
  <si>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</si>
  <si>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</si>
  <si>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</si>
  <si>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</si>
  <si>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</si>
  <si>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</si>
  <si>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</si>
  <si>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</si>
  <si>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</si>
  <si>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</si>
  <si>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</si>
  <si>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</si>
  <si>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</si>
  <si>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</si>
  <si>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</si>
  <si>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</si>
  <si>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</si>
  <si>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</si>
  <si>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</si>
  <si>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</si>
  <si>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</si>
  <si>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</si>
  <si>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</si>
  <si>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</si>
  <si>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</si>
  <si>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</si>
  <si>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</si>
  <si>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</si>
  <si>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</si>
  <si>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</si>
  <si>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</si>
  <si>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</si>
  <si>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</si>
  <si>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</si>
  <si>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</si>
  <si>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</si>
  <si>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</si>
  <si>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</si>
  <si>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</si>
  <si>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</si>
  <si>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</si>
  <si>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</si>
  <si>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</si>
  <si>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</si>
  <si>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</si>
  <si>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</si>
  <si>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</si>
  <si>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</si>
  <si>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</si>
  <si>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</si>
  <si>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</si>
  <si>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</si>
  <si>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</si>
  <si>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</si>
  <si>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</si>
  <si>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</si>
  <si>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</si>
  <si>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</si>
  <si>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</si>
  <si>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</si>
  <si>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</si>
  <si>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</si>
  <si>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</si>
  <si>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</si>
  <si>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</si>
  <si>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</si>
  <si>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</si>
  <si>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</si>
  <si>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</si>
  <si>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</si>
  <si>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</si>
  <si>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</si>
  <si>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</si>
  <si>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</si>
  <si>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</si>
  <si>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</si>
  <si>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한국국토정보공사 경남지역본부 밀양지사 신축사옥 공사</t>
    <phoneticPr fontId="2" type="noConversion"/>
  </si>
  <si>
    <t>경상도</t>
  </si>
  <si>
    <t>금속공사(지붕및홈통공사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</si>
  <si>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</si>
  <si>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</si>
  <si>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</si>
  <si>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난방배관공사, 우수처리시설공사, 바닥난방공사, 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</si>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</sst>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2423.0700000000002</v>
      </c>
      <c r="D7" s="36">
        <f>+C7/3.3058</f>
        <v>732.97537661080526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1167270</v>
      </c>
      <c r="E25" s="59">
        <f t="shared" si="0"/>
        <v>3858760</v>
      </c>
    </row>
    <row r="26" spans="1:5" x14ac:dyDescent="0.3">
      <c r="B26" s="2">
        <v>3</v>
      </c>
      <c r="C26" s="35" t="s">
        <v>95</v>
      </c>
      <c r="D26" s="45">
        <f>+D66</f>
        <v>2430</v>
      </c>
      <c r="E26" s="59">
        <f t="shared" si="0"/>
        <v>8030</v>
      </c>
    </row>
    <row r="27" spans="1:5" x14ac:dyDescent="0.3">
      <c r="B27" s="2">
        <v>4</v>
      </c>
      <c r="C27" s="35" t="s">
        <v>96</v>
      </c>
      <c r="D27" s="45">
        <f>+D95</f>
        <v>175130</v>
      </c>
      <c r="E27" s="59">
        <f t="shared" si="0"/>
        <v>578940</v>
      </c>
    </row>
    <row r="28" spans="1:5" x14ac:dyDescent="0.3">
      <c r="B28" s="2">
        <v>5</v>
      </c>
      <c r="C28" s="35" t="s">
        <v>97</v>
      </c>
      <c r="D28" s="45">
        <f>+D119</f>
        <v>252880</v>
      </c>
      <c r="E28" s="59">
        <f t="shared" si="0"/>
        <v>835970</v>
      </c>
    </row>
    <row r="29" spans="1:5" x14ac:dyDescent="0.3">
      <c r="B29" s="2">
        <v>6</v>
      </c>
      <c r="C29" s="35" t="s">
        <v>98</v>
      </c>
      <c r="D29" s="45">
        <f>+D133</f>
        <v>150490</v>
      </c>
      <c r="E29" s="59">
        <f t="shared" si="0"/>
        <v>497480</v>
      </c>
    </row>
    <row r="30" spans="1:5" x14ac:dyDescent="0.3">
      <c r="B30" s="2">
        <v>7</v>
      </c>
      <c r="C30" s="35" t="s">
        <v>99</v>
      </c>
      <c r="D30" s="45">
        <f>+D146</f>
        <v>41000</v>
      </c>
      <c r="E30" s="59">
        <f t="shared" si="0"/>
        <v>135530</v>
      </c>
    </row>
    <row r="31" spans="1:5" x14ac:dyDescent="0.3">
      <c r="B31" s="2">
        <v>8</v>
      </c>
      <c r="C31" s="35" t="s">
        <v>100</v>
      </c>
      <c r="D31" s="45">
        <f>+D154</f>
        <v>30440</v>
      </c>
      <c r="E31" s="59">
        <f t="shared" si="0"/>
        <v>100620</v>
      </c>
    </row>
    <row r="32" spans="1:5" x14ac:dyDescent="0.3">
      <c r="B32" s="2">
        <v>9</v>
      </c>
      <c r="C32" s="35" t="s">
        <v>101</v>
      </c>
      <c r="D32" s="45">
        <f>+D161</f>
        <v>36900</v>
      </c>
      <c r="E32" s="59">
        <f t="shared" si="0"/>
        <v>121980</v>
      </c>
    </row>
    <row r="33" spans="1:7" x14ac:dyDescent="0.3">
      <c r="B33" s="2">
        <v>10</v>
      </c>
      <c r="C33" s="35" t="s">
        <v>154</v>
      </c>
      <c r="D33" s="53">
        <f>TRUNC(SUM(D24:D32)*0.275,-1)</f>
        <v>510540</v>
      </c>
      <c r="E33" s="60">
        <f t="shared" si="0"/>
        <v>1687740</v>
      </c>
    </row>
    <row r="34" spans="1:7" x14ac:dyDescent="0.3">
      <c r="C34" s="35" t="s">
        <v>112</v>
      </c>
      <c r="D34" s="44">
        <f>SUM(D24:D33)</f>
        <v>2367080</v>
      </c>
      <c r="E34" s="44">
        <f>SUM(E24:E33)</f>
        <v>7825050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TRUNC(82370,-1)</f>
        <v>82370</v>
      </c>
      <c r="E40" s="62">
        <f t="shared" ref="E40:E59" si="1">TRUNC(+D40*3.3058,-1)</f>
        <v>272290</v>
      </c>
    </row>
    <row r="41" spans="1:7" x14ac:dyDescent="0.3">
      <c r="A41" s="2">
        <v>2</v>
      </c>
      <c r="C41" s="38" t="s">
        <v>13</v>
      </c>
      <c r="D41" s="42">
        <f>TRUNC(217746,-1)</f>
        <v>217740</v>
      </c>
      <c r="E41" s="63">
        <f t="shared" si="1"/>
        <v>719800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20490</v>
      </c>
      <c r="E43" s="63">
        <f t="shared" si="1"/>
        <v>67730</v>
      </c>
    </row>
    <row r="44" spans="1:7" x14ac:dyDescent="0.3">
      <c r="A44" s="2">
        <v>5</v>
      </c>
      <c r="C44" s="38" t="s">
        <v>17</v>
      </c>
      <c r="D44" s="42">
        <f>TRUNC(36186,-1)</f>
        <v>36180</v>
      </c>
      <c r="E44" s="63">
        <f t="shared" si="1"/>
        <v>119600</v>
      </c>
    </row>
    <row r="45" spans="1:7" x14ac:dyDescent="0.3">
      <c r="A45" s="2">
        <v>6</v>
      </c>
      <c r="C45" s="38" t="s">
        <v>18</v>
      </c>
      <c r="D45" s="42">
        <f>TRUNC(12248,-1)</f>
        <v>12240</v>
      </c>
      <c r="E45" s="63">
        <f t="shared" si="1"/>
        <v>40460</v>
      </c>
    </row>
    <row r="46" spans="1:7" x14ac:dyDescent="0.3">
      <c r="A46" s="2">
        <v>7</v>
      </c>
      <c r="C46" s="38" t="s">
        <v>19</v>
      </c>
      <c r="D46" s="42">
        <v>88150</v>
      </c>
      <c r="E46" s="63">
        <f t="shared" si="1"/>
        <v>291400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TRUNC(101761,-1)</f>
        <v>101760</v>
      </c>
      <c r="E48" s="63">
        <f t="shared" si="1"/>
        <v>336390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TRUNC(41312,-1)</f>
        <v>41310</v>
      </c>
      <c r="E49" s="63">
        <f t="shared" si="1"/>
        <v>136560</v>
      </c>
    </row>
    <row r="50" spans="1:7" x14ac:dyDescent="0.3">
      <c r="A50" s="2">
        <v>11</v>
      </c>
      <c r="C50" s="38" t="s">
        <v>155</v>
      </c>
      <c r="D50" s="42">
        <f>TRUNC(82183,-1)</f>
        <v>82180</v>
      </c>
      <c r="E50" s="63">
        <f t="shared" si="1"/>
        <v>271670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TRUNC(20992,-1)</f>
        <v>20990</v>
      </c>
      <c r="E52" s="63">
        <f t="shared" si="1"/>
        <v>69380</v>
      </c>
    </row>
    <row r="53" spans="1:7" x14ac:dyDescent="0.3">
      <c r="A53" s="2">
        <v>14</v>
      </c>
      <c r="C53" s="38" t="s">
        <v>25</v>
      </c>
      <c r="D53" s="42">
        <f>TRUNC(120518,-1)</f>
        <v>120510</v>
      </c>
      <c r="E53" s="63">
        <f t="shared" si="1"/>
        <v>398380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TRUNC(65575+26891+6641-5703+1323+12781,-1)</f>
        <v>107500</v>
      </c>
      <c r="E58" s="63">
        <f t="shared" si="1"/>
        <v>355370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TRUNC(235857,-1)</f>
        <v>235850</v>
      </c>
      <c r="E59" s="64">
        <f t="shared" si="1"/>
        <v>779670</v>
      </c>
    </row>
    <row r="60" spans="1:7" x14ac:dyDescent="0.3">
      <c r="A60" s="2">
        <v>21</v>
      </c>
      <c r="C60" s="27" t="s">
        <v>112</v>
      </c>
      <c r="D60" s="39">
        <f>SUM(D40:D59)</f>
        <v>1167270</v>
      </c>
      <c r="E60" s="39">
        <f>SUM(E40:E59)</f>
        <v>3858700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TRUNC(2438,-1)</f>
        <v>2430</v>
      </c>
      <c r="E63" s="62">
        <f>TRUNC(+D63*3.3058,-1)</f>
        <v>8030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2430</v>
      </c>
      <c r="E66" s="65">
        <f>SUM(E63:E65)</f>
        <v>8030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TRUNC(15204,-1)</f>
        <v>15200</v>
      </c>
      <c r="E69" s="62">
        <f t="shared" ref="E69:E94" si="2">TRUNC(+D69*3.3058,-1)</f>
        <v>50240</v>
      </c>
    </row>
    <row r="70" spans="1:7" ht="16.5" customHeight="1" x14ac:dyDescent="0.3">
      <c r="A70" s="2">
        <v>2</v>
      </c>
      <c r="C70" s="38" t="s">
        <v>31</v>
      </c>
      <c r="D70" s="42">
        <f>TRUNC(221,-1)</f>
        <v>220</v>
      </c>
      <c r="E70" s="63">
        <f t="shared" si="2"/>
        <v>720</v>
      </c>
    </row>
    <row r="71" spans="1:7" x14ac:dyDescent="0.3">
      <c r="A71" s="2">
        <v>3</v>
      </c>
      <c r="C71" s="38" t="s">
        <v>32</v>
      </c>
      <c r="D71" s="42">
        <f>TRUNC(6884,-1)</f>
        <v>6880</v>
      </c>
      <c r="E71" s="63">
        <f t="shared" si="2"/>
        <v>22740</v>
      </c>
    </row>
    <row r="72" spans="1:7" x14ac:dyDescent="0.3">
      <c r="A72" s="2">
        <v>4</v>
      </c>
      <c r="C72" s="38" t="s">
        <v>33</v>
      </c>
      <c r="D72" s="42">
        <f>TRUNC(7077,-1)</f>
        <v>7070</v>
      </c>
      <c r="E72" s="63">
        <f t="shared" si="2"/>
        <v>23370</v>
      </c>
    </row>
    <row r="73" spans="1:7" x14ac:dyDescent="0.3">
      <c r="A73" s="2">
        <v>5</v>
      </c>
      <c r="C73" s="38" t="s">
        <v>34</v>
      </c>
      <c r="D73" s="42">
        <f>TRUNC(14632,-1)</f>
        <v>14630</v>
      </c>
      <c r="E73" s="63">
        <f t="shared" si="2"/>
        <v>48360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TRUNC(7368,-1)</f>
        <v>7360</v>
      </c>
      <c r="E89" s="63">
        <f t="shared" si="2"/>
        <v>24330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TRUNC(4399,-1)</f>
        <v>4390</v>
      </c>
      <c r="E91" s="63">
        <f t="shared" si="2"/>
        <v>14510</v>
      </c>
    </row>
    <row r="92" spans="1:7" x14ac:dyDescent="0.3">
      <c r="A92" s="2">
        <v>24</v>
      </c>
      <c r="C92" s="38" t="s">
        <v>38</v>
      </c>
      <c r="D92" s="42">
        <f>TRUNC(7431,-1)</f>
        <v>7430</v>
      </c>
      <c r="E92" s="63">
        <f t="shared" si="2"/>
        <v>24560</v>
      </c>
    </row>
    <row r="93" spans="1:7" x14ac:dyDescent="0.3">
      <c r="A93" s="2">
        <v>25</v>
      </c>
      <c r="C93" s="38" t="s">
        <v>148</v>
      </c>
      <c r="D93" s="42">
        <f>TRUNC(61734,-1)</f>
        <v>61730</v>
      </c>
      <c r="E93" s="63">
        <f t="shared" si="2"/>
        <v>204060</v>
      </c>
    </row>
    <row r="94" spans="1:7" ht="17.25" thickBot="1" x14ac:dyDescent="0.35">
      <c r="A94" s="2">
        <v>26</v>
      </c>
      <c r="C94" s="38" t="s">
        <v>47</v>
      </c>
      <c r="D94" s="43">
        <f>TRUNC(40160+1710+1302+7055,-1)</f>
        <v>50220</v>
      </c>
      <c r="E94" s="64">
        <f t="shared" si="2"/>
        <v>166010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175130</v>
      </c>
      <c r="E95" s="39">
        <f>SUM(E69:E94)</f>
        <v>578900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TRUNC(17763,-1)</f>
        <v>17760</v>
      </c>
      <c r="E98" s="62">
        <f t="shared" ref="E98:E118" si="3">TRUNC(+D98*3.3058,-1)</f>
        <v>58710</v>
      </c>
    </row>
    <row r="99" spans="1:7" x14ac:dyDescent="0.3">
      <c r="A99" s="2">
        <v>2</v>
      </c>
      <c r="C99" s="38" t="s">
        <v>40</v>
      </c>
      <c r="D99" s="42">
        <f>TRUNC(2817,-1)</f>
        <v>2810</v>
      </c>
      <c r="E99" s="63">
        <f t="shared" si="3"/>
        <v>9280</v>
      </c>
    </row>
    <row r="100" spans="1:7" x14ac:dyDescent="0.3">
      <c r="A100" s="2">
        <v>3</v>
      </c>
      <c r="C100" s="38" t="s">
        <v>41</v>
      </c>
      <c r="D100" s="42">
        <f>TRUNC(41816,-1)</f>
        <v>41810</v>
      </c>
      <c r="E100" s="63">
        <f t="shared" si="3"/>
        <v>138210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TRUNC(23021,-1)</f>
        <v>23020</v>
      </c>
      <c r="E102" s="63">
        <f t="shared" si="3"/>
        <v>76090</v>
      </c>
    </row>
    <row r="103" spans="1:7" x14ac:dyDescent="0.3">
      <c r="A103" s="2">
        <v>6</v>
      </c>
      <c r="C103" s="38" t="s">
        <v>44</v>
      </c>
      <c r="D103" s="42">
        <f>TRUNC(7747,-1)</f>
        <v>7740</v>
      </c>
      <c r="E103" s="63">
        <f t="shared" si="3"/>
        <v>25580</v>
      </c>
    </row>
    <row r="104" spans="1:7" x14ac:dyDescent="0.3">
      <c r="A104" s="2">
        <v>7</v>
      </c>
      <c r="C104" s="38" t="s">
        <v>45</v>
      </c>
      <c r="D104" s="42">
        <f>TRUNC(7415,-1)</f>
        <v>7410</v>
      </c>
      <c r="E104" s="63">
        <f t="shared" si="3"/>
        <v>24490</v>
      </c>
    </row>
    <row r="105" spans="1:7" x14ac:dyDescent="0.3">
      <c r="A105" s="2">
        <v>8</v>
      </c>
      <c r="C105" s="38" t="s">
        <v>46</v>
      </c>
      <c r="D105" s="42">
        <f>TRUNC(1363,-1)</f>
        <v>1360</v>
      </c>
      <c r="E105" s="63">
        <f t="shared" si="3"/>
        <v>4490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TRUNC(11647,-1)</f>
        <v>11640</v>
      </c>
      <c r="E114" s="63">
        <f t="shared" si="3"/>
        <v>38470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TRUNC(134935,-1)</f>
        <v>134930</v>
      </c>
      <c r="E117" s="63">
        <f t="shared" si="3"/>
        <v>446050</v>
      </c>
    </row>
    <row r="118" spans="1:7" ht="17.25" thickBot="1" x14ac:dyDescent="0.35">
      <c r="A118" s="2">
        <v>21</v>
      </c>
      <c r="C118" s="38" t="s">
        <v>47</v>
      </c>
      <c r="D118" s="43">
        <f>TRUNC(4404,-1)</f>
        <v>4400</v>
      </c>
      <c r="E118" s="64">
        <f t="shared" si="3"/>
        <v>14540</v>
      </c>
    </row>
    <row r="119" spans="1:7" x14ac:dyDescent="0.3">
      <c r="A119" s="2">
        <v>22</v>
      </c>
      <c r="C119" s="27" t="s">
        <v>112</v>
      </c>
      <c r="D119" s="39">
        <f>SUM(D98:D118)</f>
        <v>252880</v>
      </c>
      <c r="E119" s="39">
        <f>SUM(E98:E118)</f>
        <v>835910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TRUNC(5946,-1)</f>
        <v>5940</v>
      </c>
      <c r="E122" s="62">
        <f t="shared" ref="E122:E132" si="4">TRUNC(+D122*3.3058,-1)</f>
        <v>19630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TRUNC(1875,-1)</f>
        <v>1870</v>
      </c>
      <c r="E124" s="63">
        <f t="shared" si="4"/>
        <v>6180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TRUNC(4091,-1)</f>
        <v>4090</v>
      </c>
      <c r="E126" s="63">
        <f t="shared" si="4"/>
        <v>13520</v>
      </c>
    </row>
    <row r="127" spans="1:7" x14ac:dyDescent="0.3">
      <c r="A127" s="2">
        <v>6</v>
      </c>
      <c r="C127" s="38" t="s">
        <v>56</v>
      </c>
      <c r="D127" s="42">
        <f>TRUNC(574,-1)</f>
        <v>570</v>
      </c>
      <c r="E127" s="63">
        <f t="shared" si="4"/>
        <v>1880</v>
      </c>
    </row>
    <row r="128" spans="1:7" x14ac:dyDescent="0.3">
      <c r="A128" s="2">
        <v>7</v>
      </c>
      <c r="C128" s="38" t="s">
        <v>46</v>
      </c>
      <c r="D128" s="42">
        <f>TRUNC(4916,-1)</f>
        <v>4910</v>
      </c>
      <c r="E128" s="63">
        <f t="shared" si="4"/>
        <v>16230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TRUNC(51873,-1)</f>
        <v>51870</v>
      </c>
      <c r="E130" s="63">
        <f t="shared" si="4"/>
        <v>171470</v>
      </c>
    </row>
    <row r="131" spans="1:7" x14ac:dyDescent="0.3">
      <c r="A131" s="2">
        <v>10</v>
      </c>
      <c r="C131" s="38" t="s">
        <v>148</v>
      </c>
      <c r="D131" s="42">
        <f>TRUNC(79951,-1)</f>
        <v>79950</v>
      </c>
      <c r="E131" s="63">
        <f t="shared" si="4"/>
        <v>264290</v>
      </c>
    </row>
    <row r="132" spans="1:7" ht="18" thickBot="1" x14ac:dyDescent="0.35">
      <c r="A132" s="2">
        <v>11</v>
      </c>
      <c r="C132" s="38" t="s">
        <v>47</v>
      </c>
      <c r="D132" s="43">
        <f>TRUNC(1298,-1)</f>
        <v>1290</v>
      </c>
      <c r="E132" s="64">
        <f t="shared" si="4"/>
        <v>4260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150490</v>
      </c>
      <c r="E133" s="39">
        <f>SUM(E122:E132)</f>
        <v>497460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TRUNC(2408,-1)</f>
        <v>2400</v>
      </c>
      <c r="E139" s="63">
        <f t="shared" si="5"/>
        <v>7930</v>
      </c>
    </row>
    <row r="140" spans="1:7" x14ac:dyDescent="0.3">
      <c r="A140" s="2">
        <v>5</v>
      </c>
      <c r="C140" s="38" t="s">
        <v>57</v>
      </c>
      <c r="D140" s="42">
        <f>TRUNC(3546,-1)</f>
        <v>3540</v>
      </c>
      <c r="E140" s="63">
        <f t="shared" si="5"/>
        <v>11700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12020</v>
      </c>
      <c r="E142" s="63">
        <f t="shared" si="5"/>
        <v>39730</v>
      </c>
    </row>
    <row r="143" spans="1:7" x14ac:dyDescent="0.3">
      <c r="A143" s="2">
        <v>8</v>
      </c>
      <c r="C143" s="38" t="s">
        <v>62</v>
      </c>
      <c r="D143" s="42">
        <v>6210</v>
      </c>
      <c r="E143" s="63">
        <f t="shared" si="5"/>
        <v>20520</v>
      </c>
    </row>
    <row r="144" spans="1:7" x14ac:dyDescent="0.3">
      <c r="A144" s="2">
        <v>9</v>
      </c>
      <c r="C144" s="38" t="s">
        <v>63</v>
      </c>
      <c r="D144" s="42">
        <f>TRUNC(16832,-1)</f>
        <v>16830</v>
      </c>
      <c r="E144" s="63">
        <f t="shared" si="5"/>
        <v>55630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41000</v>
      </c>
      <c r="E146" s="39">
        <f>SUM(E136:E145)</f>
        <v>135510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5662+1628</f>
        <v>7290</v>
      </c>
      <c r="E149" s="62">
        <f>TRUNC(+D149*3.3058,-1)</f>
        <v>24090</v>
      </c>
    </row>
    <row r="150" spans="1:7" x14ac:dyDescent="0.3">
      <c r="A150" s="2">
        <v>2</v>
      </c>
      <c r="C150" s="38" t="s">
        <v>49</v>
      </c>
      <c r="D150" s="42">
        <f>TRUNC(7246,-1)</f>
        <v>7240</v>
      </c>
      <c r="E150" s="63">
        <f>TRUNC(+D150*3.3058,-1)</f>
        <v>23930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2892+1648</f>
        <v>4540</v>
      </c>
      <c r="E152" s="63">
        <f>TRUNC(+D152*3.3058,-1)</f>
        <v>15000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TRUNC(11373,-1)</f>
        <v>11370</v>
      </c>
      <c r="E153" s="64">
        <f>TRUNC(+D153*3.3058,-1)</f>
        <v>37580</v>
      </c>
    </row>
    <row r="154" spans="1:7" x14ac:dyDescent="0.3">
      <c r="A154" s="2">
        <v>6</v>
      </c>
      <c r="C154" s="27" t="s">
        <v>112</v>
      </c>
      <c r="D154" s="39">
        <f>SUM(D149:D153)</f>
        <v>30440</v>
      </c>
      <c r="E154" s="39">
        <f>SUM(E149:E153)</f>
        <v>100600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TRUNC(17127,-1)</f>
        <v>17120</v>
      </c>
      <c r="E157" s="62">
        <f>TRUNC(+D157*3.3058,-1)</f>
        <v>56590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TRUNC(8415,-1)</f>
        <v>8410</v>
      </c>
      <c r="E159" s="63">
        <f>TRUNC(+D159*3.3058,-1)</f>
        <v>27800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f>TRUNC(11373,-1)</f>
        <v>11370</v>
      </c>
      <c r="E160" s="64">
        <f>TRUNC(+D160*3.3058,-1)</f>
        <v>37580</v>
      </c>
    </row>
    <row r="161" spans="1:5" x14ac:dyDescent="0.3">
      <c r="A161" s="2">
        <v>5</v>
      </c>
      <c r="C161" s="27" t="s">
        <v>112</v>
      </c>
      <c r="D161" s="39">
        <f>SUM(D157:D160)</f>
        <v>36900</v>
      </c>
      <c r="E161" s="39">
        <f>SUM(E157:E160)</f>
        <v>121970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2020-12-08T04:05:11Z</dcterms:modified>
</cp:coreProperties>
</file>