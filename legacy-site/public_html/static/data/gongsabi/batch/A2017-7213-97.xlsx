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8" i="4" l="1"/>
  <c r="D157" i="4"/>
  <c r="D152" i="4"/>
  <c r="D150" i="4"/>
  <c r="D149" i="4"/>
  <c r="D137" i="4"/>
  <c r="D144" i="4"/>
  <c r="D143" i="4"/>
  <c r="D139" i="4"/>
  <c r="D138" i="4"/>
  <c r="D141" i="4"/>
  <c r="D142" i="4"/>
  <c r="D140" i="4"/>
  <c r="D128" i="4"/>
  <c r="D127" i="4"/>
  <c r="D132" i="4"/>
  <c r="D124" i="4"/>
  <c r="D125" i="4"/>
  <c r="D122" i="4"/>
  <c r="D130" i="4"/>
  <c r="D118" i="4"/>
  <c r="D105" i="4"/>
  <c r="D104" i="4"/>
  <c r="D102" i="4"/>
  <c r="D101" i="4"/>
  <c r="D100" i="4"/>
  <c r="D99" i="4"/>
  <c r="D114" i="4"/>
  <c r="D98" i="4"/>
  <c r="D116" i="4"/>
  <c r="D75" i="4"/>
  <c r="D76" i="4"/>
  <c r="D92" i="4"/>
  <c r="D91" i="4"/>
  <c r="D89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D153" i="4"/>
  <c r="D145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95" i="4"/>
  <c r="E60" i="4"/>
  <c r="E146" i="4"/>
  <c r="E133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<sst xmlns="http://schemas.openxmlformats.org/spreadsheetml/2006/main" count="394" uniqueCount="267">
  <si>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</si>
  <si>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</si>
  <si>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</si>
  <si>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</si>
  <si>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</si>
  <si>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</si>
  <si>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</si>
  <si>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</si>
  <si>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</si>
  <si>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</si>
  <si>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</si>
  <si>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</si>
  <si>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</si>
  <si>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</si>
  <si>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</si>
  <si>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</si>
  <si>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</si>
  <si>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</si>
  <si>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</si>
  <si>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</si>
  <si>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</si>
  <si>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</si>
  <si>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</si>
  <si>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</si>
  <si>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</si>
  <si>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</si>
  <si>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</si>
  <si>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</si>
  <si>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</si>
  <si>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</si>
  <si>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</si>
  <si>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</si>
  <si>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</si>
  <si>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</si>
  <si>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</si>
  <si>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</si>
  <si>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</si>
  <si>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</si>
  <si>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</si>
  <si>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</si>
  <si>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</si>
  <si>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</si>
  <si>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</si>
  <si>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</si>
  <si>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</si>
  <si>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</si>
  <si>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</si>
  <si>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</si>
  <si>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</si>
  <si>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</si>
  <si>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</si>
  <si>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</si>
  <si>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</si>
  <si>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</si>
  <si>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</si>
  <si>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</si>
  <si>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</si>
  <si>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</si>
  <si>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</si>
  <si>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</si>
  <si>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</si>
  <si>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</si>
  <si>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</si>
  <si>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</si>
  <si>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</si>
  <si>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</si>
  <si>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</si>
  <si>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</si>
  <si>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</si>
  <si>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</si>
  <si>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</si>
  <si>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</si>
  <si>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</si>
  <si>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</si>
  <si>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</si>
  <si>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</si>
  <si>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</si>
  <si>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</si>
  <si>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</si>
  <si>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</si>
  <si>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</si>
  <si>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</si>
  <si>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</si>
  <si>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</si>
  <si>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</si>
  <si>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</si>
  <si>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</si>
  <si>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</si>
  <si>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</si>
  <si>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</si>
  <si>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</si>
  <si>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</si>
  <si>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</si>
  <si>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</si>
  <si>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</si>
  <si>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</si>
  <si>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</si>
  <si>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</si>
  <si>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</si>
  <si>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</si>
  <si>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</si>
  <si>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</si>
  <si>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</si>
  <si>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</si>
  <si>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</si>
  <si>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</si>
  <si>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</si>
  <si>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</si>
  <si>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</si>
  <si>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</si>
  <si>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</si>
  <si>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</si>
  <si>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</si>
  <si>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</si>
  <si>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</si>
  <si>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</si>
  <si>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</si>
  <si>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</si>
  <si>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</si>
  <si>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</si>
  <si>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</si>
  <si>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</si>
  <si>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</si>
  <si>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</si>
  <si>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</si>
  <si>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</si>
  <si>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</si>
  <si>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</si>
  <si>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</si>
  <si>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</si>
  <si>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</si>
  <si>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</si>
  <si>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</si>
  <si>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</si>
  <si>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</si>
  <si>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</si>
  <si>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</si>
  <si>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</si>
  <si>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</si>
  <si>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</si>
  <si>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</si>
  <si>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</si>
  <si>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</si>
  <si>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</si>
  <si>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</si>
  <si>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</si>
  <si>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</si>
  <si>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</si>
  <si>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</si>
  <si>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</si>
  <si>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</si>
  <si>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</si>
  <si>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</si>
  <si>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</si>
  <si>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</si>
  <si>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</si>
  <si>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</si>
  <si>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</si>
  <si>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</si>
  <si>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</si>
  <si>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</si>
  <si>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</si>
  <si>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</si>
  <si>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</si>
  <si>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</si>
  <si>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</si>
  <si>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</si>
  <si>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</si>
  <si>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</si>
  <si>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</si>
  <si>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</si>
  <si>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</si>
  <si>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</si>
  <si>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</si>
  <si>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</si>
  <si>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</si>
  <si>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</si>
  <si>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</si>
  <si>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</si>
  <si>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</si>
  <si>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</si>
  <si>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</si>
  <si>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</si>
  <si>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</si>
  <si>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</si>
  <si>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</si>
  <si>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</si>
  <si>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</si>
  <si>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</si>
  <si>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</si>
  <si>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</si>
  <si>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</si>
  <si>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</si>
  <si>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</si>
  <si>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</si>
  <si>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</si>
  <si>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</si>
  <si>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</si>
  <si>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</si>
  <si>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</si>
  <si>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</si>
  <si>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</si>
  <si>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</si>
  <si>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</si>
  <si>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</si>
  <si>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</si>
  <si>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</si>
  <si>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</si>
  <si>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</si>
  <si>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</si>
  <si>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</si>
  <si>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</si>
  <si>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</si>
  <si>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</si>
  <si>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</si>
  <si>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</si>
  <si>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</si>
  <si>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</si>
  <si>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</si>
  <si>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</si>
  <si>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</si>
  <si>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</si>
  <si>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</si>
  <si>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</si>
  <si>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</si>
  <si>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</si>
  <si>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</si>
  <si>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</si>
  <si>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</si>
  <si>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</si>
  <si>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</si>
  <si>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</si>
  <si>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</si>
  <si>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</si>
  <si>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</si>
  <si>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</si>
  <si>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</si>
  <si>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</si>
  <si>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</si>
  <si>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</si>
  <si>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</si>
  <si>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</si>
  <si>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</si>
  <si>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</si>
  <si>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</si>
  <si>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</si>
  <si>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</si>
  <si>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</si>
  <si>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호국기념관 건립 공사</t>
    <phoneticPr fontId="2" type="noConversion"/>
  </si>
  <si>
    <t>문화및집회</t>
  </si>
  <si>
    <t>전라도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</si>
  <si>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</si>
  <si>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</si>
  <si>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</si>
  <si>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기초공사,해체및철거공사,골재비및운반비,작업부산물,품질시험비,기타공사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</si>
  <si>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</si>
  <si>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</si>
  <si>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</si>
  <si>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</si>
  <si>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</si>
  <si>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</si>
  <si>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</si>
  <si>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</si>
  <si>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우수처리시설공사,기타공사, 바닥난방공사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</si>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</sst>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4898.62</v>
      </c>
      <c r="D7" s="36">
        <f>+C7/3.3058</f>
        <v>1481.8258817835319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1018690</v>
      </c>
      <c r="E25" s="59">
        <f t="shared" si="0"/>
        <v>3367580</v>
      </c>
    </row>
    <row r="26" spans="1:5" x14ac:dyDescent="0.3">
      <c r="B26" s="2">
        <v>3</v>
      </c>
      <c r="C26" s="35" t="s">
        <v>95</v>
      </c>
      <c r="D26" s="45">
        <f>+D66</f>
        <v>11150</v>
      </c>
      <c r="E26" s="59">
        <f t="shared" si="0"/>
        <v>36850</v>
      </c>
    </row>
    <row r="27" spans="1:5" x14ac:dyDescent="0.3">
      <c r="B27" s="2">
        <v>4</v>
      </c>
      <c r="C27" s="35" t="s">
        <v>96</v>
      </c>
      <c r="D27" s="45">
        <f>+D95</f>
        <v>359460</v>
      </c>
      <c r="E27" s="59">
        <f t="shared" si="0"/>
        <v>1188300</v>
      </c>
    </row>
    <row r="28" spans="1:5" x14ac:dyDescent="0.3">
      <c r="B28" s="2">
        <v>5</v>
      </c>
      <c r="C28" s="35" t="s">
        <v>97</v>
      </c>
      <c r="D28" s="45">
        <f>+D119</f>
        <v>219990</v>
      </c>
      <c r="E28" s="59">
        <f t="shared" si="0"/>
        <v>727240</v>
      </c>
    </row>
    <row r="29" spans="1:5" x14ac:dyDescent="0.3">
      <c r="B29" s="2">
        <v>6</v>
      </c>
      <c r="C29" s="35" t="s">
        <v>98</v>
      </c>
      <c r="D29" s="45">
        <f>+D133</f>
        <v>163720</v>
      </c>
      <c r="E29" s="59">
        <f t="shared" si="0"/>
        <v>541220</v>
      </c>
    </row>
    <row r="30" spans="1:5" x14ac:dyDescent="0.3">
      <c r="B30" s="2">
        <v>7</v>
      </c>
      <c r="C30" s="35" t="s">
        <v>99</v>
      </c>
      <c r="D30" s="45">
        <f>+D146</f>
        <v>73610</v>
      </c>
      <c r="E30" s="59">
        <f t="shared" si="0"/>
        <v>243330</v>
      </c>
    </row>
    <row r="31" spans="1:5" x14ac:dyDescent="0.3">
      <c r="B31" s="2">
        <v>8</v>
      </c>
      <c r="C31" s="35" t="s">
        <v>100</v>
      </c>
      <c r="D31" s="45">
        <f>+D154</f>
        <v>76710</v>
      </c>
      <c r="E31" s="59">
        <f t="shared" si="0"/>
        <v>253580</v>
      </c>
    </row>
    <row r="32" spans="1:5" x14ac:dyDescent="0.3">
      <c r="B32" s="2">
        <v>9</v>
      </c>
      <c r="C32" s="35" t="s">
        <v>101</v>
      </c>
      <c r="D32" s="45">
        <f>+D161</f>
        <v>145360</v>
      </c>
      <c r="E32" s="59">
        <f t="shared" si="0"/>
        <v>480530</v>
      </c>
    </row>
    <row r="33" spans="1:7" x14ac:dyDescent="0.3">
      <c r="B33" s="2">
        <v>10</v>
      </c>
      <c r="C33" s="35" t="s">
        <v>154</v>
      </c>
      <c r="D33" s="53">
        <f>TRUNC(SUM(D24:D32)*0.275,-1)</f>
        <v>568880</v>
      </c>
      <c r="E33" s="60">
        <f t="shared" si="0"/>
        <v>1880600</v>
      </c>
    </row>
    <row r="34" spans="1:7" x14ac:dyDescent="0.3">
      <c r="C34" s="35" t="s">
        <v>112</v>
      </c>
      <c r="D34" s="44">
        <f>SUM(D24:D33)</f>
        <v>2637570</v>
      </c>
      <c r="E34" s="44">
        <f>SUM(E24:E33)</f>
        <v>8719230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237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TRUNC(68400,-1)</f>
        <v>68400</v>
      </c>
      <c r="E40" s="62">
        <f t="shared" ref="E40:E59" si="1">TRUNC(+D40*3.3058,-1)</f>
        <v>226110</v>
      </c>
    </row>
    <row r="41" spans="1:7" x14ac:dyDescent="0.3">
      <c r="A41" s="2">
        <v>2</v>
      </c>
      <c r="C41" s="38" t="s">
        <v>13</v>
      </c>
      <c r="D41" s="42">
        <f>TRUNC(202286,-1)</f>
        <v>202280</v>
      </c>
      <c r="E41" s="63">
        <f t="shared" si="1"/>
        <v>668690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TRUNC(30409,-1)</f>
        <v>30400</v>
      </c>
      <c r="E43" s="63">
        <f t="shared" si="1"/>
        <v>100490</v>
      </c>
    </row>
    <row r="44" spans="1:7" x14ac:dyDescent="0.3">
      <c r="A44" s="2">
        <v>5</v>
      </c>
      <c r="C44" s="38" t="s">
        <v>17</v>
      </c>
      <c r="D44" s="42">
        <f>TRUNC(34155,-1)</f>
        <v>34150</v>
      </c>
      <c r="E44" s="63">
        <f t="shared" si="1"/>
        <v>112890</v>
      </c>
    </row>
    <row r="45" spans="1:7" x14ac:dyDescent="0.3">
      <c r="A45" s="2">
        <v>6</v>
      </c>
      <c r="C45" s="38" t="s">
        <v>18</v>
      </c>
      <c r="D45" s="42">
        <f>TRUNC(6907,-1)</f>
        <v>6900</v>
      </c>
      <c r="E45" s="63">
        <f t="shared" si="1"/>
        <v>22810</v>
      </c>
    </row>
    <row r="46" spans="1:7" x14ac:dyDescent="0.3">
      <c r="A46" s="2">
        <v>7</v>
      </c>
      <c r="C46" s="38" t="s">
        <v>19</v>
      </c>
      <c r="D46" s="42">
        <f>TRUNC(20784,-1)</f>
        <v>20780</v>
      </c>
      <c r="E46" s="63">
        <f t="shared" si="1"/>
        <v>68690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TRUNC(43415,-1)</f>
        <v>43410</v>
      </c>
      <c r="E48" s="63">
        <f t="shared" si="1"/>
        <v>143500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TRUNC(22624,-1)</f>
        <v>22620</v>
      </c>
      <c r="E49" s="63">
        <f t="shared" si="1"/>
        <v>74770</v>
      </c>
    </row>
    <row r="50" spans="1:7" x14ac:dyDescent="0.3">
      <c r="A50" s="2">
        <v>11</v>
      </c>
      <c r="C50" s="38" t="s">
        <v>155</v>
      </c>
      <c r="D50" s="42">
        <f>TRUNC(48083,-1)</f>
        <v>48080</v>
      </c>
      <c r="E50" s="63">
        <f t="shared" si="1"/>
        <v>158940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TRUNC(10883,-1)</f>
        <v>10880</v>
      </c>
      <c r="E52" s="63">
        <f t="shared" si="1"/>
        <v>35960</v>
      </c>
    </row>
    <row r="53" spans="1:7" x14ac:dyDescent="0.3">
      <c r="A53" s="2">
        <v>14</v>
      </c>
      <c r="C53" s="38" t="s">
        <v>25</v>
      </c>
      <c r="D53" s="42">
        <f>TRUNC(114553,-1)</f>
        <v>114550</v>
      </c>
      <c r="E53" s="63">
        <f t="shared" si="1"/>
        <v>378670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TRUNC(555+559+7501-546+494+35377,-1)</f>
        <v>43940</v>
      </c>
      <c r="E58" s="63">
        <f t="shared" si="1"/>
        <v>145250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TRUNC(372302,-1)</f>
        <v>372300</v>
      </c>
      <c r="E59" s="64">
        <f t="shared" si="1"/>
        <v>1230740</v>
      </c>
    </row>
    <row r="60" spans="1:7" x14ac:dyDescent="0.3">
      <c r="A60" s="2">
        <v>21</v>
      </c>
      <c r="C60" s="27" t="s">
        <v>112</v>
      </c>
      <c r="D60" s="39">
        <f>SUM(D40:D59)</f>
        <v>1018690</v>
      </c>
      <c r="E60" s="39">
        <f>SUM(E40:E59)</f>
        <v>3367510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TRUNC(11159,-1)</f>
        <v>11150</v>
      </c>
      <c r="E63" s="62">
        <f>TRUNC(+D63*3.3058,-1)</f>
        <v>36850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11150</v>
      </c>
      <c r="E66" s="65">
        <f>SUM(E63:E65)</f>
        <v>36850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TRUNC(3601,-1)</f>
        <v>3600</v>
      </c>
      <c r="E69" s="62">
        <f t="shared" ref="E69:E94" si="2">TRUNC(+D69*3.3058,-1)</f>
        <v>11900</v>
      </c>
    </row>
    <row r="70" spans="1:7" ht="16.5" customHeight="1" x14ac:dyDescent="0.3">
      <c r="A70" s="2">
        <v>2</v>
      </c>
      <c r="C70" s="38" t="s">
        <v>31</v>
      </c>
      <c r="D70" s="42">
        <f>TRUNC(4103,-1)</f>
        <v>4100</v>
      </c>
      <c r="E70" s="63">
        <f t="shared" si="2"/>
        <v>13550</v>
      </c>
    </row>
    <row r="71" spans="1:7" x14ac:dyDescent="0.3">
      <c r="A71" s="2">
        <v>3</v>
      </c>
      <c r="C71" s="38" t="s">
        <v>32</v>
      </c>
      <c r="D71" s="42">
        <f>TRUNC(19379,-1)</f>
        <v>19370</v>
      </c>
      <c r="E71" s="63">
        <f t="shared" si="2"/>
        <v>64030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TRUNC(5398,-1)</f>
        <v>5390</v>
      </c>
      <c r="E73" s="63">
        <f t="shared" si="2"/>
        <v>17810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TRUNC(935,-1)</f>
        <v>930</v>
      </c>
      <c r="E75" s="63">
        <f t="shared" si="2"/>
        <v>3070</v>
      </c>
    </row>
    <row r="76" spans="1:7" x14ac:dyDescent="0.3">
      <c r="A76" s="2">
        <v>8</v>
      </c>
      <c r="C76" s="38" t="s">
        <v>119</v>
      </c>
      <c r="D76" s="42">
        <f>TRUNC(109826,-1)</f>
        <v>109820</v>
      </c>
      <c r="E76" s="63">
        <f t="shared" si="2"/>
        <v>363040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TRUNC(12063,-1)</f>
        <v>12060</v>
      </c>
      <c r="E89" s="63">
        <f t="shared" si="2"/>
        <v>39860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TRUNC(55454,-1)</f>
        <v>55450</v>
      </c>
      <c r="E91" s="63">
        <f t="shared" si="2"/>
        <v>183300</v>
      </c>
    </row>
    <row r="92" spans="1:7" x14ac:dyDescent="0.3">
      <c r="A92" s="2">
        <v>24</v>
      </c>
      <c r="C92" s="38" t="s">
        <v>38</v>
      </c>
      <c r="D92" s="42">
        <f>TRUNC(4449,-1)</f>
        <v>4440</v>
      </c>
      <c r="E92" s="63">
        <f t="shared" si="2"/>
        <v>14670</v>
      </c>
    </row>
    <row r="93" spans="1:7" x14ac:dyDescent="0.3">
      <c r="A93" s="2">
        <v>25</v>
      </c>
      <c r="C93" s="38" t="s">
        <v>148</v>
      </c>
      <c r="D93" s="42">
        <f>TRUNC(140858,-1)</f>
        <v>140850</v>
      </c>
      <c r="E93" s="63">
        <f t="shared" si="2"/>
        <v>465620</v>
      </c>
    </row>
    <row r="94" spans="1:7" ht="17.25" thickBot="1" x14ac:dyDescent="0.35">
      <c r="A94" s="2">
        <v>26</v>
      </c>
      <c r="C94" s="38" t="s">
        <v>47</v>
      </c>
      <c r="D94" s="43">
        <f>TRUNC(1527+1843+80,-1)</f>
        <v>3450</v>
      </c>
      <c r="E94" s="64">
        <f t="shared" si="2"/>
        <v>11400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359460</v>
      </c>
      <c r="E95" s="39">
        <f>SUM(E69:E94)</f>
        <v>1188250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TRUNC(13437,-1)</f>
        <v>13430</v>
      </c>
      <c r="E98" s="62">
        <f t="shared" ref="E98:E118" si="3">TRUNC(+D98*3.3058,-1)</f>
        <v>44390</v>
      </c>
    </row>
    <row r="99" spans="1:7" x14ac:dyDescent="0.3">
      <c r="A99" s="2">
        <v>2</v>
      </c>
      <c r="C99" s="38" t="s">
        <v>40</v>
      </c>
      <c r="D99" s="42">
        <f>TRUNC(15735,-1)</f>
        <v>15730</v>
      </c>
      <c r="E99" s="63">
        <f t="shared" si="3"/>
        <v>52000</v>
      </c>
    </row>
    <row r="100" spans="1:7" x14ac:dyDescent="0.3">
      <c r="A100" s="2">
        <v>3</v>
      </c>
      <c r="C100" s="38" t="s">
        <v>41</v>
      </c>
      <c r="D100" s="42">
        <f>TRUNC(36687,-1)</f>
        <v>36680</v>
      </c>
      <c r="E100" s="63">
        <f t="shared" si="3"/>
        <v>121250</v>
      </c>
    </row>
    <row r="101" spans="1:7" x14ac:dyDescent="0.3">
      <c r="A101" s="2">
        <v>4</v>
      </c>
      <c r="C101" s="38" t="s">
        <v>42</v>
      </c>
      <c r="D101" s="42">
        <f>TRUNC(2326,-1)</f>
        <v>2320</v>
      </c>
      <c r="E101" s="63">
        <f t="shared" si="3"/>
        <v>7660</v>
      </c>
    </row>
    <row r="102" spans="1:7" x14ac:dyDescent="0.3">
      <c r="A102" s="2">
        <v>5</v>
      </c>
      <c r="C102" s="38" t="s">
        <v>43</v>
      </c>
      <c r="D102" s="42">
        <f>TRUNC(7904,-1)</f>
        <v>7900</v>
      </c>
      <c r="E102" s="63">
        <f t="shared" si="3"/>
        <v>26110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TRUNC(5270,-1)</f>
        <v>5270</v>
      </c>
      <c r="E104" s="63">
        <f t="shared" si="3"/>
        <v>17420</v>
      </c>
    </row>
    <row r="105" spans="1:7" x14ac:dyDescent="0.3">
      <c r="A105" s="2">
        <v>8</v>
      </c>
      <c r="C105" s="38" t="s">
        <v>46</v>
      </c>
      <c r="D105" s="42">
        <f>TRUNC(4694,-1)</f>
        <v>4690</v>
      </c>
      <c r="E105" s="63">
        <f t="shared" si="3"/>
        <v>15500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TRUNC(9031,-1)</f>
        <v>9030</v>
      </c>
      <c r="E114" s="63">
        <f t="shared" si="3"/>
        <v>29850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TRUNC(6016,-1)</f>
        <v>6010</v>
      </c>
      <c r="E116" s="63">
        <f t="shared" si="3"/>
        <v>19860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TRUNC(118215,-1)</f>
        <v>118210</v>
      </c>
      <c r="E117" s="63">
        <f t="shared" si="3"/>
        <v>390770</v>
      </c>
    </row>
    <row r="118" spans="1:7" ht="17.25" thickBot="1" x14ac:dyDescent="0.35">
      <c r="A118" s="2">
        <v>21</v>
      </c>
      <c r="C118" s="38" t="s">
        <v>47</v>
      </c>
      <c r="D118" s="43">
        <f>TRUNC(727,-1)</f>
        <v>720</v>
      </c>
      <c r="E118" s="64">
        <f t="shared" si="3"/>
        <v>2380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219990</v>
      </c>
      <c r="E119" s="39">
        <f>SUM(E98:E118)</f>
        <v>727190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TRUNC(3321,-1)</f>
        <v>3320</v>
      </c>
      <c r="E122" s="62">
        <f t="shared" ref="E122:E132" si="4">TRUNC(+D122*3.3058,-1)</f>
        <v>10970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TRUNC(2596,-1)</f>
        <v>2590</v>
      </c>
      <c r="E124" s="63">
        <f t="shared" si="4"/>
        <v>8560</v>
      </c>
    </row>
    <row r="125" spans="1:7" x14ac:dyDescent="0.3">
      <c r="A125" s="2">
        <v>4</v>
      </c>
      <c r="C125" s="38" t="s">
        <v>138</v>
      </c>
      <c r="D125" s="42">
        <f>TRUNC(13418,-1)</f>
        <v>13410</v>
      </c>
      <c r="E125" s="63">
        <f t="shared" si="4"/>
        <v>44330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TRUNC(4563,-1)</f>
        <v>4560</v>
      </c>
      <c r="E127" s="63">
        <f t="shared" si="4"/>
        <v>15070</v>
      </c>
    </row>
    <row r="128" spans="1:7" x14ac:dyDescent="0.3">
      <c r="A128" s="2">
        <v>7</v>
      </c>
      <c r="C128" s="38" t="s">
        <v>46</v>
      </c>
      <c r="D128" s="42">
        <f>TRUNC(3587,-1)</f>
        <v>3580</v>
      </c>
      <c r="E128" s="63">
        <f t="shared" si="4"/>
        <v>11830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TRUNC(28491,-1)</f>
        <v>28490</v>
      </c>
      <c r="E130" s="63">
        <f t="shared" si="4"/>
        <v>94180</v>
      </c>
    </row>
    <row r="131" spans="1:7" x14ac:dyDescent="0.3">
      <c r="A131" s="2">
        <v>10</v>
      </c>
      <c r="C131" s="38" t="s">
        <v>148</v>
      </c>
      <c r="D131" s="42">
        <f>TRUNC(100908,-1)</f>
        <v>100900</v>
      </c>
      <c r="E131" s="63">
        <f t="shared" si="4"/>
        <v>333550</v>
      </c>
    </row>
    <row r="132" spans="1:7" ht="18" thickBot="1" x14ac:dyDescent="0.35">
      <c r="A132" s="2">
        <v>11</v>
      </c>
      <c r="C132" s="38" t="s">
        <v>47</v>
      </c>
      <c r="D132" s="43">
        <f>TRUNC(6273+601,-1)</f>
        <v>6870</v>
      </c>
      <c r="E132" s="64">
        <f t="shared" si="4"/>
        <v>22710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163720</v>
      </c>
      <c r="E133" s="39">
        <f>SUM(E122:E132)</f>
        <v>541200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TRUNC(633+5162+824,-1)</f>
        <v>6610</v>
      </c>
      <c r="E137" s="63">
        <f t="shared" si="5"/>
        <v>21850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TRUNC(1166,-1)</f>
        <v>1160</v>
      </c>
      <c r="E138" s="63">
        <f t="shared" si="5"/>
        <v>3830</v>
      </c>
    </row>
    <row r="139" spans="1:7" x14ac:dyDescent="0.3">
      <c r="A139" s="2">
        <v>4</v>
      </c>
      <c r="C139" s="38" t="s">
        <v>61</v>
      </c>
      <c r="D139" s="42">
        <f>TRUNC(2215,-1)</f>
        <v>2210</v>
      </c>
      <c r="E139" s="63">
        <f t="shared" si="5"/>
        <v>7300</v>
      </c>
    </row>
    <row r="140" spans="1:7" x14ac:dyDescent="0.3">
      <c r="A140" s="2">
        <v>5</v>
      </c>
      <c r="C140" s="38" t="s">
        <v>57</v>
      </c>
      <c r="D140" s="42">
        <f>TRUNC(3483,-1)</f>
        <v>3480</v>
      </c>
      <c r="E140" s="63">
        <f t="shared" si="5"/>
        <v>11500</v>
      </c>
    </row>
    <row r="141" spans="1:7" x14ac:dyDescent="0.3">
      <c r="A141" s="2">
        <v>6</v>
      </c>
      <c r="C141" s="38" t="s">
        <v>59</v>
      </c>
      <c r="D141" s="42">
        <f>TRUNC(30890,-1)</f>
        <v>30890</v>
      </c>
      <c r="E141" s="63">
        <f t="shared" si="5"/>
        <v>102110</v>
      </c>
    </row>
    <row r="142" spans="1:7" x14ac:dyDescent="0.3">
      <c r="A142" s="2">
        <v>7</v>
      </c>
      <c r="C142" s="38" t="s">
        <v>58</v>
      </c>
      <c r="D142" s="42">
        <f>TRUNC(6106,-1)</f>
        <v>6100</v>
      </c>
      <c r="E142" s="63">
        <f t="shared" si="5"/>
        <v>20160</v>
      </c>
    </row>
    <row r="143" spans="1:7" x14ac:dyDescent="0.3">
      <c r="A143" s="2">
        <v>8</v>
      </c>
      <c r="C143" s="38" t="s">
        <v>62</v>
      </c>
      <c r="D143" s="42">
        <f>TRUNC(6248,-1)</f>
        <v>6240</v>
      </c>
      <c r="E143" s="63">
        <f t="shared" si="5"/>
        <v>20620</v>
      </c>
    </row>
    <row r="144" spans="1:7" x14ac:dyDescent="0.3">
      <c r="A144" s="2">
        <v>9</v>
      </c>
      <c r="C144" s="38" t="s">
        <v>63</v>
      </c>
      <c r="D144" s="42">
        <f>TRUNC(15525,-1)</f>
        <v>15520</v>
      </c>
      <c r="E144" s="63">
        <f t="shared" si="5"/>
        <v>51300</v>
      </c>
    </row>
    <row r="145" spans="1:7" ht="17.25" thickBot="1" x14ac:dyDescent="0.35">
      <c r="A145" s="2">
        <v>10</v>
      </c>
      <c r="C145" s="38" t="s">
        <v>148</v>
      </c>
      <c r="D145" s="43">
        <f>TRUNC(1400,-1)</f>
        <v>1400</v>
      </c>
      <c r="E145" s="64">
        <f t="shared" si="5"/>
        <v>4620</v>
      </c>
    </row>
    <row r="146" spans="1:7" x14ac:dyDescent="0.3">
      <c r="A146" s="2">
        <v>11</v>
      </c>
      <c r="C146" s="27" t="s">
        <v>112</v>
      </c>
      <c r="D146" s="39">
        <f>SUM(D136:D145)</f>
        <v>73610</v>
      </c>
      <c r="E146" s="39">
        <f>SUM(E136:E145)</f>
        <v>243290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TRUNC(11705+1978,-1)</f>
        <v>13680</v>
      </c>
      <c r="E149" s="62">
        <f>TRUNC(+D149*3.3058,-1)</f>
        <v>45220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TRUNC(14115,-1)</f>
        <v>14110</v>
      </c>
      <c r="E150" s="63">
        <f>TRUNC(+D150*3.3058,-1)</f>
        <v>46640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TRUNC(112+1396,-1)</f>
        <v>1500</v>
      </c>
      <c r="E152" s="63">
        <f>TRUNC(+D152*3.3058,-1)</f>
        <v>4950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TRUNC(47421,-1)</f>
        <v>47420</v>
      </c>
      <c r="E153" s="64">
        <f>TRUNC(+D153*3.3058,-1)</f>
        <v>156760</v>
      </c>
    </row>
    <row r="154" spans="1:7" x14ac:dyDescent="0.3">
      <c r="A154" s="2">
        <v>6</v>
      </c>
      <c r="C154" s="27" t="s">
        <v>112</v>
      </c>
      <c r="D154" s="39">
        <f>SUM(D149:D153)</f>
        <v>76710</v>
      </c>
      <c r="E154" s="39">
        <f>SUM(E149:E153)</f>
        <v>253570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TRUNC(62633,-1)</f>
        <v>62630</v>
      </c>
      <c r="E157" s="62">
        <f>TRUNC(+D157*3.3058,-1)</f>
        <v>207040</v>
      </c>
    </row>
    <row r="158" spans="1:7" x14ac:dyDescent="0.3">
      <c r="A158" s="2">
        <v>2</v>
      </c>
      <c r="C158" s="38" t="s">
        <v>52</v>
      </c>
      <c r="D158" s="42">
        <f>TRUNC(82733,-1)</f>
        <v>82730</v>
      </c>
      <c r="E158" s="63">
        <f>TRUNC(+D158*3.3058,-1)</f>
        <v>273480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145360</v>
      </c>
      <c r="E161" s="39">
        <f>SUM(E157:E160)</f>
        <v>480520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2020-12-08T01:53:06Z</dcterms:modified>
</cp:coreProperties>
</file>