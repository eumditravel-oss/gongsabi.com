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93" i="4"/>
  <c r="D59" i="4"/>
  <c r="E160" i="4" l="1"/>
  <c r="E159" i="4"/>
  <c r="E158" i="4"/>
  <c r="E157" i="4"/>
  <c r="E153" i="4"/>
  <c r="E145" i="4"/>
  <c r="E144" i="4"/>
  <c r="E139" i="4"/>
  <c r="E138" i="4"/>
  <c r="E136" i="4"/>
  <c r="E131" i="4"/>
  <c r="E129" i="4"/>
  <c r="E127" i="4"/>
  <c r="E125" i="4"/>
  <c r="E124" i="4"/>
  <c r="E123" i="4"/>
  <c r="E122" i="4"/>
  <c r="E117" i="4"/>
  <c r="E115" i="4"/>
  <c r="E113" i="4"/>
  <c r="E112" i="4"/>
  <c r="E111" i="4"/>
  <c r="E110" i="4"/>
  <c r="E109" i="4"/>
  <c r="E108" i="4"/>
  <c r="E107" i="4"/>
  <c r="E106" i="4"/>
  <c r="E9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5" i="4"/>
  <c r="E64" i="4"/>
  <c r="E59" i="4"/>
  <c r="E57" i="4"/>
  <c r="E56" i="4"/>
  <c r="E55" i="4"/>
  <c r="E54" i="4"/>
  <c r="E53" i="4"/>
  <c r="E51" i="4"/>
  <c r="E43" i="4"/>
  <c r="E42" i="4"/>
  <c r="E40" i="4"/>
  <c r="E37" i="4"/>
  <c r="E161" i="4" l="1"/>
  <c r="D161" i="4"/>
  <c r="D32" i="4" s="1"/>
  <c r="E32" i="4" s="1"/>
  <c r="D152" i="4"/>
  <c r="E152" i="4" s="1"/>
  <c r="D151" i="4"/>
  <c r="E151" i="4" s="1"/>
  <c r="D150" i="4"/>
  <c r="E150" i="4" s="1"/>
  <c r="D149" i="4"/>
  <c r="D143" i="4"/>
  <c r="E143" i="4" s="1"/>
  <c r="D142" i="4"/>
  <c r="E142" i="4" s="1"/>
  <c r="D141" i="4"/>
  <c r="E141" i="4" s="1"/>
  <c r="D140" i="4"/>
  <c r="E140" i="4" s="1"/>
  <c r="D137" i="4"/>
  <c r="D132" i="4"/>
  <c r="E132" i="4" s="1"/>
  <c r="D130" i="4"/>
  <c r="E130" i="4" s="1"/>
  <c r="D128" i="4"/>
  <c r="E128" i="4" s="1"/>
  <c r="D126" i="4"/>
  <c r="D118" i="4"/>
  <c r="E118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2" i="4"/>
  <c r="E92" i="4" s="1"/>
  <c r="D91" i="4"/>
  <c r="E91" i="4" s="1"/>
  <c r="D89" i="4"/>
  <c r="E89" i="4" s="1"/>
  <c r="D73" i="4"/>
  <c r="E73" i="4" s="1"/>
  <c r="D72" i="4"/>
  <c r="E72" i="4" s="1"/>
  <c r="D71" i="4"/>
  <c r="E71" i="4" s="1"/>
  <c r="D70" i="4"/>
  <c r="E70" i="4" s="1"/>
  <c r="D69" i="4"/>
  <c r="D63" i="4"/>
  <c r="E63" i="4" s="1"/>
  <c r="E66" i="4" s="1"/>
  <c r="D58" i="4"/>
  <c r="E58" i="4" s="1"/>
  <c r="D52" i="4"/>
  <c r="E52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1" i="4"/>
  <c r="D24" i="4"/>
  <c r="E24" i="4" s="1"/>
  <c r="D7" i="4"/>
  <c r="D119" i="4" l="1"/>
  <c r="D28" i="4" s="1"/>
  <c r="E28" i="4" s="1"/>
  <c r="E98" i="4"/>
  <c r="E119" i="4" s="1"/>
  <c r="D154" i="4"/>
  <c r="D31" i="4" s="1"/>
  <c r="E31" i="4" s="1"/>
  <c r="E149" i="4"/>
  <c r="E154" i="4" s="1"/>
  <c r="D66" i="4"/>
  <c r="D26" i="4" s="1"/>
  <c r="E26" i="4" s="1"/>
  <c r="D60" i="4"/>
  <c r="D25" i="4" s="1"/>
  <c r="E25" i="4" s="1"/>
  <c r="E41" i="4"/>
  <c r="E60" i="4" s="1"/>
  <c r="D95" i="4"/>
  <c r="D27" i="4" s="1"/>
  <c r="E27" i="4" s="1"/>
  <c r="E69" i="4"/>
  <c r="E95" i="4" s="1"/>
  <c r="D133" i="4"/>
  <c r="D29" i="4" s="1"/>
  <c r="E29" i="4" s="1"/>
  <c r="E126" i="4"/>
  <c r="E133" i="4" s="1"/>
  <c r="D146" i="4"/>
  <c r="D30" i="4" s="1"/>
  <c r="E30" i="4" s="1"/>
  <c r="E137" i="4"/>
  <c r="E146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/>
</calcChain>
</file>

<file path=xl/sharedStrings.xml><?xml version="1.0" encoding="utf-8"?>
<sst xmlns="http://schemas.openxmlformats.org/spreadsheetml/2006/main" count="393" uniqueCount="265">
  <si>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</si>
  <si>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</si>
  <si>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</si>
  <si>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</si>
  <si>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</si>
  <si>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</si>
  <si>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</si>
  <si>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</si>
  <si>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</si>
  <si>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</si>
  <si>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</si>
  <si>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</si>
  <si>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</si>
  <si>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</si>
  <si>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</si>
  <si>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</si>
  <si>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</si>
  <si>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</si>
  <si>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</si>
  <si>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</si>
  <si>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</si>
  <si>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</si>
  <si>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</si>
  <si>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</si>
  <si>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</si>
  <si>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</si>
  <si>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</si>
  <si>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</si>
  <si>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</si>
  <si>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</si>
  <si>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</si>
  <si>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</si>
  <si>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</si>
  <si>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</si>
  <si>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</si>
  <si>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</si>
  <si>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</si>
  <si>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</si>
  <si>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</si>
  <si>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</si>
  <si>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</si>
  <si>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</si>
  <si>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</si>
  <si>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</si>
  <si>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</si>
  <si>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</si>
  <si>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</si>
  <si>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</si>
  <si>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</si>
  <si>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</si>
  <si>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</si>
  <si>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</si>
  <si>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</si>
  <si>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</si>
  <si>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</si>
  <si>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</si>
  <si>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</si>
  <si>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</si>
  <si>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</si>
  <si>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</si>
  <si>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</si>
  <si>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</si>
  <si>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</si>
  <si>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</si>
  <si>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</si>
  <si>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</si>
  <si>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</si>
  <si>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</si>
  <si>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</si>
  <si>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</si>
  <si>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</si>
  <si>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</si>
  <si>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</si>
  <si>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</si>
  <si>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</si>
  <si>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</si>
  <si>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</si>
  <si>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</si>
  <si>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</si>
  <si>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</si>
  <si>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</si>
  <si>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</si>
  <si>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</si>
  <si>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</si>
  <si>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</si>
  <si>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</si>
  <si>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</si>
  <si>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</si>
  <si>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</si>
  <si>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</si>
  <si>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</si>
  <si>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</si>
  <si>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</si>
  <si>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</si>
  <si>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</si>
  <si>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</si>
  <si>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</si>
  <si>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</si>
  <si>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</si>
  <si>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</si>
  <si>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</si>
  <si>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</si>
  <si>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</si>
  <si>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</si>
  <si>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</si>
  <si>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</si>
  <si>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</si>
  <si>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</si>
  <si>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</si>
  <si>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</si>
  <si>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</si>
  <si>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</si>
  <si>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</si>
  <si>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</si>
  <si>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</si>
  <si>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</si>
  <si>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</si>
  <si>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</si>
  <si>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</si>
  <si>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</si>
  <si>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</si>
  <si>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</si>
  <si>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</si>
  <si>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</si>
  <si>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</si>
  <si>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</si>
  <si>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</si>
  <si>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</si>
  <si>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</si>
  <si>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</si>
  <si>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</si>
  <si>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</si>
  <si>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</si>
  <si>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</si>
  <si>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</si>
  <si>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</si>
  <si>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</si>
  <si>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</si>
  <si>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</si>
  <si>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</si>
  <si>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</si>
  <si>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</si>
  <si>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</si>
  <si>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</si>
  <si>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</si>
  <si>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</si>
  <si>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</si>
  <si>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</si>
  <si>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</si>
  <si>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</si>
  <si>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</si>
  <si>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</si>
  <si>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</si>
  <si>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</si>
  <si>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</si>
  <si>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</si>
  <si>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</si>
  <si>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</si>
  <si>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</si>
  <si>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</si>
  <si>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</si>
  <si>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</si>
  <si>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</si>
  <si>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</si>
  <si>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</si>
  <si>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</si>
  <si>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</si>
  <si>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</si>
  <si>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</si>
  <si>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</si>
  <si>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</si>
  <si>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</si>
  <si>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</si>
  <si>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</si>
  <si>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</si>
  <si>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</si>
  <si>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</si>
  <si>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</si>
  <si>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</si>
  <si>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</si>
  <si>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</si>
  <si>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</si>
  <si>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</si>
  <si>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</si>
  <si>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</si>
  <si>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</si>
  <si>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</si>
  <si>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</si>
  <si>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</si>
  <si>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</si>
  <si>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</si>
  <si>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</si>
  <si>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</si>
  <si>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</si>
  <si>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</si>
  <si>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</si>
  <si>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</si>
  <si>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</si>
  <si>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</si>
  <si>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</si>
  <si>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</si>
  <si>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</si>
  <si>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</si>
  <si>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</si>
  <si>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</si>
  <si>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</si>
  <si>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</si>
  <si>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</si>
  <si>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</si>
  <si>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</si>
  <si>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</si>
  <si>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</si>
  <si>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</si>
  <si>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</si>
  <si>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</si>
  <si>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</si>
  <si>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</si>
  <si>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</si>
  <si>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</si>
  <si>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</si>
  <si>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</si>
  <si>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</si>
  <si>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</si>
  <si>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</si>
  <si>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</si>
  <si>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</si>
  <si>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</si>
  <si>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</si>
  <si>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</si>
  <si>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</si>
  <si>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</si>
  <si>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</si>
  <si>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</si>
  <si>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</si>
  <si>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</si>
  <si>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</si>
  <si>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</si>
  <si>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</si>
  <si>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</si>
  <si>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</si>
  <si>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</si>
  <si>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</si>
  <si>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</si>
  <si>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</si>
  <si>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</si>
  <si>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</si>
  <si>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사수중학교 신축공사(장기계속공사)</t>
  </si>
  <si>
    <t>교육연구</t>
  </si>
  <si>
    <t>대구시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</si>
  <si>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</si>
  <si>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</si>
  <si>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</si>
  <si>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창호및유리공사</t>
    <phoneticPr fontId="2" type="noConversion"/>
  </si>
  <si>
    <t>기초공사,해체및철거공사,골재비및운반비,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</si>
  <si>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</si>
  <si>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</si>
  <si>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CCTV설비공사,기타공사</t>
    <phoneticPr fontId="2" type="noConversion"/>
  </si>
  <si>
    <t>옥외소화배관공사, 펌프실배관공사, 기타공사</t>
    <phoneticPr fontId="2" type="noConversion"/>
  </si>
  <si>
    <t>토목</t>
    <phoneticPr fontId="2" type="noConversion"/>
  </si>
  <si>
    <t>토목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</si>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</sst>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8158.04</v>
      </c>
      <c r="D7" s="36">
        <f>+C7/3.3058</f>
        <v>2467.7959949180226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922150</v>
      </c>
      <c r="E25" s="59">
        <f t="shared" si="0"/>
        <v>3048440</v>
      </c>
    </row>
    <row r="26" spans="1:5" x14ac:dyDescent="0.3">
      <c r="B26" s="2">
        <v>3</v>
      </c>
      <c r="C26" s="35" t="s">
        <v>95</v>
      </c>
      <c r="D26" s="45">
        <f>+D66</f>
        <v>4700</v>
      </c>
      <c r="E26" s="59">
        <f t="shared" si="0"/>
        <v>15530</v>
      </c>
    </row>
    <row r="27" spans="1:5" x14ac:dyDescent="0.3">
      <c r="B27" s="2">
        <v>4</v>
      </c>
      <c r="C27" s="35" t="s">
        <v>96</v>
      </c>
      <c r="D27" s="45">
        <f>+D95</f>
        <v>163540</v>
      </c>
      <c r="E27" s="59">
        <f t="shared" si="0"/>
        <v>540630</v>
      </c>
    </row>
    <row r="28" spans="1:5" x14ac:dyDescent="0.3">
      <c r="B28" s="2">
        <v>5</v>
      </c>
      <c r="C28" s="35" t="s">
        <v>97</v>
      </c>
      <c r="D28" s="45">
        <f>+D119</f>
        <v>198120</v>
      </c>
      <c r="E28" s="59">
        <f t="shared" si="0"/>
        <v>654940</v>
      </c>
    </row>
    <row r="29" spans="1:5" x14ac:dyDescent="0.3">
      <c r="B29" s="2">
        <v>6</v>
      </c>
      <c r="C29" s="35" t="s">
        <v>98</v>
      </c>
      <c r="D29" s="45">
        <f>+D133</f>
        <v>64950</v>
      </c>
      <c r="E29" s="59">
        <f t="shared" si="0"/>
        <v>214710</v>
      </c>
    </row>
    <row r="30" spans="1:5" x14ac:dyDescent="0.3">
      <c r="B30" s="2">
        <v>7</v>
      </c>
      <c r="C30" s="35" t="s">
        <v>99</v>
      </c>
      <c r="D30" s="45">
        <f>+D146</f>
        <v>40030</v>
      </c>
      <c r="E30" s="59">
        <f t="shared" si="0"/>
        <v>132330</v>
      </c>
    </row>
    <row r="31" spans="1:5" x14ac:dyDescent="0.3">
      <c r="B31" s="2">
        <v>8</v>
      </c>
      <c r="C31" s="35" t="s">
        <v>100</v>
      </c>
      <c r="D31" s="45">
        <f>+D154</f>
        <v>54700</v>
      </c>
      <c r="E31" s="59">
        <f t="shared" si="0"/>
        <v>180820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398250</v>
      </c>
      <c r="E33" s="60">
        <f t="shared" si="0"/>
        <v>1316530</v>
      </c>
    </row>
    <row r="34" spans="1:7" x14ac:dyDescent="0.3">
      <c r="C34" s="35" t="s">
        <v>112</v>
      </c>
      <c r="D34" s="44">
        <f>SUM(D24:D33)</f>
        <v>1846440</v>
      </c>
      <c r="E34" s="44">
        <f>SUM(E24:E33)</f>
        <v>6103930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260</v>
      </c>
      <c r="E39" s="66" t="s">
        <v>261</v>
      </c>
      <c r="G39" s="67"/>
    </row>
    <row r="40" spans="1:7" x14ac:dyDescent="0.3">
      <c r="A40" s="2">
        <v>1</v>
      </c>
      <c r="C40" s="38" t="s">
        <v>15</v>
      </c>
      <c r="D40" s="40">
        <v>51460</v>
      </c>
      <c r="E40" s="62">
        <f t="shared" ref="E40:E59" si="1">TRUNC(+D40*3.3058,-1)</f>
        <v>170110</v>
      </c>
    </row>
    <row r="41" spans="1:7" x14ac:dyDescent="0.3">
      <c r="A41" s="2">
        <v>2</v>
      </c>
      <c r="C41" s="38" t="s">
        <v>13</v>
      </c>
      <c r="D41" s="42">
        <f>TRUNC(178098,-1)</f>
        <v>178090</v>
      </c>
      <c r="E41" s="63">
        <f t="shared" si="1"/>
        <v>588720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47110</v>
      </c>
      <c r="E43" s="63">
        <f t="shared" si="1"/>
        <v>155730</v>
      </c>
    </row>
    <row r="44" spans="1:7" x14ac:dyDescent="0.3">
      <c r="A44" s="2">
        <v>5</v>
      </c>
      <c r="C44" s="38" t="s">
        <v>17</v>
      </c>
      <c r="D44" s="42">
        <f>TRUNC(34981,-1)</f>
        <v>34980</v>
      </c>
      <c r="E44" s="63">
        <f t="shared" si="1"/>
        <v>115630</v>
      </c>
    </row>
    <row r="45" spans="1:7" x14ac:dyDescent="0.3">
      <c r="A45" s="2">
        <v>6</v>
      </c>
      <c r="C45" s="38" t="s">
        <v>18</v>
      </c>
      <c r="D45" s="42">
        <f>TRUNC(12866,-1)</f>
        <v>12860</v>
      </c>
      <c r="E45" s="63">
        <f t="shared" si="1"/>
        <v>42510</v>
      </c>
    </row>
    <row r="46" spans="1:7" x14ac:dyDescent="0.3">
      <c r="A46" s="2">
        <v>7</v>
      </c>
      <c r="C46" s="38" t="s">
        <v>19</v>
      </c>
      <c r="D46" s="42">
        <f>TRUNC(49418,-1)</f>
        <v>49410</v>
      </c>
      <c r="E46" s="63">
        <f t="shared" si="1"/>
        <v>163330</v>
      </c>
    </row>
    <row r="47" spans="1:7" x14ac:dyDescent="0.3">
      <c r="A47" s="2">
        <v>8</v>
      </c>
      <c r="C47" s="38" t="s">
        <v>20</v>
      </c>
      <c r="D47" s="42">
        <f>TRUNC(60889,-1)</f>
        <v>60880</v>
      </c>
      <c r="E47" s="63">
        <f t="shared" si="1"/>
        <v>201250</v>
      </c>
    </row>
    <row r="48" spans="1:7" x14ac:dyDescent="0.3">
      <c r="A48" s="2">
        <v>9</v>
      </c>
      <c r="C48" s="38" t="s">
        <v>21</v>
      </c>
      <c r="D48" s="42">
        <f>TRUNC(102737,-1)</f>
        <v>102730</v>
      </c>
      <c r="E48" s="63">
        <f t="shared" si="1"/>
        <v>339600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TRUNC(22529,-1)</f>
        <v>22520</v>
      </c>
      <c r="E49" s="63">
        <f t="shared" si="1"/>
        <v>74440</v>
      </c>
    </row>
    <row r="50" spans="1:7" x14ac:dyDescent="0.3">
      <c r="A50" s="2">
        <v>11</v>
      </c>
      <c r="C50" s="38" t="s">
        <v>155</v>
      </c>
      <c r="D50" s="42">
        <f>TRUNC(63507,-1)</f>
        <v>63500</v>
      </c>
      <c r="E50" s="63">
        <f t="shared" si="1"/>
        <v>209910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TRUNC(14806,-1)</f>
        <v>14800</v>
      </c>
      <c r="E52" s="63">
        <f t="shared" si="1"/>
        <v>48920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TRUNC(20148+197+5760+18897,-1)</f>
        <v>45000</v>
      </c>
      <c r="E58" s="63">
        <f t="shared" si="1"/>
        <v>148760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TRUNC(238812,-1)</f>
        <v>238810</v>
      </c>
      <c r="E59" s="64">
        <f t="shared" si="1"/>
        <v>789450</v>
      </c>
    </row>
    <row r="60" spans="1:7" x14ac:dyDescent="0.3">
      <c r="A60" s="2">
        <v>21</v>
      </c>
      <c r="C60" s="27" t="s">
        <v>112</v>
      </c>
      <c r="D60" s="39">
        <f>SUM(D40:D59)</f>
        <v>922150</v>
      </c>
      <c r="E60" s="39">
        <f>SUM(E40:E59)</f>
        <v>3048360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TRUNC(4709,-1)</f>
        <v>4700</v>
      </c>
      <c r="E63" s="62">
        <f>TRUNC(+D63*3.3058,-1)</f>
        <v>15530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4700</v>
      </c>
      <c r="E66" s="57">
        <f>SUM(E63:E65)</f>
        <v>15530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TRUNC(10692,-1)</f>
        <v>10690</v>
      </c>
      <c r="E69" s="62">
        <f t="shared" ref="E69:E94" si="2">TRUNC(+D69*3.3058,-1)</f>
        <v>35330</v>
      </c>
    </row>
    <row r="70" spans="1:7" ht="16.5" customHeight="1" x14ac:dyDescent="0.3">
      <c r="A70" s="2">
        <v>2</v>
      </c>
      <c r="C70" s="38" t="s">
        <v>31</v>
      </c>
      <c r="D70" s="42">
        <f>TRUNC(2093,-1)</f>
        <v>2090</v>
      </c>
      <c r="E70" s="63">
        <f t="shared" si="2"/>
        <v>6900</v>
      </c>
    </row>
    <row r="71" spans="1:7" x14ac:dyDescent="0.3">
      <c r="A71" s="2">
        <v>3</v>
      </c>
      <c r="C71" s="38" t="s">
        <v>32</v>
      </c>
      <c r="D71" s="42">
        <f>TRUNC(662,-1)</f>
        <v>660</v>
      </c>
      <c r="E71" s="63">
        <f t="shared" si="2"/>
        <v>2180</v>
      </c>
    </row>
    <row r="72" spans="1:7" x14ac:dyDescent="0.3">
      <c r="A72" s="2">
        <v>4</v>
      </c>
      <c r="C72" s="38" t="s">
        <v>33</v>
      </c>
      <c r="D72" s="42">
        <f>TRUNC(4335,-1)</f>
        <v>4330</v>
      </c>
      <c r="E72" s="63">
        <f t="shared" si="2"/>
        <v>14310</v>
      </c>
    </row>
    <row r="73" spans="1:7" x14ac:dyDescent="0.3">
      <c r="A73" s="2">
        <v>5</v>
      </c>
      <c r="C73" s="38" t="s">
        <v>34</v>
      </c>
      <c r="D73" s="42">
        <f>TRUNC(23443,-1)</f>
        <v>23440</v>
      </c>
      <c r="E73" s="63">
        <f t="shared" si="2"/>
        <v>77480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TRUNC(7632,-1)</f>
        <v>7630</v>
      </c>
      <c r="E89" s="63">
        <f t="shared" si="2"/>
        <v>25220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TRUNC(6125,-1)</f>
        <v>6120</v>
      </c>
      <c r="E91" s="63">
        <f t="shared" si="2"/>
        <v>20230</v>
      </c>
    </row>
    <row r="92" spans="1:7" x14ac:dyDescent="0.3">
      <c r="A92" s="2">
        <v>24</v>
      </c>
      <c r="C92" s="38" t="s">
        <v>38</v>
      </c>
      <c r="D92" s="42">
        <f>TRUNC(12175,-1)</f>
        <v>12170</v>
      </c>
      <c r="E92" s="63">
        <f t="shared" si="2"/>
        <v>40230</v>
      </c>
    </row>
    <row r="93" spans="1:7" x14ac:dyDescent="0.3">
      <c r="A93" s="2">
        <v>25</v>
      </c>
      <c r="C93" s="38" t="s">
        <v>148</v>
      </c>
      <c r="D93" s="42">
        <f>TRUNC(91897,-1)</f>
        <v>91890</v>
      </c>
      <c r="E93" s="63">
        <f t="shared" si="2"/>
        <v>303760</v>
      </c>
    </row>
    <row r="94" spans="1:7" ht="17.25" thickBot="1" x14ac:dyDescent="0.35">
      <c r="A94" s="2">
        <v>26</v>
      </c>
      <c r="C94" s="38" t="s">
        <v>47</v>
      </c>
      <c r="D94" s="43">
        <f>TRUNC(4522,-1)</f>
        <v>4520</v>
      </c>
      <c r="E94" s="64">
        <f t="shared" si="2"/>
        <v>14940</v>
      </c>
    </row>
    <row r="95" spans="1:7" x14ac:dyDescent="0.3">
      <c r="A95" s="2">
        <v>27</v>
      </c>
      <c r="C95" s="27" t="s">
        <v>112</v>
      </c>
      <c r="D95" s="39">
        <f>SUM(D69:D94)</f>
        <v>163540</v>
      </c>
      <c r="E95" s="39">
        <f>SUM(E69:E94)</f>
        <v>540580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TRUNC(9486,-1)</f>
        <v>9480</v>
      </c>
      <c r="E98" s="62">
        <f t="shared" ref="E98:E118" si="3">TRUNC(+D98*3.3058,-1)</f>
        <v>31330</v>
      </c>
    </row>
    <row r="99" spans="1:7" x14ac:dyDescent="0.3">
      <c r="A99" s="2">
        <v>2</v>
      </c>
      <c r="C99" s="38" t="s">
        <v>40</v>
      </c>
      <c r="D99" s="42">
        <f>TRUNC(3643,-1)</f>
        <v>3640</v>
      </c>
      <c r="E99" s="63">
        <f t="shared" si="3"/>
        <v>12030</v>
      </c>
    </row>
    <row r="100" spans="1:7" x14ac:dyDescent="0.3">
      <c r="A100" s="2">
        <v>3</v>
      </c>
      <c r="C100" s="38" t="s">
        <v>41</v>
      </c>
      <c r="D100" s="42">
        <f>TRUNC(27202,-1)</f>
        <v>27200</v>
      </c>
      <c r="E100" s="63">
        <f t="shared" si="3"/>
        <v>89910</v>
      </c>
    </row>
    <row r="101" spans="1:7" x14ac:dyDescent="0.3">
      <c r="A101" s="2">
        <v>4</v>
      </c>
      <c r="C101" s="38" t="s">
        <v>42</v>
      </c>
      <c r="D101" s="42">
        <f>TRUNC(1943,-1)</f>
        <v>1940</v>
      </c>
      <c r="E101" s="63">
        <f t="shared" si="3"/>
        <v>6410</v>
      </c>
    </row>
    <row r="102" spans="1:7" x14ac:dyDescent="0.3">
      <c r="A102" s="2">
        <v>5</v>
      </c>
      <c r="C102" s="38" t="s">
        <v>43</v>
      </c>
      <c r="D102" s="42">
        <f>TRUNC(12460,-1)</f>
        <v>12460</v>
      </c>
      <c r="E102" s="63">
        <f t="shared" si="3"/>
        <v>41190</v>
      </c>
    </row>
    <row r="103" spans="1:7" x14ac:dyDescent="0.3">
      <c r="A103" s="2">
        <v>6</v>
      </c>
      <c r="C103" s="38" t="s">
        <v>44</v>
      </c>
      <c r="D103" s="42">
        <f>TRUNC(7161,-1)</f>
        <v>7160</v>
      </c>
      <c r="E103" s="63">
        <f t="shared" si="3"/>
        <v>23660</v>
      </c>
    </row>
    <row r="104" spans="1:7" x14ac:dyDescent="0.3">
      <c r="A104" s="2">
        <v>7</v>
      </c>
      <c r="C104" s="38" t="s">
        <v>45</v>
      </c>
      <c r="D104" s="42">
        <f>TRUNC(5181,-1)</f>
        <v>5180</v>
      </c>
      <c r="E104" s="63">
        <f t="shared" si="3"/>
        <v>17120</v>
      </c>
    </row>
    <row r="105" spans="1:7" x14ac:dyDescent="0.3">
      <c r="A105" s="2">
        <v>8</v>
      </c>
      <c r="C105" s="38" t="s">
        <v>46</v>
      </c>
      <c r="D105" s="42">
        <f>TRUNC(3185,-1)</f>
        <v>3180</v>
      </c>
      <c r="E105" s="63">
        <f t="shared" si="3"/>
        <v>10510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TRUNC(4916,-1)</f>
        <v>4910</v>
      </c>
      <c r="E114" s="63">
        <f t="shared" si="3"/>
        <v>16230</v>
      </c>
      <c r="F114" s="2" t="s">
        <v>254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TRUNC(4123,-1)</f>
        <v>4120</v>
      </c>
      <c r="E116" s="63">
        <f t="shared" si="3"/>
        <v>13610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v>106060</v>
      </c>
      <c r="E117" s="63">
        <f t="shared" si="3"/>
        <v>350610</v>
      </c>
    </row>
    <row r="118" spans="1:7" ht="17.25" thickBot="1" x14ac:dyDescent="0.35">
      <c r="A118" s="2">
        <v>21</v>
      </c>
      <c r="C118" s="38" t="s">
        <v>47</v>
      </c>
      <c r="D118" s="43">
        <f>TRUNC(12792,-1)</f>
        <v>12790</v>
      </c>
      <c r="E118" s="64">
        <f t="shared" si="3"/>
        <v>42280</v>
      </c>
    </row>
    <row r="119" spans="1:7" x14ac:dyDescent="0.3">
      <c r="A119" s="2">
        <v>22</v>
      </c>
      <c r="C119" s="27" t="s">
        <v>112</v>
      </c>
      <c r="D119" s="39">
        <f>SUM(D98:D118)</f>
        <v>198120</v>
      </c>
      <c r="E119" s="39">
        <f>SUM(E98:E118)</f>
        <v>654890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8850</v>
      </c>
      <c r="E125" s="63">
        <f t="shared" si="4"/>
        <v>29250</v>
      </c>
    </row>
    <row r="126" spans="1:7" x14ac:dyDescent="0.3">
      <c r="A126" s="2">
        <v>5</v>
      </c>
      <c r="C126" s="38" t="s">
        <v>53</v>
      </c>
      <c r="D126" s="42">
        <f>TRUNC(1055,-1)</f>
        <v>1050</v>
      </c>
      <c r="E126" s="63">
        <f t="shared" si="4"/>
        <v>3470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TRUNC(4992,-1)</f>
        <v>4990</v>
      </c>
      <c r="E128" s="63">
        <f t="shared" si="4"/>
        <v>16490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TRUNC(17593,-1)</f>
        <v>17590</v>
      </c>
      <c r="E130" s="63">
        <f t="shared" si="4"/>
        <v>58140</v>
      </c>
    </row>
    <row r="131" spans="1:7" x14ac:dyDescent="0.3">
      <c r="A131" s="2">
        <v>10</v>
      </c>
      <c r="C131" s="38" t="s">
        <v>148</v>
      </c>
      <c r="D131" s="42">
        <f>TRUNC(26606,-1)</f>
        <v>26600</v>
      </c>
      <c r="E131" s="63">
        <f t="shared" si="4"/>
        <v>87930</v>
      </c>
    </row>
    <row r="132" spans="1:7" ht="17.25" thickBot="1" x14ac:dyDescent="0.35">
      <c r="A132" s="2">
        <v>11</v>
      </c>
      <c r="C132" s="38" t="s">
        <v>47</v>
      </c>
      <c r="D132" s="43">
        <f>TRUNC(2416+3461,-1)</f>
        <v>5870</v>
      </c>
      <c r="E132" s="64">
        <f t="shared" si="4"/>
        <v>19400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64950</v>
      </c>
      <c r="E133" s="39">
        <f>SUM(E122:E132)</f>
        <v>214680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TRUNC(157+3993+7162,-1)</f>
        <v>11310</v>
      </c>
      <c r="E137" s="63">
        <f t="shared" si="5"/>
        <v>37380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TRUNC(2712,-1)</f>
        <v>2710</v>
      </c>
      <c r="E140" s="63">
        <f t="shared" si="5"/>
        <v>8950</v>
      </c>
    </row>
    <row r="141" spans="1:7" x14ac:dyDescent="0.3">
      <c r="A141" s="2">
        <v>6</v>
      </c>
      <c r="C141" s="38" t="s">
        <v>59</v>
      </c>
      <c r="D141" s="42">
        <f>TRUNC(6787,-1)</f>
        <v>6780</v>
      </c>
      <c r="E141" s="63">
        <f t="shared" si="5"/>
        <v>22410</v>
      </c>
    </row>
    <row r="142" spans="1:7" x14ac:dyDescent="0.3">
      <c r="A142" s="2">
        <v>7</v>
      </c>
      <c r="C142" s="38" t="s">
        <v>58</v>
      </c>
      <c r="D142" s="42">
        <f>TRUNC(8204,-1)</f>
        <v>8200</v>
      </c>
      <c r="E142" s="63">
        <f t="shared" si="5"/>
        <v>27100</v>
      </c>
    </row>
    <row r="143" spans="1:7" x14ac:dyDescent="0.3">
      <c r="A143" s="2">
        <v>8</v>
      </c>
      <c r="C143" s="38" t="s">
        <v>62</v>
      </c>
      <c r="D143" s="42">
        <f>TRUNC(4984,-1)</f>
        <v>4980</v>
      </c>
      <c r="E143" s="63">
        <f t="shared" si="5"/>
        <v>16460</v>
      </c>
    </row>
    <row r="144" spans="1:7" x14ac:dyDescent="0.3">
      <c r="A144" s="2">
        <v>9</v>
      </c>
      <c r="C144" s="38" t="s">
        <v>63</v>
      </c>
      <c r="D144" s="42">
        <v>6050</v>
      </c>
      <c r="E144" s="63">
        <f t="shared" si="5"/>
        <v>20000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40030</v>
      </c>
      <c r="E146" s="39">
        <f>SUM(E136:E145)</f>
        <v>132300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TRUNC(11635+2627,-1)</f>
        <v>14260</v>
      </c>
      <c r="E149" s="62">
        <f>TRUNC(+D149*3.3058,-1)</f>
        <v>47140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TRUNC(9905,-1)</f>
        <v>9900</v>
      </c>
      <c r="E150" s="63">
        <f>TRUNC(+D150*3.3058,-1)</f>
        <v>32720</v>
      </c>
      <c r="F150" s="2" t="s">
        <v>258</v>
      </c>
    </row>
    <row r="151" spans="1:7" x14ac:dyDescent="0.3">
      <c r="A151" s="2">
        <v>3</v>
      </c>
      <c r="C151" s="38" t="s">
        <v>50</v>
      </c>
      <c r="D151" s="42">
        <f>TRUNC(27548,-1)</f>
        <v>27540</v>
      </c>
      <c r="E151" s="63">
        <f>TRUNC(+D151*3.3058,-1)</f>
        <v>91040</v>
      </c>
      <c r="F151" s="2" t="s">
        <v>258</v>
      </c>
    </row>
    <row r="152" spans="1:7" x14ac:dyDescent="0.3">
      <c r="A152" s="2">
        <v>4</v>
      </c>
      <c r="C152" s="38" t="s">
        <v>47</v>
      </c>
      <c r="D152" s="42">
        <f>TRUNC(3006,-1)</f>
        <v>3000</v>
      </c>
      <c r="E152" s="63">
        <f>TRUNC(+D152*3.3058,-1)</f>
        <v>9910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  <c r="F153" s="2" t="s">
        <v>258</v>
      </c>
    </row>
    <row r="154" spans="1:7" x14ac:dyDescent="0.3">
      <c r="A154" s="2">
        <v>6</v>
      </c>
      <c r="C154" s="27" t="s">
        <v>112</v>
      </c>
      <c r="D154" s="39">
        <f>SUM(D149:D153)</f>
        <v>54700</v>
      </c>
      <c r="E154" s="39">
        <f>SUM(E149:E153)</f>
        <v>180810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2020-12-07T09:56:23Z</dcterms:modified>
</cp:coreProperties>
</file>