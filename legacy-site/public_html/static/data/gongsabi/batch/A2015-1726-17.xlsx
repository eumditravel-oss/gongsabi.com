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44" i="4"/>
  <c r="D143" i="4"/>
  <c r="D142" i="4"/>
  <c r="D141" i="4"/>
  <c r="D140" i="4"/>
  <c r="D138" i="4"/>
  <c r="D137" i="4"/>
  <c r="D132" i="4"/>
  <c r="D131" i="4"/>
  <c r="D130" i="4"/>
  <c r="D127" i="4"/>
  <c r="D126" i="4"/>
  <c r="D125" i="4"/>
  <c r="D124" i="4"/>
  <c r="D122" i="4"/>
  <c r="D118" i="4"/>
  <c r="D117" i="4"/>
  <c r="D105" i="4"/>
  <c r="D104" i="4"/>
  <c r="D102" i="4"/>
  <c r="D101" i="4"/>
  <c r="D100" i="4"/>
  <c r="D99" i="4"/>
  <c r="D98" i="4"/>
  <c r="D94" i="4"/>
  <c r="D93" i="4"/>
  <c r="D91" i="4"/>
  <c r="D90" i="4"/>
  <c r="D89" i="4"/>
  <c r="D76" i="4"/>
  <c r="D75" i="4"/>
  <c r="D73" i="4"/>
  <c r="D72" i="4"/>
  <c r="D71" i="4"/>
  <c r="D70" i="4"/>
  <c r="D69" i="4"/>
  <c r="D65" i="4"/>
  <c r="D63" i="4"/>
  <c r="D59" i="4"/>
  <c r="D53" i="4"/>
  <c r="D52" i="4"/>
  <c r="D50" i="4"/>
  <c r="D49" i="4"/>
  <c r="D48" i="4"/>
  <c r="D46" i="4"/>
  <c r="D45" i="4"/>
  <c r="D44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<sst xmlns="http://schemas.openxmlformats.org/spreadsheetml/2006/main" count="391" uniqueCount="267">
  <si>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</si>
  <si>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</si>
  <si>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</si>
  <si>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</si>
  <si>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</si>
  <si>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</si>
  <si>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</si>
  <si>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</si>
  <si>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</si>
  <si>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</si>
  <si>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</si>
  <si>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</si>
  <si>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</si>
  <si>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</si>
  <si>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</si>
  <si>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</si>
  <si>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</si>
  <si>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</si>
  <si>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</si>
  <si>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</si>
  <si>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</si>
  <si>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</si>
  <si>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</si>
  <si>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</si>
  <si>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</si>
  <si>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</si>
  <si>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</si>
  <si>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</si>
  <si>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</si>
  <si>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</si>
  <si>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</si>
  <si>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</si>
  <si>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</si>
  <si>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</si>
  <si>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</si>
  <si>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</si>
  <si>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</si>
  <si>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</si>
  <si>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</si>
  <si>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</si>
  <si>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</si>
  <si>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</si>
  <si>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</si>
  <si>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</si>
  <si>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</si>
  <si>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</si>
  <si>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</si>
  <si>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</si>
  <si>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</si>
  <si>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</si>
  <si>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</si>
  <si>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</si>
  <si>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</si>
  <si>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</si>
  <si>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</si>
  <si>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</si>
  <si>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</si>
  <si>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</si>
  <si>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</si>
  <si>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</si>
  <si>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</si>
  <si>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</si>
  <si>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</si>
  <si>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</si>
  <si>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</si>
  <si>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</si>
  <si>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</si>
  <si>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</si>
  <si>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</si>
  <si>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</si>
  <si>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</si>
  <si>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</si>
  <si>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</si>
  <si>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</si>
  <si>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</si>
  <si>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</si>
  <si>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</si>
  <si>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</si>
  <si>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</si>
  <si>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</si>
  <si>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</si>
  <si>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</si>
  <si>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</si>
  <si>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</si>
  <si>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</si>
  <si>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</si>
  <si>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</si>
  <si>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</si>
  <si>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</si>
  <si>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</si>
  <si>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</si>
  <si>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</si>
  <si>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</si>
  <si>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</si>
  <si>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</si>
  <si>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</si>
  <si>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</si>
  <si>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</si>
  <si>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</si>
  <si>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</si>
  <si>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</si>
  <si>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</si>
  <si>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</si>
  <si>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</si>
  <si>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</si>
  <si>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</si>
  <si>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</si>
  <si>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</si>
  <si>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</si>
  <si>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</si>
  <si>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</si>
  <si>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</si>
  <si>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</si>
  <si>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</si>
  <si>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</si>
  <si>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</si>
  <si>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</si>
  <si>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</si>
  <si>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</si>
  <si>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</si>
  <si>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</si>
  <si>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</si>
  <si>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</si>
  <si>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</si>
  <si>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</si>
  <si>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</si>
  <si>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</si>
  <si>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</si>
  <si>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</si>
  <si>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</si>
  <si>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</si>
  <si>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</si>
  <si>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</si>
  <si>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</si>
  <si>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</si>
  <si>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</si>
  <si>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</si>
  <si>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</si>
  <si>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</si>
  <si>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</si>
  <si>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</si>
  <si>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</si>
  <si>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</si>
  <si>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</si>
  <si>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</si>
  <si>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</si>
  <si>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</si>
  <si>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</si>
  <si>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</si>
  <si>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</si>
  <si>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</si>
  <si>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</si>
  <si>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</si>
  <si>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</si>
  <si>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</si>
  <si>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</si>
  <si>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</si>
  <si>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</si>
  <si>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</si>
  <si>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</si>
  <si>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</si>
  <si>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</si>
  <si>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</si>
  <si>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</si>
  <si>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</si>
  <si>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</si>
  <si>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</si>
  <si>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</si>
  <si>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</si>
  <si>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</si>
  <si>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</si>
  <si>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</si>
  <si>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</si>
  <si>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</si>
  <si>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</si>
  <si>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</si>
  <si>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</si>
  <si>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</si>
  <si>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</si>
  <si>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</si>
  <si>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</si>
  <si>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</si>
  <si>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</si>
  <si>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</si>
  <si>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</si>
  <si>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</si>
  <si>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</si>
  <si>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</si>
  <si>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</si>
  <si>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</si>
  <si>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</si>
  <si>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</si>
  <si>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</si>
  <si>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</si>
  <si>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</si>
  <si>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</si>
  <si>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</si>
  <si>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</si>
  <si>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</si>
  <si>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</si>
  <si>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</si>
  <si>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</si>
  <si>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</si>
  <si>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</si>
  <si>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</si>
  <si>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</si>
  <si>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</si>
  <si>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</si>
  <si>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</si>
  <si>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</si>
  <si>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</si>
  <si>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</si>
  <si>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</si>
  <si>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</si>
  <si>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</si>
  <si>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</si>
  <si>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</si>
  <si>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</si>
  <si>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</si>
  <si>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</si>
  <si>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</si>
  <si>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</si>
  <si>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</si>
  <si>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</si>
  <si>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</si>
  <si>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</si>
  <si>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</si>
  <si>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</si>
  <si>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</si>
  <si>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</si>
  <si>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</si>
  <si>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</si>
  <si>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</si>
  <si>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</si>
  <si>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</si>
  <si>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</si>
  <si>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</si>
  <si>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</si>
  <si>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</si>
  <si>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</si>
  <si>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</si>
  <si>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</si>
  <si>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</si>
  <si>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</si>
  <si>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</si>
  <si>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</si>
  <si>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</si>
  <si>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</si>
  <si>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</si>
  <si>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</si>
  <si>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</si>
  <si>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</si>
  <si>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</si>
  <si>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</si>
  <si>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</si>
  <si>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</si>
  <si>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</si>
  <si>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항공안전종합통제센터 신축공사</t>
    <phoneticPr fontId="2" type="noConversion"/>
  </si>
  <si>
    <t>기타</t>
  </si>
  <si>
    <t>대구시</t>
  </si>
  <si>
    <t>기초공사, 폐기물처리비, 골재비및운반비, 작업부산물, 품질시험비, 기타공사</t>
    <phoneticPr fontId="2" type="noConversion"/>
  </si>
  <si>
    <t>공조배관공사,우수처리시설공사, 바닥난방공사,기타공사</t>
    <phoneticPr fontId="2" type="noConversion"/>
  </si>
  <si>
    <t>CCTV설비공사, 주차관제설비공사, 기타공사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</si>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</sst>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4157.8</v>
      </c>
      <c r="D7" s="36">
        <f>+C7/3.3058</f>
        <v>1257.7288402202191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1133540</v>
      </c>
      <c r="E25" s="59">
        <f t="shared" si="0"/>
        <v>3747250</v>
      </c>
    </row>
    <row r="26" spans="1:5" x14ac:dyDescent="0.3">
      <c r="B26" s="2">
        <v>3</v>
      </c>
      <c r="C26" s="35" t="s">
        <v>95</v>
      </c>
      <c r="D26" s="45">
        <f>+D66</f>
        <v>154320</v>
      </c>
      <c r="E26" s="59">
        <f t="shared" si="0"/>
        <v>510150</v>
      </c>
    </row>
    <row r="27" spans="1:5" x14ac:dyDescent="0.3">
      <c r="B27" s="2">
        <v>4</v>
      </c>
      <c r="C27" s="35" t="s">
        <v>96</v>
      </c>
      <c r="D27" s="45">
        <f>+D95</f>
        <v>436270</v>
      </c>
      <c r="E27" s="59">
        <f t="shared" si="0"/>
        <v>1442220</v>
      </c>
    </row>
    <row r="28" spans="1:5" x14ac:dyDescent="0.3">
      <c r="B28" s="2">
        <v>5</v>
      </c>
      <c r="C28" s="35" t="s">
        <v>97</v>
      </c>
      <c r="D28" s="45">
        <f>+D119</f>
        <v>474990</v>
      </c>
      <c r="E28" s="59">
        <f t="shared" si="0"/>
        <v>1570220</v>
      </c>
    </row>
    <row r="29" spans="1:5" x14ac:dyDescent="0.3">
      <c r="B29" s="2">
        <v>6</v>
      </c>
      <c r="C29" s="35" t="s">
        <v>98</v>
      </c>
      <c r="D29" s="45">
        <f>+D133</f>
        <v>436930</v>
      </c>
      <c r="E29" s="59">
        <f t="shared" si="0"/>
        <v>1444400</v>
      </c>
    </row>
    <row r="30" spans="1:5" x14ac:dyDescent="0.3">
      <c r="B30" s="2">
        <v>7</v>
      </c>
      <c r="C30" s="35" t="s">
        <v>99</v>
      </c>
      <c r="D30" s="45">
        <f>+D146</f>
        <v>103960</v>
      </c>
      <c r="E30" s="59">
        <f t="shared" si="0"/>
        <v>343670</v>
      </c>
    </row>
    <row r="31" spans="1:5" x14ac:dyDescent="0.3">
      <c r="B31" s="2">
        <v>8</v>
      </c>
      <c r="C31" s="35" t="s">
        <v>100</v>
      </c>
      <c r="D31" s="45">
        <f>+D154</f>
        <v>82570</v>
      </c>
      <c r="E31" s="59">
        <f t="shared" si="0"/>
        <v>272950</v>
      </c>
    </row>
    <row r="32" spans="1:5" x14ac:dyDescent="0.3">
      <c r="B32" s="2">
        <v>9</v>
      </c>
      <c r="C32" s="35" t="s">
        <v>101</v>
      </c>
      <c r="D32" s="45">
        <f>+D161</f>
        <v>82830</v>
      </c>
      <c r="E32" s="59">
        <f t="shared" si="0"/>
        <v>273810</v>
      </c>
    </row>
    <row r="33" spans="1:7" x14ac:dyDescent="0.3">
      <c r="B33" s="2">
        <v>10</v>
      </c>
      <c r="C33" s="35" t="s">
        <v>154</v>
      </c>
      <c r="D33" s="53">
        <f>TRUNC(SUM(D24:D32)*0.275,-1)</f>
        <v>798980</v>
      </c>
      <c r="E33" s="60">
        <f t="shared" si="0"/>
        <v>2641260</v>
      </c>
    </row>
    <row r="34" spans="1:7" x14ac:dyDescent="0.3">
      <c r="C34" s="35" t="s">
        <v>112</v>
      </c>
      <c r="D34" s="44">
        <f>SUM(D24:D33)</f>
        <v>3704390</v>
      </c>
      <c r="E34" s="44">
        <f>SUM(E24:E33)</f>
        <v>12245930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TRUNC(133056,-1)</f>
        <v>133050</v>
      </c>
      <c r="E40" s="62">
        <f t="shared" ref="E40:E59" si="1">TRUNC(+D40*3.3058,-1)</f>
        <v>439830</v>
      </c>
    </row>
    <row r="41" spans="1:7" x14ac:dyDescent="0.3">
      <c r="A41" s="2">
        <v>2</v>
      </c>
      <c r="C41" s="38" t="s">
        <v>13</v>
      </c>
      <c r="D41" s="42">
        <f>TRUNC(254037,-1)</f>
        <v>254030</v>
      </c>
      <c r="E41" s="63">
        <f t="shared" si="1"/>
        <v>839770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16250</v>
      </c>
      <c r="E43" s="63">
        <f t="shared" si="1"/>
        <v>53710</v>
      </c>
    </row>
    <row r="44" spans="1:7" x14ac:dyDescent="0.3">
      <c r="A44" s="2">
        <v>5</v>
      </c>
      <c r="C44" s="38" t="s">
        <v>17</v>
      </c>
      <c r="D44" s="42">
        <f>TRUNC(26344,-1)</f>
        <v>26340</v>
      </c>
      <c r="E44" s="63">
        <f t="shared" si="1"/>
        <v>87070</v>
      </c>
    </row>
    <row r="45" spans="1:7" x14ac:dyDescent="0.3">
      <c r="A45" s="2">
        <v>6</v>
      </c>
      <c r="C45" s="38" t="s">
        <v>18</v>
      </c>
      <c r="D45" s="42">
        <f>TRUNC(7575,-1)</f>
        <v>7570</v>
      </c>
      <c r="E45" s="63">
        <f t="shared" si="1"/>
        <v>25020</v>
      </c>
    </row>
    <row r="46" spans="1:7" x14ac:dyDescent="0.3">
      <c r="A46" s="2">
        <v>7</v>
      </c>
      <c r="C46" s="38" t="s">
        <v>19</v>
      </c>
      <c r="D46" s="42">
        <f>TRUNC(88761,-1)</f>
        <v>88760</v>
      </c>
      <c r="E46" s="63">
        <f t="shared" si="1"/>
        <v>293420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TRUNC(42524,-1)</f>
        <v>42520</v>
      </c>
      <c r="E48" s="63">
        <f t="shared" si="1"/>
        <v>140560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TRUNC(17795,-1)</f>
        <v>17790</v>
      </c>
      <c r="E49" s="63">
        <f t="shared" si="1"/>
        <v>58810</v>
      </c>
    </row>
    <row r="50" spans="1:7" x14ac:dyDescent="0.3">
      <c r="A50" s="2">
        <v>11</v>
      </c>
      <c r="C50" s="38" t="s">
        <v>155</v>
      </c>
      <c r="D50" s="42">
        <f>TRUNC(21071,-1)</f>
        <v>21070</v>
      </c>
      <c r="E50" s="63">
        <f t="shared" si="1"/>
        <v>69650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TRUNC(20338,-1)</f>
        <v>20330</v>
      </c>
      <c r="E52" s="63">
        <f t="shared" si="1"/>
        <v>67200</v>
      </c>
    </row>
    <row r="53" spans="1:7" x14ac:dyDescent="0.3">
      <c r="A53" s="2">
        <v>14</v>
      </c>
      <c r="C53" s="38" t="s">
        <v>25</v>
      </c>
      <c r="D53" s="42">
        <f>TRUNC(124745,-1)</f>
        <v>124740</v>
      </c>
      <c r="E53" s="63">
        <f t="shared" si="1"/>
        <v>412360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14953+1481+3823-776+1206+56913</f>
        <v>77600</v>
      </c>
      <c r="E58" s="63">
        <f t="shared" si="1"/>
        <v>256530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TRUNC(303492,-1)</f>
        <v>303490</v>
      </c>
      <c r="E59" s="64">
        <f t="shared" si="1"/>
        <v>1003270</v>
      </c>
    </row>
    <row r="60" spans="1:7" x14ac:dyDescent="0.3">
      <c r="A60" s="2">
        <v>21</v>
      </c>
      <c r="C60" s="27" t="s">
        <v>112</v>
      </c>
      <c r="D60" s="39">
        <f>SUM(D40:D59)</f>
        <v>1133540</v>
      </c>
      <c r="E60" s="39">
        <f>SUM(E40:E59)</f>
        <v>3747200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TRUNC(153655,-1)</f>
        <v>153650</v>
      </c>
      <c r="E63" s="62">
        <f>TRUNC(+D63*3.3058,-1)</f>
        <v>507930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TRUNC(671,-1)</f>
        <v>670</v>
      </c>
      <c r="E65" s="64">
        <f>TRUNC(+D65*3.3058,-1)</f>
        <v>2210</v>
      </c>
    </row>
    <row r="66" spans="1:7" x14ac:dyDescent="0.3">
      <c r="A66" s="2">
        <v>4</v>
      </c>
      <c r="C66" s="27" t="s">
        <v>112</v>
      </c>
      <c r="D66" s="39">
        <f>SUM(D63:D65)</f>
        <v>154320</v>
      </c>
      <c r="E66" s="65">
        <f>SUM(E63:E65)</f>
        <v>510140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TRUNC(58622,-1)</f>
        <v>58620</v>
      </c>
      <c r="E69" s="62">
        <f t="shared" ref="E69:E94" si="2">TRUNC(+D69*3.3058,-1)</f>
        <v>193780</v>
      </c>
    </row>
    <row r="70" spans="1:7" ht="16.5" customHeight="1" x14ac:dyDescent="0.3">
      <c r="A70" s="2">
        <v>2</v>
      </c>
      <c r="C70" s="38" t="s">
        <v>31</v>
      </c>
      <c r="D70" s="42">
        <f>TRUNC(621,-1)</f>
        <v>620</v>
      </c>
      <c r="E70" s="63">
        <f t="shared" si="2"/>
        <v>2040</v>
      </c>
    </row>
    <row r="71" spans="1:7" x14ac:dyDescent="0.3">
      <c r="A71" s="2">
        <v>3</v>
      </c>
      <c r="C71" s="38" t="s">
        <v>32</v>
      </c>
      <c r="D71" s="42">
        <f>TRUNC(22945,-1)</f>
        <v>22940</v>
      </c>
      <c r="E71" s="63">
        <f t="shared" si="2"/>
        <v>75830</v>
      </c>
    </row>
    <row r="72" spans="1:7" x14ac:dyDescent="0.3">
      <c r="A72" s="2">
        <v>4</v>
      </c>
      <c r="C72" s="38" t="s">
        <v>33</v>
      </c>
      <c r="D72" s="42">
        <f>TRUNC(8316,-1)</f>
        <v>8310</v>
      </c>
      <c r="E72" s="63">
        <f t="shared" si="2"/>
        <v>27470</v>
      </c>
    </row>
    <row r="73" spans="1:7" x14ac:dyDescent="0.3">
      <c r="A73" s="2">
        <v>5</v>
      </c>
      <c r="C73" s="38" t="s">
        <v>34</v>
      </c>
      <c r="D73" s="42">
        <f>TRUNC(9301,-1)</f>
        <v>9300</v>
      </c>
      <c r="E73" s="63">
        <f t="shared" si="2"/>
        <v>30740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TRUNC(2149,-1)</f>
        <v>2140</v>
      </c>
      <c r="E75" s="63">
        <f t="shared" si="2"/>
        <v>7070</v>
      </c>
    </row>
    <row r="76" spans="1:7" x14ac:dyDescent="0.3">
      <c r="A76" s="2">
        <v>8</v>
      </c>
      <c r="C76" s="38" t="s">
        <v>119</v>
      </c>
      <c r="D76" s="42">
        <f>TRUNC(45789,-1)</f>
        <v>45780</v>
      </c>
      <c r="E76" s="63">
        <f t="shared" si="2"/>
        <v>151330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TRUNC(3682,-1)</f>
        <v>3680</v>
      </c>
      <c r="E89" s="63">
        <f t="shared" si="2"/>
        <v>12160</v>
      </c>
    </row>
    <row r="90" spans="1:7" x14ac:dyDescent="0.3">
      <c r="A90" s="2">
        <v>22</v>
      </c>
      <c r="C90" s="38" t="s">
        <v>36</v>
      </c>
      <c r="D90" s="42">
        <f>TRUNC(4454,-1)</f>
        <v>4450</v>
      </c>
      <c r="E90" s="63">
        <f t="shared" si="2"/>
        <v>14710</v>
      </c>
    </row>
    <row r="91" spans="1:7" x14ac:dyDescent="0.3">
      <c r="A91" s="2">
        <v>23</v>
      </c>
      <c r="C91" s="38" t="s">
        <v>37</v>
      </c>
      <c r="D91" s="42">
        <f>TRUNC(44282,-1)</f>
        <v>44280</v>
      </c>
      <c r="E91" s="63">
        <f t="shared" si="2"/>
        <v>146380</v>
      </c>
    </row>
    <row r="92" spans="1:7" x14ac:dyDescent="0.3">
      <c r="A92" s="2">
        <v>24</v>
      </c>
      <c r="C92" s="38" t="s">
        <v>38</v>
      </c>
      <c r="D92" s="42">
        <v>6680</v>
      </c>
      <c r="E92" s="63">
        <f t="shared" si="2"/>
        <v>22080</v>
      </c>
    </row>
    <row r="93" spans="1:7" x14ac:dyDescent="0.3">
      <c r="A93" s="2">
        <v>25</v>
      </c>
      <c r="C93" s="38" t="s">
        <v>148</v>
      </c>
      <c r="D93" s="42">
        <f>TRUNC(181074,-1)</f>
        <v>181070</v>
      </c>
      <c r="E93" s="63">
        <f t="shared" si="2"/>
        <v>598580</v>
      </c>
    </row>
    <row r="94" spans="1:7" ht="17.25" thickBot="1" x14ac:dyDescent="0.35">
      <c r="A94" s="2">
        <v>26</v>
      </c>
      <c r="C94" s="38" t="s">
        <v>47</v>
      </c>
      <c r="D94" s="43">
        <f>TRUNC(40160+4072+4171,-1)</f>
        <v>48400</v>
      </c>
      <c r="E94" s="64">
        <f t="shared" si="2"/>
        <v>160000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436270</v>
      </c>
      <c r="E95" s="39">
        <f>SUM(E69:E94)</f>
        <v>1442170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TRUNC(35164,-1)</f>
        <v>35160</v>
      </c>
      <c r="E98" s="62">
        <f t="shared" ref="E98:E118" si="3">TRUNC(+D98*3.3058,-1)</f>
        <v>116230</v>
      </c>
    </row>
    <row r="99" spans="1:7" x14ac:dyDescent="0.3">
      <c r="A99" s="2">
        <v>2</v>
      </c>
      <c r="C99" s="38" t="s">
        <v>40</v>
      </c>
      <c r="D99" s="42">
        <f>TRUNC(14663,-1)</f>
        <v>14660</v>
      </c>
      <c r="E99" s="63">
        <f t="shared" si="3"/>
        <v>48460</v>
      </c>
    </row>
    <row r="100" spans="1:7" x14ac:dyDescent="0.3">
      <c r="A100" s="2">
        <v>3</v>
      </c>
      <c r="C100" s="38" t="s">
        <v>41</v>
      </c>
      <c r="D100" s="42">
        <f>TRUNC(30466,-1)</f>
        <v>30460</v>
      </c>
      <c r="E100" s="63">
        <f t="shared" si="3"/>
        <v>100690</v>
      </c>
    </row>
    <row r="101" spans="1:7" x14ac:dyDescent="0.3">
      <c r="A101" s="2">
        <v>4</v>
      </c>
      <c r="C101" s="38" t="s">
        <v>42</v>
      </c>
      <c r="D101" s="42">
        <f>TRUNC(6644,-1)</f>
        <v>6640</v>
      </c>
      <c r="E101" s="63">
        <f t="shared" si="3"/>
        <v>21950</v>
      </c>
    </row>
    <row r="102" spans="1:7" x14ac:dyDescent="0.3">
      <c r="A102" s="2">
        <v>5</v>
      </c>
      <c r="C102" s="38" t="s">
        <v>43</v>
      </c>
      <c r="D102" s="42">
        <f>TRUNC(22611,-1)</f>
        <v>22610</v>
      </c>
      <c r="E102" s="63">
        <f t="shared" si="3"/>
        <v>74740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TRUNC(12386,-1)</f>
        <v>12380</v>
      </c>
      <c r="E104" s="63">
        <f t="shared" si="3"/>
        <v>40920</v>
      </c>
    </row>
    <row r="105" spans="1:7" x14ac:dyDescent="0.3">
      <c r="A105" s="2">
        <v>8</v>
      </c>
      <c r="C105" s="38" t="s">
        <v>46</v>
      </c>
      <c r="D105" s="42">
        <f>TRUNC(5818,-1)</f>
        <v>5810</v>
      </c>
      <c r="E105" s="63">
        <f t="shared" si="3"/>
        <v>19200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11620</v>
      </c>
      <c r="E114" s="63">
        <f t="shared" si="3"/>
        <v>38410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25950</v>
      </c>
      <c r="E116" s="63">
        <f t="shared" si="3"/>
        <v>85780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TRUNC(302581,-1)</f>
        <v>302580</v>
      </c>
      <c r="E117" s="63">
        <f t="shared" si="3"/>
        <v>1000260</v>
      </c>
    </row>
    <row r="118" spans="1:7" ht="17.25" thickBot="1" x14ac:dyDescent="0.35">
      <c r="A118" s="2">
        <v>21</v>
      </c>
      <c r="C118" s="38" t="s">
        <v>47</v>
      </c>
      <c r="D118" s="43">
        <f>TRUNC(7126,-1)</f>
        <v>7120</v>
      </c>
      <c r="E118" s="64">
        <f t="shared" si="3"/>
        <v>23530</v>
      </c>
    </row>
    <row r="119" spans="1:7" x14ac:dyDescent="0.3">
      <c r="A119" s="2">
        <v>22</v>
      </c>
      <c r="C119" s="27" t="s">
        <v>112</v>
      </c>
      <c r="D119" s="39">
        <f>SUM(D98:D118)</f>
        <v>474990</v>
      </c>
      <c r="E119" s="39">
        <f>SUM(E98:E118)</f>
        <v>1570170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TRUNC(7823,-1)</f>
        <v>7820</v>
      </c>
      <c r="E122" s="62">
        <f t="shared" ref="E122:E132" si="4">TRUNC(+D122*3.3058,-1)</f>
        <v>25850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TRUNC(5493,-1)</f>
        <v>5490</v>
      </c>
      <c r="E124" s="63">
        <f t="shared" si="4"/>
        <v>18140</v>
      </c>
    </row>
    <row r="125" spans="1:7" x14ac:dyDescent="0.3">
      <c r="A125" s="2">
        <v>4</v>
      </c>
      <c r="C125" s="38" t="s">
        <v>138</v>
      </c>
      <c r="D125" s="42">
        <f>TRUNC(16079,-1)</f>
        <v>16070</v>
      </c>
      <c r="E125" s="63">
        <f t="shared" si="4"/>
        <v>53120</v>
      </c>
    </row>
    <row r="126" spans="1:7" x14ac:dyDescent="0.3">
      <c r="A126" s="2">
        <v>5</v>
      </c>
      <c r="C126" s="38" t="s">
        <v>53</v>
      </c>
      <c r="D126" s="42">
        <f>TRUNC(6931,-1)</f>
        <v>6930</v>
      </c>
      <c r="E126" s="63">
        <f t="shared" si="4"/>
        <v>22900</v>
      </c>
    </row>
    <row r="127" spans="1:7" x14ac:dyDescent="0.3">
      <c r="A127" s="2">
        <v>6</v>
      </c>
      <c r="C127" s="38" t="s">
        <v>56</v>
      </c>
      <c r="D127" s="42">
        <f>TRUNC(6433,-1)</f>
        <v>6430</v>
      </c>
      <c r="E127" s="63">
        <f t="shared" si="4"/>
        <v>21250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TRUNC(39159,-1)</f>
        <v>39150</v>
      </c>
      <c r="E130" s="63">
        <f t="shared" si="4"/>
        <v>129420</v>
      </c>
    </row>
    <row r="131" spans="1:7" x14ac:dyDescent="0.3">
      <c r="A131" s="2">
        <v>10</v>
      </c>
      <c r="C131" s="38" t="s">
        <v>148</v>
      </c>
      <c r="D131" s="42">
        <f>TRUNC(327002,-1)</f>
        <v>327000</v>
      </c>
      <c r="E131" s="63">
        <f t="shared" si="4"/>
        <v>1080990</v>
      </c>
    </row>
    <row r="132" spans="1:7" ht="18" thickBot="1" x14ac:dyDescent="0.35">
      <c r="A132" s="2">
        <v>11</v>
      </c>
      <c r="C132" s="38" t="s">
        <v>47</v>
      </c>
      <c r="D132" s="43">
        <f>TRUNC(7251+483+20310,-1)</f>
        <v>28040</v>
      </c>
      <c r="E132" s="64">
        <f t="shared" si="4"/>
        <v>92690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436930</v>
      </c>
      <c r="E133" s="39">
        <f>SUM(E122:E132)</f>
        <v>1444360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TRUNC(5389+1129,-1)</f>
        <v>6510</v>
      </c>
      <c r="E137" s="63">
        <f t="shared" si="5"/>
        <v>21520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f>TRUNC(40569,-1)</f>
        <v>40560</v>
      </c>
      <c r="E138" s="63">
        <f t="shared" si="5"/>
        <v>134080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TRUNC(3413,-1)</f>
        <v>3410</v>
      </c>
      <c r="E140" s="63">
        <f t="shared" si="5"/>
        <v>11270</v>
      </c>
    </row>
    <row r="141" spans="1:7" x14ac:dyDescent="0.3">
      <c r="A141" s="2">
        <v>6</v>
      </c>
      <c r="C141" s="38" t="s">
        <v>59</v>
      </c>
      <c r="D141" s="42">
        <f>TRUNC(22412,-1)</f>
        <v>22410</v>
      </c>
      <c r="E141" s="63">
        <f t="shared" si="5"/>
        <v>74080</v>
      </c>
    </row>
    <row r="142" spans="1:7" x14ac:dyDescent="0.3">
      <c r="A142" s="2">
        <v>7</v>
      </c>
      <c r="C142" s="38" t="s">
        <v>58</v>
      </c>
      <c r="D142" s="42">
        <f>TRUNC(7345,-1)</f>
        <v>7340</v>
      </c>
      <c r="E142" s="63">
        <f t="shared" si="5"/>
        <v>24260</v>
      </c>
    </row>
    <row r="143" spans="1:7" x14ac:dyDescent="0.3">
      <c r="A143" s="2">
        <v>8</v>
      </c>
      <c r="C143" s="38" t="s">
        <v>62</v>
      </c>
      <c r="D143" s="42">
        <f>TRUNC(1828,-1)</f>
        <v>1820</v>
      </c>
      <c r="E143" s="63">
        <f t="shared" si="5"/>
        <v>6010</v>
      </c>
    </row>
    <row r="144" spans="1:7" x14ac:dyDescent="0.3">
      <c r="A144" s="2">
        <v>9</v>
      </c>
      <c r="C144" s="38" t="s">
        <v>63</v>
      </c>
      <c r="D144" s="42">
        <f>TRUNC(21917,-1)</f>
        <v>21910</v>
      </c>
      <c r="E144" s="63">
        <f t="shared" si="5"/>
        <v>72430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103960</v>
      </c>
      <c r="E146" s="39">
        <f>SUM(E136:E145)</f>
        <v>343650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f>TRUNC(18259,-1)</f>
        <v>18250</v>
      </c>
      <c r="E151" s="63">
        <f>TRUNC(+D151*3.3058,-1)</f>
        <v>60330</v>
      </c>
    </row>
    <row r="152" spans="1:7" x14ac:dyDescent="0.3">
      <c r="A152" s="2">
        <v>4</v>
      </c>
      <c r="C152" s="38" t="s">
        <v>47</v>
      </c>
      <c r="D152" s="42">
        <f>TRUNC(161+698,-1)</f>
        <v>850</v>
      </c>
      <c r="E152" s="63">
        <f>TRUNC(+D152*3.3058,-1)</f>
        <v>2800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TRUNC(63476,-1)</f>
        <v>63470</v>
      </c>
      <c r="E153" s="64">
        <f>TRUNC(+D153*3.3058,-1)</f>
        <v>209810</v>
      </c>
    </row>
    <row r="154" spans="1:7" x14ac:dyDescent="0.3">
      <c r="A154" s="2">
        <v>6</v>
      </c>
      <c r="C154" s="27" t="s">
        <v>112</v>
      </c>
      <c r="D154" s="39">
        <f>SUM(D149:D153)</f>
        <v>82570</v>
      </c>
      <c r="E154" s="39">
        <f>SUM(E149:E153)</f>
        <v>272940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TRUNC(38995,-1)</f>
        <v>38990</v>
      </c>
      <c r="E157" s="62">
        <f>TRUNC(+D157*3.3058,-1)</f>
        <v>128890</v>
      </c>
    </row>
    <row r="158" spans="1:7" x14ac:dyDescent="0.3">
      <c r="A158" s="2">
        <v>2</v>
      </c>
      <c r="C158" s="38" t="s">
        <v>52</v>
      </c>
      <c r="D158" s="42">
        <v>7170</v>
      </c>
      <c r="E158" s="63">
        <f>TRUNC(+D158*3.3058,-1)</f>
        <v>23700</v>
      </c>
    </row>
    <row r="159" spans="1:7" x14ac:dyDescent="0.3">
      <c r="A159" s="2">
        <v>3</v>
      </c>
      <c r="C159" s="38" t="s">
        <v>47</v>
      </c>
      <c r="D159" s="42">
        <f>TRUNC(36671,-1)</f>
        <v>36670</v>
      </c>
      <c r="E159" s="63">
        <f>TRUNC(+D159*3.3058,-1)</f>
        <v>121220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82830</v>
      </c>
      <c r="E161" s="39">
        <f>SUM(E157:E160)</f>
        <v>273810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2020-12-07T10:05:05Z</dcterms:modified>
</cp:coreProperties>
</file>