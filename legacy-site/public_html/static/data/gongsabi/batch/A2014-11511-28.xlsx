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4" i="4" l="1"/>
  <c r="D58" i="4"/>
  <c r="D122" i="4" l="1"/>
  <c r="D125" i="4"/>
  <c r="D128" i="4"/>
  <c r="D124" i="4"/>
  <c r="D130" i="4"/>
  <c r="D127" i="4"/>
  <c r="D126" i="4"/>
  <c r="D132" i="4"/>
  <c r="D105" i="4"/>
  <c r="D104" i="4"/>
  <c r="D101" i="4"/>
  <c r="D102" i="4"/>
  <c r="D98" i="4"/>
  <c r="D100" i="4"/>
  <c r="D118" i="4"/>
  <c r="D115" i="4"/>
  <c r="D99" i="4"/>
  <c r="D94" i="4"/>
  <c r="D69" i="4"/>
  <c r="D70" i="4"/>
  <c r="D89" i="4"/>
  <c r="D90" i="4"/>
  <c r="D75" i="4"/>
  <c r="D85" i="4"/>
  <c r="D71" i="4"/>
  <c r="D73" i="4"/>
  <c r="D78" i="4"/>
  <c r="D72" i="4"/>
  <c r="D81" i="4"/>
  <c r="D137" i="4"/>
  <c r="D136" i="4"/>
  <c r="D159" i="4"/>
  <c r="D152" i="4"/>
  <c r="D45" i="4"/>
  <c r="D41" i="4"/>
  <c r="D42" i="4"/>
  <c r="D50" i="4"/>
  <c r="D55" i="4"/>
  <c r="D43" i="4"/>
  <c r="D54" i="4"/>
  <c r="D51" i="4"/>
  <c r="D53" i="4"/>
  <c r="D46" i="4"/>
  <c r="D44" i="4"/>
  <c r="D49" i="4"/>
  <c r="D47" i="4"/>
  <c r="D52" i="4"/>
  <c r="D48" i="4"/>
  <c r="D37" i="4"/>
  <c r="D40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146" i="4"/>
  <c r="E154" i="4"/>
  <c r="E60" i="4"/>
  <c r="E133" i="4"/>
  <c r="E119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<sst xmlns="http://schemas.openxmlformats.org/spreadsheetml/2006/main" count="392" uniqueCount="267">
  <si>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</si>
  <si>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</si>
  <si>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</si>
  <si>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</si>
  <si>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</si>
  <si>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</si>
  <si>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</si>
  <si>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</si>
  <si>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</si>
  <si>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</si>
  <si>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</si>
  <si>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</si>
  <si>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</si>
  <si>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</si>
  <si>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</si>
  <si>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</si>
  <si>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</si>
  <si>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</si>
  <si>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</si>
  <si>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</si>
  <si>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</si>
  <si>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</si>
  <si>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</si>
  <si>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</si>
  <si>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</si>
  <si>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</si>
  <si>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</si>
  <si>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</si>
  <si>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</si>
  <si>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</si>
  <si>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</si>
  <si>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</si>
  <si>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</si>
  <si>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</si>
  <si>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</si>
  <si>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</si>
  <si>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</si>
  <si>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</si>
  <si>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</si>
  <si>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</si>
  <si>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</si>
  <si>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</si>
  <si>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</si>
  <si>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</si>
  <si>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</si>
  <si>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</si>
  <si>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</si>
  <si>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</si>
  <si>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</si>
  <si>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</si>
  <si>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</si>
  <si>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</si>
  <si>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</si>
  <si>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</si>
  <si>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</si>
  <si>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</si>
  <si>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</si>
  <si>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</si>
  <si>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</si>
  <si>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</si>
  <si>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</si>
  <si>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</si>
  <si>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</si>
  <si>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</si>
  <si>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</si>
  <si>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</si>
  <si>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</si>
  <si>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</si>
  <si>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</si>
  <si>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</si>
  <si>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</si>
  <si>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</si>
  <si>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</si>
  <si>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</si>
  <si>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</si>
  <si>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</si>
  <si>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</si>
  <si>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</si>
  <si>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</si>
  <si>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</si>
  <si>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</si>
  <si>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</si>
  <si>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</si>
  <si>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</si>
  <si>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</si>
  <si>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</si>
  <si>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</si>
  <si>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</si>
  <si>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</si>
  <si>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</si>
  <si>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</si>
  <si>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</si>
  <si>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</si>
  <si>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</si>
  <si>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</si>
  <si>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</si>
  <si>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</si>
  <si>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</si>
  <si>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</si>
  <si>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</si>
  <si>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</si>
  <si>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</si>
  <si>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</si>
  <si>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</si>
  <si>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</si>
  <si>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</si>
  <si>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</si>
  <si>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</si>
  <si>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</si>
  <si>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</si>
  <si>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</si>
  <si>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</si>
  <si>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</si>
  <si>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</si>
  <si>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</si>
  <si>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</si>
  <si>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</si>
  <si>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</si>
  <si>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</si>
  <si>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</si>
  <si>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</si>
  <si>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</si>
  <si>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</si>
  <si>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</si>
  <si>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</si>
  <si>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</si>
  <si>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</si>
  <si>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</si>
  <si>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</si>
  <si>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</si>
  <si>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</si>
  <si>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</si>
  <si>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</si>
  <si>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</si>
  <si>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</si>
  <si>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</si>
  <si>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</si>
  <si>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</si>
  <si>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</si>
  <si>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</si>
  <si>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</si>
  <si>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</si>
  <si>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</si>
  <si>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</si>
  <si>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</si>
  <si>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</si>
  <si>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</si>
  <si>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</si>
  <si>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</si>
  <si>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</si>
  <si>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</si>
  <si>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</si>
  <si>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</si>
  <si>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</si>
  <si>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</si>
  <si>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</si>
  <si>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</si>
  <si>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</si>
  <si>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</si>
  <si>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</si>
  <si>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</si>
  <si>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</si>
  <si>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</si>
  <si>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</si>
  <si>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</si>
  <si>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</si>
  <si>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</si>
  <si>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</si>
  <si>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</si>
  <si>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</si>
  <si>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</si>
  <si>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</si>
  <si>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</si>
  <si>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</si>
  <si>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</si>
  <si>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</si>
  <si>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</si>
  <si>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</si>
  <si>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</si>
  <si>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</si>
  <si>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</si>
  <si>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</si>
  <si>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</si>
  <si>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</si>
  <si>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</si>
  <si>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</si>
  <si>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</si>
  <si>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</si>
  <si>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</si>
  <si>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</si>
  <si>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</si>
  <si>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</si>
  <si>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</si>
  <si>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</si>
  <si>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</si>
  <si>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</si>
  <si>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</si>
  <si>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</si>
  <si>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</si>
  <si>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</si>
  <si>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</si>
  <si>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</si>
  <si>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</si>
  <si>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</si>
  <si>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</si>
  <si>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</si>
  <si>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</si>
  <si>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</si>
  <si>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</si>
  <si>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</si>
  <si>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</si>
  <si>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</si>
  <si>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</si>
  <si>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</si>
  <si>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</si>
  <si>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</si>
  <si>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</si>
  <si>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</si>
  <si>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</si>
  <si>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</si>
  <si>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</si>
  <si>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</si>
  <si>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</si>
  <si>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</si>
  <si>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</si>
  <si>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</si>
  <si>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</si>
  <si>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</si>
  <si>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</si>
  <si>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</si>
  <si>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</si>
  <si>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</si>
  <si>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</si>
  <si>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</si>
  <si>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</si>
  <si>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</si>
  <si>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</si>
  <si>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</si>
  <si>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</si>
  <si>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</si>
  <si>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</si>
  <si>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</si>
  <si>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</si>
  <si>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</si>
  <si>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</si>
  <si>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</si>
  <si>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</si>
  <si>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</si>
  <si>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00000교육원 건설공사</t>
    <phoneticPr fontId="2" type="noConversion"/>
  </si>
  <si>
    <t>교육연구</t>
  </si>
  <si>
    <t>충청도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</si>
  <si>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</si>
  <si>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</si>
  <si>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</si>
  <si>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</si>
  <si>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지열배관공사,지열냉온수배관공사,트렌치배광공사,지중열교환기설치공사,공조배관공사,복사냉방시스템설치공사,온수방열관설치공사,우수처리시설공사,주방천정시스템설치공사,중수처리시설공사</t>
    <phoneticPr fontId="2" type="noConversion"/>
  </si>
  <si>
    <t>전력제어,조명제어</t>
    <phoneticPr fontId="2" type="noConversion"/>
  </si>
  <si>
    <t>객실관리설비공사,모니터링설비공사,무선AP설비공사,통합모니터링공사,CCTV설비공사</t>
    <phoneticPr fontId="2" type="noConversion"/>
  </si>
  <si>
    <t>전관방송설비공사</t>
    <phoneticPr fontId="2" type="noConversion"/>
  </si>
  <si>
    <t>CATV설비공사</t>
    <phoneticPr fontId="2" type="noConversion"/>
  </si>
  <si>
    <t>골재비,기타공사,운반비,작업부산물(감),품질시험비</t>
    <phoneticPr fontId="2" type="noConversion"/>
  </si>
  <si>
    <t>옥외전기공사,원격검침설비공사,전기공사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</si>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</sst>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32306</v>
      </c>
      <c r="D7" s="36">
        <f>+C7/3.3058</f>
        <v>9772.5210236553939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8130</v>
      </c>
      <c r="E24" s="58">
        <f t="shared" ref="E24:E33" si="0">TRUNC(+D24*3.3058,-1)</f>
        <v>26870</v>
      </c>
    </row>
    <row r="25" spans="1:5" x14ac:dyDescent="0.3">
      <c r="B25" s="2">
        <v>2</v>
      </c>
      <c r="C25" s="35" t="s">
        <v>111</v>
      </c>
      <c r="D25" s="45">
        <f>+D60</f>
        <v>784220</v>
      </c>
      <c r="E25" s="59">
        <f t="shared" si="0"/>
        <v>2592470</v>
      </c>
    </row>
    <row r="26" spans="1:5" x14ac:dyDescent="0.3">
      <c r="B26" s="2">
        <v>3</v>
      </c>
      <c r="C26" s="35" t="s">
        <v>95</v>
      </c>
      <c r="D26" s="45">
        <f>+D66</f>
        <v>2240</v>
      </c>
      <c r="E26" s="59">
        <f t="shared" si="0"/>
        <v>7400</v>
      </c>
    </row>
    <row r="27" spans="1:5" x14ac:dyDescent="0.3">
      <c r="B27" s="2">
        <v>4</v>
      </c>
      <c r="C27" s="35" t="s">
        <v>96</v>
      </c>
      <c r="D27" s="45">
        <f>+D95</f>
        <v>329240</v>
      </c>
      <c r="E27" s="59">
        <f t="shared" si="0"/>
        <v>1088400</v>
      </c>
    </row>
    <row r="28" spans="1:5" x14ac:dyDescent="0.3">
      <c r="B28" s="2">
        <v>5</v>
      </c>
      <c r="C28" s="35" t="s">
        <v>97</v>
      </c>
      <c r="D28" s="45">
        <f>+D119</f>
        <v>248970</v>
      </c>
      <c r="E28" s="59">
        <f t="shared" si="0"/>
        <v>823040</v>
      </c>
    </row>
    <row r="29" spans="1:5" x14ac:dyDescent="0.3">
      <c r="B29" s="2">
        <v>6</v>
      </c>
      <c r="C29" s="35" t="s">
        <v>98</v>
      </c>
      <c r="D29" s="45">
        <f>+D133</f>
        <v>163600</v>
      </c>
      <c r="E29" s="59">
        <f t="shared" si="0"/>
        <v>540820</v>
      </c>
    </row>
    <row r="30" spans="1:5" x14ac:dyDescent="0.3">
      <c r="B30" s="2">
        <v>7</v>
      </c>
      <c r="C30" s="35" t="s">
        <v>99</v>
      </c>
      <c r="D30" s="45">
        <f>+D146</f>
        <v>47630</v>
      </c>
      <c r="E30" s="59">
        <f t="shared" si="0"/>
        <v>157450</v>
      </c>
    </row>
    <row r="31" spans="1:5" x14ac:dyDescent="0.3">
      <c r="B31" s="2">
        <v>8</v>
      </c>
      <c r="C31" s="35" t="s">
        <v>100</v>
      </c>
      <c r="D31" s="45">
        <f>+D154</f>
        <v>45600</v>
      </c>
      <c r="E31" s="59">
        <f t="shared" si="0"/>
        <v>150740</v>
      </c>
    </row>
    <row r="32" spans="1:5" x14ac:dyDescent="0.3">
      <c r="B32" s="2">
        <v>9</v>
      </c>
      <c r="C32" s="35" t="s">
        <v>101</v>
      </c>
      <c r="D32" s="45">
        <f>+D161</f>
        <v>54920</v>
      </c>
      <c r="E32" s="59">
        <f t="shared" si="0"/>
        <v>181550</v>
      </c>
    </row>
    <row r="33" spans="1:7" x14ac:dyDescent="0.3">
      <c r="B33" s="2">
        <v>10</v>
      </c>
      <c r="C33" s="35" t="s">
        <v>154</v>
      </c>
      <c r="D33" s="53">
        <f>TRUNC(SUM(D24:D32)*0.275,-1)</f>
        <v>463250</v>
      </c>
      <c r="E33" s="60">
        <f t="shared" si="0"/>
        <v>1531410</v>
      </c>
    </row>
    <row r="34" spans="1:7" x14ac:dyDescent="0.3">
      <c r="C34" s="35" t="s">
        <v>112</v>
      </c>
      <c r="D34" s="44">
        <f>SUM(D24:D33)</f>
        <v>2147800</v>
      </c>
      <c r="E34" s="44">
        <f>SUM(E24:E33)</f>
        <v>7100150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TRUNC(8134,-1)</f>
        <v>8130</v>
      </c>
      <c r="E37" s="61">
        <f>TRUNC(+D37*3.3058,-1)</f>
        <v>26870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TRUNC(29311,-1)</f>
        <v>29310</v>
      </c>
      <c r="E40" s="62">
        <f t="shared" ref="E40:E59" si="1">TRUNC(+D40*3.3058,-1)</f>
        <v>96890</v>
      </c>
    </row>
    <row r="41" spans="1:7" x14ac:dyDescent="0.3">
      <c r="A41" s="2">
        <v>2</v>
      </c>
      <c r="C41" s="38" t="s">
        <v>13</v>
      </c>
      <c r="D41" s="42">
        <f>TRUNC(104947,-1)</f>
        <v>104940</v>
      </c>
      <c r="E41" s="63">
        <f t="shared" si="1"/>
        <v>346910</v>
      </c>
    </row>
    <row r="42" spans="1:7" x14ac:dyDescent="0.3">
      <c r="A42" s="2">
        <v>3</v>
      </c>
      <c r="C42" s="38" t="s">
        <v>14</v>
      </c>
      <c r="D42" s="42">
        <f>TRUNC(39824,-1)</f>
        <v>39820</v>
      </c>
      <c r="E42" s="63">
        <f t="shared" si="1"/>
        <v>131630</v>
      </c>
    </row>
    <row r="43" spans="1:7" x14ac:dyDescent="0.3">
      <c r="A43" s="2">
        <v>4</v>
      </c>
      <c r="C43" s="38" t="s">
        <v>16</v>
      </c>
      <c r="D43" s="42">
        <f>TRUNC(8767,-1)</f>
        <v>8760</v>
      </c>
      <c r="E43" s="63">
        <f t="shared" si="1"/>
        <v>28950</v>
      </c>
    </row>
    <row r="44" spans="1:7" x14ac:dyDescent="0.3">
      <c r="A44" s="2">
        <v>5</v>
      </c>
      <c r="C44" s="38" t="s">
        <v>17</v>
      </c>
      <c r="D44" s="42">
        <f>TRUNC(21907,-1)</f>
        <v>21900</v>
      </c>
      <c r="E44" s="63">
        <f t="shared" si="1"/>
        <v>72390</v>
      </c>
    </row>
    <row r="45" spans="1:7" x14ac:dyDescent="0.3">
      <c r="A45" s="2">
        <v>6</v>
      </c>
      <c r="C45" s="38" t="s">
        <v>18</v>
      </c>
      <c r="D45" s="42">
        <f>TRUNC(5099,-1)</f>
        <v>5090</v>
      </c>
      <c r="E45" s="63">
        <f t="shared" si="1"/>
        <v>16820</v>
      </c>
    </row>
    <row r="46" spans="1:7" x14ac:dyDescent="0.3">
      <c r="A46" s="2">
        <v>7</v>
      </c>
      <c r="C46" s="38" t="s">
        <v>19</v>
      </c>
      <c r="D46" s="42">
        <f>TRUNC(36525,-1)</f>
        <v>36520</v>
      </c>
      <c r="E46" s="63">
        <f t="shared" si="1"/>
        <v>120720</v>
      </c>
    </row>
    <row r="47" spans="1:7" x14ac:dyDescent="0.3">
      <c r="A47" s="2">
        <v>8</v>
      </c>
      <c r="C47" s="38" t="s">
        <v>20</v>
      </c>
      <c r="D47" s="42">
        <f>TRUNC(286,-1)</f>
        <v>280</v>
      </c>
      <c r="E47" s="63">
        <f t="shared" si="1"/>
        <v>920</v>
      </c>
    </row>
    <row r="48" spans="1:7" x14ac:dyDescent="0.3">
      <c r="A48" s="2">
        <v>9</v>
      </c>
      <c r="C48" s="38" t="s">
        <v>21</v>
      </c>
      <c r="D48" s="42">
        <f>TRUNC(48350,-1)</f>
        <v>48350</v>
      </c>
      <c r="E48" s="63">
        <f t="shared" si="1"/>
        <v>159830</v>
      </c>
    </row>
    <row r="49" spans="1:7" x14ac:dyDescent="0.3">
      <c r="A49" s="2">
        <v>10</v>
      </c>
      <c r="C49" s="38" t="s">
        <v>22</v>
      </c>
      <c r="D49" s="42">
        <f>TRUNC(15431,-1)</f>
        <v>15430</v>
      </c>
      <c r="E49" s="63">
        <f t="shared" si="1"/>
        <v>51000</v>
      </c>
    </row>
    <row r="50" spans="1:7" x14ac:dyDescent="0.3">
      <c r="A50" s="2">
        <v>11</v>
      </c>
      <c r="C50" s="38" t="s">
        <v>155</v>
      </c>
      <c r="D50" s="42">
        <f>TRUNC(39062,-1)</f>
        <v>39060</v>
      </c>
      <c r="E50" s="63">
        <f t="shared" si="1"/>
        <v>129120</v>
      </c>
    </row>
    <row r="51" spans="1:7" x14ac:dyDescent="0.3">
      <c r="A51" s="2">
        <v>12</v>
      </c>
      <c r="C51" s="38" t="s">
        <v>23</v>
      </c>
      <c r="D51" s="42">
        <f>TRUNC(16079,-1)</f>
        <v>16070</v>
      </c>
      <c r="E51" s="63">
        <f t="shared" si="1"/>
        <v>53120</v>
      </c>
    </row>
    <row r="52" spans="1:7" x14ac:dyDescent="0.3">
      <c r="A52" s="2">
        <v>13</v>
      </c>
      <c r="C52" s="38" t="s">
        <v>24</v>
      </c>
      <c r="D52" s="42">
        <f>TRUNC(14322,-1)</f>
        <v>14320</v>
      </c>
      <c r="E52" s="63">
        <f t="shared" si="1"/>
        <v>47330</v>
      </c>
    </row>
    <row r="53" spans="1:7" x14ac:dyDescent="0.3">
      <c r="A53" s="2">
        <v>14</v>
      </c>
      <c r="C53" s="38" t="s">
        <v>25</v>
      </c>
      <c r="D53" s="42">
        <f>TRUNC(90058,-1)</f>
        <v>90050</v>
      </c>
      <c r="E53" s="63">
        <f t="shared" si="1"/>
        <v>297680</v>
      </c>
    </row>
    <row r="54" spans="1:7" x14ac:dyDescent="0.3">
      <c r="A54" s="2">
        <v>15</v>
      </c>
      <c r="C54" s="38" t="s">
        <v>147</v>
      </c>
      <c r="D54" s="42">
        <f>TRUNC(25671,-1)</f>
        <v>25670</v>
      </c>
      <c r="E54" s="63">
        <f t="shared" si="1"/>
        <v>84850</v>
      </c>
    </row>
    <row r="55" spans="1:7" x14ac:dyDescent="0.3">
      <c r="A55" s="2">
        <v>16</v>
      </c>
      <c r="C55" s="38" t="s">
        <v>144</v>
      </c>
      <c r="D55" s="42">
        <f>TRUNC(727,-1)</f>
        <v>720</v>
      </c>
      <c r="E55" s="63">
        <f t="shared" si="1"/>
        <v>2380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TRUNC(1404+10360+2011-1156+418,-1)</f>
        <v>13030</v>
      </c>
      <c r="E58" s="63">
        <f t="shared" si="1"/>
        <v>43070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TRUNC(274903,-1)</f>
        <v>274900</v>
      </c>
      <c r="E59" s="64">
        <f t="shared" si="1"/>
        <v>908760</v>
      </c>
    </row>
    <row r="60" spans="1:7" x14ac:dyDescent="0.3">
      <c r="A60" s="2">
        <v>21</v>
      </c>
      <c r="C60" s="27" t="s">
        <v>112</v>
      </c>
      <c r="D60" s="39">
        <f>SUM(D40:D59)</f>
        <v>784220</v>
      </c>
      <c r="E60" s="39">
        <f>SUM(E40:E59)</f>
        <v>2592370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TRUNC(2242,-1)</f>
        <v>2240</v>
      </c>
      <c r="E64" s="63">
        <f>TRUNC(+D64*3.3058,-1)</f>
        <v>7400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2240</v>
      </c>
      <c r="E66" s="65">
        <f>SUM(E63:E65)</f>
        <v>7400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TRUNC(3327+8261,-1)</f>
        <v>11580</v>
      </c>
      <c r="E69" s="62">
        <f t="shared" ref="E69:E94" si="2">TRUNC(+D69*3.3058,-1)</f>
        <v>38280</v>
      </c>
    </row>
    <row r="70" spans="1:7" ht="16.5" customHeight="1" x14ac:dyDescent="0.3">
      <c r="A70" s="2">
        <v>2</v>
      </c>
      <c r="C70" s="38" t="s">
        <v>31</v>
      </c>
      <c r="D70" s="42">
        <f>TRUNC(1060,-1)</f>
        <v>1060</v>
      </c>
      <c r="E70" s="63">
        <f t="shared" si="2"/>
        <v>3500</v>
      </c>
    </row>
    <row r="71" spans="1:7" x14ac:dyDescent="0.3">
      <c r="A71" s="2">
        <v>3</v>
      </c>
      <c r="C71" s="38" t="s">
        <v>32</v>
      </c>
      <c r="D71" s="42">
        <f>TRUNC(16501,-1)</f>
        <v>16500</v>
      </c>
      <c r="E71" s="63">
        <f t="shared" si="2"/>
        <v>54540</v>
      </c>
    </row>
    <row r="72" spans="1:7" x14ac:dyDescent="0.3">
      <c r="A72" s="2">
        <v>4</v>
      </c>
      <c r="C72" s="38" t="s">
        <v>33</v>
      </c>
      <c r="D72" s="42">
        <f>TRUNC(3373,-1)</f>
        <v>3370</v>
      </c>
      <c r="E72" s="63">
        <f t="shared" si="2"/>
        <v>11140</v>
      </c>
    </row>
    <row r="73" spans="1:7" x14ac:dyDescent="0.3">
      <c r="A73" s="2">
        <v>5</v>
      </c>
      <c r="C73" s="38" t="s">
        <v>34</v>
      </c>
      <c r="D73" s="42">
        <f>TRUNC(78,-1)</f>
        <v>70</v>
      </c>
      <c r="E73" s="63">
        <f t="shared" si="2"/>
        <v>230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TRUNC(7201,-1)</f>
        <v>7200</v>
      </c>
      <c r="E75" s="63">
        <f t="shared" si="2"/>
        <v>23800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TRUNC(56571,-1)</f>
        <v>56570</v>
      </c>
      <c r="E78" s="63">
        <f t="shared" si="2"/>
        <v>187000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TRUNC(1222,-1)</f>
        <v>1220</v>
      </c>
      <c r="E81" s="63">
        <f t="shared" si="2"/>
        <v>4030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TRUNC(94,-1)</f>
        <v>90</v>
      </c>
      <c r="E85" s="63">
        <f t="shared" si="2"/>
        <v>290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TRUNC(233,-1)</f>
        <v>230</v>
      </c>
      <c r="E89" s="63">
        <f t="shared" si="2"/>
        <v>760</v>
      </c>
    </row>
    <row r="90" spans="1:7" x14ac:dyDescent="0.3">
      <c r="A90" s="2">
        <v>22</v>
      </c>
      <c r="C90" s="38" t="s">
        <v>36</v>
      </c>
      <c r="D90" s="42">
        <f>TRUNC(1791,-1)</f>
        <v>1790</v>
      </c>
      <c r="E90" s="63">
        <f t="shared" si="2"/>
        <v>5910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TRUNC(116459,-1)</f>
        <v>116450</v>
      </c>
      <c r="E93" s="63">
        <f t="shared" si="2"/>
        <v>384960</v>
      </c>
    </row>
    <row r="94" spans="1:7" ht="17.25" thickBot="1" x14ac:dyDescent="0.35">
      <c r="A94" s="2">
        <v>26</v>
      </c>
      <c r="C94" s="38" t="s">
        <v>47</v>
      </c>
      <c r="D94" s="43">
        <f>TRUNC(3693+2979+2881+29616+32261+3123+284+2288+25949+4651+5386,-1)</f>
        <v>113110</v>
      </c>
      <c r="E94" s="64">
        <f t="shared" si="2"/>
        <v>373910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329240</v>
      </c>
      <c r="E95" s="39">
        <f>SUM(E69:E94)</f>
        <v>1088350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TRUNC(20471,-1)</f>
        <v>20470</v>
      </c>
      <c r="E98" s="62">
        <f t="shared" ref="E98:E118" si="3">TRUNC(+D98*3.3058,-1)</f>
        <v>67660</v>
      </c>
    </row>
    <row r="99" spans="1:7" x14ac:dyDescent="0.3">
      <c r="A99" s="2">
        <v>2</v>
      </c>
      <c r="C99" s="38" t="s">
        <v>40</v>
      </c>
      <c r="D99" s="42">
        <f>TRUNC(9984,-1)</f>
        <v>9980</v>
      </c>
      <c r="E99" s="63">
        <f t="shared" si="3"/>
        <v>32990</v>
      </c>
    </row>
    <row r="100" spans="1:7" x14ac:dyDescent="0.3">
      <c r="A100" s="2">
        <v>3</v>
      </c>
      <c r="C100" s="38" t="s">
        <v>41</v>
      </c>
      <c r="D100" s="42">
        <f>TRUNC(28556,-1)</f>
        <v>28550</v>
      </c>
      <c r="E100" s="63">
        <f t="shared" si="3"/>
        <v>94380</v>
      </c>
    </row>
    <row r="101" spans="1:7" x14ac:dyDescent="0.3">
      <c r="A101" s="2">
        <v>4</v>
      </c>
      <c r="C101" s="38" t="s">
        <v>42</v>
      </c>
      <c r="D101" s="42">
        <f>TRUNC(412+820,-1)</f>
        <v>1230</v>
      </c>
      <c r="E101" s="63">
        <f t="shared" si="3"/>
        <v>4060</v>
      </c>
      <c r="F101" s="2" t="s">
        <v>256</v>
      </c>
    </row>
    <row r="102" spans="1:7" x14ac:dyDescent="0.3">
      <c r="A102" s="2">
        <v>5</v>
      </c>
      <c r="C102" s="38" t="s">
        <v>43</v>
      </c>
      <c r="D102" s="42">
        <f>TRUNC(10660,-1)</f>
        <v>10660</v>
      </c>
      <c r="E102" s="63">
        <f t="shared" si="3"/>
        <v>35230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TRUNC(3013,-1)</f>
        <v>3010</v>
      </c>
      <c r="E104" s="63">
        <f t="shared" si="3"/>
        <v>9950</v>
      </c>
    </row>
    <row r="105" spans="1:7" x14ac:dyDescent="0.3">
      <c r="A105" s="2">
        <v>8</v>
      </c>
      <c r="C105" s="38" t="s">
        <v>46</v>
      </c>
      <c r="D105" s="42">
        <f>TRUNC(6551,-1)</f>
        <v>6550</v>
      </c>
      <c r="E105" s="63">
        <f t="shared" si="3"/>
        <v>21650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TRUNC(4150,-1)</f>
        <v>4150</v>
      </c>
      <c r="E115" s="63">
        <f t="shared" si="3"/>
        <v>13710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TRUNC(69884,-1)</f>
        <v>69880</v>
      </c>
      <c r="E117" s="63">
        <f t="shared" si="3"/>
        <v>231000</v>
      </c>
    </row>
    <row r="118" spans="1:7" ht="17.25" thickBot="1" x14ac:dyDescent="0.35">
      <c r="A118" s="2">
        <v>21</v>
      </c>
      <c r="C118" s="38" t="s">
        <v>47</v>
      </c>
      <c r="D118" s="43">
        <f>TRUNC(4767+171+89554,-1)</f>
        <v>94490</v>
      </c>
      <c r="E118" s="64">
        <f t="shared" si="3"/>
        <v>312360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248970</v>
      </c>
      <c r="E119" s="39">
        <f>SUM(E98:E118)</f>
        <v>822990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TRUNC(1528,-1)</f>
        <v>1520</v>
      </c>
      <c r="E122" s="62">
        <f t="shared" ref="E122:E132" si="4">TRUNC(+D122*3.3058,-1)</f>
        <v>5020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TRUNC(9547,-1)</f>
        <v>9540</v>
      </c>
      <c r="E124" s="63">
        <f t="shared" si="4"/>
        <v>31530</v>
      </c>
    </row>
    <row r="125" spans="1:7" x14ac:dyDescent="0.3">
      <c r="A125" s="2">
        <v>4</v>
      </c>
      <c r="C125" s="38" t="s">
        <v>138</v>
      </c>
      <c r="D125" s="42">
        <f>TRUNC(5394,-1)</f>
        <v>5390</v>
      </c>
      <c r="E125" s="63">
        <f t="shared" si="4"/>
        <v>17810</v>
      </c>
      <c r="F125" s="2" t="s">
        <v>258</v>
      </c>
    </row>
    <row r="126" spans="1:7" x14ac:dyDescent="0.3">
      <c r="A126" s="2">
        <v>5</v>
      </c>
      <c r="C126" s="38" t="s">
        <v>53</v>
      </c>
      <c r="D126" s="42">
        <f>TRUNC(3566,-1)</f>
        <v>3560</v>
      </c>
      <c r="E126" s="63">
        <f t="shared" si="4"/>
        <v>11760</v>
      </c>
    </row>
    <row r="127" spans="1:7" x14ac:dyDescent="0.3">
      <c r="A127" s="2">
        <v>6</v>
      </c>
      <c r="C127" s="38" t="s">
        <v>56</v>
      </c>
      <c r="D127" s="42">
        <f>TRUNC(3117,-1)</f>
        <v>3110</v>
      </c>
      <c r="E127" s="63">
        <f t="shared" si="4"/>
        <v>10280</v>
      </c>
    </row>
    <row r="128" spans="1:7" x14ac:dyDescent="0.3">
      <c r="A128" s="2">
        <v>7</v>
      </c>
      <c r="C128" s="38" t="s">
        <v>46</v>
      </c>
      <c r="D128" s="42">
        <f>TRUNC(6228,-1)</f>
        <v>6220</v>
      </c>
      <c r="E128" s="63">
        <f t="shared" si="4"/>
        <v>20560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TRUNC(14963,-1)</f>
        <v>14960</v>
      </c>
      <c r="E130" s="63">
        <f t="shared" si="4"/>
        <v>49450</v>
      </c>
    </row>
    <row r="131" spans="1:7" x14ac:dyDescent="0.3">
      <c r="A131" s="2">
        <v>10</v>
      </c>
      <c r="C131" s="38" t="s">
        <v>148</v>
      </c>
      <c r="D131" s="42">
        <f>TRUNC(111537,-1)</f>
        <v>111530</v>
      </c>
      <c r="E131" s="63">
        <f t="shared" si="4"/>
        <v>368690</v>
      </c>
    </row>
    <row r="132" spans="1:7" ht="18" thickBot="1" x14ac:dyDescent="0.35">
      <c r="A132" s="2">
        <v>11</v>
      </c>
      <c r="C132" s="38" t="s">
        <v>47</v>
      </c>
      <c r="D132" s="43">
        <f>TRUNC(4195+34+357+1662+1528,-1)</f>
        <v>7770</v>
      </c>
      <c r="E132" s="64">
        <f t="shared" si="4"/>
        <v>25680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163600</v>
      </c>
      <c r="E133" s="39">
        <f>SUM(E122:E132)</f>
        <v>540780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TRUNC(33000,-1)</f>
        <v>33000</v>
      </c>
      <c r="E136" s="62">
        <f t="shared" ref="E136:E145" si="5">TRUNC(+D136*3.3058,-1)</f>
        <v>109090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TRUNC(14638,-1)</f>
        <v>14630</v>
      </c>
      <c r="E137" s="63">
        <f t="shared" si="5"/>
        <v>48360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47630</v>
      </c>
      <c r="E146" s="39">
        <f>SUM(E136:E145)</f>
        <v>157450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TRUNC(45605,-1)</f>
        <v>45600</v>
      </c>
      <c r="E152" s="63">
        <f>TRUNC(+D152*3.3058,-1)</f>
        <v>150740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45600</v>
      </c>
      <c r="E154" s="39">
        <f>SUM(E149:E153)</f>
        <v>150740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TRUNC(54929,-1)</f>
        <v>54920</v>
      </c>
      <c r="E159" s="63">
        <f>TRUNC(+D159*3.3058,-1)</f>
        <v>181550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54920</v>
      </c>
      <c r="E161" s="39">
        <f>SUM(E157:E160)</f>
        <v>181550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2020-12-07T09:50:09Z</dcterms:modified>
</cp:coreProperties>
</file>