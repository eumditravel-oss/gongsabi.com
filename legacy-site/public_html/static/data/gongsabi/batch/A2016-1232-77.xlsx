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2" i="4"/>
  <c r="D91" i="4"/>
  <c r="D90" i="4"/>
  <c r="D89" i="4"/>
  <c r="D75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<sst xmlns="http://schemas.openxmlformats.org/spreadsheetml/2006/main" count="392" uniqueCount="266">
  <si>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</si>
  <si>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</si>
  <si>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</si>
  <si>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</si>
  <si>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</si>
  <si>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</si>
  <si>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</si>
  <si>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</si>
  <si>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</si>
  <si>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</si>
  <si>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</si>
  <si>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</si>
  <si>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</si>
  <si>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</si>
  <si>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</si>
  <si>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</si>
  <si>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</si>
  <si>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</si>
  <si>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</si>
  <si>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</si>
  <si>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</si>
  <si>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</si>
  <si>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</si>
  <si>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</si>
  <si>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</si>
  <si>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</si>
  <si>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</si>
  <si>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</si>
  <si>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</si>
  <si>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</si>
  <si>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</si>
  <si>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</si>
  <si>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</si>
  <si>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</si>
  <si>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</si>
  <si>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</si>
  <si>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</si>
  <si>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</si>
  <si>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</si>
  <si>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</si>
  <si>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</si>
  <si>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</si>
  <si>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</si>
  <si>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</si>
  <si>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</si>
  <si>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</si>
  <si>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</si>
  <si>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</si>
  <si>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</si>
  <si>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</si>
  <si>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</si>
  <si>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</si>
  <si>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</si>
  <si>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</si>
  <si>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</si>
  <si>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</si>
  <si>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</si>
  <si>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</si>
  <si>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</si>
  <si>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</si>
  <si>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</si>
  <si>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</si>
  <si>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</si>
  <si>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</si>
  <si>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</si>
  <si>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</si>
  <si>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</si>
  <si>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</si>
  <si>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</si>
  <si>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</si>
  <si>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</si>
  <si>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</si>
  <si>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</si>
  <si>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</si>
  <si>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</si>
  <si>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</si>
  <si>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</si>
  <si>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</si>
  <si>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</si>
  <si>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</si>
  <si>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</si>
  <si>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</si>
  <si>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</si>
  <si>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</si>
  <si>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</si>
  <si>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</si>
  <si>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</si>
  <si>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</si>
  <si>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</si>
  <si>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</si>
  <si>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</si>
  <si>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</si>
  <si>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</si>
  <si>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</si>
  <si>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</si>
  <si>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</si>
  <si>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</si>
  <si>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</si>
  <si>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</si>
  <si>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</si>
  <si>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</si>
  <si>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</si>
  <si>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</si>
  <si>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</si>
  <si>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</si>
  <si>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</si>
  <si>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</si>
  <si>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</si>
  <si>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</si>
  <si>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</si>
  <si>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</si>
  <si>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</si>
  <si>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</si>
  <si>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</si>
  <si>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</si>
  <si>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</si>
  <si>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</si>
  <si>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</si>
  <si>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</si>
  <si>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</si>
  <si>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</si>
  <si>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</si>
  <si>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</si>
  <si>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</si>
  <si>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</si>
  <si>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</si>
  <si>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</si>
  <si>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</si>
  <si>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</si>
  <si>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</si>
  <si>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</si>
  <si>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</si>
  <si>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</si>
  <si>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</si>
  <si>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</si>
  <si>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</si>
  <si>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</si>
  <si>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</si>
  <si>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</si>
  <si>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</si>
  <si>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</si>
  <si>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</si>
  <si>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</si>
  <si>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</si>
  <si>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</si>
  <si>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</si>
  <si>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</si>
  <si>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</si>
  <si>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</si>
  <si>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</si>
  <si>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</si>
  <si>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</si>
  <si>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</si>
  <si>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</si>
  <si>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</si>
  <si>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</si>
  <si>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</si>
  <si>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</si>
  <si>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</si>
  <si>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</si>
  <si>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</si>
  <si>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</si>
  <si>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</si>
  <si>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</si>
  <si>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</si>
  <si>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</si>
  <si>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</si>
  <si>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</si>
  <si>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</si>
  <si>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</si>
  <si>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</si>
  <si>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</si>
  <si>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</si>
  <si>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</si>
  <si>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</si>
  <si>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</si>
  <si>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</si>
  <si>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</si>
  <si>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</si>
  <si>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</si>
  <si>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</si>
  <si>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</si>
  <si>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</si>
  <si>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</si>
  <si>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</si>
  <si>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</si>
  <si>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</si>
  <si>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</si>
  <si>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</si>
  <si>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</si>
  <si>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</si>
  <si>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</si>
  <si>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</si>
  <si>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</si>
  <si>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</si>
  <si>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</si>
  <si>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</si>
  <si>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</si>
  <si>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</si>
  <si>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</si>
  <si>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</si>
  <si>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</si>
  <si>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</si>
  <si>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</si>
  <si>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</si>
  <si>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</si>
  <si>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</si>
  <si>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</si>
  <si>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</si>
  <si>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</si>
  <si>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</si>
  <si>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</si>
  <si>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</si>
  <si>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</si>
  <si>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</si>
  <si>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</si>
  <si>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</si>
  <si>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</si>
  <si>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</si>
  <si>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</si>
  <si>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</si>
  <si>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</si>
  <si>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</si>
  <si>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</si>
  <si>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</si>
  <si>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</si>
  <si>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</si>
  <si>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</si>
  <si>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</si>
  <si>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</si>
  <si>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</si>
  <si>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</si>
  <si>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</si>
  <si>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</si>
  <si>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</si>
  <si>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</si>
  <si>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</si>
  <si>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</si>
  <si>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</si>
  <si>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</si>
  <si>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</si>
  <si>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</si>
  <si>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</si>
  <si>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</si>
  <si>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</si>
  <si>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</si>
  <si>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</si>
  <si>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</si>
  <si>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</si>
  <si>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</si>
  <si>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</si>
  <si>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</si>
  <si>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</si>
  <si>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</si>
  <si>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</si>
  <si>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</si>
  <si>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운동</t>
  </si>
  <si>
    <t>군포국민체육센터 건립공사</t>
    <phoneticPr fontId="2" type="noConversion"/>
  </si>
  <si>
    <t>경기도</t>
  </si>
  <si>
    <t>기초공사, 골재비및운반비, 품질시험비, 기타공사</t>
    <phoneticPr fontId="2" type="noConversion"/>
  </si>
  <si>
    <t>난방배관공사,바닥난방공사, 기타공사</t>
    <phoneticPr fontId="2" type="noConversion"/>
  </si>
  <si>
    <t>옥외소화배관공사, 펌프실배관공사</t>
    <phoneticPr fontId="2" type="noConversion"/>
  </si>
  <si>
    <t>상수도공사, 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</si>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</sst>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7945.82</v>
      </c>
      <c r="D7" s="36">
        <f>+C7/3.3058</f>
        <v>2403.5997338011975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1124100</v>
      </c>
      <c r="E25" s="59">
        <f t="shared" si="0"/>
        <v>3716040</v>
      </c>
    </row>
    <row r="26" spans="1:5" x14ac:dyDescent="0.3">
      <c r="B26" s="2">
        <v>3</v>
      </c>
      <c r="C26" s="35" t="s">
        <v>95</v>
      </c>
      <c r="D26" s="45">
        <f>+D66</f>
        <v>204550</v>
      </c>
      <c r="E26" s="59">
        <f t="shared" si="0"/>
        <v>676200</v>
      </c>
    </row>
    <row r="27" spans="1:5" x14ac:dyDescent="0.3">
      <c r="B27" s="2">
        <v>4</v>
      </c>
      <c r="C27" s="35" t="s">
        <v>96</v>
      </c>
      <c r="D27" s="45">
        <f>+D95</f>
        <v>316250</v>
      </c>
      <c r="E27" s="59">
        <f t="shared" si="0"/>
        <v>1045450</v>
      </c>
    </row>
    <row r="28" spans="1:5" x14ac:dyDescent="0.3">
      <c r="B28" s="2">
        <v>5</v>
      </c>
      <c r="C28" s="35" t="s">
        <v>97</v>
      </c>
      <c r="D28" s="45">
        <f>+D119</f>
        <v>231040</v>
      </c>
      <c r="E28" s="59">
        <f t="shared" si="0"/>
        <v>763770</v>
      </c>
    </row>
    <row r="29" spans="1:5" x14ac:dyDescent="0.3">
      <c r="B29" s="2">
        <v>6</v>
      </c>
      <c r="C29" s="35" t="s">
        <v>98</v>
      </c>
      <c r="D29" s="45">
        <f>+D133</f>
        <v>108580</v>
      </c>
      <c r="E29" s="59">
        <f t="shared" si="0"/>
        <v>358940</v>
      </c>
    </row>
    <row r="30" spans="1:5" x14ac:dyDescent="0.3">
      <c r="B30" s="2">
        <v>7</v>
      </c>
      <c r="C30" s="35" t="s">
        <v>99</v>
      </c>
      <c r="D30" s="45">
        <f>+D146</f>
        <v>54780</v>
      </c>
      <c r="E30" s="59">
        <f t="shared" si="0"/>
        <v>181090</v>
      </c>
    </row>
    <row r="31" spans="1:5" x14ac:dyDescent="0.3">
      <c r="B31" s="2">
        <v>8</v>
      </c>
      <c r="C31" s="35" t="s">
        <v>100</v>
      </c>
      <c r="D31" s="45">
        <f>+D154</f>
        <v>30420</v>
      </c>
      <c r="E31" s="59">
        <f t="shared" si="0"/>
        <v>100560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569170</v>
      </c>
      <c r="E33" s="60">
        <f t="shared" si="0"/>
        <v>1881560</v>
      </c>
    </row>
    <row r="34" spans="1:7" x14ac:dyDescent="0.3">
      <c r="C34" s="35" t="s">
        <v>112</v>
      </c>
      <c r="D34" s="44">
        <f>SUM(D24:D33)</f>
        <v>2638890</v>
      </c>
      <c r="E34" s="44">
        <f>SUM(E24:E33)</f>
        <v>8723610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TRUNC(58574,-1)</f>
        <v>58570</v>
      </c>
      <c r="E40" s="62">
        <f t="shared" ref="E40:E59" si="1">TRUNC(+D40*3.3058,-1)</f>
        <v>193620</v>
      </c>
    </row>
    <row r="41" spans="1:7" x14ac:dyDescent="0.3">
      <c r="A41" s="2">
        <v>2</v>
      </c>
      <c r="C41" s="38" t="s">
        <v>13</v>
      </c>
      <c r="D41" s="42">
        <f>TRUNC(172745,-1)</f>
        <v>172740</v>
      </c>
      <c r="E41" s="63">
        <f t="shared" si="1"/>
        <v>571040</v>
      </c>
    </row>
    <row r="42" spans="1:7" x14ac:dyDescent="0.3">
      <c r="A42" s="2">
        <v>3</v>
      </c>
      <c r="C42" s="38" t="s">
        <v>14</v>
      </c>
      <c r="D42" s="42">
        <f>TRUNC(147258,-1)</f>
        <v>147250</v>
      </c>
      <c r="E42" s="63">
        <f t="shared" si="1"/>
        <v>486770</v>
      </c>
    </row>
    <row r="43" spans="1:7" x14ac:dyDescent="0.3">
      <c r="A43" s="2">
        <v>4</v>
      </c>
      <c r="C43" s="38" t="s">
        <v>16</v>
      </c>
      <c r="D43" s="42">
        <f>TRUNC(52462,-1)</f>
        <v>52460</v>
      </c>
      <c r="E43" s="63">
        <f t="shared" si="1"/>
        <v>173420</v>
      </c>
    </row>
    <row r="44" spans="1:7" x14ac:dyDescent="0.3">
      <c r="A44" s="2">
        <v>5</v>
      </c>
      <c r="C44" s="38" t="s">
        <v>17</v>
      </c>
      <c r="D44" s="42">
        <f>TRUNC(29473,-1)</f>
        <v>29470</v>
      </c>
      <c r="E44" s="63">
        <f t="shared" si="1"/>
        <v>97420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TRUNC(5423,-1)</f>
        <v>5420</v>
      </c>
      <c r="E46" s="63">
        <f t="shared" si="1"/>
        <v>17910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TRUNC(65162,-1)</f>
        <v>65160</v>
      </c>
      <c r="E48" s="63">
        <f t="shared" si="1"/>
        <v>215400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TRUNC(17595,-1)</f>
        <v>17590</v>
      </c>
      <c r="E49" s="63">
        <f t="shared" si="1"/>
        <v>58140</v>
      </c>
    </row>
    <row r="50" spans="1:7" x14ac:dyDescent="0.3">
      <c r="A50" s="2">
        <v>11</v>
      </c>
      <c r="C50" s="38" t="s">
        <v>156</v>
      </c>
      <c r="D50" s="42">
        <f>TRUNC(46659,-1)</f>
        <v>46650</v>
      </c>
      <c r="E50" s="63">
        <f t="shared" si="1"/>
        <v>154210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TRUNC(8028,-1)</f>
        <v>8020</v>
      </c>
      <c r="E52" s="63">
        <f t="shared" si="1"/>
        <v>26510</v>
      </c>
    </row>
    <row r="53" spans="1:7" x14ac:dyDescent="0.3">
      <c r="A53" s="2">
        <v>14</v>
      </c>
      <c r="C53" s="38" t="s">
        <v>25</v>
      </c>
      <c r="D53" s="42">
        <f>TRUNC(195425,-1)</f>
        <v>195420</v>
      </c>
      <c r="E53" s="63">
        <f t="shared" si="1"/>
        <v>646010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TRUNC(11332+4698+1512+2492,-1)</f>
        <v>20030</v>
      </c>
      <c r="E58" s="63">
        <f t="shared" si="1"/>
        <v>66210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TRUNC(305325,-1)</f>
        <v>305320</v>
      </c>
      <c r="E59" s="64">
        <f t="shared" si="1"/>
        <v>1009320</v>
      </c>
    </row>
    <row r="60" spans="1:7" x14ac:dyDescent="0.3">
      <c r="A60" s="2">
        <v>21</v>
      </c>
      <c r="C60" s="27" t="s">
        <v>112</v>
      </c>
      <c r="D60" s="39">
        <f>SUM(D40:D59)</f>
        <v>1124100</v>
      </c>
      <c r="E60" s="39">
        <f>SUM(E40:E59)</f>
        <v>3715980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TRUNC(1871,-1)</f>
        <v>1870</v>
      </c>
      <c r="E63" s="62">
        <f>TRUNC(+D63*3.3058,-1)</f>
        <v>6180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TRUNC(202688,-1)</f>
        <v>202680</v>
      </c>
      <c r="E65" s="64">
        <f>TRUNC(+D65*3.3058,-1)</f>
        <v>670010</v>
      </c>
    </row>
    <row r="66" spans="1:7" x14ac:dyDescent="0.3">
      <c r="A66" s="2">
        <v>4</v>
      </c>
      <c r="C66" s="27" t="s">
        <v>112</v>
      </c>
      <c r="D66" s="39">
        <f>SUM(D63:D65)</f>
        <v>204550</v>
      </c>
      <c r="E66" s="65">
        <f>SUM(E63:E65)</f>
        <v>676190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TRUNC(39065,-1)</f>
        <v>39060</v>
      </c>
      <c r="E69" s="62">
        <f t="shared" ref="E69:E94" si="2">TRUNC(+D69*3.3058,-1)</f>
        <v>129120</v>
      </c>
    </row>
    <row r="70" spans="1:7" ht="16.5" customHeight="1" x14ac:dyDescent="0.3">
      <c r="A70" s="2">
        <v>2</v>
      </c>
      <c r="C70" s="38" t="s">
        <v>31</v>
      </c>
      <c r="D70" s="42">
        <f>TRUNC(265,-1)</f>
        <v>260</v>
      </c>
      <c r="E70" s="63">
        <f t="shared" si="2"/>
        <v>850</v>
      </c>
    </row>
    <row r="71" spans="1:7" x14ac:dyDescent="0.3">
      <c r="A71" s="2">
        <v>3</v>
      </c>
      <c r="C71" s="38" t="s">
        <v>32</v>
      </c>
      <c r="D71" s="42">
        <f>TRUNC(18324,-1)</f>
        <v>18320</v>
      </c>
      <c r="E71" s="63">
        <f t="shared" si="2"/>
        <v>60560</v>
      </c>
    </row>
    <row r="72" spans="1:7" x14ac:dyDescent="0.3">
      <c r="A72" s="2">
        <v>4</v>
      </c>
      <c r="C72" s="38" t="s">
        <v>33</v>
      </c>
      <c r="D72" s="42">
        <v>5320</v>
      </c>
      <c r="E72" s="63">
        <f t="shared" si="2"/>
        <v>17580</v>
      </c>
    </row>
    <row r="73" spans="1:7" x14ac:dyDescent="0.3">
      <c r="A73" s="2">
        <v>5</v>
      </c>
      <c r="C73" s="38" t="s">
        <v>34</v>
      </c>
      <c r="D73" s="42">
        <f>TRUNC(16598,-1)</f>
        <v>16590</v>
      </c>
      <c r="E73" s="63">
        <f t="shared" si="2"/>
        <v>54840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TRUNC(19,-1)</f>
        <v>10</v>
      </c>
      <c r="E75" s="63">
        <f t="shared" si="2"/>
        <v>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TRUNC(8693,-1)</f>
        <v>8690</v>
      </c>
      <c r="E89" s="63">
        <f t="shared" si="2"/>
        <v>28720</v>
      </c>
    </row>
    <row r="90" spans="1:7" x14ac:dyDescent="0.3">
      <c r="A90" s="2">
        <v>22</v>
      </c>
      <c r="C90" s="38" t="s">
        <v>36</v>
      </c>
      <c r="D90" s="42">
        <f>TRUNC(4813,-1)</f>
        <v>4810</v>
      </c>
      <c r="E90" s="63">
        <f t="shared" si="2"/>
        <v>15900</v>
      </c>
    </row>
    <row r="91" spans="1:7" x14ac:dyDescent="0.3">
      <c r="A91" s="2">
        <v>23</v>
      </c>
      <c r="C91" s="38" t="s">
        <v>37</v>
      </c>
      <c r="D91" s="42">
        <f>TRUNC(19886,-1)</f>
        <v>19880</v>
      </c>
      <c r="E91" s="63">
        <f t="shared" si="2"/>
        <v>65710</v>
      </c>
    </row>
    <row r="92" spans="1:7" x14ac:dyDescent="0.3">
      <c r="A92" s="2">
        <v>24</v>
      </c>
      <c r="C92" s="38" t="s">
        <v>38</v>
      </c>
      <c r="D92" s="42">
        <f>TRUNC(6531,-1)</f>
        <v>6530</v>
      </c>
      <c r="E92" s="63">
        <f t="shared" si="2"/>
        <v>21580</v>
      </c>
    </row>
    <row r="93" spans="1:7" x14ac:dyDescent="0.3">
      <c r="A93" s="2">
        <v>25</v>
      </c>
      <c r="C93" s="38" t="s">
        <v>149</v>
      </c>
      <c r="D93" s="42">
        <f>TRUNC(179783,-1)</f>
        <v>179780</v>
      </c>
      <c r="E93" s="63">
        <f t="shared" si="2"/>
        <v>594310</v>
      </c>
    </row>
    <row r="94" spans="1:7" ht="17.25" thickBot="1" x14ac:dyDescent="0.35">
      <c r="A94" s="2">
        <v>26</v>
      </c>
      <c r="C94" s="38" t="s">
        <v>47</v>
      </c>
      <c r="D94" s="43">
        <f>TRUNC(2929+652+13428,-1)</f>
        <v>17000</v>
      </c>
      <c r="E94" s="64">
        <f t="shared" si="2"/>
        <v>56190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316250</v>
      </c>
      <c r="E95" s="39">
        <f>SUM(E69:E94)</f>
        <v>1045390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TRUNC(10788,-1)</f>
        <v>10780</v>
      </c>
      <c r="E98" s="62">
        <f t="shared" ref="E98:E118" si="3">TRUNC(+D98*3.3058,-1)</f>
        <v>35630</v>
      </c>
    </row>
    <row r="99" spans="1:7" x14ac:dyDescent="0.3">
      <c r="A99" s="2">
        <v>2</v>
      </c>
      <c r="C99" s="38" t="s">
        <v>40</v>
      </c>
      <c r="D99" s="42">
        <f>TRUNC(11715,-1)</f>
        <v>11710</v>
      </c>
      <c r="E99" s="63">
        <f t="shared" si="3"/>
        <v>38710</v>
      </c>
    </row>
    <row r="100" spans="1:7" x14ac:dyDescent="0.3">
      <c r="A100" s="2">
        <v>3</v>
      </c>
      <c r="C100" s="38" t="s">
        <v>41</v>
      </c>
      <c r="D100" s="42">
        <f>TRUNC(33926,-1)</f>
        <v>33920</v>
      </c>
      <c r="E100" s="63">
        <f t="shared" si="3"/>
        <v>112130</v>
      </c>
    </row>
    <row r="101" spans="1:7" x14ac:dyDescent="0.3">
      <c r="A101" s="2">
        <v>4</v>
      </c>
      <c r="C101" s="38" t="s">
        <v>42</v>
      </c>
      <c r="D101" s="42">
        <f>TRUNC(1236,-1)</f>
        <v>1230</v>
      </c>
      <c r="E101" s="63">
        <f t="shared" si="3"/>
        <v>4060</v>
      </c>
    </row>
    <row r="102" spans="1:7" x14ac:dyDescent="0.3">
      <c r="A102" s="2">
        <v>5</v>
      </c>
      <c r="C102" s="38" t="s">
        <v>43</v>
      </c>
      <c r="D102" s="42">
        <f>TRUNC(6349,-1)</f>
        <v>6340</v>
      </c>
      <c r="E102" s="63">
        <f t="shared" si="3"/>
        <v>20950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TRUNC(3756,-1)</f>
        <v>3750</v>
      </c>
      <c r="E104" s="63">
        <f t="shared" si="3"/>
        <v>12390</v>
      </c>
    </row>
    <row r="105" spans="1:7" x14ac:dyDescent="0.3">
      <c r="A105" s="2">
        <v>8</v>
      </c>
      <c r="C105" s="38" t="s">
        <v>46</v>
      </c>
      <c r="D105" s="42">
        <f>TRUNC(2897,-1)</f>
        <v>2890</v>
      </c>
      <c r="E105" s="63">
        <f t="shared" si="3"/>
        <v>9550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TRUNC(76,-1)</f>
        <v>70</v>
      </c>
      <c r="E114" s="63">
        <f t="shared" si="3"/>
        <v>230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TRUNC(4028,-1)</f>
        <v>4020</v>
      </c>
      <c r="E116" s="63">
        <f t="shared" si="3"/>
        <v>13280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TRUNC(155394,-1)</f>
        <v>155390</v>
      </c>
      <c r="E117" s="63">
        <f t="shared" si="3"/>
        <v>513680</v>
      </c>
    </row>
    <row r="118" spans="1:7" ht="17.25" thickBot="1" x14ac:dyDescent="0.35">
      <c r="A118" s="2">
        <v>21</v>
      </c>
      <c r="C118" s="38" t="s">
        <v>47</v>
      </c>
      <c r="D118" s="43">
        <f>TRUNC(949,-1)</f>
        <v>940</v>
      </c>
      <c r="E118" s="64">
        <f t="shared" si="3"/>
        <v>3100</v>
      </c>
    </row>
    <row r="119" spans="1:7" x14ac:dyDescent="0.3">
      <c r="A119" s="2">
        <v>22</v>
      </c>
      <c r="C119" s="27" t="s">
        <v>112</v>
      </c>
      <c r="D119" s="39">
        <f>SUM(D98:D118)</f>
        <v>231040</v>
      </c>
      <c r="E119" s="39">
        <f>SUM(E98:E118)</f>
        <v>763710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TRUNC(10814,-1)</f>
        <v>10810</v>
      </c>
      <c r="E122" s="62">
        <f t="shared" ref="E122:E132" si="4">TRUNC(+D122*3.3058,-1)</f>
        <v>35730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TRUNC(3998,-1)</f>
        <v>3990</v>
      </c>
      <c r="E124" s="63">
        <f t="shared" si="4"/>
        <v>13190</v>
      </c>
    </row>
    <row r="125" spans="1:7" x14ac:dyDescent="0.3">
      <c r="A125" s="2">
        <v>4</v>
      </c>
      <c r="C125" s="38" t="s">
        <v>138</v>
      </c>
      <c r="D125" s="42">
        <f>TRUNC(4618,-1)</f>
        <v>4610</v>
      </c>
      <c r="E125" s="63">
        <f t="shared" si="4"/>
        <v>15230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TRUNC(1315,-1)</f>
        <v>1310</v>
      </c>
      <c r="E127" s="63">
        <f t="shared" si="4"/>
        <v>4330</v>
      </c>
    </row>
    <row r="128" spans="1:7" x14ac:dyDescent="0.3">
      <c r="A128" s="2">
        <v>7</v>
      </c>
      <c r="C128" s="38" t="s">
        <v>46</v>
      </c>
      <c r="D128" s="42">
        <f>TRUNC(2323,-1)</f>
        <v>2320</v>
      </c>
      <c r="E128" s="63">
        <f t="shared" si="4"/>
        <v>7660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TRUNC(5072,-1)</f>
        <v>5070</v>
      </c>
      <c r="E130" s="63">
        <f t="shared" si="4"/>
        <v>16760</v>
      </c>
    </row>
    <row r="131" spans="1:7" x14ac:dyDescent="0.3">
      <c r="A131" s="2">
        <v>10</v>
      </c>
      <c r="C131" s="38" t="s">
        <v>149</v>
      </c>
      <c r="D131" s="42">
        <f>TRUNC(77688,-1)</f>
        <v>77680</v>
      </c>
      <c r="E131" s="63">
        <f t="shared" si="4"/>
        <v>256790</v>
      </c>
    </row>
    <row r="132" spans="1:7" ht="18" thickBot="1" x14ac:dyDescent="0.35">
      <c r="A132" s="2">
        <v>11</v>
      </c>
      <c r="C132" s="38" t="s">
        <v>47</v>
      </c>
      <c r="D132" s="43">
        <f>TRUNC(1896+896,-1)</f>
        <v>2790</v>
      </c>
      <c r="E132" s="64">
        <f t="shared" si="4"/>
        <v>9220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108580</v>
      </c>
      <c r="E133" s="39">
        <f>SUM(E122:E132)</f>
        <v>358910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TRUNC(179+3088,-1)</f>
        <v>3260</v>
      </c>
      <c r="E137" s="63">
        <f t="shared" si="5"/>
        <v>10770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TRUNC(4305,-1)</f>
        <v>4300</v>
      </c>
      <c r="E139" s="63">
        <f t="shared" si="5"/>
        <v>14210</v>
      </c>
    </row>
    <row r="140" spans="1:7" x14ac:dyDescent="0.3">
      <c r="A140" s="2">
        <v>5</v>
      </c>
      <c r="C140" s="38" t="s">
        <v>57</v>
      </c>
      <c r="D140" s="42">
        <f>TRUNC(2668,-1)</f>
        <v>2660</v>
      </c>
      <c r="E140" s="63">
        <f t="shared" si="5"/>
        <v>8790</v>
      </c>
    </row>
    <row r="141" spans="1:7" x14ac:dyDescent="0.3">
      <c r="A141" s="2">
        <v>6</v>
      </c>
      <c r="C141" s="38" t="s">
        <v>59</v>
      </c>
      <c r="D141" s="42">
        <f>TRUNC(21998,-1)</f>
        <v>21990</v>
      </c>
      <c r="E141" s="63">
        <f t="shared" si="5"/>
        <v>72690</v>
      </c>
    </row>
    <row r="142" spans="1:7" x14ac:dyDescent="0.3">
      <c r="A142" s="2">
        <v>7</v>
      </c>
      <c r="C142" s="38" t="s">
        <v>58</v>
      </c>
      <c r="D142" s="42">
        <f>TRUNC(3877,-1)</f>
        <v>3870</v>
      </c>
      <c r="E142" s="63">
        <f t="shared" si="5"/>
        <v>12790</v>
      </c>
    </row>
    <row r="143" spans="1:7" x14ac:dyDescent="0.3">
      <c r="A143" s="2">
        <v>8</v>
      </c>
      <c r="C143" s="38" t="s">
        <v>62</v>
      </c>
      <c r="D143" s="42">
        <f>TRUNC(3144,-1)</f>
        <v>3140</v>
      </c>
      <c r="E143" s="63">
        <f t="shared" si="5"/>
        <v>10380</v>
      </c>
    </row>
    <row r="144" spans="1:7" x14ac:dyDescent="0.3">
      <c r="A144" s="2">
        <v>9</v>
      </c>
      <c r="C144" s="38" t="s">
        <v>63</v>
      </c>
      <c r="D144" s="42">
        <f>TRUNC(15567,-1)</f>
        <v>15560</v>
      </c>
      <c r="E144" s="63">
        <f t="shared" si="5"/>
        <v>51430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54780</v>
      </c>
      <c r="E146" s="39">
        <f>SUM(E136:E145)</f>
        <v>181060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TRUNC(3376+1503,-1)</f>
        <v>4870</v>
      </c>
      <c r="E149" s="62">
        <f>TRUNC(+D149*3.3058,-1)</f>
        <v>16090</v>
      </c>
    </row>
    <row r="150" spans="1:7" x14ac:dyDescent="0.3">
      <c r="A150" s="2">
        <v>2</v>
      </c>
      <c r="C150" s="38" t="s">
        <v>49</v>
      </c>
      <c r="D150" s="42">
        <f>TRUNC(10414,-1)</f>
        <v>10410</v>
      </c>
      <c r="E150" s="63">
        <f>TRUNC(+D150*3.3058,-1)</f>
        <v>34410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TRUNC(262+2546+129+1289,-1)</f>
        <v>4220</v>
      </c>
      <c r="E152" s="63">
        <f>TRUNC(+D152*3.3058,-1)</f>
        <v>13950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TRUNC(10928,-1)</f>
        <v>10920</v>
      </c>
      <c r="E153" s="64">
        <f>TRUNC(+D153*3.3058,-1)</f>
        <v>36090</v>
      </c>
    </row>
    <row r="154" spans="1:7" x14ac:dyDescent="0.3">
      <c r="A154" s="2">
        <v>6</v>
      </c>
      <c r="C154" s="27" t="s">
        <v>112</v>
      </c>
      <c r="D154" s="39">
        <f>SUM(D149:D153)</f>
        <v>30420</v>
      </c>
      <c r="E154" s="39">
        <f>SUM(E149:E153)</f>
        <v>100540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2020-12-08T01:21:01Z</dcterms:modified>
</cp:coreProperties>
</file>