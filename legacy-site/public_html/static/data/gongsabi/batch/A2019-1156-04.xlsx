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0" i="4"/>
  <c r="D89" i="4"/>
  <c r="D84" i="4"/>
  <c r="D73" i="4"/>
  <c r="D72" i="4"/>
  <c r="D71" i="4"/>
  <c r="D70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<sst xmlns="http://schemas.openxmlformats.org/spreadsheetml/2006/main" count="393" uniqueCount="268">
  <si>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</si>
  <si>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</si>
  <si>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</si>
  <si>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</si>
  <si>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</si>
  <si>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</si>
  <si>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</si>
  <si>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</si>
  <si>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</si>
  <si>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</si>
  <si>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</si>
  <si>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</si>
  <si>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</si>
  <si>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</si>
  <si>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</si>
  <si>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</si>
  <si>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</si>
  <si>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</si>
  <si>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</si>
  <si>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</si>
  <si>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</si>
  <si>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</si>
  <si>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</si>
  <si>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</si>
  <si>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</si>
  <si>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</si>
  <si>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</si>
  <si>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</si>
  <si>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</si>
  <si>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</si>
  <si>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</si>
  <si>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</si>
  <si>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</si>
  <si>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</si>
  <si>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</si>
  <si>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</si>
  <si>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</si>
  <si>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</si>
  <si>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</si>
  <si>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</si>
  <si>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</si>
  <si>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</si>
  <si>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</si>
  <si>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</si>
  <si>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</si>
  <si>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</si>
  <si>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</si>
  <si>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</si>
  <si>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</si>
  <si>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</si>
  <si>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</si>
  <si>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</si>
  <si>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</si>
  <si>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</si>
  <si>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</si>
  <si>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</si>
  <si>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</si>
  <si>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</si>
  <si>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</si>
  <si>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</si>
  <si>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</si>
  <si>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</si>
  <si>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</si>
  <si>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</si>
  <si>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</si>
  <si>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</si>
  <si>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</si>
  <si>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</si>
  <si>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</si>
  <si>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</si>
  <si>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</si>
  <si>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</si>
  <si>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</si>
  <si>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</si>
  <si>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</si>
  <si>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</si>
  <si>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</si>
  <si>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</si>
  <si>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</si>
  <si>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</si>
  <si>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</si>
  <si>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</si>
  <si>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</si>
  <si>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</si>
  <si>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</si>
  <si>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</si>
  <si>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</si>
  <si>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</si>
  <si>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</si>
  <si>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</si>
  <si>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</si>
  <si>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</si>
  <si>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</si>
  <si>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</si>
  <si>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</si>
  <si>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</si>
  <si>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</si>
  <si>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</si>
  <si>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</si>
  <si>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</si>
  <si>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</si>
  <si>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</si>
  <si>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</si>
  <si>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</si>
  <si>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</si>
  <si>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</si>
  <si>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</si>
  <si>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</si>
  <si>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</si>
  <si>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</si>
  <si>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</si>
  <si>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</si>
  <si>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</si>
  <si>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</si>
  <si>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</si>
  <si>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</si>
  <si>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</si>
  <si>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</si>
  <si>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</si>
  <si>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</si>
  <si>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</si>
  <si>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</si>
  <si>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</si>
  <si>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</si>
  <si>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</si>
  <si>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</si>
  <si>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</si>
  <si>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</si>
  <si>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</si>
  <si>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</si>
  <si>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</si>
  <si>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</si>
  <si>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</si>
  <si>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</si>
  <si>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</si>
  <si>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</si>
  <si>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</si>
  <si>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</si>
  <si>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</si>
  <si>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</si>
  <si>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</si>
  <si>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</si>
  <si>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</si>
  <si>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</si>
  <si>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</si>
  <si>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</si>
  <si>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</si>
  <si>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</si>
  <si>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</si>
  <si>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</si>
  <si>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</si>
  <si>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</si>
  <si>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</si>
  <si>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</si>
  <si>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</si>
  <si>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</si>
  <si>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</si>
  <si>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</si>
  <si>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</si>
  <si>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</si>
  <si>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</si>
  <si>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</si>
  <si>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</si>
  <si>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</si>
  <si>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</si>
  <si>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</si>
  <si>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</si>
  <si>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</si>
  <si>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</si>
  <si>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</si>
  <si>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</si>
  <si>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</si>
  <si>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</si>
  <si>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</si>
  <si>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</si>
  <si>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</si>
  <si>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</si>
  <si>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</si>
  <si>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</si>
  <si>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</si>
  <si>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</si>
  <si>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</si>
  <si>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</si>
  <si>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</si>
  <si>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</si>
  <si>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</si>
  <si>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</si>
  <si>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</si>
  <si>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</si>
  <si>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</si>
  <si>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</si>
  <si>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</si>
  <si>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</si>
  <si>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</si>
  <si>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</si>
  <si>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</si>
  <si>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</si>
  <si>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</si>
  <si>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</si>
  <si>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</si>
  <si>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</si>
  <si>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</si>
  <si>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</si>
  <si>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</si>
  <si>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</si>
  <si>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</si>
  <si>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</si>
  <si>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</si>
  <si>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</si>
  <si>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</si>
  <si>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</si>
  <si>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</si>
  <si>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</si>
  <si>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</si>
  <si>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</si>
  <si>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</si>
  <si>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</si>
  <si>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</si>
  <si>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</si>
  <si>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</si>
  <si>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</si>
  <si>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</si>
  <si>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</si>
  <si>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</si>
  <si>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</si>
  <si>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</si>
  <si>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</si>
  <si>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</si>
  <si>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</si>
  <si>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</si>
  <si>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</si>
  <si>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</si>
  <si>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</si>
  <si>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</si>
  <si>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</si>
  <si>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</si>
  <si>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</si>
  <si>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</si>
  <si>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</si>
  <si>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</si>
  <si>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</si>
  <si>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</si>
  <si>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</si>
  <si>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</si>
  <si>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</si>
  <si>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</si>
  <si>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</si>
  <si>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</si>
  <si>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(가칭)대구예아람학교 신축 및 달성교육지원청 이전공사(장기계속)</t>
    <phoneticPr fontId="2" type="noConversion"/>
  </si>
  <si>
    <t>교육연구</t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</si>
  <si>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</si>
  <si>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</si>
  <si>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</si>
  <si>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</si>
  <si>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기초공사,해체및철거공사,골재비및운반비,품질시험비,기타공사</t>
    <phoneticPr fontId="2" type="noConversion"/>
  </si>
  <si>
    <t>난방배관공사,기타공사</t>
    <phoneticPr fontId="2" type="noConversion"/>
  </si>
  <si>
    <t>바닥난방공사</t>
    <phoneticPr fontId="2" type="noConversion"/>
  </si>
  <si>
    <t>항 목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</si>
  <si>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</si>
  <si>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</si>
  <si>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CCTV설비공사,주차관제설비공사,기타공사</t>
    <phoneticPr fontId="2" type="noConversion"/>
  </si>
  <si>
    <t>옥외소화배관공사,무선통신보조설비공사,기타공사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</si>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</sst>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20378.580000000002</v>
      </c>
      <c r="D7" s="36">
        <f>+C7/3.3058</f>
        <v>6164.4927097828067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918640</v>
      </c>
      <c r="E25" s="59">
        <f t="shared" si="0"/>
        <v>3036840</v>
      </c>
    </row>
    <row r="26" spans="1:5" x14ac:dyDescent="0.3">
      <c r="B26" s="2">
        <v>3</v>
      </c>
      <c r="C26" s="35" t="s">
        <v>95</v>
      </c>
      <c r="D26" s="45">
        <f>+D66</f>
        <v>7380</v>
      </c>
      <c r="E26" s="59">
        <f t="shared" si="0"/>
        <v>24390</v>
      </c>
    </row>
    <row r="27" spans="1:5" x14ac:dyDescent="0.3">
      <c r="B27" s="2">
        <v>4</v>
      </c>
      <c r="C27" s="35" t="s">
        <v>96</v>
      </c>
      <c r="D27" s="45">
        <f>+D95</f>
        <v>225130</v>
      </c>
      <c r="E27" s="59">
        <f t="shared" si="0"/>
        <v>744230</v>
      </c>
    </row>
    <row r="28" spans="1:5" x14ac:dyDescent="0.3">
      <c r="B28" s="2">
        <v>5</v>
      </c>
      <c r="C28" s="35" t="s">
        <v>97</v>
      </c>
      <c r="D28" s="45">
        <f>+D119</f>
        <v>224650</v>
      </c>
      <c r="E28" s="59">
        <f t="shared" si="0"/>
        <v>742640</v>
      </c>
    </row>
    <row r="29" spans="1:5" x14ac:dyDescent="0.3">
      <c r="B29" s="2">
        <v>6</v>
      </c>
      <c r="C29" s="35" t="s">
        <v>98</v>
      </c>
      <c r="D29" s="45">
        <f>+D133</f>
        <v>71730</v>
      </c>
      <c r="E29" s="59">
        <f t="shared" si="0"/>
        <v>237120</v>
      </c>
    </row>
    <row r="30" spans="1:5" x14ac:dyDescent="0.3">
      <c r="B30" s="2">
        <v>7</v>
      </c>
      <c r="C30" s="35" t="s">
        <v>99</v>
      </c>
      <c r="D30" s="45">
        <f>+D146</f>
        <v>96710</v>
      </c>
      <c r="E30" s="59">
        <f t="shared" si="0"/>
        <v>319700</v>
      </c>
    </row>
    <row r="31" spans="1:5" x14ac:dyDescent="0.3">
      <c r="B31" s="2">
        <v>8</v>
      </c>
      <c r="C31" s="35" t="s">
        <v>100</v>
      </c>
      <c r="D31" s="45">
        <f>+D154</f>
        <v>89620</v>
      </c>
      <c r="E31" s="59">
        <f t="shared" si="0"/>
        <v>296260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449310</v>
      </c>
      <c r="E33" s="60">
        <f t="shared" si="0"/>
        <v>1485320</v>
      </c>
    </row>
    <row r="34" spans="1:7" x14ac:dyDescent="0.3">
      <c r="C34" s="35" t="s">
        <v>112</v>
      </c>
      <c r="D34" s="44">
        <f>SUM(D24:D33)</f>
        <v>2083170</v>
      </c>
      <c r="E34" s="44">
        <f>SUM(E24:E33)</f>
        <v>6886500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TRUNC(55003,-1)</f>
        <v>55000</v>
      </c>
      <c r="E40" s="62">
        <f t="shared" ref="E40:E59" si="1">TRUNC(+D40*3.3058,-1)</f>
        <v>181810</v>
      </c>
    </row>
    <row r="41" spans="1:7" x14ac:dyDescent="0.3">
      <c r="A41" s="2">
        <v>2</v>
      </c>
      <c r="C41" s="38" t="s">
        <v>13</v>
      </c>
      <c r="D41" s="42">
        <f>TRUNC(216354,-1)</f>
        <v>216350</v>
      </c>
      <c r="E41" s="63">
        <f t="shared" si="1"/>
        <v>715200</v>
      </c>
    </row>
    <row r="42" spans="1:7" x14ac:dyDescent="0.3">
      <c r="A42" s="2">
        <v>3</v>
      </c>
      <c r="C42" s="38" t="s">
        <v>14</v>
      </c>
      <c r="D42" s="42">
        <f>TRUNC(24478,-1)</f>
        <v>24470</v>
      </c>
      <c r="E42" s="63">
        <f t="shared" si="1"/>
        <v>80890</v>
      </c>
    </row>
    <row r="43" spans="1:7" x14ac:dyDescent="0.3">
      <c r="A43" s="2">
        <v>4</v>
      </c>
      <c r="C43" s="38" t="s">
        <v>16</v>
      </c>
      <c r="D43" s="42">
        <f>TRUNC(15051,-1)</f>
        <v>15050</v>
      </c>
      <c r="E43" s="63">
        <f t="shared" si="1"/>
        <v>49750</v>
      </c>
    </row>
    <row r="44" spans="1:7" x14ac:dyDescent="0.3">
      <c r="A44" s="2">
        <v>5</v>
      </c>
      <c r="C44" s="38" t="s">
        <v>17</v>
      </c>
      <c r="D44" s="42">
        <f>TRUNC(33148,-1)</f>
        <v>33140</v>
      </c>
      <c r="E44" s="63">
        <f t="shared" si="1"/>
        <v>109550</v>
      </c>
    </row>
    <row r="45" spans="1:7" x14ac:dyDescent="0.3">
      <c r="A45" s="2">
        <v>6</v>
      </c>
      <c r="C45" s="38" t="s">
        <v>18</v>
      </c>
      <c r="D45" s="42">
        <f>TRUNC(7751,-1)</f>
        <v>7750</v>
      </c>
      <c r="E45" s="63">
        <f t="shared" si="1"/>
        <v>25610</v>
      </c>
    </row>
    <row r="46" spans="1:7" x14ac:dyDescent="0.3">
      <c r="A46" s="2">
        <v>7</v>
      </c>
      <c r="C46" s="38" t="s">
        <v>19</v>
      </c>
      <c r="D46" s="42">
        <f>TRUNC(28699,-1)</f>
        <v>28690</v>
      </c>
      <c r="E46" s="63">
        <f t="shared" si="1"/>
        <v>94840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TRUNC(75338,-1)</f>
        <v>75330</v>
      </c>
      <c r="E48" s="63">
        <f t="shared" si="1"/>
        <v>249020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TRUNC(19135,-1)</f>
        <v>19130</v>
      </c>
      <c r="E49" s="63">
        <f t="shared" si="1"/>
        <v>63230</v>
      </c>
    </row>
    <row r="50" spans="1:7" x14ac:dyDescent="0.3">
      <c r="A50" s="2">
        <v>11</v>
      </c>
      <c r="C50" s="38" t="s">
        <v>155</v>
      </c>
      <c r="D50" s="42">
        <f>TRUNC(58095,-1)</f>
        <v>58090</v>
      </c>
      <c r="E50" s="63">
        <f t="shared" si="1"/>
        <v>192030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TRUNC(13855,-1)</f>
        <v>13850</v>
      </c>
      <c r="E52" s="63">
        <f t="shared" si="1"/>
        <v>45780</v>
      </c>
    </row>
    <row r="53" spans="1:7" x14ac:dyDescent="0.3">
      <c r="A53" s="2">
        <v>14</v>
      </c>
      <c r="C53" s="38" t="s">
        <v>25</v>
      </c>
      <c r="D53" s="42">
        <f>TRUNC(89782,-1)</f>
        <v>89780</v>
      </c>
      <c r="E53" s="63">
        <f t="shared" si="1"/>
        <v>296790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TRUNC(31038+411+4147+4068+21849,-1)</f>
        <v>61510</v>
      </c>
      <c r="E58" s="63">
        <f t="shared" si="1"/>
        <v>203330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TRUNC(220504,-1)</f>
        <v>220500</v>
      </c>
      <c r="E59" s="64">
        <f t="shared" si="1"/>
        <v>728920</v>
      </c>
    </row>
    <row r="60" spans="1:7" x14ac:dyDescent="0.3">
      <c r="A60" s="2">
        <v>21</v>
      </c>
      <c r="C60" s="27" t="s">
        <v>112</v>
      </c>
      <c r="D60" s="39">
        <f>SUM(D40:D59)</f>
        <v>918640</v>
      </c>
      <c r="E60" s="39">
        <f>SUM(E40:E59)</f>
        <v>3036750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TRUNC(7382,-1)</f>
        <v>7380</v>
      </c>
      <c r="E63" s="62">
        <f>TRUNC(+D63*3.3058,-1)</f>
        <v>24390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7380</v>
      </c>
      <c r="E66" s="65">
        <f>SUM(E63:E65)</f>
        <v>24390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14210</v>
      </c>
      <c r="E69" s="62">
        <f t="shared" ref="E69:E94" si="2">TRUNC(+D69*3.3058,-1)</f>
        <v>46970</v>
      </c>
    </row>
    <row r="70" spans="1:7" ht="16.5" customHeight="1" x14ac:dyDescent="0.3">
      <c r="A70" s="2">
        <v>2</v>
      </c>
      <c r="C70" s="38" t="s">
        <v>31</v>
      </c>
      <c r="D70" s="42">
        <f>TRUNC(1188,-1)</f>
        <v>1180</v>
      </c>
      <c r="E70" s="63">
        <f t="shared" si="2"/>
        <v>3900</v>
      </c>
    </row>
    <row r="71" spans="1:7" x14ac:dyDescent="0.3">
      <c r="A71" s="2">
        <v>3</v>
      </c>
      <c r="C71" s="38" t="s">
        <v>32</v>
      </c>
      <c r="D71" s="42">
        <f>TRUNC(10559,-1)</f>
        <v>10550</v>
      </c>
      <c r="E71" s="63">
        <f t="shared" si="2"/>
        <v>34870</v>
      </c>
    </row>
    <row r="72" spans="1:7" x14ac:dyDescent="0.3">
      <c r="A72" s="2">
        <v>4</v>
      </c>
      <c r="C72" s="38" t="s">
        <v>33</v>
      </c>
      <c r="D72" s="42">
        <f>TRUNC(5249,-1)</f>
        <v>5240</v>
      </c>
      <c r="E72" s="63">
        <f t="shared" si="2"/>
        <v>17320</v>
      </c>
    </row>
    <row r="73" spans="1:7" x14ac:dyDescent="0.3">
      <c r="A73" s="2">
        <v>5</v>
      </c>
      <c r="C73" s="38" t="s">
        <v>34</v>
      </c>
      <c r="D73" s="42">
        <f>TRUNC(2039,-1)</f>
        <v>2030</v>
      </c>
      <c r="E73" s="63">
        <f t="shared" si="2"/>
        <v>6710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TRUNC(1686,-1)</f>
        <v>1680</v>
      </c>
      <c r="E84" s="63">
        <f t="shared" si="2"/>
        <v>5550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TRUNC(23797,-1)</f>
        <v>23790</v>
      </c>
      <c r="E89" s="63">
        <f t="shared" si="2"/>
        <v>78640</v>
      </c>
    </row>
    <row r="90" spans="1:7" x14ac:dyDescent="0.3">
      <c r="A90" s="2">
        <v>22</v>
      </c>
      <c r="C90" s="38" t="s">
        <v>36</v>
      </c>
      <c r="D90" s="42">
        <f>TRUNC(1191,-1)</f>
        <v>1190</v>
      </c>
      <c r="E90" s="63">
        <f t="shared" si="2"/>
        <v>3930</v>
      </c>
    </row>
    <row r="91" spans="1:7" x14ac:dyDescent="0.3">
      <c r="A91" s="2">
        <v>23</v>
      </c>
      <c r="C91" s="38" t="s">
        <v>37</v>
      </c>
      <c r="D91" s="42">
        <v>9290</v>
      </c>
      <c r="E91" s="63">
        <f t="shared" si="2"/>
        <v>30710</v>
      </c>
    </row>
    <row r="92" spans="1:7" x14ac:dyDescent="0.3">
      <c r="A92" s="2">
        <v>24</v>
      </c>
      <c r="C92" s="38" t="s">
        <v>38</v>
      </c>
      <c r="D92" s="42">
        <f>TRUNC(12254,-1)</f>
        <v>12250</v>
      </c>
      <c r="E92" s="63">
        <f t="shared" si="2"/>
        <v>40490</v>
      </c>
    </row>
    <row r="93" spans="1:7" x14ac:dyDescent="0.3">
      <c r="A93" s="2">
        <v>25</v>
      </c>
      <c r="C93" s="38" t="s">
        <v>148</v>
      </c>
      <c r="D93" s="42">
        <f>TRUNC(133273,-1)</f>
        <v>133270</v>
      </c>
      <c r="E93" s="63">
        <f t="shared" si="2"/>
        <v>440560</v>
      </c>
    </row>
    <row r="94" spans="1:7" ht="17.25" thickBot="1" x14ac:dyDescent="0.35">
      <c r="A94" s="2">
        <v>26</v>
      </c>
      <c r="C94" s="38" t="s">
        <v>47</v>
      </c>
      <c r="D94" s="43">
        <f>TRUNC(3097+7359,-1)</f>
        <v>10450</v>
      </c>
      <c r="E94" s="64">
        <f t="shared" si="2"/>
        <v>34540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225130</v>
      </c>
      <c r="E95" s="39">
        <f>SUM(E69:E94)</f>
        <v>744190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257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TRUNC(10211,-1)</f>
        <v>10210</v>
      </c>
      <c r="E98" s="62">
        <f t="shared" ref="E98:E118" si="3">TRUNC(+D98*3.3058,-1)</f>
        <v>33750</v>
      </c>
    </row>
    <row r="99" spans="1:7" x14ac:dyDescent="0.3">
      <c r="A99" s="2">
        <v>2</v>
      </c>
      <c r="C99" s="38" t="s">
        <v>40</v>
      </c>
      <c r="D99" s="42">
        <f>TRUNC(5773,-1)</f>
        <v>5770</v>
      </c>
      <c r="E99" s="63">
        <f t="shared" si="3"/>
        <v>19070</v>
      </c>
    </row>
    <row r="100" spans="1:7" x14ac:dyDescent="0.3">
      <c r="A100" s="2">
        <v>3</v>
      </c>
      <c r="C100" s="38" t="s">
        <v>41</v>
      </c>
      <c r="D100" s="42">
        <f>TRUNC(32461,-1)</f>
        <v>32460</v>
      </c>
      <c r="E100" s="63">
        <f t="shared" si="3"/>
        <v>107300</v>
      </c>
    </row>
    <row r="101" spans="1:7" x14ac:dyDescent="0.3">
      <c r="A101" s="2">
        <v>4</v>
      </c>
      <c r="C101" s="38" t="s">
        <v>42</v>
      </c>
      <c r="D101" s="42">
        <f>TRUNC(2697,-1)</f>
        <v>2690</v>
      </c>
      <c r="E101" s="63">
        <f t="shared" si="3"/>
        <v>8890</v>
      </c>
    </row>
    <row r="102" spans="1:7" x14ac:dyDescent="0.3">
      <c r="A102" s="2">
        <v>5</v>
      </c>
      <c r="C102" s="38" t="s">
        <v>43</v>
      </c>
      <c r="D102" s="42">
        <f>TRUNC(13995,-1)</f>
        <v>13990</v>
      </c>
      <c r="E102" s="63">
        <f t="shared" si="3"/>
        <v>46240</v>
      </c>
    </row>
    <row r="103" spans="1:7" x14ac:dyDescent="0.3">
      <c r="A103" s="2">
        <v>6</v>
      </c>
      <c r="C103" s="38" t="s">
        <v>44</v>
      </c>
      <c r="D103" s="42">
        <f>TRUNC(8459,-1)</f>
        <v>8450</v>
      </c>
      <c r="E103" s="63">
        <f t="shared" si="3"/>
        <v>27930</v>
      </c>
    </row>
    <row r="104" spans="1:7" x14ac:dyDescent="0.3">
      <c r="A104" s="2">
        <v>7</v>
      </c>
      <c r="C104" s="38" t="s">
        <v>45</v>
      </c>
      <c r="D104" s="42">
        <f>TRUNC(2607,-1)</f>
        <v>2600</v>
      </c>
      <c r="E104" s="63">
        <f t="shared" si="3"/>
        <v>8590</v>
      </c>
    </row>
    <row r="105" spans="1:7" x14ac:dyDescent="0.3">
      <c r="A105" s="2">
        <v>8</v>
      </c>
      <c r="C105" s="38" t="s">
        <v>46</v>
      </c>
      <c r="D105" s="42">
        <f>TRUNC(3154,-1)</f>
        <v>3150</v>
      </c>
      <c r="E105" s="63">
        <f t="shared" si="3"/>
        <v>10410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TRUNC(3506,-1)</f>
        <v>3500</v>
      </c>
      <c r="E114" s="63">
        <f t="shared" si="3"/>
        <v>11570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TRUNC(3881,-1)</f>
        <v>3880</v>
      </c>
      <c r="E116" s="63">
        <f t="shared" si="3"/>
        <v>12820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TRUNC(134863,-1)</f>
        <v>134860</v>
      </c>
      <c r="E117" s="63">
        <f t="shared" si="3"/>
        <v>445820</v>
      </c>
    </row>
    <row r="118" spans="1:7" ht="17.25" thickBot="1" x14ac:dyDescent="0.35">
      <c r="A118" s="2">
        <v>21</v>
      </c>
      <c r="C118" s="38" t="s">
        <v>47</v>
      </c>
      <c r="D118" s="43">
        <f>TRUNC(3093,-1)</f>
        <v>3090</v>
      </c>
      <c r="E118" s="64">
        <f t="shared" si="3"/>
        <v>10210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224650</v>
      </c>
      <c r="E119" s="39">
        <f>SUM(E98:E118)</f>
        <v>742600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TRUNC(11046,-1)</f>
        <v>11040</v>
      </c>
      <c r="E125" s="63">
        <f t="shared" si="4"/>
        <v>36490</v>
      </c>
    </row>
    <row r="126" spans="1:7" x14ac:dyDescent="0.3">
      <c r="A126" s="2">
        <v>5</v>
      </c>
      <c r="C126" s="38" t="s">
        <v>53</v>
      </c>
      <c r="D126" s="42">
        <f>TRUNC(987,-1)</f>
        <v>980</v>
      </c>
      <c r="E126" s="63">
        <f t="shared" si="4"/>
        <v>3230</v>
      </c>
    </row>
    <row r="127" spans="1:7" x14ac:dyDescent="0.3">
      <c r="A127" s="2">
        <v>6</v>
      </c>
      <c r="C127" s="38" t="s">
        <v>56</v>
      </c>
      <c r="D127" s="42">
        <f>TRUNC(423,-1)</f>
        <v>420</v>
      </c>
      <c r="E127" s="63">
        <f t="shared" si="4"/>
        <v>1380</v>
      </c>
    </row>
    <row r="128" spans="1:7" x14ac:dyDescent="0.3">
      <c r="A128" s="2">
        <v>7</v>
      </c>
      <c r="C128" s="38" t="s">
        <v>46</v>
      </c>
      <c r="D128" s="42">
        <f>TRUNC(4439,-1)</f>
        <v>4430</v>
      </c>
      <c r="E128" s="63">
        <f t="shared" si="4"/>
        <v>14640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TRUNC(14349,-1)</f>
        <v>14340</v>
      </c>
      <c r="E130" s="63">
        <f t="shared" si="4"/>
        <v>47400</v>
      </c>
    </row>
    <row r="131" spans="1:7" x14ac:dyDescent="0.3">
      <c r="A131" s="2">
        <v>10</v>
      </c>
      <c r="C131" s="38" t="s">
        <v>148</v>
      </c>
      <c r="D131" s="42">
        <f>TRUNC(35654,-1)</f>
        <v>35650</v>
      </c>
      <c r="E131" s="63">
        <f t="shared" si="4"/>
        <v>117850</v>
      </c>
    </row>
    <row r="132" spans="1:7" ht="18" thickBot="1" x14ac:dyDescent="0.35">
      <c r="A132" s="2">
        <v>11</v>
      </c>
      <c r="C132" s="38" t="s">
        <v>47</v>
      </c>
      <c r="D132" s="43">
        <f>TRUNC(2046+2030+795,-1)</f>
        <v>4870</v>
      </c>
      <c r="E132" s="64">
        <f t="shared" si="4"/>
        <v>16090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71730</v>
      </c>
      <c r="E133" s="39">
        <f>SUM(E122:E132)</f>
        <v>237080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TRUNC(79 +981+1379,-1)</f>
        <v>2430</v>
      </c>
      <c r="E137" s="63">
        <f t="shared" si="5"/>
        <v>8030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TRUNC(3151,-1)</f>
        <v>3150</v>
      </c>
      <c r="E139" s="63">
        <f t="shared" si="5"/>
        <v>10410</v>
      </c>
    </row>
    <row r="140" spans="1:7" x14ac:dyDescent="0.3">
      <c r="A140" s="2">
        <v>5</v>
      </c>
      <c r="C140" s="38" t="s">
        <v>57</v>
      </c>
      <c r="D140" s="42">
        <f>TRUNC(6871,-1)</f>
        <v>6870</v>
      </c>
      <c r="E140" s="63">
        <f t="shared" si="5"/>
        <v>22710</v>
      </c>
    </row>
    <row r="141" spans="1:7" x14ac:dyDescent="0.3">
      <c r="A141" s="2">
        <v>6</v>
      </c>
      <c r="C141" s="38" t="s">
        <v>59</v>
      </c>
      <c r="D141" s="42">
        <f>TRUNC(51424,-1)</f>
        <v>51420</v>
      </c>
      <c r="E141" s="63">
        <f t="shared" si="5"/>
        <v>169980</v>
      </c>
    </row>
    <row r="142" spans="1:7" x14ac:dyDescent="0.3">
      <c r="A142" s="2">
        <v>7</v>
      </c>
      <c r="C142" s="38" t="s">
        <v>58</v>
      </c>
      <c r="D142" s="42">
        <f>TRUNC(18969,-1)</f>
        <v>18960</v>
      </c>
      <c r="E142" s="63">
        <f t="shared" si="5"/>
        <v>62670</v>
      </c>
    </row>
    <row r="143" spans="1:7" x14ac:dyDescent="0.3">
      <c r="A143" s="2">
        <v>8</v>
      </c>
      <c r="C143" s="38" t="s">
        <v>62</v>
      </c>
      <c r="D143" s="42">
        <f>TRUNC(7686,-1)</f>
        <v>7680</v>
      </c>
      <c r="E143" s="63">
        <f t="shared" si="5"/>
        <v>25380</v>
      </c>
    </row>
    <row r="144" spans="1:7" x14ac:dyDescent="0.3">
      <c r="A144" s="2">
        <v>9</v>
      </c>
      <c r="C144" s="38" t="s">
        <v>63</v>
      </c>
      <c r="D144" s="42">
        <f>TRUNC(6202,-1)</f>
        <v>6200</v>
      </c>
      <c r="E144" s="63">
        <f t="shared" si="5"/>
        <v>20490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96710</v>
      </c>
      <c r="E146" s="39">
        <f>SUM(E136:E145)</f>
        <v>319670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TRUNC(7034+6858,-1)</f>
        <v>13890</v>
      </c>
      <c r="E149" s="62">
        <f>TRUNC(+D149*3.3058,-1)</f>
        <v>45910</v>
      </c>
      <c r="F149" s="2" t="s">
        <v>262</v>
      </c>
    </row>
    <row r="150" spans="1:7" x14ac:dyDescent="0.3">
      <c r="A150" s="2">
        <v>2</v>
      </c>
      <c r="C150" s="38" t="s">
        <v>49</v>
      </c>
      <c r="D150" s="42">
        <f>TRUNC(7084,-1)</f>
        <v>7080</v>
      </c>
      <c r="E150" s="63">
        <f>TRUNC(+D150*3.3058,-1)</f>
        <v>23400</v>
      </c>
    </row>
    <row r="151" spans="1:7" x14ac:dyDescent="0.3">
      <c r="A151" s="2">
        <v>3</v>
      </c>
      <c r="C151" s="38" t="s">
        <v>50</v>
      </c>
      <c r="D151" s="42">
        <f>TRUNC(8622,-1)</f>
        <v>8620</v>
      </c>
      <c r="E151" s="63">
        <f>TRUNC(+D151*3.3058,-1)</f>
        <v>28490</v>
      </c>
    </row>
    <row r="152" spans="1:7" x14ac:dyDescent="0.3">
      <c r="A152" s="2">
        <v>4</v>
      </c>
      <c r="C152" s="38" t="s">
        <v>47</v>
      </c>
      <c r="D152" s="42">
        <f>TRUNC(376+4468,-1)</f>
        <v>4840</v>
      </c>
      <c r="E152" s="63">
        <f>TRUNC(+D152*3.3058,-1)</f>
        <v>16000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TRUNC(55198,-1)</f>
        <v>55190</v>
      </c>
      <c r="E153" s="64">
        <f>TRUNC(+D153*3.3058,-1)</f>
        <v>182440</v>
      </c>
    </row>
    <row r="154" spans="1:7" x14ac:dyDescent="0.3">
      <c r="A154" s="2">
        <v>6</v>
      </c>
      <c r="C154" s="27" t="s">
        <v>112</v>
      </c>
      <c r="D154" s="39">
        <f>SUM(D149:D153)</f>
        <v>89620</v>
      </c>
      <c r="E154" s="39">
        <f>SUM(E149:E153)</f>
        <v>296240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2020-12-08T04:35:30Z</dcterms:modified>
</cp:coreProperties>
</file>