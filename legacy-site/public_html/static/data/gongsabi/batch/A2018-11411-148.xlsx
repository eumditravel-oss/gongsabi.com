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44" i="4"/>
  <c r="D143" i="4"/>
  <c r="D139" i="4"/>
  <c r="D141" i="4"/>
  <c r="D137" i="4"/>
  <c r="D142" i="4"/>
  <c r="D140" i="4"/>
  <c r="D132" i="4"/>
  <c r="D128" i="4"/>
  <c r="D125" i="4"/>
  <c r="D124" i="4"/>
  <c r="D122" i="4"/>
  <c r="D130" i="4"/>
  <c r="D126" i="4"/>
  <c r="D118" i="4"/>
  <c r="D105" i="4"/>
  <c r="D104" i="4"/>
  <c r="D103" i="4"/>
  <c r="D102" i="4"/>
  <c r="D100" i="4"/>
  <c r="D99" i="4"/>
  <c r="D98" i="4"/>
  <c r="D114" i="4"/>
  <c r="D116" i="4"/>
  <c r="D92" i="4"/>
  <c r="D91" i="4"/>
  <c r="D89" i="4"/>
  <c r="D76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95" i="4"/>
  <c r="E60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<sst xmlns="http://schemas.openxmlformats.org/spreadsheetml/2006/main" count="395" uniqueCount="270">
  <si>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</si>
  <si>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</si>
  <si>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</si>
  <si>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</si>
  <si>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</si>
  <si>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</si>
  <si>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</si>
  <si>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</si>
  <si>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</si>
  <si>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</si>
  <si>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</si>
  <si>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</si>
  <si>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</si>
  <si>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</si>
  <si>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</si>
  <si>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</si>
  <si>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</si>
  <si>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</si>
  <si>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</si>
  <si>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</si>
  <si>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</si>
  <si>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</si>
  <si>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</si>
  <si>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</si>
  <si>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</si>
  <si>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</si>
  <si>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</si>
  <si>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</si>
  <si>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</si>
  <si>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</si>
  <si>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</si>
  <si>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</si>
  <si>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</si>
  <si>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</si>
  <si>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</si>
  <si>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</si>
  <si>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</si>
  <si>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</si>
  <si>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</si>
  <si>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</si>
  <si>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</si>
  <si>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</si>
  <si>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</si>
  <si>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</si>
  <si>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</si>
  <si>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</si>
  <si>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</si>
  <si>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</si>
  <si>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</si>
  <si>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</si>
  <si>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</si>
  <si>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</si>
  <si>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</si>
  <si>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</si>
  <si>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</si>
  <si>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</si>
  <si>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</si>
  <si>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</si>
  <si>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</si>
  <si>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</si>
  <si>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</si>
  <si>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</si>
  <si>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</si>
  <si>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</si>
  <si>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</si>
  <si>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</si>
  <si>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</si>
  <si>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</si>
  <si>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</si>
  <si>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</si>
  <si>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</si>
  <si>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</si>
  <si>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</si>
  <si>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</si>
  <si>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</si>
  <si>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</si>
  <si>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</si>
  <si>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</si>
  <si>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</si>
  <si>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</si>
  <si>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</si>
  <si>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</si>
  <si>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</si>
  <si>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</si>
  <si>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</si>
  <si>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</si>
  <si>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</si>
  <si>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</si>
  <si>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</si>
  <si>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</si>
  <si>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</si>
  <si>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</si>
  <si>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</si>
  <si>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</si>
  <si>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</si>
  <si>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</si>
  <si>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</si>
  <si>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</si>
  <si>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</si>
  <si>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</si>
  <si>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</si>
  <si>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</si>
  <si>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</si>
  <si>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</si>
  <si>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</si>
  <si>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</si>
  <si>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</si>
  <si>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</si>
  <si>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</si>
  <si>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</si>
  <si>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</si>
  <si>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</si>
  <si>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</si>
  <si>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</si>
  <si>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</si>
  <si>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</si>
  <si>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</si>
  <si>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</si>
  <si>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</si>
  <si>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</si>
  <si>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</si>
  <si>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</si>
  <si>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</si>
  <si>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</si>
  <si>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</si>
  <si>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</si>
  <si>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</si>
  <si>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</si>
  <si>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</si>
  <si>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</si>
  <si>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</si>
  <si>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</si>
  <si>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</si>
  <si>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</si>
  <si>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</si>
  <si>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</si>
  <si>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</si>
  <si>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</si>
  <si>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</si>
  <si>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</si>
  <si>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</si>
  <si>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</si>
  <si>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</si>
  <si>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</si>
  <si>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</si>
  <si>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</si>
  <si>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</si>
  <si>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</si>
  <si>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</si>
  <si>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</si>
  <si>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</si>
  <si>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</si>
  <si>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</si>
  <si>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</si>
  <si>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</si>
  <si>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</si>
  <si>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</si>
  <si>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</si>
  <si>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</si>
  <si>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</si>
  <si>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</si>
  <si>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</si>
  <si>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</si>
  <si>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</si>
  <si>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</si>
  <si>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</si>
  <si>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</si>
  <si>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</si>
  <si>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</si>
  <si>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</si>
  <si>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</si>
  <si>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</si>
  <si>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</si>
  <si>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</si>
  <si>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</si>
  <si>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</si>
  <si>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</si>
  <si>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</si>
  <si>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</si>
  <si>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</si>
  <si>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</si>
  <si>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</si>
  <si>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</si>
  <si>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</si>
  <si>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</si>
  <si>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</si>
  <si>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</si>
  <si>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</si>
  <si>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</si>
  <si>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</si>
  <si>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</si>
  <si>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</si>
  <si>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</si>
  <si>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</si>
  <si>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</si>
  <si>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</si>
  <si>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</si>
  <si>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</si>
  <si>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</si>
  <si>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</si>
  <si>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</si>
  <si>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</si>
  <si>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</si>
  <si>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</si>
  <si>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</si>
  <si>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</si>
  <si>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</si>
  <si>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</si>
  <si>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</si>
  <si>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</si>
  <si>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</si>
  <si>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</si>
  <si>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</si>
  <si>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</si>
  <si>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</si>
  <si>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</si>
  <si>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</si>
  <si>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</si>
  <si>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</si>
  <si>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</si>
  <si>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</si>
  <si>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</si>
  <si>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</si>
  <si>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</si>
  <si>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</si>
  <si>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</si>
  <si>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</si>
  <si>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</si>
  <si>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</si>
  <si>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</si>
  <si>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</si>
  <si>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</si>
  <si>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</si>
  <si>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</si>
  <si>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</si>
  <si>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</si>
  <si>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</si>
  <si>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</si>
  <si>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</si>
  <si>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</si>
  <si>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</si>
  <si>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</si>
  <si>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</si>
  <si>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</si>
  <si>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</si>
  <si>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</si>
  <si>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</si>
  <si>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</si>
  <si>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 공수초등학교 교사 신축공사</t>
    <phoneticPr fontId="2" type="noConversion"/>
  </si>
  <si>
    <t>교육연구</t>
  </si>
  <si>
    <t>충청도</t>
  </si>
  <si>
    <t>포장공사</t>
    <phoneticPr fontId="2" type="noConversion"/>
  </si>
  <si>
    <t>조경시설물</t>
    <phoneticPr fontId="2" type="noConversion"/>
  </si>
  <si>
    <t>우수공사,오수공사</t>
    <phoneticPr fontId="2" type="noConversion"/>
  </si>
  <si>
    <t>사급자재비,운반비</t>
    <phoneticPr fontId="2" type="noConversion"/>
  </si>
  <si>
    <t>옥외소화배관공사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</si>
  <si>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</si>
  <si>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</si>
  <si>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</si>
  <si>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</si>
  <si>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기초공사,골재비및운반비,작업부산물,기타공사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</si>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</sst>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14973.08</v>
      </c>
      <c r="D7" s="36">
        <f>+C7/3.3058</f>
        <v>4529.3363179865692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803090</v>
      </c>
      <c r="E25" s="59">
        <f t="shared" si="0"/>
        <v>2654850</v>
      </c>
    </row>
    <row r="26" spans="1:5" x14ac:dyDescent="0.3">
      <c r="B26" s="2">
        <v>3</v>
      </c>
      <c r="C26" s="35" t="s">
        <v>95</v>
      </c>
      <c r="D26" s="45">
        <f>+D66</f>
        <v>3480</v>
      </c>
      <c r="E26" s="59">
        <f t="shared" si="0"/>
        <v>11500</v>
      </c>
    </row>
    <row r="27" spans="1:5" x14ac:dyDescent="0.3">
      <c r="B27" s="2">
        <v>4</v>
      </c>
      <c r="C27" s="35" t="s">
        <v>96</v>
      </c>
      <c r="D27" s="45">
        <f>+D95</f>
        <v>66320</v>
      </c>
      <c r="E27" s="59">
        <f t="shared" si="0"/>
        <v>219240</v>
      </c>
    </row>
    <row r="28" spans="1:5" x14ac:dyDescent="0.3">
      <c r="B28" s="2">
        <v>5</v>
      </c>
      <c r="C28" s="35" t="s">
        <v>97</v>
      </c>
      <c r="D28" s="45">
        <f>+D119</f>
        <v>130510</v>
      </c>
      <c r="E28" s="59">
        <f t="shared" si="0"/>
        <v>431430</v>
      </c>
    </row>
    <row r="29" spans="1:5" x14ac:dyDescent="0.3">
      <c r="B29" s="2">
        <v>6</v>
      </c>
      <c r="C29" s="35" t="s">
        <v>98</v>
      </c>
      <c r="D29" s="45">
        <f>+D133</f>
        <v>46910</v>
      </c>
      <c r="E29" s="59">
        <f t="shared" si="0"/>
        <v>155070</v>
      </c>
    </row>
    <row r="30" spans="1:5" x14ac:dyDescent="0.3">
      <c r="B30" s="2">
        <v>7</v>
      </c>
      <c r="C30" s="35" t="s">
        <v>99</v>
      </c>
      <c r="D30" s="45">
        <f>+D146</f>
        <v>48810</v>
      </c>
      <c r="E30" s="59">
        <f t="shared" si="0"/>
        <v>161350</v>
      </c>
    </row>
    <row r="31" spans="1:5" x14ac:dyDescent="0.3">
      <c r="B31" s="2">
        <v>8</v>
      </c>
      <c r="C31" s="35" t="s">
        <v>100</v>
      </c>
      <c r="D31" s="45">
        <f>+D154</f>
        <v>21870</v>
      </c>
      <c r="E31" s="59">
        <f t="shared" si="0"/>
        <v>72290</v>
      </c>
    </row>
    <row r="32" spans="1:5" x14ac:dyDescent="0.3">
      <c r="B32" s="2">
        <v>9</v>
      </c>
      <c r="C32" s="35" t="s">
        <v>101</v>
      </c>
      <c r="D32" s="45">
        <f>+D161</f>
        <v>19050</v>
      </c>
      <c r="E32" s="59">
        <f t="shared" si="0"/>
        <v>62970</v>
      </c>
    </row>
    <row r="33" spans="1:7" x14ac:dyDescent="0.3">
      <c r="B33" s="2">
        <v>10</v>
      </c>
      <c r="C33" s="35" t="s">
        <v>154</v>
      </c>
      <c r="D33" s="53">
        <f>TRUNC(SUM(D24:D32)*0.275,-1)</f>
        <v>313510</v>
      </c>
      <c r="E33" s="60">
        <f t="shared" si="0"/>
        <v>1036400</v>
      </c>
    </row>
    <row r="34" spans="1:7" x14ac:dyDescent="0.3">
      <c r="C34" s="35" t="s">
        <v>112</v>
      </c>
      <c r="D34" s="44">
        <f>SUM(D24:D33)</f>
        <v>1453550</v>
      </c>
      <c r="E34" s="44">
        <f>SUM(E24:E33)</f>
        <v>4805100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TRUNC(32606,-1)</f>
        <v>32600</v>
      </c>
      <c r="E40" s="62">
        <f t="shared" ref="E40:E59" si="1">TRUNC(+D40*3.3058,-1)</f>
        <v>107760</v>
      </c>
    </row>
    <row r="41" spans="1:7" x14ac:dyDescent="0.3">
      <c r="A41" s="2">
        <v>2</v>
      </c>
      <c r="C41" s="38" t="s">
        <v>13</v>
      </c>
      <c r="D41" s="42">
        <f>TRUNC(116537,-1)</f>
        <v>116530</v>
      </c>
      <c r="E41" s="63">
        <f t="shared" si="1"/>
        <v>385220</v>
      </c>
    </row>
    <row r="42" spans="1:7" x14ac:dyDescent="0.3">
      <c r="A42" s="2">
        <v>3</v>
      </c>
      <c r="C42" s="38" t="s">
        <v>14</v>
      </c>
      <c r="D42" s="42">
        <f>TRUNC(5363,-1)</f>
        <v>5360</v>
      </c>
      <c r="E42" s="63">
        <f t="shared" si="1"/>
        <v>17710</v>
      </c>
    </row>
    <row r="43" spans="1:7" x14ac:dyDescent="0.3">
      <c r="A43" s="2">
        <v>4</v>
      </c>
      <c r="C43" s="38" t="s">
        <v>16</v>
      </c>
      <c r="D43" s="42">
        <f>TRUNC(23310,-1)</f>
        <v>23310</v>
      </c>
      <c r="E43" s="63">
        <f t="shared" si="1"/>
        <v>77050</v>
      </c>
    </row>
    <row r="44" spans="1:7" x14ac:dyDescent="0.3">
      <c r="A44" s="2">
        <v>5</v>
      </c>
      <c r="C44" s="38" t="s">
        <v>17</v>
      </c>
      <c r="D44" s="42">
        <f>TRUNC(16633,-1)</f>
        <v>16630</v>
      </c>
      <c r="E44" s="63">
        <f t="shared" si="1"/>
        <v>54970</v>
      </c>
    </row>
    <row r="45" spans="1:7" x14ac:dyDescent="0.3">
      <c r="A45" s="2">
        <v>6</v>
      </c>
      <c r="C45" s="38" t="s">
        <v>18</v>
      </c>
      <c r="D45" s="42">
        <f>TRUNC(5842,-1)</f>
        <v>5840</v>
      </c>
      <c r="E45" s="63">
        <f t="shared" si="1"/>
        <v>19300</v>
      </c>
    </row>
    <row r="46" spans="1:7" x14ac:dyDescent="0.3">
      <c r="A46" s="2">
        <v>7</v>
      </c>
      <c r="C46" s="38" t="s">
        <v>19</v>
      </c>
      <c r="D46" s="42">
        <f>TRUNC(34977,-1)</f>
        <v>34970</v>
      </c>
      <c r="E46" s="63">
        <f t="shared" si="1"/>
        <v>115600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TRUNC(55305,-1)</f>
        <v>55300</v>
      </c>
      <c r="E48" s="63">
        <f t="shared" si="1"/>
        <v>182810</v>
      </c>
      <c r="F48" s="2" t="s">
        <v>261</v>
      </c>
    </row>
    <row r="49" spans="1:7" x14ac:dyDescent="0.3">
      <c r="A49" s="2">
        <v>10</v>
      </c>
      <c r="C49" s="38" t="s">
        <v>22</v>
      </c>
      <c r="D49" s="42">
        <f>TRUNC(14653,-1)</f>
        <v>14650</v>
      </c>
      <c r="E49" s="63">
        <f t="shared" si="1"/>
        <v>48420</v>
      </c>
    </row>
    <row r="50" spans="1:7" x14ac:dyDescent="0.3">
      <c r="A50" s="2">
        <v>11</v>
      </c>
      <c r="C50" s="38" t="s">
        <v>155</v>
      </c>
      <c r="D50" s="42">
        <f>TRUNC(23682,-1)</f>
        <v>23680</v>
      </c>
      <c r="E50" s="63">
        <f t="shared" si="1"/>
        <v>78280</v>
      </c>
      <c r="F50" s="2" t="s">
        <v>262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TRUNC(9170,-1)</f>
        <v>9170</v>
      </c>
      <c r="E52" s="63">
        <f t="shared" si="1"/>
        <v>30310</v>
      </c>
    </row>
    <row r="53" spans="1:7" x14ac:dyDescent="0.3">
      <c r="A53" s="2">
        <v>14</v>
      </c>
      <c r="C53" s="38" t="s">
        <v>25</v>
      </c>
      <c r="D53" s="42">
        <f>TRUNC(102072,-1)</f>
        <v>102070</v>
      </c>
      <c r="E53" s="63">
        <f t="shared" si="1"/>
        <v>337420</v>
      </c>
      <c r="F53" s="2" t="s">
        <v>263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TRUNC(12223+5656-554+3455,-1)</f>
        <v>20780</v>
      </c>
      <c r="E58" s="63">
        <f t="shared" si="1"/>
        <v>68690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TRUNC(342202,-1)</f>
        <v>342200</v>
      </c>
      <c r="E59" s="64">
        <f t="shared" si="1"/>
        <v>1131240</v>
      </c>
    </row>
    <row r="60" spans="1:7" x14ac:dyDescent="0.3">
      <c r="A60" s="2">
        <v>21</v>
      </c>
      <c r="C60" s="27" t="s">
        <v>112</v>
      </c>
      <c r="D60" s="39">
        <f>SUM(D40:D59)</f>
        <v>803090</v>
      </c>
      <c r="E60" s="39">
        <f>SUM(E40:E59)</f>
        <v>2654780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TRUNC(3488,-1)</f>
        <v>3480</v>
      </c>
      <c r="E63" s="62">
        <f>TRUNC(+D63*3.3058,-1)</f>
        <v>11500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3480</v>
      </c>
      <c r="E66" s="65">
        <f>SUM(E63:E65)</f>
        <v>11500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TRUNC(4921,-1)</f>
        <v>4920</v>
      </c>
      <c r="E69" s="62">
        <f t="shared" ref="E69:E94" si="2">TRUNC(+D69*3.3058,-1)</f>
        <v>16260</v>
      </c>
    </row>
    <row r="70" spans="1:7" ht="16.5" customHeight="1" x14ac:dyDescent="0.3">
      <c r="A70" s="2">
        <v>2</v>
      </c>
      <c r="C70" s="38" t="s">
        <v>31</v>
      </c>
      <c r="D70" s="42">
        <f>TRUNC(1852,-1)</f>
        <v>1850</v>
      </c>
      <c r="E70" s="63">
        <f t="shared" si="2"/>
        <v>6110</v>
      </c>
    </row>
    <row r="71" spans="1:7" x14ac:dyDescent="0.3">
      <c r="A71" s="2">
        <v>3</v>
      </c>
      <c r="C71" s="38" t="s">
        <v>32</v>
      </c>
      <c r="D71" s="42">
        <f>TRUNC(3544,-1)</f>
        <v>3540</v>
      </c>
      <c r="E71" s="63">
        <f t="shared" si="2"/>
        <v>11700</v>
      </c>
    </row>
    <row r="72" spans="1:7" x14ac:dyDescent="0.3">
      <c r="A72" s="2">
        <v>4</v>
      </c>
      <c r="C72" s="38" t="s">
        <v>33</v>
      </c>
      <c r="D72" s="42">
        <f>TRUNC(2341,-1)</f>
        <v>2340</v>
      </c>
      <c r="E72" s="63">
        <f t="shared" si="2"/>
        <v>7730</v>
      </c>
    </row>
    <row r="73" spans="1:7" x14ac:dyDescent="0.3">
      <c r="A73" s="2">
        <v>5</v>
      </c>
      <c r="C73" s="38" t="s">
        <v>34</v>
      </c>
      <c r="D73" s="42">
        <f>TRUNC(8944,-1)</f>
        <v>8940</v>
      </c>
      <c r="E73" s="63">
        <f t="shared" si="2"/>
        <v>29550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TRUNC(27469,-1)</f>
        <v>27460</v>
      </c>
      <c r="E76" s="63">
        <f t="shared" si="2"/>
        <v>90770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TRUNC(4741,-1)</f>
        <v>4740</v>
      </c>
      <c r="E89" s="63">
        <f t="shared" si="2"/>
        <v>15660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TRUNC(4718,-1)</f>
        <v>4710</v>
      </c>
      <c r="E91" s="63">
        <f t="shared" si="2"/>
        <v>15570</v>
      </c>
    </row>
    <row r="92" spans="1:7" x14ac:dyDescent="0.3">
      <c r="A92" s="2">
        <v>24</v>
      </c>
      <c r="C92" s="38" t="s">
        <v>38</v>
      </c>
      <c r="D92" s="42">
        <f>TRUNC(6771,-1)</f>
        <v>6770</v>
      </c>
      <c r="E92" s="63">
        <f t="shared" si="2"/>
        <v>22380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TRUNC(1051,-1)</f>
        <v>1050</v>
      </c>
      <c r="E94" s="64">
        <f t="shared" si="2"/>
        <v>3470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66320</v>
      </c>
      <c r="E95" s="39">
        <f>SUM(E69:E94)</f>
        <v>219200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TRUNC(10123,-1)</f>
        <v>10120</v>
      </c>
      <c r="E98" s="62">
        <f t="shared" ref="E98:E118" si="3">TRUNC(+D98*3.3058,-1)</f>
        <v>33450</v>
      </c>
    </row>
    <row r="99" spans="1:7" x14ac:dyDescent="0.3">
      <c r="A99" s="2">
        <v>2</v>
      </c>
      <c r="C99" s="38" t="s">
        <v>40</v>
      </c>
      <c r="D99" s="42">
        <f>TRUNC(5672,-1)</f>
        <v>5670</v>
      </c>
      <c r="E99" s="63">
        <f t="shared" si="3"/>
        <v>18740</v>
      </c>
    </row>
    <row r="100" spans="1:7" x14ac:dyDescent="0.3">
      <c r="A100" s="2">
        <v>3</v>
      </c>
      <c r="C100" s="38" t="s">
        <v>41</v>
      </c>
      <c r="D100" s="42">
        <f>TRUNC(29145,-1)</f>
        <v>29140</v>
      </c>
      <c r="E100" s="63">
        <f t="shared" si="3"/>
        <v>96330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TRUNC(15880,-1)</f>
        <v>15880</v>
      </c>
      <c r="E102" s="63">
        <f t="shared" si="3"/>
        <v>52490</v>
      </c>
    </row>
    <row r="103" spans="1:7" x14ac:dyDescent="0.3">
      <c r="A103" s="2">
        <v>6</v>
      </c>
      <c r="C103" s="38" t="s">
        <v>44</v>
      </c>
      <c r="D103" s="42">
        <f>TRUNC(5976,-1)</f>
        <v>5970</v>
      </c>
      <c r="E103" s="63">
        <f t="shared" si="3"/>
        <v>19730</v>
      </c>
    </row>
    <row r="104" spans="1:7" x14ac:dyDescent="0.3">
      <c r="A104" s="2">
        <v>7</v>
      </c>
      <c r="C104" s="38" t="s">
        <v>45</v>
      </c>
      <c r="D104" s="42">
        <f>TRUNC(2712,-1)</f>
        <v>2710</v>
      </c>
      <c r="E104" s="63">
        <f t="shared" si="3"/>
        <v>8950</v>
      </c>
    </row>
    <row r="105" spans="1:7" x14ac:dyDescent="0.3">
      <c r="A105" s="2">
        <v>8</v>
      </c>
      <c r="C105" s="38" t="s">
        <v>46</v>
      </c>
      <c r="D105" s="42">
        <f>TRUNC(2531,-1)</f>
        <v>2530</v>
      </c>
      <c r="E105" s="63">
        <f t="shared" si="3"/>
        <v>8360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TRUNC(1420,-1)</f>
        <v>1420</v>
      </c>
      <c r="E114" s="63">
        <f t="shared" si="3"/>
        <v>4690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TRUNC(1171,-1)</f>
        <v>1170</v>
      </c>
      <c r="E116" s="63">
        <f t="shared" si="3"/>
        <v>3860</v>
      </c>
      <c r="F116" s="2" t="s">
        <v>259</v>
      </c>
    </row>
    <row r="117" spans="1:7" x14ac:dyDescent="0.3">
      <c r="A117" s="2">
        <v>20</v>
      </c>
      <c r="C117" s="38" t="s">
        <v>148</v>
      </c>
      <c r="D117" s="42">
        <f>TRUNC(54724,-1)</f>
        <v>54720</v>
      </c>
      <c r="E117" s="63">
        <f t="shared" si="3"/>
        <v>180890</v>
      </c>
    </row>
    <row r="118" spans="1:7" ht="17.25" thickBot="1" x14ac:dyDescent="0.35">
      <c r="A118" s="2">
        <v>21</v>
      </c>
      <c r="C118" s="38" t="s">
        <v>47</v>
      </c>
      <c r="D118" s="43">
        <f>TRUNC(1186,-1)</f>
        <v>1180</v>
      </c>
      <c r="E118" s="64">
        <f t="shared" si="3"/>
        <v>3900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130510</v>
      </c>
      <c r="E119" s="39">
        <f>SUM(E98:E118)</f>
        <v>431390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TRUNC(2535,-1)</f>
        <v>2530</v>
      </c>
      <c r="E122" s="62">
        <f t="shared" ref="E122:E132" si="4">TRUNC(+D122*3.3058,-1)</f>
        <v>8360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TRUNC(757,-1)</f>
        <v>750</v>
      </c>
      <c r="E124" s="63">
        <f t="shared" si="4"/>
        <v>2470</v>
      </c>
    </row>
    <row r="125" spans="1:7" x14ac:dyDescent="0.3">
      <c r="A125" s="2">
        <v>4</v>
      </c>
      <c r="C125" s="38" t="s">
        <v>138</v>
      </c>
      <c r="D125" s="42">
        <f>TRUNC(6440,-1)</f>
        <v>6440</v>
      </c>
      <c r="E125" s="63">
        <f t="shared" si="4"/>
        <v>21280</v>
      </c>
    </row>
    <row r="126" spans="1:7" x14ac:dyDescent="0.3">
      <c r="A126" s="2">
        <v>5</v>
      </c>
      <c r="C126" s="38" t="s">
        <v>53</v>
      </c>
      <c r="D126" s="42">
        <f>TRUNC(4643,-1)</f>
        <v>4640</v>
      </c>
      <c r="E126" s="63">
        <f t="shared" si="4"/>
        <v>15330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TRUNC(5891,-10)</f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TRUNC(16569,-1)</f>
        <v>16560</v>
      </c>
      <c r="E130" s="63">
        <f t="shared" si="4"/>
        <v>54740</v>
      </c>
    </row>
    <row r="131" spans="1:7" x14ac:dyDescent="0.3">
      <c r="A131" s="2">
        <v>10</v>
      </c>
      <c r="C131" s="38" t="s">
        <v>148</v>
      </c>
      <c r="D131" s="42">
        <f>TRUNC(14829,-1)</f>
        <v>14820</v>
      </c>
      <c r="E131" s="63">
        <f t="shared" si="4"/>
        <v>48990</v>
      </c>
    </row>
    <row r="132" spans="1:7" ht="18" thickBot="1" x14ac:dyDescent="0.35">
      <c r="A132" s="2">
        <v>11</v>
      </c>
      <c r="C132" s="38" t="s">
        <v>47</v>
      </c>
      <c r="D132" s="43">
        <f>TRUNC(1173,-1)</f>
        <v>1170</v>
      </c>
      <c r="E132" s="64">
        <f t="shared" si="4"/>
        <v>3860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46910</v>
      </c>
      <c r="E133" s="39">
        <f>SUM(E122:E132)</f>
        <v>155030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TRUNC(87,-1)</f>
        <v>80</v>
      </c>
      <c r="E137" s="63">
        <f t="shared" si="5"/>
        <v>260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TRUNC(1766,-1)</f>
        <v>1760</v>
      </c>
      <c r="E139" s="63">
        <f t="shared" si="5"/>
        <v>5810</v>
      </c>
    </row>
    <row r="140" spans="1:7" x14ac:dyDescent="0.3">
      <c r="A140" s="2">
        <v>5</v>
      </c>
      <c r="C140" s="38" t="s">
        <v>57</v>
      </c>
      <c r="D140" s="42">
        <f>TRUNC(1481,-1)</f>
        <v>1480</v>
      </c>
      <c r="E140" s="63">
        <f t="shared" si="5"/>
        <v>4890</v>
      </c>
    </row>
    <row r="141" spans="1:7" x14ac:dyDescent="0.3">
      <c r="A141" s="2">
        <v>6</v>
      </c>
      <c r="C141" s="38" t="s">
        <v>59</v>
      </c>
      <c r="D141" s="42">
        <f>TRUNC(11240,-1)</f>
        <v>11240</v>
      </c>
      <c r="E141" s="63">
        <f t="shared" si="5"/>
        <v>37150</v>
      </c>
    </row>
    <row r="142" spans="1:7" x14ac:dyDescent="0.3">
      <c r="A142" s="2">
        <v>7</v>
      </c>
      <c r="C142" s="38" t="s">
        <v>58</v>
      </c>
      <c r="D142" s="42">
        <f>TRUNC(9328,-1)</f>
        <v>9320</v>
      </c>
      <c r="E142" s="63">
        <f t="shared" si="5"/>
        <v>30810</v>
      </c>
    </row>
    <row r="143" spans="1:7" x14ac:dyDescent="0.3">
      <c r="A143" s="2">
        <v>8</v>
      </c>
      <c r="C143" s="38" t="s">
        <v>62</v>
      </c>
      <c r="D143" s="42">
        <f>TRUNC(4291,-1)</f>
        <v>4290</v>
      </c>
      <c r="E143" s="63">
        <f t="shared" si="5"/>
        <v>14180</v>
      </c>
    </row>
    <row r="144" spans="1:7" x14ac:dyDescent="0.3">
      <c r="A144" s="2">
        <v>9</v>
      </c>
      <c r="C144" s="38" t="s">
        <v>63</v>
      </c>
      <c r="D144" s="42">
        <f>TRUNC(20648,-1)</f>
        <v>20640</v>
      </c>
      <c r="E144" s="63">
        <f t="shared" si="5"/>
        <v>68230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48810</v>
      </c>
      <c r="E146" s="39">
        <f>SUM(E136:E145)</f>
        <v>161330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TRUNC(7813+1769,-1)</f>
        <v>9580</v>
      </c>
      <c r="E149" s="62">
        <f>TRUNC(+D149*3.3058,-1)</f>
        <v>31660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TRUNC(8188,-1)</f>
        <v>8180</v>
      </c>
      <c r="E150" s="63">
        <f>TRUNC(+D150*3.3058,-1)</f>
        <v>27040</v>
      </c>
    </row>
    <row r="151" spans="1:7" x14ac:dyDescent="0.3">
      <c r="A151" s="2">
        <v>3</v>
      </c>
      <c r="C151" s="38" t="s">
        <v>50</v>
      </c>
      <c r="D151" s="42">
        <f>TRUNC(2040,-1)</f>
        <v>2040</v>
      </c>
      <c r="E151" s="63">
        <f>TRUNC(+D151*3.3058,-1)</f>
        <v>6740</v>
      </c>
    </row>
    <row r="152" spans="1:7" x14ac:dyDescent="0.3">
      <c r="A152" s="2">
        <v>4</v>
      </c>
      <c r="C152" s="38" t="s">
        <v>47</v>
      </c>
      <c r="D152" s="42">
        <f>TRUNC(1992+80,-1)</f>
        <v>2070</v>
      </c>
      <c r="E152" s="63">
        <f>TRUNC(+D152*3.3058,-1)</f>
        <v>6840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21870</v>
      </c>
      <c r="E154" s="39">
        <f>SUM(E149:E153)</f>
        <v>72280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TRUNC(13385,-1)</f>
        <v>13380</v>
      </c>
      <c r="E157" s="62">
        <f>TRUNC(+D157*3.3058,-1)</f>
        <v>44230</v>
      </c>
    </row>
    <row r="158" spans="1:7" x14ac:dyDescent="0.3">
      <c r="A158" s="2">
        <v>2</v>
      </c>
      <c r="C158" s="38" t="s">
        <v>52</v>
      </c>
      <c r="D158" s="42">
        <f>TRUNC(4865,-1)</f>
        <v>4860</v>
      </c>
      <c r="E158" s="63">
        <f>TRUNC(+D158*3.3058,-1)</f>
        <v>16060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TRUNC(817,-1)</f>
        <v>810</v>
      </c>
      <c r="E159" s="63">
        <f>TRUNC(+D159*3.3058,-1)</f>
        <v>2670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19050</v>
      </c>
      <c r="E161" s="39">
        <f>SUM(E157:E160)</f>
        <v>62960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2020-12-08T03:58:28Z</dcterms:modified>
</cp:coreProperties>
</file>