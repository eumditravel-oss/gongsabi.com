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3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74" i="4" l="1"/>
  <c r="D94" i="4"/>
  <c r="D79" i="4"/>
  <c r="E160" i="4" l="1"/>
  <c r="E158" i="4"/>
  <c r="E157" i="4"/>
  <c r="E153" i="4"/>
  <c r="E151" i="4"/>
  <c r="E150" i="4"/>
  <c r="E149" i="4"/>
  <c r="E145" i="4"/>
  <c r="E141" i="4"/>
  <c r="E139" i="4"/>
  <c r="E138" i="4"/>
  <c r="E136" i="4"/>
  <c r="E129" i="4"/>
  <c r="E127" i="4"/>
  <c r="E123" i="4"/>
  <c r="E116" i="4"/>
  <c r="E115" i="4"/>
  <c r="E113" i="4"/>
  <c r="E112" i="4"/>
  <c r="E111" i="4"/>
  <c r="E110" i="4"/>
  <c r="E109" i="4"/>
  <c r="E107" i="4"/>
  <c r="E106" i="4"/>
  <c r="E103" i="4"/>
  <c r="E101" i="4"/>
  <c r="E99" i="4"/>
  <c r="E94" i="4"/>
  <c r="E91" i="4"/>
  <c r="E90" i="4"/>
  <c r="E88" i="4"/>
  <c r="E87" i="4"/>
  <c r="E86" i="4"/>
  <c r="E85" i="4"/>
  <c r="E84" i="4"/>
  <c r="E83" i="4"/>
  <c r="E82" i="4"/>
  <c r="E80" i="4"/>
  <c r="E79" i="4"/>
  <c r="E78" i="4"/>
  <c r="E77" i="4"/>
  <c r="E75" i="4"/>
  <c r="E74" i="4"/>
  <c r="E72" i="4"/>
  <c r="E65" i="4"/>
  <c r="E64" i="4"/>
  <c r="E63" i="4"/>
  <c r="E66" i="4" s="1"/>
  <c r="E57" i="4"/>
  <c r="E56" i="4"/>
  <c r="E54" i="4"/>
  <c r="D128" i="4" l="1"/>
  <c r="E128" i="4" s="1"/>
  <c r="D124" i="4"/>
  <c r="E124" i="4" s="1"/>
  <c r="D132" i="4"/>
  <c r="E132" i="4" s="1"/>
  <c r="D131" i="4"/>
  <c r="E131" i="4" s="1"/>
  <c r="D117" i="4"/>
  <c r="E117" i="4" s="1"/>
  <c r="D125" i="4"/>
  <c r="E125" i="4" s="1"/>
  <c r="D122" i="4"/>
  <c r="E122" i="4" s="1"/>
  <c r="D130" i="4"/>
  <c r="E130" i="4" s="1"/>
  <c r="D126" i="4"/>
  <c r="E126" i="4" s="1"/>
  <c r="D144" i="4"/>
  <c r="E144" i="4" s="1"/>
  <c r="D143" i="4"/>
  <c r="E143" i="4" s="1"/>
  <c r="D118" i="4"/>
  <c r="E118" i="4" s="1"/>
  <c r="D105" i="4"/>
  <c r="E105" i="4" s="1"/>
  <c r="D104" i="4"/>
  <c r="E104" i="4" s="1"/>
  <c r="D108" i="4"/>
  <c r="E108" i="4" s="1"/>
  <c r="D102" i="4"/>
  <c r="E102" i="4" s="1"/>
  <c r="D100" i="4"/>
  <c r="E100" i="4" s="1"/>
  <c r="D98" i="4"/>
  <c r="E98" i="4" s="1"/>
  <c r="D114" i="4"/>
  <c r="E114" i="4" s="1"/>
  <c r="D142" i="4"/>
  <c r="E142" i="4" s="1"/>
  <c r="D137" i="4"/>
  <c r="E137" i="4" s="1"/>
  <c r="E146" i="4" s="1"/>
  <c r="D140" i="4"/>
  <c r="E140" i="4" s="1"/>
  <c r="D93" i="4"/>
  <c r="E93" i="4" s="1"/>
  <c r="D76" i="4"/>
  <c r="E76" i="4" s="1"/>
  <c r="D81" i="4"/>
  <c r="E81" i="4" s="1"/>
  <c r="D89" i="4"/>
  <c r="E89" i="4" s="1"/>
  <c r="D73" i="4"/>
  <c r="E73" i="4" s="1"/>
  <c r="D71" i="4"/>
  <c r="E71" i="4" s="1"/>
  <c r="D70" i="4"/>
  <c r="E70" i="4" s="1"/>
  <c r="D92" i="4"/>
  <c r="E92" i="4" s="1"/>
  <c r="D69" i="4"/>
  <c r="E69" i="4" s="1"/>
  <c r="E95" i="4" s="1"/>
  <c r="D159" i="4"/>
  <c r="E159" i="4" s="1"/>
  <c r="E161" i="4" s="1"/>
  <c r="D152" i="4"/>
  <c r="E152" i="4" s="1"/>
  <c r="E154" i="4" s="1"/>
  <c r="D59" i="4"/>
  <c r="E59" i="4" s="1"/>
  <c r="D58" i="4"/>
  <c r="E58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55" i="4"/>
  <c r="E55" i="4" s="1"/>
  <c r="D44" i="4"/>
  <c r="E44" i="4" s="1"/>
  <c r="D47" i="4"/>
  <c r="E47" i="4" s="1"/>
  <c r="D45" i="4"/>
  <c r="E45" i="4" s="1"/>
  <c r="D46" i="4"/>
  <c r="E46" i="4" s="1"/>
  <c r="D43" i="4"/>
  <c r="E43" i="4" s="1"/>
  <c r="D42" i="4"/>
  <c r="E42" i="4" s="1"/>
  <c r="D41" i="4"/>
  <c r="E41" i="4" s="1"/>
  <c r="D40" i="4"/>
  <c r="E40" i="4" s="1"/>
  <c r="D37" i="4"/>
  <c r="E37" i="4" s="1"/>
  <c r="E60" i="4" l="1"/>
  <c r="D95" i="4"/>
  <c r="E133" i="4"/>
  <c r="E119" i="4"/>
  <c r="D161" i="4"/>
  <c r="D32" i="4" s="1"/>
  <c r="E32" i="4" s="1"/>
  <c r="D154" i="4"/>
  <c r="D31" i="4" s="1"/>
  <c r="E31" i="4" s="1"/>
  <c r="D146" i="4"/>
  <c r="D133" i="4"/>
  <c r="D29" i="4" s="1"/>
  <c r="E29" i="4" s="1"/>
  <c r="D119" i="4"/>
  <c r="D28" i="4" s="1"/>
  <c r="E28" i="4" s="1"/>
  <c r="D27" i="4"/>
  <c r="D66" i="4"/>
  <c r="D26" i="4" s="1"/>
  <c r="E26" i="4" s="1"/>
  <c r="D60" i="4"/>
  <c r="D25" i="4" s="1"/>
  <c r="E25" i="4" s="1"/>
  <c r="D24" i="4"/>
  <c r="E24" i="4" s="1"/>
  <c r="D30" i="4"/>
  <c r="E30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7" i="4" l="1"/>
  <c r="D33" i="4"/>
  <c r="E33" i="4" l="1"/>
  <c r="D34" i="4"/>
  <c r="E34" i="4" l="1"/>
</calcChain>
</file>

<file path=xl/sharedStrings.xml><?xml version="1.0" encoding="utf-8"?>
<sst xmlns="http://schemas.openxmlformats.org/spreadsheetml/2006/main" count="397" uniqueCount="272">
  <si>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</si>
  <si>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</si>
  <si>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</si>
  <si>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</si>
  <si>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</si>
  <si>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</si>
  <si>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</si>
  <si>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</si>
  <si>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</si>
  <si>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</si>
  <si>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</si>
  <si>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</si>
  <si>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</si>
  <si>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</si>
  <si>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</si>
  <si>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</si>
  <si>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</si>
  <si>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</si>
  <si>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</si>
  <si>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</si>
  <si>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</si>
  <si>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</si>
  <si>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</si>
  <si>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</si>
  <si>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</si>
  <si>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</si>
  <si>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</si>
  <si>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</si>
  <si>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</si>
  <si>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</si>
  <si>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</si>
  <si>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</si>
  <si>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</si>
  <si>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</si>
  <si>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</si>
  <si>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</si>
  <si>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</si>
  <si>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</si>
  <si>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</si>
  <si>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</si>
  <si>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</si>
  <si>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</si>
  <si>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</si>
  <si>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</si>
  <si>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</si>
  <si>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</si>
  <si>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</si>
  <si>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</si>
  <si>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</si>
  <si>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</si>
  <si>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</si>
  <si>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</si>
  <si>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</si>
  <si>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</si>
  <si>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</si>
  <si>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</si>
  <si>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</si>
  <si>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</si>
  <si>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</si>
  <si>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</si>
  <si>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</si>
  <si>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</si>
  <si>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</si>
  <si>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</si>
  <si>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</si>
  <si>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</si>
  <si>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</si>
  <si>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</si>
  <si>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</si>
  <si>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</si>
  <si>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</si>
  <si>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</si>
  <si>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</si>
  <si>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</si>
  <si>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</si>
  <si>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</si>
  <si>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</si>
  <si>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</si>
  <si>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</si>
  <si>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</si>
  <si>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</si>
  <si>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</si>
  <si>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</si>
  <si>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</si>
  <si>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</si>
  <si>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</si>
  <si>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</si>
  <si>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</si>
  <si>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</si>
  <si>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</si>
  <si>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</si>
  <si>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</si>
  <si>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</si>
  <si>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</si>
  <si>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</si>
  <si>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</si>
  <si>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</si>
  <si>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</si>
  <si>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</si>
  <si>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</si>
  <si>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</si>
  <si>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</si>
  <si>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</si>
  <si>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</si>
  <si>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</si>
  <si>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</si>
  <si>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</si>
  <si>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</si>
  <si>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</si>
  <si>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</si>
  <si>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</si>
  <si>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</si>
  <si>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</si>
  <si>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</si>
  <si>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</si>
  <si>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</si>
  <si>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</si>
  <si>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</si>
  <si>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</si>
  <si>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</si>
  <si>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</si>
  <si>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</si>
  <si>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</si>
  <si>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</si>
  <si>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</si>
  <si>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</si>
  <si>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</si>
  <si>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</si>
  <si>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</si>
  <si>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</si>
  <si>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</si>
  <si>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</si>
  <si>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</si>
  <si>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</si>
  <si>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</si>
  <si>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</si>
  <si>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</si>
  <si>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</si>
  <si>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</si>
  <si>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</si>
  <si>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</si>
  <si>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</si>
  <si>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</si>
  <si>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</si>
  <si>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</si>
  <si>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</si>
  <si>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</si>
  <si>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</si>
  <si>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</si>
  <si>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</si>
  <si>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</si>
  <si>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</si>
  <si>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</si>
  <si>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</si>
  <si>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</si>
  <si>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</si>
  <si>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</si>
  <si>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</si>
  <si>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</si>
  <si>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</si>
  <si>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</si>
  <si>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</si>
  <si>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</si>
  <si>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</si>
  <si>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</si>
  <si>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</si>
  <si>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</si>
  <si>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</si>
  <si>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</si>
  <si>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</si>
  <si>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</si>
  <si>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</si>
  <si>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</si>
  <si>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</si>
  <si>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</si>
  <si>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</si>
  <si>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</si>
  <si>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</si>
  <si>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</si>
  <si>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</si>
  <si>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</si>
  <si>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</si>
  <si>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</si>
  <si>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</si>
  <si>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</si>
  <si>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</si>
  <si>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</si>
  <si>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</si>
  <si>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</si>
  <si>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</si>
  <si>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</si>
  <si>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</si>
  <si>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</si>
  <si>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</si>
  <si>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</si>
  <si>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</si>
  <si>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</si>
  <si>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</si>
  <si>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</si>
  <si>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</si>
  <si>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</si>
  <si>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</si>
  <si>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</si>
  <si>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</si>
  <si>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</si>
  <si>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</si>
  <si>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</si>
  <si>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</si>
  <si>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</si>
  <si>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</si>
  <si>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</si>
  <si>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</si>
  <si>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</si>
  <si>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</si>
  <si>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</si>
  <si>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</si>
  <si>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</si>
  <si>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</si>
  <si>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</si>
  <si>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</si>
  <si>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</si>
  <si>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</si>
  <si>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</si>
  <si>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</si>
  <si>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</si>
  <si>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</si>
  <si>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</si>
  <si>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</si>
  <si>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</si>
  <si>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</si>
  <si>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</si>
  <si>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</si>
  <si>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</si>
  <si>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</si>
  <si>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</si>
  <si>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</si>
  <si>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</si>
  <si>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</si>
  <si>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</si>
  <si>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</si>
  <si>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</si>
  <si>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</si>
  <si>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</si>
  <si>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</si>
  <si>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</si>
  <si>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</si>
  <si>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</si>
  <si>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</si>
  <si>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00지방고용노동청00지청 청사신축 공사</t>
    <phoneticPr fontId="2" type="noConversion"/>
  </si>
  <si>
    <t>업무</t>
  </si>
  <si>
    <t>전라도</t>
  </si>
  <si>
    <t>홈통공사</t>
    <phoneticPr fontId="2" type="noConversion"/>
  </si>
  <si>
    <t>지정공사,기타공사,골재대및운반비,작업부산물,폐기물처리비</t>
    <phoneticPr fontId="2" type="noConversion"/>
  </si>
  <si>
    <t>토목공사</t>
    <phoneticPr fontId="2" type="noConversion"/>
  </si>
  <si>
    <t>조경공사</t>
    <phoneticPr fontId="2" type="noConversion"/>
  </si>
  <si>
    <t>오배수통기배관공사</t>
    <phoneticPr fontId="2" type="noConversion"/>
  </si>
  <si>
    <t>기계 소화장비설치공사</t>
    <phoneticPr fontId="2" type="noConversion"/>
  </si>
  <si>
    <t>기계 펌프실소화배관공사</t>
    <phoneticPr fontId="2" type="noConversion"/>
  </si>
  <si>
    <t>기계 옥내소화배관공사</t>
    <phoneticPr fontId="2" type="noConversion"/>
  </si>
  <si>
    <t>접지설비공사</t>
    <phoneticPr fontId="2" type="noConversion"/>
  </si>
  <si>
    <t>환기유니트 설비공사</t>
    <phoneticPr fontId="2" type="noConversion"/>
  </si>
  <si>
    <t>전기 유도등설비공사</t>
    <phoneticPr fontId="2" type="noConversion"/>
  </si>
  <si>
    <t>전기 자탐설비공사</t>
    <phoneticPr fontId="2" type="noConversion"/>
  </si>
  <si>
    <t>CATV설비공사</t>
    <phoneticPr fontId="2" type="noConversion"/>
  </si>
  <si>
    <t>CCTV설비공사</t>
    <phoneticPr fontId="2" type="noConversion"/>
  </si>
  <si>
    <t>환기덕트공사</t>
    <phoneticPr fontId="2" type="noConversion"/>
  </si>
  <si>
    <t>난방배관공사,축냉식시스템공사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</si>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</sst>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269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3025</v>
      </c>
      <c r="D7" s="36">
        <f>+C7/3.3058</f>
        <v>915.05838223727994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199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270</v>
      </c>
    </row>
    <row r="19" spans="1:5" x14ac:dyDescent="0.3">
      <c r="A19" s="2">
        <v>9</v>
      </c>
      <c r="B19" s="2" t="s">
        <v>271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5670</v>
      </c>
      <c r="E24" s="58">
        <f t="shared" ref="E24:E33" si="0">TRUNC(+D24*3.3058,-1)</f>
        <v>18740</v>
      </c>
    </row>
    <row r="25" spans="1:5" x14ac:dyDescent="0.3">
      <c r="B25" s="2">
        <v>2</v>
      </c>
      <c r="C25" s="35" t="s">
        <v>111</v>
      </c>
      <c r="D25" s="45">
        <f>+D60</f>
        <v>797140</v>
      </c>
      <c r="E25" s="59">
        <f t="shared" si="0"/>
        <v>2635180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202610</v>
      </c>
      <c r="E27" s="59">
        <f t="shared" si="0"/>
        <v>669780</v>
      </c>
    </row>
    <row r="28" spans="1:5" x14ac:dyDescent="0.3">
      <c r="B28" s="2">
        <v>5</v>
      </c>
      <c r="C28" s="35" t="s">
        <v>97</v>
      </c>
      <c r="D28" s="45">
        <f>+D119</f>
        <v>149830</v>
      </c>
      <c r="E28" s="59">
        <f t="shared" si="0"/>
        <v>495300</v>
      </c>
    </row>
    <row r="29" spans="1:5" x14ac:dyDescent="0.3">
      <c r="B29" s="2">
        <v>6</v>
      </c>
      <c r="C29" s="35" t="s">
        <v>98</v>
      </c>
      <c r="D29" s="45">
        <f>+D133</f>
        <v>125250</v>
      </c>
      <c r="E29" s="59">
        <f t="shared" si="0"/>
        <v>414050</v>
      </c>
    </row>
    <row r="30" spans="1:5" x14ac:dyDescent="0.3">
      <c r="B30" s="2">
        <v>7</v>
      </c>
      <c r="C30" s="35" t="s">
        <v>99</v>
      </c>
      <c r="D30" s="45">
        <f>+D146</f>
        <v>37030</v>
      </c>
      <c r="E30" s="59">
        <f t="shared" si="0"/>
        <v>122410</v>
      </c>
    </row>
    <row r="31" spans="1:5" x14ac:dyDescent="0.3">
      <c r="B31" s="2">
        <v>8</v>
      </c>
      <c r="C31" s="35" t="s">
        <v>100</v>
      </c>
      <c r="D31" s="45">
        <f>+D154</f>
        <v>92850</v>
      </c>
      <c r="E31" s="59">
        <f t="shared" si="0"/>
        <v>306940</v>
      </c>
    </row>
    <row r="32" spans="1:5" x14ac:dyDescent="0.3">
      <c r="B32" s="2">
        <v>9</v>
      </c>
      <c r="C32" s="35" t="s">
        <v>101</v>
      </c>
      <c r="D32" s="45">
        <f>+D161</f>
        <v>50750</v>
      </c>
      <c r="E32" s="59">
        <f t="shared" si="0"/>
        <v>167760</v>
      </c>
    </row>
    <row r="33" spans="1:7" x14ac:dyDescent="0.3">
      <c r="B33" s="2">
        <v>10</v>
      </c>
      <c r="C33" s="35" t="s">
        <v>154</v>
      </c>
      <c r="D33" s="53">
        <f>TRUNC(SUM(D24:D32)*0.275,-1)</f>
        <v>401810</v>
      </c>
      <c r="E33" s="60">
        <f t="shared" si="0"/>
        <v>1328300</v>
      </c>
    </row>
    <row r="34" spans="1:7" x14ac:dyDescent="0.3">
      <c r="C34" s="35" t="s">
        <v>112</v>
      </c>
      <c r="D34" s="44">
        <f>SUM(D24:D33)</f>
        <v>1862940</v>
      </c>
      <c r="E34" s="44">
        <f>SUM(E24:E33)</f>
        <v>6158460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TRUNC(5678,-1)</f>
        <v>5670</v>
      </c>
      <c r="E37" s="61">
        <f>TRUNC(+D37*3.3058,-1)</f>
        <v>18740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267</v>
      </c>
      <c r="E39" s="67" t="s">
        <v>268</v>
      </c>
      <c r="G39" s="68"/>
    </row>
    <row r="40" spans="1:7" x14ac:dyDescent="0.3">
      <c r="A40" s="2">
        <v>1</v>
      </c>
      <c r="C40" s="38" t="s">
        <v>15</v>
      </c>
      <c r="D40" s="40">
        <f>TRUNC(33996,-1)</f>
        <v>33990</v>
      </c>
      <c r="E40" s="62">
        <f t="shared" ref="E40:E59" si="1">TRUNC(+D40*3.3058,-1)</f>
        <v>112360</v>
      </c>
    </row>
    <row r="41" spans="1:7" x14ac:dyDescent="0.3">
      <c r="A41" s="2">
        <v>2</v>
      </c>
      <c r="C41" s="38" t="s">
        <v>13</v>
      </c>
      <c r="D41" s="42">
        <f>TRUNC(103819,-1)</f>
        <v>103810</v>
      </c>
      <c r="E41" s="63">
        <f t="shared" si="1"/>
        <v>343170</v>
      </c>
    </row>
    <row r="42" spans="1:7" x14ac:dyDescent="0.3">
      <c r="A42" s="2">
        <v>3</v>
      </c>
      <c r="C42" s="38" t="s">
        <v>14</v>
      </c>
      <c r="D42" s="42">
        <f>TRUNC(1576,-1)</f>
        <v>1570</v>
      </c>
      <c r="E42" s="63">
        <f t="shared" si="1"/>
        <v>5190</v>
      </c>
    </row>
    <row r="43" spans="1:7" x14ac:dyDescent="0.3">
      <c r="A43" s="2">
        <v>4</v>
      </c>
      <c r="C43" s="38" t="s">
        <v>16</v>
      </c>
      <c r="D43" s="42">
        <f>TRUNC(29072,-1)</f>
        <v>29070</v>
      </c>
      <c r="E43" s="63">
        <f t="shared" si="1"/>
        <v>96090</v>
      </c>
    </row>
    <row r="44" spans="1:7" x14ac:dyDescent="0.3">
      <c r="A44" s="2">
        <v>5</v>
      </c>
      <c r="C44" s="38" t="s">
        <v>17</v>
      </c>
      <c r="D44" s="42">
        <f>TRUNC(21917,-1)</f>
        <v>21910</v>
      </c>
      <c r="E44" s="63">
        <f t="shared" si="1"/>
        <v>72430</v>
      </c>
    </row>
    <row r="45" spans="1:7" x14ac:dyDescent="0.3">
      <c r="A45" s="2">
        <v>6</v>
      </c>
      <c r="C45" s="38" t="s">
        <v>18</v>
      </c>
      <c r="D45" s="42">
        <f>TRUNC(10674,-1)</f>
        <v>10670</v>
      </c>
      <c r="E45" s="63">
        <f t="shared" si="1"/>
        <v>35270</v>
      </c>
    </row>
    <row r="46" spans="1:7" x14ac:dyDescent="0.3">
      <c r="A46" s="2">
        <v>7</v>
      </c>
      <c r="C46" s="38" t="s">
        <v>19</v>
      </c>
      <c r="D46" s="42">
        <f>TRUNC(35049,-1)</f>
        <v>35040</v>
      </c>
      <c r="E46" s="63">
        <f t="shared" si="1"/>
        <v>115830</v>
      </c>
    </row>
    <row r="47" spans="1:7" x14ac:dyDescent="0.3">
      <c r="A47" s="2">
        <v>8</v>
      </c>
      <c r="C47" s="38" t="s">
        <v>20</v>
      </c>
      <c r="D47" s="42">
        <f>TRUNC(5685,-1)</f>
        <v>5680</v>
      </c>
      <c r="E47" s="63">
        <f t="shared" si="1"/>
        <v>18770</v>
      </c>
    </row>
    <row r="48" spans="1:7" x14ac:dyDescent="0.3">
      <c r="A48" s="2">
        <v>9</v>
      </c>
      <c r="C48" s="38" t="s">
        <v>21</v>
      </c>
      <c r="D48" s="42">
        <f>TRUNC(98505,-1)</f>
        <v>98500</v>
      </c>
      <c r="E48" s="63">
        <f t="shared" si="1"/>
        <v>325620</v>
      </c>
    </row>
    <row r="49" spans="1:7" x14ac:dyDescent="0.3">
      <c r="A49" s="2">
        <v>10</v>
      </c>
      <c r="C49" s="38" t="s">
        <v>22</v>
      </c>
      <c r="D49" s="42">
        <f>TRUNC(21799,-1)</f>
        <v>21790</v>
      </c>
      <c r="E49" s="63">
        <f t="shared" si="1"/>
        <v>72030</v>
      </c>
    </row>
    <row r="50" spans="1:7" x14ac:dyDescent="0.3">
      <c r="A50" s="2">
        <v>11</v>
      </c>
      <c r="C50" s="38" t="s">
        <v>155</v>
      </c>
      <c r="D50" s="42">
        <f>TRUNC(41176,-1)</f>
        <v>41170</v>
      </c>
      <c r="E50" s="63">
        <f t="shared" si="1"/>
        <v>136090</v>
      </c>
    </row>
    <row r="51" spans="1:7" x14ac:dyDescent="0.3">
      <c r="A51" s="2">
        <v>12</v>
      </c>
      <c r="C51" s="38" t="s">
        <v>23</v>
      </c>
      <c r="D51" s="42">
        <f>TRUNC(17405,-1)</f>
        <v>17400</v>
      </c>
      <c r="E51" s="63">
        <f t="shared" si="1"/>
        <v>57520</v>
      </c>
    </row>
    <row r="52" spans="1:7" x14ac:dyDescent="0.3">
      <c r="A52" s="2">
        <v>13</v>
      </c>
      <c r="C52" s="38" t="s">
        <v>24</v>
      </c>
      <c r="D52" s="42">
        <f>TRUNC(11429,-1)</f>
        <v>11420</v>
      </c>
      <c r="E52" s="63">
        <f t="shared" si="1"/>
        <v>37750</v>
      </c>
    </row>
    <row r="53" spans="1:7" x14ac:dyDescent="0.3">
      <c r="A53" s="2">
        <v>14</v>
      </c>
      <c r="C53" s="38" t="s">
        <v>25</v>
      </c>
      <c r="D53" s="42">
        <f>TRUNC(80403,-1)</f>
        <v>80400</v>
      </c>
      <c r="E53" s="63">
        <f t="shared" si="1"/>
        <v>265780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TRUNC(2038,-1)</f>
        <v>2030</v>
      </c>
      <c r="E55" s="63">
        <f t="shared" si="1"/>
        <v>6710</v>
      </c>
      <c r="F55" s="2" t="s">
        <v>251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TRUNC(103+4917+4767-1086+1256,-1)</f>
        <v>9950</v>
      </c>
      <c r="E58" s="63">
        <f t="shared" si="1"/>
        <v>32890</v>
      </c>
      <c r="F58" s="2" t="s">
        <v>252</v>
      </c>
    </row>
    <row r="59" spans="1:7" ht="17.25" thickBot="1" x14ac:dyDescent="0.35">
      <c r="A59" s="2">
        <v>20</v>
      </c>
      <c r="C59" s="38" t="s">
        <v>148</v>
      </c>
      <c r="D59" s="43">
        <f>TRUNC(272747,-1)</f>
        <v>272740</v>
      </c>
      <c r="E59" s="64">
        <f t="shared" si="1"/>
        <v>901620</v>
      </c>
    </row>
    <row r="60" spans="1:7" x14ac:dyDescent="0.3">
      <c r="A60" s="2">
        <v>21</v>
      </c>
      <c r="C60" s="27" t="s">
        <v>112</v>
      </c>
      <c r="D60" s="39">
        <f>SUM(D40:D59)</f>
        <v>797140</v>
      </c>
      <c r="E60" s="39">
        <f>SUM(E40:E59)</f>
        <v>2635120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TRUNC(6088,-1)</f>
        <v>6080</v>
      </c>
      <c r="E69" s="62">
        <f t="shared" ref="E69:E94" si="2">TRUNC(+D69*3.3058,-1)</f>
        <v>20090</v>
      </c>
    </row>
    <row r="70" spans="1:7" ht="16.5" customHeight="1" x14ac:dyDescent="0.3">
      <c r="A70" s="2">
        <v>2</v>
      </c>
      <c r="C70" s="38" t="s">
        <v>31</v>
      </c>
      <c r="D70" s="42">
        <f>TRUNC(693,-1)</f>
        <v>690</v>
      </c>
      <c r="E70" s="63">
        <f t="shared" si="2"/>
        <v>2280</v>
      </c>
    </row>
    <row r="71" spans="1:7" x14ac:dyDescent="0.3">
      <c r="A71" s="2">
        <v>3</v>
      </c>
      <c r="C71" s="38" t="s">
        <v>32</v>
      </c>
      <c r="D71" s="42">
        <f>TRUNC(9621,-1)</f>
        <v>9620</v>
      </c>
      <c r="E71" s="63">
        <f t="shared" si="2"/>
        <v>31800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TRUNC(7130,-1)</f>
        <v>7130</v>
      </c>
      <c r="E73" s="63">
        <f t="shared" si="2"/>
        <v>23570</v>
      </c>
    </row>
    <row r="74" spans="1:7" x14ac:dyDescent="0.3">
      <c r="A74" s="2">
        <v>6</v>
      </c>
      <c r="C74" s="38" t="s">
        <v>176</v>
      </c>
      <c r="D74" s="42">
        <f>TRUNC(2050,-1)</f>
        <v>2050</v>
      </c>
      <c r="E74" s="63">
        <f t="shared" si="2"/>
        <v>6770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TRUNC(23359,-1)</f>
        <v>23350</v>
      </c>
      <c r="E76" s="63">
        <f t="shared" si="2"/>
        <v>77190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f>TRUNC(4374,-1)</f>
        <v>4370</v>
      </c>
      <c r="E79" s="63">
        <f t="shared" si="2"/>
        <v>14440</v>
      </c>
      <c r="F79" s="2" t="s">
        <v>265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f>TRUNC(7749,-1)</f>
        <v>7740</v>
      </c>
      <c r="E81" s="63">
        <f t="shared" si="2"/>
        <v>25580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TRUNC(7491,-1)</f>
        <v>7490</v>
      </c>
      <c r="E89" s="63">
        <f t="shared" si="2"/>
        <v>24760</v>
      </c>
      <c r="F89" s="2" t="s">
        <v>255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TRUNC(8865,-1)</f>
        <v>8860</v>
      </c>
      <c r="E92" s="63">
        <f t="shared" si="2"/>
        <v>29280</v>
      </c>
    </row>
    <row r="93" spans="1:7" x14ac:dyDescent="0.3">
      <c r="A93" s="2">
        <v>25</v>
      </c>
      <c r="C93" s="38" t="s">
        <v>148</v>
      </c>
      <c r="D93" s="42">
        <f>TRUNC(107392,-1)</f>
        <v>107390</v>
      </c>
      <c r="E93" s="63">
        <f t="shared" si="2"/>
        <v>355000</v>
      </c>
    </row>
    <row r="94" spans="1:7" ht="17.25" thickBot="1" x14ac:dyDescent="0.35">
      <c r="A94" s="2">
        <v>26</v>
      </c>
      <c r="C94" s="38" t="s">
        <v>47</v>
      </c>
      <c r="D94" s="43">
        <f>TRUNC(95+17745,-1)</f>
        <v>17840</v>
      </c>
      <c r="E94" s="64">
        <f t="shared" si="2"/>
        <v>58970</v>
      </c>
      <c r="F94" s="2" t="s">
        <v>266</v>
      </c>
    </row>
    <row r="95" spans="1:7" x14ac:dyDescent="0.3">
      <c r="A95" s="2">
        <v>27</v>
      </c>
      <c r="C95" s="27" t="s">
        <v>112</v>
      </c>
      <c r="D95" s="39">
        <f>SUM(D69:D94)</f>
        <v>202610</v>
      </c>
      <c r="E95" s="39">
        <f>SUM(E69:E94)</f>
        <v>669730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TRUNC(19194,-1)</f>
        <v>19190</v>
      </c>
      <c r="E98" s="62">
        <f t="shared" ref="E98:E118" si="3">TRUNC(+D98*3.3058,-1)</f>
        <v>63430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41</v>
      </c>
      <c r="D100" s="42">
        <f>TRUNC(23137,-1)</f>
        <v>23130</v>
      </c>
      <c r="E100" s="63">
        <f t="shared" si="3"/>
        <v>76460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TRUNC(16029,-1)</f>
        <v>16020</v>
      </c>
      <c r="E102" s="63">
        <f t="shared" si="3"/>
        <v>52950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TRUNC(3174,-1)</f>
        <v>3170</v>
      </c>
      <c r="E104" s="63">
        <f t="shared" si="3"/>
        <v>10470</v>
      </c>
      <c r="F104" s="2" t="s">
        <v>259</v>
      </c>
    </row>
    <row r="105" spans="1:7" x14ac:dyDescent="0.3">
      <c r="A105" s="2">
        <v>8</v>
      </c>
      <c r="C105" s="38" t="s">
        <v>46</v>
      </c>
      <c r="D105" s="42">
        <f>TRUNC(1755,-1)</f>
        <v>1750</v>
      </c>
      <c r="E105" s="63">
        <f t="shared" si="3"/>
        <v>5780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TRUNC(5956,-1)</f>
        <v>5950</v>
      </c>
      <c r="E108" s="63">
        <f t="shared" si="3"/>
        <v>19660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TRUNC(11982,-1)</f>
        <v>11980</v>
      </c>
      <c r="E114" s="63">
        <f t="shared" si="3"/>
        <v>39600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TRUNC(66160,-1)</f>
        <v>66160</v>
      </c>
      <c r="E117" s="63">
        <f t="shared" si="3"/>
        <v>218710</v>
      </c>
    </row>
    <row r="118" spans="1:7" ht="17.25" thickBot="1" x14ac:dyDescent="0.35">
      <c r="A118" s="2">
        <v>21</v>
      </c>
      <c r="C118" s="38" t="s">
        <v>47</v>
      </c>
      <c r="D118" s="43">
        <f>TRUNC(2489,-1)</f>
        <v>2480</v>
      </c>
      <c r="E118" s="64">
        <f t="shared" si="3"/>
        <v>8190</v>
      </c>
      <c r="F118" s="2" t="s">
        <v>260</v>
      </c>
    </row>
    <row r="119" spans="1:7" x14ac:dyDescent="0.3">
      <c r="A119" s="2">
        <v>22</v>
      </c>
      <c r="C119" s="27" t="s">
        <v>112</v>
      </c>
      <c r="D119" s="39">
        <f>SUM(D98:D118)</f>
        <v>149830</v>
      </c>
      <c r="E119" s="39">
        <f>SUM(E98:E118)</f>
        <v>495250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TRUNC(3338,-1)</f>
        <v>3330</v>
      </c>
      <c r="E122" s="62">
        <f t="shared" ref="E122:E132" si="4">TRUNC(+D122*3.3058,-1)</f>
        <v>11000</v>
      </c>
      <c r="F122" s="2" t="s">
        <v>263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TRUNC(2793,-1)</f>
        <v>2790</v>
      </c>
      <c r="E124" s="63">
        <f t="shared" si="4"/>
        <v>9220</v>
      </c>
    </row>
    <row r="125" spans="1:7" x14ac:dyDescent="0.3">
      <c r="A125" s="2">
        <v>4</v>
      </c>
      <c r="C125" s="38" t="s">
        <v>138</v>
      </c>
      <c r="D125" s="42">
        <f>TRUNC(7500,-1)</f>
        <v>7500</v>
      </c>
      <c r="E125" s="63">
        <f t="shared" si="4"/>
        <v>24790</v>
      </c>
    </row>
    <row r="126" spans="1:7" x14ac:dyDescent="0.3">
      <c r="A126" s="2">
        <v>5</v>
      </c>
      <c r="C126" s="38" t="s">
        <v>53</v>
      </c>
      <c r="D126" s="42">
        <f>TRUNC(2915,-1)</f>
        <v>2910</v>
      </c>
      <c r="E126" s="63">
        <f t="shared" si="4"/>
        <v>9610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TRUNC(3367,-1)</f>
        <v>3360</v>
      </c>
      <c r="E128" s="63">
        <f t="shared" si="4"/>
        <v>11100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TRUNC(17114,-1)</f>
        <v>17110</v>
      </c>
      <c r="E130" s="63">
        <f t="shared" si="4"/>
        <v>56560</v>
      </c>
    </row>
    <row r="131" spans="1:7" x14ac:dyDescent="0.3">
      <c r="A131" s="2">
        <v>10</v>
      </c>
      <c r="C131" s="38" t="s">
        <v>148</v>
      </c>
      <c r="D131" s="42">
        <f>TRUNC(81113,-1)</f>
        <v>81110</v>
      </c>
      <c r="E131" s="63">
        <f t="shared" si="4"/>
        <v>268130</v>
      </c>
    </row>
    <row r="132" spans="1:7" ht="18" thickBot="1" x14ac:dyDescent="0.35">
      <c r="A132" s="2">
        <v>11</v>
      </c>
      <c r="C132" s="38" t="s">
        <v>47</v>
      </c>
      <c r="D132" s="43">
        <f>TRUNC(7148,-1)</f>
        <v>7140</v>
      </c>
      <c r="E132" s="64">
        <f t="shared" si="4"/>
        <v>23600</v>
      </c>
      <c r="F132" s="54" t="s">
        <v>264</v>
      </c>
    </row>
    <row r="133" spans="1:7" x14ac:dyDescent="0.3">
      <c r="A133" s="2">
        <v>12</v>
      </c>
      <c r="C133" s="27" t="s">
        <v>112</v>
      </c>
      <c r="D133" s="39">
        <f>SUM(D122:D132)</f>
        <v>125250</v>
      </c>
      <c r="E133" s="39">
        <f>SUM(E122:E132)</f>
        <v>414010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TRUNC(3972,-1)</f>
        <v>3970</v>
      </c>
      <c r="E137" s="63">
        <f t="shared" si="5"/>
        <v>13120</v>
      </c>
      <c r="F137" s="2" t="s">
        <v>257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TRUNC(1909,-1)</f>
        <v>1900</v>
      </c>
      <c r="E140" s="63">
        <f t="shared" si="5"/>
        <v>6280</v>
      </c>
      <c r="F140" s="2" t="s">
        <v>256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TRUNC(5676,-1)</f>
        <v>5670</v>
      </c>
      <c r="E142" s="63">
        <f t="shared" si="5"/>
        <v>18740</v>
      </c>
      <c r="F142" s="2" t="s">
        <v>258</v>
      </c>
    </row>
    <row r="143" spans="1:7" x14ac:dyDescent="0.3">
      <c r="A143" s="2">
        <v>8</v>
      </c>
      <c r="C143" s="38" t="s">
        <v>62</v>
      </c>
      <c r="D143" s="42">
        <f>TRUNC(11267,-1)</f>
        <v>11260</v>
      </c>
      <c r="E143" s="63">
        <f t="shared" si="5"/>
        <v>37220</v>
      </c>
      <c r="F143" s="2" t="s">
        <v>261</v>
      </c>
    </row>
    <row r="144" spans="1:7" x14ac:dyDescent="0.3">
      <c r="A144" s="2">
        <v>9</v>
      </c>
      <c r="C144" s="38" t="s">
        <v>63</v>
      </c>
      <c r="D144" s="42">
        <f>TRUNC(14235,-1)</f>
        <v>14230</v>
      </c>
      <c r="E144" s="63">
        <f t="shared" si="5"/>
        <v>47040</v>
      </c>
      <c r="F144" s="2" t="s">
        <v>262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37030</v>
      </c>
      <c r="E146" s="39">
        <f>SUM(E136:E145)</f>
        <v>122400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TRUNC(92850,-1)</f>
        <v>92850</v>
      </c>
      <c r="E152" s="63">
        <f>TRUNC(+D152*3.3058,-1)</f>
        <v>306940</v>
      </c>
      <c r="F152" s="2" t="s">
        <v>253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92850</v>
      </c>
      <c r="E154" s="39">
        <f>SUM(E149:E153)</f>
        <v>306940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TRUNC(50759,-1)</f>
        <v>50750</v>
      </c>
      <c r="E159" s="63">
        <f>TRUNC(+D159*3.3058,-1)</f>
        <v>167760</v>
      </c>
      <c r="F159" s="2" t="s">
        <v>254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50750</v>
      </c>
      <c r="E161" s="39">
        <f>SUM(E157:E160)</f>
        <v>167760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2020-12-07T09:37:50Z</dcterms:modified>
</cp:coreProperties>
</file>