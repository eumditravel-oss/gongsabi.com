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1" i="4" l="1"/>
  <c r="D94" i="4"/>
  <c r="E160" i="4" l="1"/>
  <c r="E159" i="4"/>
  <c r="E158" i="4"/>
  <c r="E157" i="4"/>
  <c r="E152" i="4"/>
  <c r="E151" i="4"/>
  <c r="E150" i="4"/>
  <c r="E149" i="4"/>
  <c r="E144" i="4"/>
  <c r="E143" i="4"/>
  <c r="E142" i="4"/>
  <c r="E141" i="4"/>
  <c r="E140" i="4"/>
  <c r="E139" i="4"/>
  <c r="E138" i="4"/>
  <c r="E129" i="4"/>
  <c r="E127" i="4"/>
  <c r="E124" i="4"/>
  <c r="E123" i="4"/>
  <c r="E114" i="4"/>
  <c r="E113" i="4"/>
  <c r="E112" i="4"/>
  <c r="E111" i="4"/>
  <c r="E110" i="4"/>
  <c r="E109" i="4"/>
  <c r="E108" i="4"/>
  <c r="E107" i="4"/>
  <c r="E106" i="4"/>
  <c r="E103" i="4"/>
  <c r="E101" i="4"/>
  <c r="E94" i="4"/>
  <c r="E89" i="4"/>
  <c r="E88" i="4"/>
  <c r="E87" i="4"/>
  <c r="E86" i="4"/>
  <c r="E83" i="4"/>
  <c r="E82" i="4"/>
  <c r="E80" i="4"/>
  <c r="E79" i="4"/>
  <c r="E78" i="4"/>
  <c r="E77" i="4"/>
  <c r="E76" i="4"/>
  <c r="E73" i="4"/>
  <c r="E72" i="4"/>
  <c r="E65" i="4"/>
  <c r="E64" i="4"/>
  <c r="E59" i="4"/>
  <c r="E57" i="4"/>
  <c r="E56" i="4"/>
  <c r="E54" i="4"/>
  <c r="E37" i="4"/>
  <c r="E154" i="4" l="1"/>
  <c r="E161" i="4"/>
  <c r="D131" i="4"/>
  <c r="E131" i="4" s="1"/>
  <c r="D117" i="4"/>
  <c r="E117" i="4" s="1"/>
  <c r="D93" i="4"/>
  <c r="E93" i="4" s="1"/>
  <c r="D153" i="4"/>
  <c r="E153" i="4" s="1"/>
  <c r="D154" i="4"/>
  <c r="D161" i="4" l="1"/>
  <c r="D32" i="4" s="1"/>
  <c r="E32" i="4" s="1"/>
  <c r="D145" i="4"/>
  <c r="E145" i="4" s="1"/>
  <c r="D137" i="4"/>
  <c r="E137" i="4" s="1"/>
  <c r="D136" i="4"/>
  <c r="D132" i="4"/>
  <c r="E132" i="4" s="1"/>
  <c r="D130" i="4"/>
  <c r="E130" i="4" s="1"/>
  <c r="D128" i="4"/>
  <c r="E128" i="4" s="1"/>
  <c r="D126" i="4"/>
  <c r="E126" i="4" s="1"/>
  <c r="D125" i="4"/>
  <c r="E125" i="4" s="1"/>
  <c r="D122" i="4"/>
  <c r="D118" i="4"/>
  <c r="E118" i="4" s="1"/>
  <c r="D116" i="4"/>
  <c r="E116" i="4" s="1"/>
  <c r="D115" i="4"/>
  <c r="E115" i="4" s="1"/>
  <c r="D105" i="4"/>
  <c r="E105" i="4" s="1"/>
  <c r="D104" i="4"/>
  <c r="E104" i="4" s="1"/>
  <c r="D102" i="4"/>
  <c r="E102" i="4" s="1"/>
  <c r="D100" i="4"/>
  <c r="E100" i="4" s="1"/>
  <c r="D99" i="4"/>
  <c r="D98" i="4"/>
  <c r="E98" i="4" s="1"/>
  <c r="D92" i="4"/>
  <c r="E92" i="4" s="1"/>
  <c r="D91" i="4"/>
  <c r="E91" i="4" s="1"/>
  <c r="D90" i="4"/>
  <c r="E90" i="4" s="1"/>
  <c r="D85" i="4"/>
  <c r="E85" i="4" s="1"/>
  <c r="D84" i="4"/>
  <c r="E84" i="4" s="1"/>
  <c r="D81" i="4"/>
  <c r="E81" i="4" s="1"/>
  <c r="D75" i="4"/>
  <c r="E75" i="4" s="1"/>
  <c r="D74" i="4"/>
  <c r="E74" i="4" s="1"/>
  <c r="D71" i="4"/>
  <c r="E71" i="4" s="1"/>
  <c r="D70" i="4"/>
  <c r="E70" i="4" s="1"/>
  <c r="D69" i="4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1" i="4"/>
  <c r="E31" i="4" s="1"/>
  <c r="D24" i="4"/>
  <c r="E24" i="4" s="1"/>
  <c r="D7" i="4"/>
  <c r="D146" i="4" l="1"/>
  <c r="D30" i="4" s="1"/>
  <c r="E30" i="4" s="1"/>
  <c r="E136" i="4"/>
  <c r="E146" i="4" s="1"/>
  <c r="D60" i="4"/>
  <c r="D25" i="4" s="1"/>
  <c r="E25" i="4" s="1"/>
  <c r="E40" i="4"/>
  <c r="E60" i="4" s="1"/>
  <c r="D66" i="4"/>
  <c r="D26" i="4" s="1"/>
  <c r="E26" i="4" s="1"/>
  <c r="E63" i="4"/>
  <c r="E66" i="4" s="1"/>
  <c r="D95" i="4"/>
  <c r="D27" i="4" s="1"/>
  <c r="E27" i="4" s="1"/>
  <c r="E69" i="4"/>
  <c r="E95" i="4" s="1"/>
  <c r="D119" i="4"/>
  <c r="D28" i="4" s="1"/>
  <c r="E28" i="4" s="1"/>
  <c r="E99" i="4"/>
  <c r="E119" i="4" s="1"/>
  <c r="D133" i="4"/>
  <c r="D29" i="4" s="1"/>
  <c r="E29" i="4" s="1"/>
  <c r="E122" i="4"/>
  <c r="E133" i="4" s="1"/>
  <c r="D33" i="4" l="1"/>
  <c r="D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3" i="4" l="1"/>
  <c r="E34" i="4" s="1"/>
</calcChain>
</file>

<file path=xl/sharedStrings.xml><?xml version="1.0" encoding="utf-8"?>
<sst xmlns="http://schemas.openxmlformats.org/spreadsheetml/2006/main" count="398" uniqueCount="272">
  <si>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</si>
  <si>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</si>
  <si>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</si>
  <si>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</si>
  <si>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</si>
  <si>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</si>
  <si>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</si>
  <si>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</si>
  <si>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</si>
  <si>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</si>
  <si>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</si>
  <si>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</si>
  <si>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</si>
  <si>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</si>
  <si>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</si>
  <si>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</si>
  <si>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</si>
  <si>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</si>
  <si>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</si>
  <si>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</si>
  <si>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</si>
  <si>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</si>
  <si>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</si>
  <si>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</si>
  <si>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</si>
  <si>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</si>
  <si>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</si>
  <si>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</si>
  <si>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</si>
  <si>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</si>
  <si>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</si>
  <si>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</si>
  <si>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</si>
  <si>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</si>
  <si>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</si>
  <si>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</si>
  <si>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</si>
  <si>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</si>
  <si>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</si>
  <si>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</si>
  <si>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</si>
  <si>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</si>
  <si>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</si>
  <si>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</si>
  <si>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</si>
  <si>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</si>
  <si>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</si>
  <si>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</si>
  <si>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</si>
  <si>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</si>
  <si>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</si>
  <si>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</si>
  <si>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</si>
  <si>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</si>
  <si>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</si>
  <si>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</si>
  <si>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</si>
  <si>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</si>
  <si>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</si>
  <si>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</si>
  <si>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</si>
  <si>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</si>
  <si>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</si>
  <si>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</si>
  <si>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</si>
  <si>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</si>
  <si>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</si>
  <si>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</si>
  <si>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</si>
  <si>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</si>
  <si>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</si>
  <si>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</si>
  <si>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</si>
  <si>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</si>
  <si>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</si>
  <si>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</si>
  <si>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</si>
  <si>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</si>
  <si>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</si>
  <si>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</si>
  <si>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</si>
  <si>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</si>
  <si>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</si>
  <si>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</si>
  <si>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</si>
  <si>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</si>
  <si>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</si>
  <si>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</si>
  <si>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</si>
  <si>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</si>
  <si>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</si>
  <si>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</si>
  <si>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</si>
  <si>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</si>
  <si>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</si>
  <si>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</si>
  <si>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</si>
  <si>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</si>
  <si>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</si>
  <si>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</si>
  <si>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</si>
  <si>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</si>
  <si>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</si>
  <si>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</si>
  <si>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</si>
  <si>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</si>
  <si>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</si>
  <si>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</si>
  <si>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</si>
  <si>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</si>
  <si>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</si>
  <si>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</si>
  <si>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</si>
  <si>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</si>
  <si>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</si>
  <si>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</si>
  <si>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</si>
  <si>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</si>
  <si>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</si>
  <si>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</si>
  <si>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</si>
  <si>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</si>
  <si>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</si>
  <si>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</si>
  <si>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</si>
  <si>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</si>
  <si>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</si>
  <si>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</si>
  <si>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</si>
  <si>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</si>
  <si>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</si>
  <si>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</si>
  <si>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</si>
  <si>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</si>
  <si>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</si>
  <si>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</si>
  <si>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</si>
  <si>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</si>
  <si>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</si>
  <si>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</si>
  <si>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</si>
  <si>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</si>
  <si>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</si>
  <si>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</si>
  <si>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</si>
  <si>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</si>
  <si>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</si>
  <si>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</si>
  <si>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</si>
  <si>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</si>
  <si>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</si>
  <si>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</si>
  <si>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</si>
  <si>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</si>
  <si>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</si>
  <si>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</si>
  <si>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</si>
  <si>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</si>
  <si>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</si>
  <si>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</si>
  <si>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</si>
  <si>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</si>
  <si>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</si>
  <si>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</si>
  <si>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</si>
  <si>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</si>
  <si>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</si>
  <si>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</si>
  <si>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</si>
  <si>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</si>
  <si>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</si>
  <si>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</si>
  <si>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</si>
  <si>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</si>
  <si>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</si>
  <si>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</si>
  <si>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</si>
  <si>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</si>
  <si>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</si>
  <si>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</si>
  <si>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</si>
  <si>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</si>
  <si>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</si>
  <si>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</si>
  <si>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</si>
  <si>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</si>
  <si>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</si>
  <si>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</si>
  <si>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</si>
  <si>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</si>
  <si>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</si>
  <si>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</si>
  <si>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</si>
  <si>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</si>
  <si>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</si>
  <si>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</si>
  <si>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</si>
  <si>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</si>
  <si>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</si>
  <si>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</si>
  <si>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</si>
  <si>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</si>
  <si>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</si>
  <si>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</si>
  <si>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</si>
  <si>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</si>
  <si>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</si>
  <si>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</si>
  <si>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</si>
  <si>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</si>
  <si>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</si>
  <si>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</si>
  <si>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</si>
  <si>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</si>
  <si>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</si>
  <si>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</si>
  <si>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</si>
  <si>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</si>
  <si>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</si>
  <si>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</si>
  <si>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</si>
  <si>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</si>
  <si>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</si>
  <si>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</si>
  <si>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</si>
  <si>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</si>
  <si>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</si>
  <si>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</si>
  <si>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</si>
  <si>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</si>
  <si>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</si>
  <si>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</si>
  <si>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</si>
  <si>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</si>
  <si>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</si>
  <si>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</si>
  <si>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</si>
  <si>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</si>
  <si>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</si>
  <si>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</si>
  <si>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</si>
  <si>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</si>
  <si>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</si>
  <si>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</si>
  <si>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</si>
  <si>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</si>
  <si>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</si>
  <si>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00초등학교 신축공사</t>
  </si>
  <si>
    <t>평</t>
    <phoneticPr fontId="2" type="noConversion"/>
  </si>
  <si>
    <t>지붕및홈통공사, 홈통 및 잡공사</t>
    <phoneticPr fontId="2" type="noConversion"/>
  </si>
  <si>
    <t>골재비및운반비, 기타공사, 기초 및 토공사, 작업부산물, 품질시험비</t>
    <phoneticPr fontId="2" type="noConversion"/>
  </si>
  <si>
    <t>난방배관공사</t>
  </si>
  <si>
    <t>위생설비공사</t>
  </si>
  <si>
    <t>전등설비공사, 체육관 전등 설비공사</t>
    <phoneticPr fontId="2" type="noConversion"/>
  </si>
  <si>
    <t>옥외인입 및 외등설비공사</t>
  </si>
  <si>
    <t>가설사무소</t>
  </si>
  <si>
    <t>CATV 설비공사</t>
  </si>
  <si>
    <t>상호식인터폰 설비공사</t>
  </si>
  <si>
    <t>전기소방</t>
    <phoneticPr fontId="2" type="noConversion"/>
  </si>
  <si>
    <t>기계 소방 관급자설치관급자재</t>
    <phoneticPr fontId="2" type="noConversion"/>
  </si>
  <si>
    <t>서울</t>
  </si>
  <si>
    <t>원/ m2</t>
    <phoneticPr fontId="2" type="noConversion"/>
  </si>
  <si>
    <t>도급자설치, 관급자설치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</si>
  <si>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</si>
  <si>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</si>
  <si>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태양열급탕시설설치사업</t>
    <phoneticPr fontId="2" type="noConversion"/>
  </si>
  <si>
    <t>운동장스프링클러설치공사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</si>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</sst>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18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10034.06</v>
      </c>
      <c r="D7" s="36">
        <f>+C7/3.3058</f>
        <v>3035.2894911972894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270</v>
      </c>
    </row>
    <row r="19" spans="1:5" x14ac:dyDescent="0.3">
      <c r="A19" s="2">
        <v>9</v>
      </c>
      <c r="B19" s="2" t="s">
        <v>271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60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380210</v>
      </c>
      <c r="E25" s="61">
        <f t="shared" si="0"/>
        <v>1256890</v>
      </c>
    </row>
    <row r="26" spans="1:5" x14ac:dyDescent="0.3">
      <c r="B26" s="2">
        <v>3</v>
      </c>
      <c r="C26" s="35" t="s">
        <v>95</v>
      </c>
      <c r="D26" s="56">
        <f>+D66</f>
        <v>54350</v>
      </c>
      <c r="E26" s="61">
        <f t="shared" si="0"/>
        <v>179670</v>
      </c>
    </row>
    <row r="27" spans="1:5" x14ac:dyDescent="0.3">
      <c r="B27" s="2">
        <v>4</v>
      </c>
      <c r="C27" s="35" t="s">
        <v>96</v>
      </c>
      <c r="D27" s="56">
        <f>+D95</f>
        <v>139050</v>
      </c>
      <c r="E27" s="61">
        <f t="shared" si="0"/>
        <v>459670</v>
      </c>
    </row>
    <row r="28" spans="1:5" x14ac:dyDescent="0.3">
      <c r="B28" s="2">
        <v>5</v>
      </c>
      <c r="C28" s="35" t="s">
        <v>97</v>
      </c>
      <c r="D28" s="56">
        <f>+D119</f>
        <v>55590</v>
      </c>
      <c r="E28" s="61">
        <f t="shared" si="0"/>
        <v>183760</v>
      </c>
    </row>
    <row r="29" spans="1:5" x14ac:dyDescent="0.3">
      <c r="B29" s="2">
        <v>6</v>
      </c>
      <c r="C29" s="35" t="s">
        <v>98</v>
      </c>
      <c r="D29" s="56">
        <f>+D133</f>
        <v>41760</v>
      </c>
      <c r="E29" s="61">
        <f t="shared" si="0"/>
        <v>138050</v>
      </c>
    </row>
    <row r="30" spans="1:5" x14ac:dyDescent="0.3">
      <c r="B30" s="2">
        <v>7</v>
      </c>
      <c r="C30" s="35" t="s">
        <v>99</v>
      </c>
      <c r="D30" s="56">
        <f>+D146</f>
        <v>107820</v>
      </c>
      <c r="E30" s="61">
        <f t="shared" si="0"/>
        <v>356430</v>
      </c>
    </row>
    <row r="31" spans="1:5" x14ac:dyDescent="0.3">
      <c r="B31" s="2">
        <v>8</v>
      </c>
      <c r="C31" s="35" t="s">
        <v>100</v>
      </c>
      <c r="D31" s="56">
        <f>+D154</f>
        <v>105380</v>
      </c>
      <c r="E31" s="61">
        <f t="shared" si="0"/>
        <v>348360</v>
      </c>
    </row>
    <row r="32" spans="1:5" x14ac:dyDescent="0.3">
      <c r="B32" s="2">
        <v>9</v>
      </c>
      <c r="C32" s="35" t="s">
        <v>101</v>
      </c>
      <c r="D32" s="56">
        <f>+D161</f>
        <v>0</v>
      </c>
      <c r="E32" s="61">
        <f t="shared" si="0"/>
        <v>0</v>
      </c>
    </row>
    <row r="33" spans="1:7" x14ac:dyDescent="0.3">
      <c r="B33" s="2">
        <v>10</v>
      </c>
      <c r="C33" s="35" t="s">
        <v>154</v>
      </c>
      <c r="D33" s="57">
        <f>TRUNC(SUM(D24:D32)*0.275,-1)</f>
        <v>243140</v>
      </c>
      <c r="E33" s="62">
        <f t="shared" si="0"/>
        <v>803770</v>
      </c>
    </row>
    <row r="34" spans="1:7" x14ac:dyDescent="0.3">
      <c r="C34" s="35" t="s">
        <v>112</v>
      </c>
      <c r="D34" s="44">
        <f>SUM(D24:D33)</f>
        <v>1127300</v>
      </c>
      <c r="E34" s="44">
        <f>SUM(E24:E33)</f>
        <v>3726600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236</v>
      </c>
      <c r="D36" s="55" t="s">
        <v>261</v>
      </c>
      <c r="E36" s="55" t="s">
        <v>153</v>
      </c>
      <c r="F36" s="53"/>
      <c r="G36" s="53"/>
    </row>
    <row r="37" spans="1:7" ht="17.25" thickBot="1" x14ac:dyDescent="0.35">
      <c r="C37" s="38" t="s">
        <v>143</v>
      </c>
      <c r="D37" s="52">
        <v>0</v>
      </c>
      <c r="E37" s="63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240</v>
      </c>
      <c r="D39" s="68" t="s">
        <v>267</v>
      </c>
      <c r="E39" s="68" t="s">
        <v>268</v>
      </c>
      <c r="G39" s="69"/>
    </row>
    <row r="40" spans="1:7" x14ac:dyDescent="0.3">
      <c r="A40" s="2">
        <v>1</v>
      </c>
      <c r="C40" s="38" t="s">
        <v>15</v>
      </c>
      <c r="D40" s="40">
        <f>TRUNC(39913.4419168313,-1)</f>
        <v>39910</v>
      </c>
      <c r="E40" s="64">
        <f t="shared" ref="E40:E59" si="1">TRUNC(+D40*3.3058,-1)</f>
        <v>131930</v>
      </c>
    </row>
    <row r="41" spans="1:7" x14ac:dyDescent="0.3">
      <c r="A41" s="2">
        <v>2</v>
      </c>
      <c r="C41" s="38" t="s">
        <v>13</v>
      </c>
      <c r="D41" s="42">
        <f>TRUNC(76998.863172036,-1)</f>
        <v>76990</v>
      </c>
      <c r="E41" s="65">
        <f t="shared" si="1"/>
        <v>254510</v>
      </c>
    </row>
    <row r="42" spans="1:7" x14ac:dyDescent="0.3">
      <c r="A42" s="2">
        <v>3</v>
      </c>
      <c r="C42" s="38" t="s">
        <v>14</v>
      </c>
      <c r="D42" s="42">
        <f>TRUNC(7832.3932685274,-1)</f>
        <v>7830</v>
      </c>
      <c r="E42" s="65">
        <f t="shared" si="1"/>
        <v>25880</v>
      </c>
    </row>
    <row r="43" spans="1:7" x14ac:dyDescent="0.3">
      <c r="A43" s="2">
        <v>4</v>
      </c>
      <c r="C43" s="38" t="s">
        <v>16</v>
      </c>
      <c r="D43" s="42">
        <f>TRUNC(29777.9006703169,-1)</f>
        <v>29770</v>
      </c>
      <c r="E43" s="65">
        <f t="shared" si="1"/>
        <v>98410</v>
      </c>
    </row>
    <row r="44" spans="1:7" x14ac:dyDescent="0.3">
      <c r="A44" s="2">
        <v>5</v>
      </c>
      <c r="C44" s="38" t="s">
        <v>17</v>
      </c>
      <c r="D44" s="42">
        <f>TRUNC(13073.6707773324,-1)</f>
        <v>13070</v>
      </c>
      <c r="E44" s="65">
        <f t="shared" si="1"/>
        <v>43200</v>
      </c>
    </row>
    <row r="45" spans="1:7" x14ac:dyDescent="0.3">
      <c r="A45" s="2">
        <v>6</v>
      </c>
      <c r="C45" s="38" t="s">
        <v>18</v>
      </c>
      <c r="D45" s="42">
        <f>TRUNC(7828.18629747081,-1)</f>
        <v>7820</v>
      </c>
      <c r="E45" s="65">
        <f t="shared" si="1"/>
        <v>25850</v>
      </c>
    </row>
    <row r="46" spans="1:7" x14ac:dyDescent="0.3">
      <c r="A46" s="2">
        <v>7</v>
      </c>
      <c r="C46" s="38" t="s">
        <v>19</v>
      </c>
      <c r="D46" s="42">
        <f>TRUNC(16975.5532655774,-1)</f>
        <v>16970</v>
      </c>
      <c r="E46" s="65">
        <f t="shared" si="1"/>
        <v>56090</v>
      </c>
    </row>
    <row r="47" spans="1:7" x14ac:dyDescent="0.3">
      <c r="A47" s="2">
        <v>8</v>
      </c>
      <c r="C47" s="38" t="s">
        <v>20</v>
      </c>
      <c r="D47" s="42">
        <f>TRUNC(16879.6500120589,-1)</f>
        <v>16870</v>
      </c>
      <c r="E47" s="65">
        <f t="shared" si="1"/>
        <v>55760</v>
      </c>
    </row>
    <row r="48" spans="1:7" x14ac:dyDescent="0.3">
      <c r="A48" s="2">
        <v>9</v>
      </c>
      <c r="C48" s="38" t="s">
        <v>21</v>
      </c>
      <c r="D48" s="42">
        <f>TRUNC(42006.455811506,-1)</f>
        <v>42000</v>
      </c>
      <c r="E48" s="65">
        <f t="shared" si="1"/>
        <v>138840</v>
      </c>
    </row>
    <row r="49" spans="1:7" x14ac:dyDescent="0.3">
      <c r="A49" s="2">
        <v>10</v>
      </c>
      <c r="C49" s="38" t="s">
        <v>22</v>
      </c>
      <c r="D49" s="42">
        <f>TRUNC(17446.1807085068,-1)</f>
        <v>17440</v>
      </c>
      <c r="E49" s="65">
        <f t="shared" si="1"/>
        <v>57650</v>
      </c>
    </row>
    <row r="50" spans="1:7" x14ac:dyDescent="0.3">
      <c r="A50" s="2">
        <v>11</v>
      </c>
      <c r="C50" s="38" t="s">
        <v>155</v>
      </c>
      <c r="D50" s="42">
        <f>TRUNC(17757.4945734827,-1)</f>
        <v>17750</v>
      </c>
      <c r="E50" s="65">
        <f t="shared" si="1"/>
        <v>58670</v>
      </c>
    </row>
    <row r="51" spans="1:7" x14ac:dyDescent="0.3">
      <c r="A51" s="2">
        <v>12</v>
      </c>
      <c r="C51" s="38" t="s">
        <v>23</v>
      </c>
      <c r="D51" s="42">
        <f>TRUNC(5813.44052158349,-1)</f>
        <v>5810</v>
      </c>
      <c r="E51" s="65">
        <f t="shared" si="1"/>
        <v>19200</v>
      </c>
    </row>
    <row r="52" spans="1:7" x14ac:dyDescent="0.3">
      <c r="A52" s="2">
        <v>13</v>
      </c>
      <c r="C52" s="38" t="s">
        <v>24</v>
      </c>
      <c r="D52" s="42">
        <f>TRUNC(15167.1916452563,-1)</f>
        <v>15160</v>
      </c>
      <c r="E52" s="65">
        <f t="shared" si="1"/>
        <v>50110</v>
      </c>
    </row>
    <row r="53" spans="1:7" x14ac:dyDescent="0.3">
      <c r="A53" s="2">
        <v>14</v>
      </c>
      <c r="C53" s="38" t="s">
        <v>25</v>
      </c>
      <c r="D53" s="42">
        <f>TRUNC(24601.9165721552,-1)</f>
        <v>24600</v>
      </c>
      <c r="E53" s="65">
        <f t="shared" si="1"/>
        <v>81320</v>
      </c>
    </row>
    <row r="54" spans="1:7" x14ac:dyDescent="0.3">
      <c r="A54" s="2">
        <v>15</v>
      </c>
      <c r="C54" s="38" t="s">
        <v>147</v>
      </c>
      <c r="D54" s="42">
        <v>0</v>
      </c>
      <c r="E54" s="65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TRUNC(22.332236402812+11116.0920903403,-1)</f>
        <v>11130</v>
      </c>
      <c r="E55" s="65">
        <f t="shared" si="1"/>
        <v>36790</v>
      </c>
      <c r="F55" s="2" t="s">
        <v>249</v>
      </c>
    </row>
    <row r="56" spans="1:7" x14ac:dyDescent="0.3">
      <c r="A56" s="2">
        <v>17</v>
      </c>
      <c r="C56" s="38" t="s">
        <v>145</v>
      </c>
      <c r="D56" s="42">
        <v>0</v>
      </c>
      <c r="E56" s="65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5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TRUNC(3260.17364855303+564.264116419475+33023.4633837151-446.230140142674+696.677616039769,-1)</f>
        <v>37090</v>
      </c>
      <c r="E58" s="65">
        <f t="shared" si="1"/>
        <v>122610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6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380210</v>
      </c>
      <c r="E60" s="39">
        <f>SUM(E40:E59)</f>
        <v>1256820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237</v>
      </c>
      <c r="C62" s="54" t="s">
        <v>238</v>
      </c>
      <c r="D62" s="55" t="s">
        <v>235</v>
      </c>
      <c r="E62" s="55" t="s">
        <v>153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TRUNC(54355.4609998346,-1)</f>
        <v>54350</v>
      </c>
      <c r="E63" s="64">
        <f>TRUNC(+D63*3.3058,-1)</f>
        <v>179670</v>
      </c>
    </row>
    <row r="64" spans="1:7" x14ac:dyDescent="0.3">
      <c r="A64" s="2">
        <v>2</v>
      </c>
      <c r="C64" s="38" t="s">
        <v>29</v>
      </c>
      <c r="D64" s="42">
        <v>0</v>
      </c>
      <c r="E64" s="65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6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54350</v>
      </c>
      <c r="E66" s="58">
        <f>SUM(E63:E65)</f>
        <v>179670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239</v>
      </c>
      <c r="C68" s="54" t="s">
        <v>240</v>
      </c>
      <c r="D68" s="55" t="s">
        <v>235</v>
      </c>
      <c r="E68" s="55" t="s">
        <v>153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TRUNC(14944.5931158474,-1)</f>
        <v>14940</v>
      </c>
      <c r="E69" s="64">
        <f>TRUNC(+D69*3.3058,-1)</f>
        <v>49380</v>
      </c>
    </row>
    <row r="70" spans="1:7" ht="16.5" customHeight="1" x14ac:dyDescent="0.3">
      <c r="A70" s="2">
        <v>2</v>
      </c>
      <c r="C70" s="38" t="s">
        <v>31</v>
      </c>
      <c r="D70" s="42">
        <f>TRUNC(1140.7648549042,-1)</f>
        <v>1140</v>
      </c>
      <c r="E70" s="65">
        <f>TRUNC(+D70*3.3058,-1)</f>
        <v>3760</v>
      </c>
    </row>
    <row r="71" spans="1:7" x14ac:dyDescent="0.3">
      <c r="A71" s="2">
        <v>3</v>
      </c>
      <c r="C71" s="38" t="s">
        <v>32</v>
      </c>
      <c r="D71" s="42">
        <f>TRUNC(5206.33392664584,-1)</f>
        <v>5200</v>
      </c>
      <c r="E71" s="65">
        <f t="shared" ref="E71:E73" si="2">TRUNC(+D71*3.3058,-1)</f>
        <v>17190</v>
      </c>
    </row>
    <row r="72" spans="1:7" x14ac:dyDescent="0.3">
      <c r="A72" s="2">
        <v>4</v>
      </c>
      <c r="C72" s="38" t="s">
        <v>33</v>
      </c>
      <c r="D72" s="42">
        <v>0</v>
      </c>
      <c r="E72" s="65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5">
        <f t="shared" si="2"/>
        <v>0</v>
      </c>
    </row>
    <row r="74" spans="1:7" x14ac:dyDescent="0.3">
      <c r="A74" s="2">
        <v>6</v>
      </c>
      <c r="C74" s="38" t="s">
        <v>176</v>
      </c>
      <c r="D74" s="42">
        <f>TRUNC(2927.07876971037,-1)</f>
        <v>2920</v>
      </c>
      <c r="E74" s="65">
        <f>TRUNC(+D74*3.3058,-1)</f>
        <v>9650</v>
      </c>
    </row>
    <row r="75" spans="1:7" x14ac:dyDescent="0.3">
      <c r="A75" s="2">
        <v>7</v>
      </c>
      <c r="C75" s="38" t="s">
        <v>140</v>
      </c>
      <c r="D75" s="42">
        <f>TRUNC(270.08010715503,-1)</f>
        <v>270</v>
      </c>
      <c r="E75" s="65">
        <f>TRUNC(+D75*3.3058,-1)</f>
        <v>890</v>
      </c>
    </row>
    <row r="76" spans="1:7" x14ac:dyDescent="0.3">
      <c r="A76" s="2">
        <v>8</v>
      </c>
      <c r="C76" s="38" t="s">
        <v>119</v>
      </c>
      <c r="D76" s="42">
        <v>0</v>
      </c>
      <c r="E76" s="65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5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5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5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5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TRUNC(784.993213116127,-1)</f>
        <v>780</v>
      </c>
      <c r="E81" s="65">
        <f t="shared" si="3"/>
        <v>2570</v>
      </c>
    </row>
    <row r="82" spans="1:7" x14ac:dyDescent="0.3">
      <c r="A82" s="2">
        <v>14</v>
      </c>
      <c r="C82" s="38" t="s">
        <v>134</v>
      </c>
      <c r="D82" s="42">
        <v>0</v>
      </c>
      <c r="E82" s="65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5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TRUNC(4980.60874660905,-1)</f>
        <v>4980</v>
      </c>
      <c r="E84" s="65">
        <f>TRUNC(+D84*3.3058,-1)</f>
        <v>16460</v>
      </c>
      <c r="F84" s="2" t="s">
        <v>251</v>
      </c>
    </row>
    <row r="85" spans="1:7" x14ac:dyDescent="0.3">
      <c r="A85" s="2">
        <v>17</v>
      </c>
      <c r="C85" s="38" t="s">
        <v>123</v>
      </c>
      <c r="D85" s="42">
        <f>TRUNC(1103.53027588035,-1)</f>
        <v>1100</v>
      </c>
      <c r="E85" s="65">
        <f t="shared" si="3"/>
        <v>3630</v>
      </c>
    </row>
    <row r="86" spans="1:7" x14ac:dyDescent="0.3">
      <c r="A86" s="2">
        <v>18</v>
      </c>
      <c r="C86" s="38" t="s">
        <v>141</v>
      </c>
      <c r="D86" s="42">
        <v>0</v>
      </c>
      <c r="E86" s="65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5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5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5">
        <f t="shared" si="3"/>
        <v>0</v>
      </c>
    </row>
    <row r="90" spans="1:7" x14ac:dyDescent="0.3">
      <c r="A90" s="2">
        <v>22</v>
      </c>
      <c r="C90" s="38" t="s">
        <v>36</v>
      </c>
      <c r="D90" s="42">
        <f>TRUNC(769.25810688794,-1)</f>
        <v>760</v>
      </c>
      <c r="E90" s="65">
        <f>TRUNC(+D90*3.3058,-1)</f>
        <v>2510</v>
      </c>
    </row>
    <row r="91" spans="1:7" x14ac:dyDescent="0.3">
      <c r="A91" s="2">
        <v>23</v>
      </c>
      <c r="C91" s="38" t="s">
        <v>37</v>
      </c>
      <c r="D91" s="42">
        <f>TRUNC(6403.31720161131,-1)</f>
        <v>6400</v>
      </c>
      <c r="E91" s="65">
        <f>TRUNC(+D91*3.3058,-1)</f>
        <v>21150</v>
      </c>
    </row>
    <row r="92" spans="1:7" x14ac:dyDescent="0.3">
      <c r="A92" s="2">
        <v>24</v>
      </c>
      <c r="C92" s="38" t="s">
        <v>38</v>
      </c>
      <c r="D92" s="42">
        <f>TRUNC(28675.3780623197,-1)</f>
        <v>28670</v>
      </c>
      <c r="E92" s="65">
        <f>TRUNC(+D92*3.3058,-1)</f>
        <v>94770</v>
      </c>
      <c r="F92" s="2" t="s">
        <v>252</v>
      </c>
    </row>
    <row r="93" spans="1:7" x14ac:dyDescent="0.3">
      <c r="A93" s="2">
        <v>25</v>
      </c>
      <c r="C93" s="38" t="s">
        <v>148</v>
      </c>
      <c r="D93" s="42">
        <f>TRUNC(64714.9665240192,-1)</f>
        <v>64710</v>
      </c>
      <c r="E93" s="65">
        <f>TRUNC(+D93*3.3058,-1)</f>
        <v>213910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TRUNC(7185.89942655316,-1)</f>
        <v>7180</v>
      </c>
      <c r="E94" s="66">
        <f>TRUNC(+D94*3.3058,-1)</f>
        <v>23730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139050</v>
      </c>
      <c r="E95" s="39">
        <f>SUM(E69:E94)</f>
        <v>459600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241</v>
      </c>
      <c r="C97" s="54" t="s">
        <v>240</v>
      </c>
      <c r="D97" s="55" t="s">
        <v>235</v>
      </c>
      <c r="E97" s="55" t="s">
        <v>153</v>
      </c>
      <c r="F97" s="53"/>
      <c r="G97" s="53"/>
    </row>
    <row r="98" spans="1:7" x14ac:dyDescent="0.3">
      <c r="A98" s="2">
        <v>1</v>
      </c>
      <c r="C98" s="38" t="s">
        <v>39</v>
      </c>
      <c r="D98" s="40">
        <f>TRUNC(2662.61762437139,-1)</f>
        <v>2660</v>
      </c>
      <c r="E98" s="64">
        <f t="shared" ref="E98:E118" si="4">TRUNC(+D98*3.3058,-1)</f>
        <v>8790</v>
      </c>
    </row>
    <row r="99" spans="1:7" x14ac:dyDescent="0.3">
      <c r="A99" s="2">
        <v>2</v>
      </c>
      <c r="C99" s="38" t="s">
        <v>40</v>
      </c>
      <c r="D99" s="42">
        <f>TRUNC(2713.86368030488,-1)</f>
        <v>2710</v>
      </c>
      <c r="E99" s="65">
        <f t="shared" si="4"/>
        <v>8950</v>
      </c>
    </row>
    <row r="100" spans="1:7" x14ac:dyDescent="0.3">
      <c r="A100" s="2">
        <v>3</v>
      </c>
      <c r="C100" s="38" t="s">
        <v>41</v>
      </c>
      <c r="D100" s="42">
        <f>TRUNC(8858.87477252478+2450.58739931792,-1)</f>
        <v>11300</v>
      </c>
      <c r="E100" s="65">
        <f t="shared" si="4"/>
        <v>37350</v>
      </c>
      <c r="F100" s="2" t="s">
        <v>253</v>
      </c>
    </row>
    <row r="101" spans="1:7" x14ac:dyDescent="0.3">
      <c r="A101" s="2">
        <v>4</v>
      </c>
      <c r="C101" s="38" t="s">
        <v>42</v>
      </c>
      <c r="D101" s="42">
        <v>0</v>
      </c>
      <c r="E101" s="65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TRUNC(3248.92934664533,-1)</f>
        <v>3240</v>
      </c>
      <c r="E102" s="65">
        <f t="shared" si="4"/>
        <v>10710</v>
      </c>
    </row>
    <row r="103" spans="1:7" x14ac:dyDescent="0.3">
      <c r="A103" s="2">
        <v>6</v>
      </c>
      <c r="C103" s="38" t="s">
        <v>44</v>
      </c>
      <c r="D103" s="42">
        <v>0</v>
      </c>
      <c r="E103" s="65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TRUNC(445.712303892941,-1)</f>
        <v>440</v>
      </c>
      <c r="E104" s="65">
        <f t="shared" si="4"/>
        <v>1450</v>
      </c>
    </row>
    <row r="105" spans="1:7" x14ac:dyDescent="0.3">
      <c r="A105" s="2">
        <v>8</v>
      </c>
      <c r="C105" s="38" t="s">
        <v>46</v>
      </c>
      <c r="D105" s="42">
        <f>TRUNC(1040.5346390195,-1)</f>
        <v>1040</v>
      </c>
      <c r="E105" s="65">
        <f t="shared" si="4"/>
        <v>3430</v>
      </c>
    </row>
    <row r="106" spans="1:7" x14ac:dyDescent="0.3">
      <c r="A106" s="2">
        <v>9</v>
      </c>
      <c r="C106" s="38" t="s">
        <v>135</v>
      </c>
      <c r="D106" s="42">
        <v>0</v>
      </c>
      <c r="E106" s="65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5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5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5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5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5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5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5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5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TRUNC(557.080583532488,-1)</f>
        <v>550</v>
      </c>
      <c r="E115" s="65">
        <f t="shared" si="4"/>
        <v>1810</v>
      </c>
    </row>
    <row r="116" spans="1:7" x14ac:dyDescent="0.3">
      <c r="A116" s="2">
        <v>19</v>
      </c>
      <c r="C116" s="38" t="s">
        <v>115</v>
      </c>
      <c r="D116" s="42">
        <f>TRUNC(3603.13661668358,-1)</f>
        <v>3600</v>
      </c>
      <c r="E116" s="65">
        <f t="shared" si="4"/>
        <v>11900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TRUNC(11030.9286569943+18913.082042563,-1)</f>
        <v>29940</v>
      </c>
      <c r="E117" s="65">
        <f t="shared" si="4"/>
        <v>98970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f>TRUNC(119.958222294864,-1)</f>
        <v>110</v>
      </c>
      <c r="E118" s="66">
        <f t="shared" si="4"/>
        <v>360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55590</v>
      </c>
      <c r="E119" s="39">
        <f>SUM(E98:E118)</f>
        <v>183720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242</v>
      </c>
      <c r="C121" s="54" t="s">
        <v>240</v>
      </c>
      <c r="D121" s="55" t="s">
        <v>235</v>
      </c>
      <c r="E121" s="55" t="s">
        <v>153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f>TRUNC(2392.10309685212,-1)</f>
        <v>2390</v>
      </c>
      <c r="E122" s="64">
        <f t="shared" ref="E122:E132" si="5">TRUNC(+D122*3.3058,-1)</f>
        <v>7900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5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5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TRUNC(3741.42779692368,-1)</f>
        <v>3740</v>
      </c>
      <c r="E125" s="65">
        <f t="shared" si="5"/>
        <v>12360</v>
      </c>
    </row>
    <row r="126" spans="1:7" x14ac:dyDescent="0.3">
      <c r="A126" s="2">
        <v>5</v>
      </c>
      <c r="C126" s="38" t="s">
        <v>53</v>
      </c>
      <c r="D126" s="42">
        <f>TRUNC(421.372903889353,-1)</f>
        <v>420</v>
      </c>
      <c r="E126" s="65">
        <f t="shared" si="5"/>
        <v>1380</v>
      </c>
    </row>
    <row r="127" spans="1:7" x14ac:dyDescent="0.3">
      <c r="A127" s="2">
        <v>6</v>
      </c>
      <c r="C127" s="38" t="s">
        <v>56</v>
      </c>
      <c r="D127" s="42">
        <v>0</v>
      </c>
      <c r="E127" s="65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TRUNC(1093.69019120874,-1)</f>
        <v>1090</v>
      </c>
      <c r="E128" s="65">
        <f t="shared" si="5"/>
        <v>3600</v>
      </c>
    </row>
    <row r="129" spans="1:7" x14ac:dyDescent="0.3">
      <c r="A129" s="2">
        <v>8</v>
      </c>
      <c r="C129" s="38" t="s">
        <v>126</v>
      </c>
      <c r="D129" s="42">
        <v>0</v>
      </c>
      <c r="E129" s="65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TRUNC(6952.6870479148,-1)</f>
        <v>6950</v>
      </c>
      <c r="E130" s="65">
        <f t="shared" si="5"/>
        <v>22970</v>
      </c>
    </row>
    <row r="131" spans="1:7" x14ac:dyDescent="0.3">
      <c r="A131" s="2">
        <v>10</v>
      </c>
      <c r="C131" s="38" t="s">
        <v>148</v>
      </c>
      <c r="D131" s="42">
        <f>TRUNC(27029.1387534059,-1)</f>
        <v>27020</v>
      </c>
      <c r="E131" s="65">
        <f t="shared" si="5"/>
        <v>89320</v>
      </c>
      <c r="F131" s="2" t="s">
        <v>263</v>
      </c>
    </row>
    <row r="132" spans="1:7" ht="17.25" thickBot="1" x14ac:dyDescent="0.35">
      <c r="A132" s="2">
        <v>11</v>
      </c>
      <c r="C132" s="38" t="s">
        <v>47</v>
      </c>
      <c r="D132" s="43">
        <f>TRUNC(151.926338889742,-1)</f>
        <v>150</v>
      </c>
      <c r="E132" s="66">
        <f t="shared" si="5"/>
        <v>490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41760</v>
      </c>
      <c r="E133" s="39">
        <f>SUM(E122:E132)</f>
        <v>138020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243</v>
      </c>
      <c r="C135" s="54" t="s">
        <v>240</v>
      </c>
      <c r="D135" s="55" t="s">
        <v>235</v>
      </c>
      <c r="E135" s="55" t="s">
        <v>153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f>TRUNC(30669.2294046478,-1)</f>
        <v>30660</v>
      </c>
      <c r="E136" s="64">
        <f t="shared" ref="E136:E145" si="6">TRUNC(+D136*3.3058,-1)</f>
        <v>101350</v>
      </c>
    </row>
    <row r="137" spans="1:7" x14ac:dyDescent="0.3">
      <c r="A137" s="2">
        <v>2</v>
      </c>
      <c r="C137" s="38" t="s">
        <v>47</v>
      </c>
      <c r="D137" s="42">
        <f>TRUNC(11082.2696894378,-1)</f>
        <v>11080</v>
      </c>
      <c r="E137" s="65">
        <f t="shared" si="6"/>
        <v>36620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5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5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5">
        <f t="shared" si="6"/>
        <v>0</v>
      </c>
    </row>
    <row r="141" spans="1:7" x14ac:dyDescent="0.3">
      <c r="A141" s="2">
        <v>6</v>
      </c>
      <c r="C141" s="38" t="s">
        <v>59</v>
      </c>
      <c r="D141" s="42">
        <f>TRUNC(1370.64548149005,-1)</f>
        <v>1370</v>
      </c>
      <c r="E141" s="65">
        <f t="shared" si="6"/>
        <v>4520</v>
      </c>
      <c r="F141" s="2" t="s">
        <v>266</v>
      </c>
    </row>
    <row r="142" spans="1:7" x14ac:dyDescent="0.3">
      <c r="A142" s="2">
        <v>7</v>
      </c>
      <c r="C142" s="38" t="s">
        <v>58</v>
      </c>
      <c r="D142" s="42">
        <v>0</v>
      </c>
      <c r="E142" s="65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5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5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TRUNC(64714.9665240192,-1)</f>
        <v>64710</v>
      </c>
      <c r="E145" s="66">
        <f t="shared" si="6"/>
        <v>213910</v>
      </c>
      <c r="F145" s="2" t="s">
        <v>259</v>
      </c>
    </row>
    <row r="146" spans="1:7" x14ac:dyDescent="0.3">
      <c r="A146" s="2">
        <v>11</v>
      </c>
      <c r="C146" s="27" t="s">
        <v>112</v>
      </c>
      <c r="D146" s="39">
        <f>SUM(D136:D145)</f>
        <v>107820</v>
      </c>
      <c r="E146" s="39">
        <f>SUM(E136:E145)</f>
        <v>356400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244</v>
      </c>
      <c r="C148" s="54" t="s">
        <v>240</v>
      </c>
      <c r="D148" s="55" t="s">
        <v>235</v>
      </c>
      <c r="E148" s="55" t="s">
        <v>153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v>0</v>
      </c>
      <c r="E149" s="64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5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5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5">
        <f>TRUNC(+D152*3.3058,-1)</f>
        <v>0</v>
      </c>
      <c r="F152" s="59"/>
    </row>
    <row r="153" spans="1:7" ht="17.25" thickBot="1" x14ac:dyDescent="0.35">
      <c r="A153" s="2">
        <v>5</v>
      </c>
      <c r="C153" s="38" t="s">
        <v>148</v>
      </c>
      <c r="D153" s="43">
        <f>TRUNC(70183.7751644409+35199.0375722543,-1)</f>
        <v>105380</v>
      </c>
      <c r="E153" s="66">
        <f>TRUNC(+D153*3.3058,-1)</f>
        <v>348360</v>
      </c>
      <c r="F153" s="2" t="s">
        <v>262</v>
      </c>
    </row>
    <row r="154" spans="1:7" x14ac:dyDescent="0.3">
      <c r="A154" s="2">
        <v>6</v>
      </c>
      <c r="C154" s="27" t="s">
        <v>112</v>
      </c>
      <c r="D154" s="39">
        <f>SUM(D149:D153)</f>
        <v>105380</v>
      </c>
      <c r="E154" s="39">
        <f>SUM(E149:E153)</f>
        <v>348360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245</v>
      </c>
      <c r="C156" s="54" t="s">
        <v>240</v>
      </c>
      <c r="D156" s="55" t="s">
        <v>235</v>
      </c>
      <c r="E156" s="55" t="s">
        <v>153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v>0</v>
      </c>
      <c r="E157" s="64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5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5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6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2020-12-07T09:01:15Z</dcterms:modified>
</cp:coreProperties>
</file>