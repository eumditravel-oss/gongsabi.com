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18" i="4"/>
  <c r="D117" i="4"/>
  <c r="D116" i="4"/>
  <c r="D114" i="4"/>
  <c r="D105" i="4"/>
  <c r="D104" i="4"/>
  <c r="D103" i="4"/>
  <c r="D102" i="4"/>
  <c r="D101" i="4"/>
  <c r="D99" i="4"/>
  <c r="D98" i="4"/>
  <c r="D94" i="4"/>
  <c r="D93" i="4"/>
  <c r="D91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<sst xmlns="http://schemas.openxmlformats.org/spreadsheetml/2006/main" count="393" uniqueCount="270">
  <si>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</si>
  <si>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</si>
  <si>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</si>
  <si>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</si>
  <si>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</si>
  <si>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</si>
  <si>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</si>
  <si>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</si>
  <si>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</si>
  <si>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</si>
  <si>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</si>
  <si>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</si>
  <si>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</si>
  <si>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</si>
  <si>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</si>
  <si>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</si>
  <si>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</si>
  <si>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</si>
  <si>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</si>
  <si>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</si>
  <si>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</si>
  <si>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</si>
  <si>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</si>
  <si>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</si>
  <si>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</si>
  <si>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</si>
  <si>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</si>
  <si>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</si>
  <si>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</si>
  <si>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</si>
  <si>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</si>
  <si>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</si>
  <si>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</si>
  <si>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</si>
  <si>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</si>
  <si>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</si>
  <si>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</si>
  <si>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</si>
  <si>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</si>
  <si>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</si>
  <si>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</si>
  <si>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</si>
  <si>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</si>
  <si>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</si>
  <si>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</si>
  <si>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</si>
  <si>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</si>
  <si>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</si>
  <si>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</si>
  <si>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</si>
  <si>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</si>
  <si>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</si>
  <si>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</si>
  <si>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</si>
  <si>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</si>
  <si>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</si>
  <si>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</si>
  <si>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</si>
  <si>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</si>
  <si>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</si>
  <si>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</si>
  <si>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</si>
  <si>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</si>
  <si>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</si>
  <si>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</si>
  <si>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</si>
  <si>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</si>
  <si>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</si>
  <si>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</si>
  <si>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</si>
  <si>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</si>
  <si>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</si>
  <si>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</si>
  <si>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</si>
  <si>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</si>
  <si>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</si>
  <si>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</si>
  <si>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</si>
  <si>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</si>
  <si>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</si>
  <si>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</si>
  <si>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</si>
  <si>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</si>
  <si>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</si>
  <si>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</si>
  <si>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</si>
  <si>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</si>
  <si>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</si>
  <si>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</si>
  <si>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</si>
  <si>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</si>
  <si>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</si>
  <si>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</si>
  <si>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</si>
  <si>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</si>
  <si>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</si>
  <si>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</si>
  <si>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</si>
  <si>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</si>
  <si>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</si>
  <si>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</si>
  <si>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</si>
  <si>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</si>
  <si>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</si>
  <si>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</si>
  <si>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</si>
  <si>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</si>
  <si>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</si>
  <si>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</si>
  <si>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</si>
  <si>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</si>
  <si>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</si>
  <si>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</si>
  <si>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</si>
  <si>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</si>
  <si>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</si>
  <si>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</si>
  <si>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</si>
  <si>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</si>
  <si>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</si>
  <si>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</si>
  <si>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</si>
  <si>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</si>
  <si>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</si>
  <si>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</si>
  <si>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</si>
  <si>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</si>
  <si>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</si>
  <si>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</si>
  <si>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</si>
  <si>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</si>
  <si>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</si>
  <si>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</si>
  <si>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</si>
  <si>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</si>
  <si>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</si>
  <si>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</si>
  <si>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</si>
  <si>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</si>
  <si>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</si>
  <si>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</si>
  <si>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</si>
  <si>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</si>
  <si>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</si>
  <si>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</si>
  <si>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</si>
  <si>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</si>
  <si>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</si>
  <si>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</si>
  <si>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</si>
  <si>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</si>
  <si>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</si>
  <si>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</si>
  <si>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</si>
  <si>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</si>
  <si>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</si>
  <si>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</si>
  <si>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</si>
  <si>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</si>
  <si>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</si>
  <si>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</si>
  <si>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</si>
  <si>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</si>
  <si>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</si>
  <si>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</si>
  <si>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</si>
  <si>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</si>
  <si>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</si>
  <si>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</si>
  <si>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</si>
  <si>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</si>
  <si>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</si>
  <si>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</si>
  <si>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</si>
  <si>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</si>
  <si>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</si>
  <si>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</si>
  <si>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</si>
  <si>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</si>
  <si>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</si>
  <si>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</si>
  <si>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</si>
  <si>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</si>
  <si>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</si>
  <si>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</si>
  <si>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</si>
  <si>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</si>
  <si>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</si>
  <si>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</si>
  <si>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</si>
  <si>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</si>
  <si>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</si>
  <si>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</si>
  <si>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</si>
  <si>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</si>
  <si>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</si>
  <si>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</si>
  <si>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</si>
  <si>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</si>
  <si>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</si>
  <si>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</si>
  <si>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</si>
  <si>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</si>
  <si>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</si>
  <si>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</si>
  <si>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</si>
  <si>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</si>
  <si>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</si>
  <si>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</si>
  <si>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</si>
  <si>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</si>
  <si>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</si>
  <si>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</si>
  <si>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</si>
  <si>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</si>
  <si>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</si>
  <si>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</si>
  <si>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</si>
  <si>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</si>
  <si>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</si>
  <si>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</si>
  <si>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</si>
  <si>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</si>
  <si>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</si>
  <si>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</si>
  <si>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</si>
  <si>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</si>
  <si>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</si>
  <si>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</si>
  <si>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</si>
  <si>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</si>
  <si>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</si>
  <si>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</si>
  <si>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</si>
  <si>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</si>
  <si>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</si>
  <si>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</si>
  <si>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</si>
  <si>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</si>
  <si>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</si>
  <si>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</si>
  <si>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</si>
  <si>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</si>
  <si>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</si>
  <si>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</si>
  <si>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</si>
  <si>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</si>
  <si>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</si>
  <si>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</si>
  <si>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</si>
  <si>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</si>
  <si>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</si>
  <si>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</si>
  <si>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</si>
  <si>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 xml:space="preserve"> 사급자재비, 운반비, 기타공사</t>
    <phoneticPr fontId="2" type="noConversion"/>
  </si>
  <si>
    <t>포장공사, 기타공사</t>
    <phoneticPr fontId="2" type="noConversion"/>
  </si>
  <si>
    <t>교육연구</t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</si>
  <si>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</si>
  <si>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</si>
  <si>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</si>
  <si>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</si>
  <si>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동탄2 제1중 이음터 건립공사</t>
    <phoneticPr fontId="2" type="noConversion"/>
  </si>
  <si>
    <t>경기도</t>
  </si>
  <si>
    <t>기초공사, 골재비및운반비, 품질시험비, 기타공사</t>
    <phoneticPr fontId="2" type="noConversion"/>
  </si>
  <si>
    <t>바닥난방공사, 기타공사</t>
    <phoneticPr fontId="2" type="noConversion"/>
  </si>
  <si>
    <t>CCTV설비공사, 주차관제설비공사</t>
    <phoneticPr fontId="2" type="noConversion"/>
  </si>
  <si>
    <t xml:space="preserve">옥외소화배관공사, 펌프실배관공사, 무선통신보조설비공사 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</si>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</sst>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11723</v>
      </c>
      <c r="D7" s="36">
        <f>+C7/3.3058</f>
        <v>3546.1915421380604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799900</v>
      </c>
      <c r="E25" s="59">
        <f t="shared" si="0"/>
        <v>2644300</v>
      </c>
    </row>
    <row r="26" spans="1:5" x14ac:dyDescent="0.3">
      <c r="B26" s="2">
        <v>3</v>
      </c>
      <c r="C26" s="35" t="s">
        <v>95</v>
      </c>
      <c r="D26" s="45">
        <f>+D66</f>
        <v>61080</v>
      </c>
      <c r="E26" s="59">
        <f t="shared" si="0"/>
        <v>201910</v>
      </c>
    </row>
    <row r="27" spans="1:5" x14ac:dyDescent="0.3">
      <c r="B27" s="2">
        <v>4</v>
      </c>
      <c r="C27" s="35" t="s">
        <v>96</v>
      </c>
      <c r="D27" s="45">
        <f>+D95</f>
        <v>148730</v>
      </c>
      <c r="E27" s="59">
        <f t="shared" si="0"/>
        <v>491670</v>
      </c>
    </row>
    <row r="28" spans="1:5" x14ac:dyDescent="0.3">
      <c r="B28" s="2">
        <v>5</v>
      </c>
      <c r="C28" s="35" t="s">
        <v>97</v>
      </c>
      <c r="D28" s="45">
        <f>+D119</f>
        <v>191870</v>
      </c>
      <c r="E28" s="59">
        <f t="shared" si="0"/>
        <v>634280</v>
      </c>
    </row>
    <row r="29" spans="1:5" x14ac:dyDescent="0.3">
      <c r="B29" s="2">
        <v>6</v>
      </c>
      <c r="C29" s="35" t="s">
        <v>98</v>
      </c>
      <c r="D29" s="45">
        <f>+D133</f>
        <v>85020</v>
      </c>
      <c r="E29" s="59">
        <f t="shared" si="0"/>
        <v>281050</v>
      </c>
    </row>
    <row r="30" spans="1:5" x14ac:dyDescent="0.3">
      <c r="B30" s="2">
        <v>7</v>
      </c>
      <c r="C30" s="35" t="s">
        <v>99</v>
      </c>
      <c r="D30" s="45">
        <f>+D146</f>
        <v>54410</v>
      </c>
      <c r="E30" s="59">
        <f t="shared" si="0"/>
        <v>179860</v>
      </c>
    </row>
    <row r="31" spans="1:5" x14ac:dyDescent="0.3">
      <c r="B31" s="2">
        <v>8</v>
      </c>
      <c r="C31" s="35" t="s">
        <v>100</v>
      </c>
      <c r="D31" s="45">
        <f>+D154</f>
        <v>7080</v>
      </c>
      <c r="E31" s="59">
        <f t="shared" si="0"/>
        <v>23400</v>
      </c>
    </row>
    <row r="32" spans="1:5" x14ac:dyDescent="0.3">
      <c r="B32" s="2">
        <v>9</v>
      </c>
      <c r="C32" s="35" t="s">
        <v>101</v>
      </c>
      <c r="D32" s="45">
        <f>+D161</f>
        <v>8120</v>
      </c>
      <c r="E32" s="59">
        <f t="shared" si="0"/>
        <v>26840</v>
      </c>
    </row>
    <row r="33" spans="1:7" x14ac:dyDescent="0.3">
      <c r="B33" s="2">
        <v>10</v>
      </c>
      <c r="C33" s="35" t="s">
        <v>154</v>
      </c>
      <c r="D33" s="53">
        <f>TRUNC(SUM(D24:D32)*0.275,-1)</f>
        <v>372950</v>
      </c>
      <c r="E33" s="60">
        <f t="shared" si="0"/>
        <v>1232890</v>
      </c>
    </row>
    <row r="34" spans="1:7" x14ac:dyDescent="0.3">
      <c r="C34" s="35" t="s">
        <v>112</v>
      </c>
      <c r="D34" s="44">
        <f>SUM(D24:D33)</f>
        <v>1729160</v>
      </c>
      <c r="E34" s="44">
        <f>SUM(E24:E33)</f>
        <v>5716200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257</v>
      </c>
      <c r="C39" s="56" t="s">
        <v>258</v>
      </c>
      <c r="D39" s="57" t="s">
        <v>259</v>
      </c>
      <c r="E39" s="57" t="s">
        <v>260</v>
      </c>
      <c r="G39" s="55"/>
    </row>
    <row r="40" spans="1:7" x14ac:dyDescent="0.3">
      <c r="A40" s="2">
        <v>1</v>
      </c>
      <c r="C40" s="38" t="s">
        <v>15</v>
      </c>
      <c r="D40" s="40">
        <f>TRUNC(42876,-1)</f>
        <v>42870</v>
      </c>
      <c r="E40" s="62">
        <f t="shared" ref="E40:E59" si="1">TRUNC(+D40*3.3058,-1)</f>
        <v>141710</v>
      </c>
    </row>
    <row r="41" spans="1:7" x14ac:dyDescent="0.3">
      <c r="A41" s="2">
        <v>2</v>
      </c>
      <c r="C41" s="38" t="s">
        <v>13</v>
      </c>
      <c r="D41" s="42">
        <f>TRUNC(91767,-1)</f>
        <v>91760</v>
      </c>
      <c r="E41" s="63">
        <f t="shared" si="1"/>
        <v>303340</v>
      </c>
    </row>
    <row r="42" spans="1:7" x14ac:dyDescent="0.3">
      <c r="A42" s="2">
        <v>3</v>
      </c>
      <c r="C42" s="38" t="s">
        <v>14</v>
      </c>
      <c r="D42" s="42">
        <f>TRUNC(26552,-1)</f>
        <v>26550</v>
      </c>
      <c r="E42" s="63">
        <f t="shared" si="1"/>
        <v>87760</v>
      </c>
    </row>
    <row r="43" spans="1:7" x14ac:dyDescent="0.3">
      <c r="A43" s="2">
        <v>4</v>
      </c>
      <c r="C43" s="38" t="s">
        <v>16</v>
      </c>
      <c r="D43" s="42">
        <f>TRUNC(5013,-1)</f>
        <v>5010</v>
      </c>
      <c r="E43" s="63">
        <f t="shared" si="1"/>
        <v>16560</v>
      </c>
    </row>
    <row r="44" spans="1:7" x14ac:dyDescent="0.3">
      <c r="A44" s="2">
        <v>5</v>
      </c>
      <c r="C44" s="38" t="s">
        <v>17</v>
      </c>
      <c r="D44" s="42">
        <f>TRUNC(18052,-1)</f>
        <v>18050</v>
      </c>
      <c r="E44" s="63">
        <f t="shared" si="1"/>
        <v>59660</v>
      </c>
    </row>
    <row r="45" spans="1:7" x14ac:dyDescent="0.3">
      <c r="A45" s="2">
        <v>6</v>
      </c>
      <c r="C45" s="38" t="s">
        <v>18</v>
      </c>
      <c r="D45" s="42">
        <f>TRUNC(4586,-1)</f>
        <v>4580</v>
      </c>
      <c r="E45" s="63">
        <f t="shared" si="1"/>
        <v>15140</v>
      </c>
    </row>
    <row r="46" spans="1:7" x14ac:dyDescent="0.3">
      <c r="A46" s="2">
        <v>7</v>
      </c>
      <c r="C46" s="38" t="s">
        <v>19</v>
      </c>
      <c r="D46" s="42">
        <f>TRUNC(27102,-1)</f>
        <v>27100</v>
      </c>
      <c r="E46" s="63">
        <f t="shared" si="1"/>
        <v>89580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TRUNC(106611,-1)</f>
        <v>106610</v>
      </c>
      <c r="E48" s="63">
        <f t="shared" si="1"/>
        <v>352430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TRUNC(11687,-1)</f>
        <v>11680</v>
      </c>
      <c r="E49" s="63">
        <f t="shared" si="1"/>
        <v>38610</v>
      </c>
    </row>
    <row r="50" spans="1:7" x14ac:dyDescent="0.3">
      <c r="A50" s="2">
        <v>11</v>
      </c>
      <c r="C50" s="38" t="s">
        <v>155</v>
      </c>
      <c r="D50" s="42">
        <f>TRUNC(41528,-1)</f>
        <v>41520</v>
      </c>
      <c r="E50" s="63">
        <f t="shared" si="1"/>
        <v>137250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TRUNC(15833,-1)</f>
        <v>15830</v>
      </c>
      <c r="E52" s="63">
        <f t="shared" si="1"/>
        <v>52330</v>
      </c>
    </row>
    <row r="53" spans="1:7" x14ac:dyDescent="0.3">
      <c r="A53" s="2">
        <v>14</v>
      </c>
      <c r="C53" s="38" t="s">
        <v>25</v>
      </c>
      <c r="D53" s="42">
        <f>TRUNC(91381,-1)</f>
        <v>91380</v>
      </c>
      <c r="E53" s="63">
        <f t="shared" si="1"/>
        <v>302080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TRUNC(11555+2123+10454+19934,-1)</f>
        <v>44060</v>
      </c>
      <c r="E58" s="63">
        <f t="shared" si="1"/>
        <v>145650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TRUNC(272906,-1)</f>
        <v>272900</v>
      </c>
      <c r="E59" s="64">
        <f t="shared" si="1"/>
        <v>902150</v>
      </c>
    </row>
    <row r="60" spans="1:7" x14ac:dyDescent="0.3">
      <c r="A60" s="2">
        <v>21</v>
      </c>
      <c r="C60" s="27" t="s">
        <v>112</v>
      </c>
      <c r="D60" s="39">
        <f>SUM(D40:D59)</f>
        <v>799900</v>
      </c>
      <c r="E60" s="39">
        <f>SUM(E40:E59)</f>
        <v>2644250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TRUNC(32878,-1)</f>
        <v>32870</v>
      </c>
      <c r="E63" s="62">
        <f>TRUNC(+D63*3.3058,-1)</f>
        <v>108660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TRUNC(28216,-1)</f>
        <v>28210</v>
      </c>
      <c r="E65" s="64">
        <f>TRUNC(+D65*3.3058,-1)</f>
        <v>93250</v>
      </c>
    </row>
    <row r="66" spans="1:7" x14ac:dyDescent="0.3">
      <c r="A66" s="2">
        <v>4</v>
      </c>
      <c r="C66" s="27" t="s">
        <v>112</v>
      </c>
      <c r="D66" s="39">
        <f>SUM(D63:D65)</f>
        <v>61080</v>
      </c>
      <c r="E66" s="65">
        <f>SUM(E63:E65)</f>
        <v>201910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TRUNC(12965,-1)</f>
        <v>12960</v>
      </c>
      <c r="E69" s="62">
        <f t="shared" ref="E69:E94" si="2">TRUNC(+D69*3.3058,-1)</f>
        <v>42840</v>
      </c>
    </row>
    <row r="70" spans="1:7" ht="16.5" customHeight="1" x14ac:dyDescent="0.3">
      <c r="A70" s="2">
        <v>2</v>
      </c>
      <c r="C70" s="38" t="s">
        <v>31</v>
      </c>
      <c r="D70" s="42">
        <v>160</v>
      </c>
      <c r="E70" s="63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TRUNC(4477,-1)</f>
        <v>4470</v>
      </c>
      <c r="E71" s="63">
        <f t="shared" si="2"/>
        <v>14770</v>
      </c>
    </row>
    <row r="72" spans="1:7" x14ac:dyDescent="0.3">
      <c r="A72" s="2">
        <v>4</v>
      </c>
      <c r="C72" s="38" t="s">
        <v>33</v>
      </c>
      <c r="D72" s="42">
        <f>TRUNC(4984,-1)</f>
        <v>4980</v>
      </c>
      <c r="E72" s="63">
        <f t="shared" si="2"/>
        <v>16460</v>
      </c>
    </row>
    <row r="73" spans="1:7" x14ac:dyDescent="0.3">
      <c r="A73" s="2">
        <v>5</v>
      </c>
      <c r="C73" s="38" t="s">
        <v>34</v>
      </c>
      <c r="D73" s="42">
        <f>TRUNC(12615,-1)</f>
        <v>12610</v>
      </c>
      <c r="E73" s="63">
        <f t="shared" si="2"/>
        <v>41680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TRUNC(2869,-1)</f>
        <v>2860</v>
      </c>
      <c r="E91" s="63">
        <f t="shared" si="2"/>
        <v>9450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TRUNC(104132,-1)</f>
        <v>104130</v>
      </c>
      <c r="E93" s="63">
        <f t="shared" si="2"/>
        <v>344230</v>
      </c>
    </row>
    <row r="94" spans="1:7" ht="17.25" thickBot="1" x14ac:dyDescent="0.35">
      <c r="A94" s="2">
        <v>26</v>
      </c>
      <c r="C94" s="38" t="s">
        <v>47</v>
      </c>
      <c r="D94" s="43">
        <f>TRUNC(215+6348,-1)</f>
        <v>6560</v>
      </c>
      <c r="E94" s="64">
        <f t="shared" si="2"/>
        <v>21680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148730</v>
      </c>
      <c r="E95" s="39">
        <f>SUM(E69:E94)</f>
        <v>491630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TRUNC(10099,-1)</f>
        <v>10090</v>
      </c>
      <c r="E98" s="62">
        <f t="shared" ref="E98:E118" si="3">TRUNC(+D98*3.3058,-1)</f>
        <v>33350</v>
      </c>
    </row>
    <row r="99" spans="1:7" x14ac:dyDescent="0.3">
      <c r="A99" s="2">
        <v>2</v>
      </c>
      <c r="C99" s="38" t="s">
        <v>40</v>
      </c>
      <c r="D99" s="42">
        <f>TRUNC(3945,-1)</f>
        <v>3940</v>
      </c>
      <c r="E99" s="63">
        <f t="shared" si="3"/>
        <v>13020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TRUNC(4616,-1)</f>
        <v>4610</v>
      </c>
      <c r="E101" s="63">
        <f t="shared" si="3"/>
        <v>15230</v>
      </c>
    </row>
    <row r="102" spans="1:7" x14ac:dyDescent="0.3">
      <c r="A102" s="2">
        <v>5</v>
      </c>
      <c r="C102" s="38" t="s">
        <v>43</v>
      </c>
      <c r="D102" s="42">
        <f>TRUNC(7637,-1)</f>
        <v>7630</v>
      </c>
      <c r="E102" s="63">
        <f t="shared" si="3"/>
        <v>25220</v>
      </c>
    </row>
    <row r="103" spans="1:7" x14ac:dyDescent="0.3">
      <c r="A103" s="2">
        <v>6</v>
      </c>
      <c r="C103" s="38" t="s">
        <v>44</v>
      </c>
      <c r="D103" s="42">
        <f>TRUNC(7307,-1)</f>
        <v>7300</v>
      </c>
      <c r="E103" s="63">
        <f t="shared" si="3"/>
        <v>24130</v>
      </c>
    </row>
    <row r="104" spans="1:7" x14ac:dyDescent="0.3">
      <c r="A104" s="2">
        <v>7</v>
      </c>
      <c r="C104" s="38" t="s">
        <v>45</v>
      </c>
      <c r="D104" s="42">
        <f>TRUNC(2141,-1)</f>
        <v>2140</v>
      </c>
      <c r="E104" s="63">
        <f t="shared" si="3"/>
        <v>7070</v>
      </c>
    </row>
    <row r="105" spans="1:7" x14ac:dyDescent="0.3">
      <c r="A105" s="2">
        <v>8</v>
      </c>
      <c r="C105" s="38" t="s">
        <v>46</v>
      </c>
      <c r="D105" s="42">
        <f>TRUNC(4314,-1)</f>
        <v>4310</v>
      </c>
      <c r="E105" s="63">
        <f t="shared" si="3"/>
        <v>14240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TRUNC(38453,-1)</f>
        <v>38450</v>
      </c>
      <c r="E114" s="63">
        <f t="shared" si="3"/>
        <v>127100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TRUNC(2018,-1)</f>
        <v>2010</v>
      </c>
      <c r="E116" s="63">
        <f t="shared" si="3"/>
        <v>6640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TRUNC(109868,-1)</f>
        <v>109860</v>
      </c>
      <c r="E117" s="63">
        <f t="shared" si="3"/>
        <v>363170</v>
      </c>
    </row>
    <row r="118" spans="1:7" ht="17.25" thickBot="1" x14ac:dyDescent="0.35">
      <c r="A118" s="2">
        <v>21</v>
      </c>
      <c r="C118" s="38" t="s">
        <v>47</v>
      </c>
      <c r="D118" s="43">
        <f>TRUNC(1534,-1)</f>
        <v>1530</v>
      </c>
      <c r="E118" s="64">
        <f t="shared" si="3"/>
        <v>5050</v>
      </c>
    </row>
    <row r="119" spans="1:7" x14ac:dyDescent="0.3">
      <c r="A119" s="2">
        <v>22</v>
      </c>
      <c r="C119" s="27" t="s">
        <v>112</v>
      </c>
      <c r="D119" s="39">
        <f>SUM(D98:D118)</f>
        <v>191870</v>
      </c>
      <c r="E119" s="39">
        <f>SUM(E98:E118)</f>
        <v>634220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2420</v>
      </c>
      <c r="E122" s="62">
        <f t="shared" ref="E122:E132" si="4">TRUNC(+D122*3.3058,-1)</f>
        <v>8000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1860</v>
      </c>
      <c r="E124" s="63">
        <f t="shared" si="4"/>
        <v>6140</v>
      </c>
    </row>
    <row r="125" spans="1:7" x14ac:dyDescent="0.3">
      <c r="A125" s="2">
        <v>4</v>
      </c>
      <c r="C125" s="38" t="s">
        <v>138</v>
      </c>
      <c r="D125" s="42">
        <f>TRUNC(7262,-1)</f>
        <v>7260</v>
      </c>
      <c r="E125" s="63">
        <f t="shared" si="4"/>
        <v>24000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TRUNC(3369,-1)</f>
        <v>3360</v>
      </c>
      <c r="E128" s="63">
        <f t="shared" si="4"/>
        <v>11100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TRUNC(7302,-1)</f>
        <v>7300</v>
      </c>
      <c r="E130" s="63">
        <f t="shared" si="4"/>
        <v>24130</v>
      </c>
    </row>
    <row r="131" spans="1:7" x14ac:dyDescent="0.3">
      <c r="A131" s="2">
        <v>10</v>
      </c>
      <c r="C131" s="38" t="s">
        <v>148</v>
      </c>
      <c r="D131" s="42">
        <f>TRUNC(59418,-1)</f>
        <v>59410</v>
      </c>
      <c r="E131" s="63">
        <f t="shared" si="4"/>
        <v>196390</v>
      </c>
    </row>
    <row r="132" spans="1:7" ht="18" thickBot="1" x14ac:dyDescent="0.35">
      <c r="A132" s="2">
        <v>11</v>
      </c>
      <c r="C132" s="38" t="s">
        <v>47</v>
      </c>
      <c r="D132" s="43">
        <f>TRUNC(2881+534,-1)</f>
        <v>3410</v>
      </c>
      <c r="E132" s="64">
        <f t="shared" si="4"/>
        <v>11270</v>
      </c>
      <c r="F132" s="54" t="s">
        <v>265</v>
      </c>
    </row>
    <row r="133" spans="1:7" x14ac:dyDescent="0.3">
      <c r="A133" s="2">
        <v>12</v>
      </c>
      <c r="C133" s="27" t="s">
        <v>112</v>
      </c>
      <c r="D133" s="39">
        <f>SUM(D122:D132)</f>
        <v>85020</v>
      </c>
      <c r="E133" s="39">
        <f>SUM(E122:E132)</f>
        <v>281030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TRUNC(170+2689+1217,-1)</f>
        <v>4070</v>
      </c>
      <c r="E137" s="63">
        <f t="shared" si="5"/>
        <v>13450</v>
      </c>
      <c r="F137" s="2" t="s">
        <v>266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TRUNC(2657,-1)</f>
        <v>2650</v>
      </c>
      <c r="E139" s="63">
        <f t="shared" si="5"/>
        <v>8760</v>
      </c>
    </row>
    <row r="140" spans="1:7" x14ac:dyDescent="0.3">
      <c r="A140" s="2">
        <v>5</v>
      </c>
      <c r="C140" s="38" t="s">
        <v>57</v>
      </c>
      <c r="D140" s="42">
        <f>TRUNC(1479,-1)</f>
        <v>1470</v>
      </c>
      <c r="E140" s="63">
        <f t="shared" si="5"/>
        <v>4850</v>
      </c>
    </row>
    <row r="141" spans="1:7" x14ac:dyDescent="0.3">
      <c r="A141" s="2">
        <v>6</v>
      </c>
      <c r="C141" s="38" t="s">
        <v>59</v>
      </c>
      <c r="D141" s="42">
        <f>TRUNC(22035,-1)</f>
        <v>22030</v>
      </c>
      <c r="E141" s="63">
        <f t="shared" si="5"/>
        <v>72820</v>
      </c>
    </row>
    <row r="142" spans="1:7" x14ac:dyDescent="0.3">
      <c r="A142" s="2">
        <v>7</v>
      </c>
      <c r="C142" s="38" t="s">
        <v>58</v>
      </c>
      <c r="D142" s="42">
        <f>TRUNC(5869,-1)</f>
        <v>5860</v>
      </c>
      <c r="E142" s="63">
        <f t="shared" si="5"/>
        <v>19370</v>
      </c>
    </row>
    <row r="143" spans="1:7" x14ac:dyDescent="0.3">
      <c r="A143" s="2">
        <v>8</v>
      </c>
      <c r="C143" s="38" t="s">
        <v>62</v>
      </c>
      <c r="D143" s="42">
        <f>TRUNC(2892,-1)</f>
        <v>2890</v>
      </c>
      <c r="E143" s="63">
        <f t="shared" si="5"/>
        <v>9550</v>
      </c>
    </row>
    <row r="144" spans="1:7" x14ac:dyDescent="0.3">
      <c r="A144" s="2">
        <v>9</v>
      </c>
      <c r="C144" s="38" t="s">
        <v>63</v>
      </c>
      <c r="D144" s="42">
        <f>TRUNC(15443,-1)</f>
        <v>15440</v>
      </c>
      <c r="E144" s="63">
        <f t="shared" si="5"/>
        <v>51040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54410</v>
      </c>
      <c r="E146" s="39">
        <f>SUM(E136:E145)</f>
        <v>179840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TRUNC(1154+288,-1)</f>
        <v>1440</v>
      </c>
      <c r="E149" s="62">
        <f>TRUNC(+D149*3.3058,-1)</f>
        <v>4760</v>
      </c>
    </row>
    <row r="150" spans="1:7" x14ac:dyDescent="0.3">
      <c r="A150" s="2">
        <v>2</v>
      </c>
      <c r="C150" s="38" t="s">
        <v>49</v>
      </c>
      <c r="D150" s="42">
        <v>730</v>
      </c>
      <c r="E150" s="63">
        <f>TRUNC(+D150*3.3058,-1)</f>
        <v>2410</v>
      </c>
    </row>
    <row r="151" spans="1:7" x14ac:dyDescent="0.3">
      <c r="A151" s="2">
        <v>3</v>
      </c>
      <c r="C151" s="38" t="s">
        <v>50</v>
      </c>
      <c r="D151" s="42">
        <f>TRUNC(1594,-1)</f>
        <v>1590</v>
      </c>
      <c r="E151" s="63">
        <f>TRUNC(+D151*3.3058,-1)</f>
        <v>5250</v>
      </c>
    </row>
    <row r="152" spans="1:7" x14ac:dyDescent="0.3">
      <c r="A152" s="2">
        <v>4</v>
      </c>
      <c r="C152" s="38" t="s">
        <v>47</v>
      </c>
      <c r="D152" s="42">
        <f>TRUNC(1622+658+252,-1)</f>
        <v>2530</v>
      </c>
      <c r="E152" s="63">
        <f>TRUNC(+D152*3.3058,-1)</f>
        <v>8360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TRUNC(797,-1)</f>
        <v>790</v>
      </c>
      <c r="E153" s="64">
        <f>TRUNC(+D153*3.3058,-1)</f>
        <v>2610</v>
      </c>
    </row>
    <row r="154" spans="1:7" x14ac:dyDescent="0.3">
      <c r="A154" s="2">
        <v>6</v>
      </c>
      <c r="C154" s="27" t="s">
        <v>112</v>
      </c>
      <c r="D154" s="39">
        <f>SUM(D149:D153)</f>
        <v>7080</v>
      </c>
      <c r="E154" s="39">
        <f>SUM(E149:E153)</f>
        <v>23390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TRUNC(2612,-1)</f>
        <v>2610</v>
      </c>
      <c r="E157" s="62">
        <f>TRUNC(+D157*3.3058,-1)</f>
        <v>8620</v>
      </c>
    </row>
    <row r="158" spans="1:7" x14ac:dyDescent="0.3">
      <c r="A158" s="2">
        <v>2</v>
      </c>
      <c r="C158" s="38" t="s">
        <v>52</v>
      </c>
      <c r="D158" s="42">
        <f>TRUNC(578,-1)</f>
        <v>570</v>
      </c>
      <c r="E158" s="63">
        <f>TRUNC(+D158*3.3058,-1)</f>
        <v>1880</v>
      </c>
    </row>
    <row r="159" spans="1:7" x14ac:dyDescent="0.3">
      <c r="A159" s="2">
        <v>3</v>
      </c>
      <c r="C159" s="38" t="s">
        <v>47</v>
      </c>
      <c r="D159" s="42">
        <f>TRUNC(2319+2625,-1)</f>
        <v>4940</v>
      </c>
      <c r="E159" s="63">
        <f>TRUNC(+D159*3.3058,-1)</f>
        <v>16330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8120</v>
      </c>
      <c r="E161" s="39">
        <f>SUM(E157:E160)</f>
        <v>26830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2020-12-08T01:37:49Z</dcterms:modified>
</cp:coreProperties>
</file>