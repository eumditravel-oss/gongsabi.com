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44" i="4"/>
  <c r="D143" i="4"/>
  <c r="D141" i="4"/>
  <c r="D142" i="4"/>
  <c r="D137" i="4"/>
  <c r="D128" i="4"/>
  <c r="D132" i="4"/>
  <c r="D124" i="4"/>
  <c r="D125" i="4"/>
  <c r="D126" i="4"/>
  <c r="D118" i="4"/>
  <c r="D105" i="4"/>
  <c r="D104" i="4"/>
  <c r="D103" i="4"/>
  <c r="D102" i="4"/>
  <c r="D101" i="4"/>
  <c r="D100" i="4"/>
  <c r="D99" i="4"/>
  <c r="D114" i="4"/>
  <c r="D98" i="4"/>
  <c r="D116" i="4"/>
  <c r="D94" i="4"/>
  <c r="D75" i="4"/>
  <c r="D92" i="4"/>
  <c r="D91" i="4"/>
  <c r="D89" i="4"/>
  <c r="D73" i="4"/>
  <c r="D72" i="4"/>
  <c r="D71" i="4"/>
  <c r="D70" i="4"/>
  <c r="D69" i="4"/>
  <c r="D58" i="4"/>
  <c r="D53" i="4"/>
  <c r="D52" i="4"/>
  <c r="D50" i="4"/>
  <c r="D49" i="4"/>
  <c r="D48" i="4"/>
  <c r="D46" i="4"/>
  <c r="D45" i="4"/>
  <c r="D44" i="4"/>
  <c r="D43" i="4"/>
  <c r="D41" i="4"/>
  <c r="D40" i="4"/>
  <c r="D150" i="4"/>
  <c r="D149" i="4"/>
  <c r="D65" i="4"/>
  <c r="D6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33" i="4"/>
  <c r="E154" i="4"/>
  <c r="E146" i="4"/>
  <c r="E119" i="4"/>
  <c r="E95" i="4"/>
  <c r="E60" i="4"/>
  <c r="E66" i="4"/>
  <c r="D161" i="4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<sst xmlns="http://schemas.openxmlformats.org/spreadsheetml/2006/main" count="391" uniqueCount="266">
  <si>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</si>
  <si>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</si>
  <si>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</si>
  <si>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</si>
  <si>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</si>
  <si>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</si>
  <si>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</si>
  <si>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</si>
  <si>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</si>
  <si>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</si>
  <si>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</si>
  <si>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</si>
  <si>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</si>
  <si>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</si>
  <si>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</si>
  <si>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</si>
  <si>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</si>
  <si>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</si>
  <si>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</si>
  <si>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</si>
  <si>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</si>
  <si>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</si>
  <si>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</si>
  <si>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</si>
  <si>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</si>
  <si>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</si>
  <si>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</si>
  <si>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</si>
  <si>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</si>
  <si>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</si>
  <si>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</si>
  <si>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</si>
  <si>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</si>
  <si>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</si>
  <si>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</si>
  <si>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</si>
  <si>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</si>
  <si>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</si>
  <si>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</si>
  <si>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</si>
  <si>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</si>
  <si>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</si>
  <si>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</si>
  <si>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</si>
  <si>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</si>
  <si>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</si>
  <si>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</si>
  <si>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</si>
  <si>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</si>
  <si>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</si>
  <si>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</si>
  <si>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</si>
  <si>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</si>
  <si>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</si>
  <si>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</si>
  <si>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</si>
  <si>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</si>
  <si>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</si>
  <si>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</si>
  <si>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</si>
  <si>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</si>
  <si>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</si>
  <si>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</si>
  <si>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</si>
  <si>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</si>
  <si>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</si>
  <si>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</si>
  <si>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</si>
  <si>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</si>
  <si>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</si>
  <si>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</si>
  <si>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</si>
  <si>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</si>
  <si>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</si>
  <si>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</si>
  <si>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</si>
  <si>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</si>
  <si>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</si>
  <si>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</si>
  <si>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</si>
  <si>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</si>
  <si>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</si>
  <si>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</si>
  <si>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</si>
  <si>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</si>
  <si>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</si>
  <si>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</si>
  <si>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</si>
  <si>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</si>
  <si>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</si>
  <si>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</si>
  <si>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</si>
  <si>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</si>
  <si>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</si>
  <si>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</si>
  <si>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</si>
  <si>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</si>
  <si>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</si>
  <si>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</si>
  <si>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</si>
  <si>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</si>
  <si>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</si>
  <si>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</si>
  <si>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</si>
  <si>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</si>
  <si>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</si>
  <si>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</si>
  <si>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</si>
  <si>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</si>
  <si>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</si>
  <si>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</si>
  <si>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</si>
  <si>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</si>
  <si>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</si>
  <si>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</si>
  <si>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</si>
  <si>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</si>
  <si>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</si>
  <si>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</si>
  <si>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</si>
  <si>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</si>
  <si>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</si>
  <si>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</si>
  <si>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</si>
  <si>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</si>
  <si>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</si>
  <si>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</si>
  <si>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</si>
  <si>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</si>
  <si>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</si>
  <si>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</si>
  <si>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</si>
  <si>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</si>
  <si>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</si>
  <si>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</si>
  <si>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</si>
  <si>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</si>
  <si>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</si>
  <si>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</si>
  <si>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</si>
  <si>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</si>
  <si>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</si>
  <si>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</si>
  <si>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</si>
  <si>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</si>
  <si>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</si>
  <si>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</si>
  <si>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</si>
  <si>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</si>
  <si>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</si>
  <si>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</si>
  <si>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</si>
  <si>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</si>
  <si>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</si>
  <si>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</si>
  <si>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</si>
  <si>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</si>
  <si>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</si>
  <si>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</si>
  <si>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</si>
  <si>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</si>
  <si>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</si>
  <si>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</si>
  <si>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</si>
  <si>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</si>
  <si>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</si>
  <si>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</si>
  <si>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</si>
  <si>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</si>
  <si>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</si>
  <si>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</si>
  <si>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</si>
  <si>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</si>
  <si>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</si>
  <si>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</si>
  <si>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</si>
  <si>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</si>
  <si>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</si>
  <si>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</si>
  <si>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</si>
  <si>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</si>
  <si>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</si>
  <si>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</si>
  <si>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</si>
  <si>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</si>
  <si>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</si>
  <si>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</si>
  <si>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</si>
  <si>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</si>
  <si>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</si>
  <si>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</si>
  <si>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</si>
  <si>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</si>
  <si>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</si>
  <si>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</si>
  <si>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</si>
  <si>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</si>
  <si>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</si>
  <si>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</si>
  <si>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</si>
  <si>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</si>
  <si>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</si>
  <si>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</si>
  <si>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</si>
  <si>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</si>
  <si>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</si>
  <si>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</si>
  <si>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</si>
  <si>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</si>
  <si>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</si>
  <si>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</si>
  <si>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</si>
  <si>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</si>
  <si>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</si>
  <si>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</si>
  <si>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</si>
  <si>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</si>
  <si>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</si>
  <si>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</si>
  <si>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</si>
  <si>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</si>
  <si>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</si>
  <si>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</si>
  <si>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</si>
  <si>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</si>
  <si>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</si>
  <si>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</si>
  <si>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</si>
  <si>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</si>
  <si>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</si>
  <si>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</si>
  <si>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</si>
  <si>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</si>
  <si>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</si>
  <si>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</si>
  <si>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</si>
  <si>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</si>
  <si>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</si>
  <si>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</si>
  <si>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</si>
  <si>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</si>
  <si>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</si>
  <si>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</si>
  <si>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</si>
  <si>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</si>
  <si>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</si>
  <si>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</si>
  <si>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</si>
  <si>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다목적공공복합시설 신축(토목·건축·기계·건축기계)공사</t>
    <phoneticPr fontId="2" type="noConversion"/>
  </si>
  <si>
    <t>기타</t>
  </si>
  <si>
    <t>서울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</si>
  <si>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</si>
  <si>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</si>
  <si>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</si>
  <si>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</si>
  <si>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</si>
  <si>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</si>
  <si>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CCTV설비공사,기타공사</t>
    <phoneticPr fontId="2" type="noConversion"/>
  </si>
  <si>
    <t>옥외소화배관공사,펌프실배관공사,무선통신보조설비공사,기타공사</t>
    <phoneticPr fontId="2" type="noConversion"/>
  </si>
  <si>
    <t>오수공사</t>
    <phoneticPr fontId="2" type="noConversion"/>
  </si>
  <si>
    <t>난방배관공사,기타공사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</si>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</sst>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8863.85</v>
      </c>
      <c r="D7" s="36">
        <f>+C7/3.3058</f>
        <v>2681.302559138484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1130060</v>
      </c>
      <c r="E25" s="59">
        <f t="shared" si="0"/>
        <v>3735750</v>
      </c>
    </row>
    <row r="26" spans="1:5" x14ac:dyDescent="0.3">
      <c r="B26" s="2">
        <v>3</v>
      </c>
      <c r="C26" s="35" t="s">
        <v>95</v>
      </c>
      <c r="D26" s="45">
        <f>+D66</f>
        <v>1066820</v>
      </c>
      <c r="E26" s="59">
        <f t="shared" si="0"/>
        <v>3526690</v>
      </c>
    </row>
    <row r="27" spans="1:5" x14ac:dyDescent="0.3">
      <c r="B27" s="2">
        <v>4</v>
      </c>
      <c r="C27" s="35" t="s">
        <v>96</v>
      </c>
      <c r="D27" s="45">
        <f>+D95</f>
        <v>586590</v>
      </c>
      <c r="E27" s="59">
        <f t="shared" si="0"/>
        <v>1939140</v>
      </c>
    </row>
    <row r="28" spans="1:5" x14ac:dyDescent="0.3">
      <c r="B28" s="2">
        <v>5</v>
      </c>
      <c r="C28" s="35" t="s">
        <v>97</v>
      </c>
      <c r="D28" s="45">
        <f>+D119</f>
        <v>180410</v>
      </c>
      <c r="E28" s="59">
        <f t="shared" si="0"/>
        <v>596390</v>
      </c>
    </row>
    <row r="29" spans="1:5" x14ac:dyDescent="0.3">
      <c r="B29" s="2">
        <v>6</v>
      </c>
      <c r="C29" s="35" t="s">
        <v>98</v>
      </c>
      <c r="D29" s="45">
        <f>+D133</f>
        <v>31780</v>
      </c>
      <c r="E29" s="59">
        <f t="shared" si="0"/>
        <v>105050</v>
      </c>
    </row>
    <row r="30" spans="1:5" x14ac:dyDescent="0.3">
      <c r="B30" s="2">
        <v>7</v>
      </c>
      <c r="C30" s="35" t="s">
        <v>99</v>
      </c>
      <c r="D30" s="45">
        <f>+D146</f>
        <v>66180</v>
      </c>
      <c r="E30" s="59">
        <f t="shared" si="0"/>
        <v>218770</v>
      </c>
    </row>
    <row r="31" spans="1:5" x14ac:dyDescent="0.3">
      <c r="B31" s="2">
        <v>8</v>
      </c>
      <c r="C31" s="35" t="s">
        <v>100</v>
      </c>
      <c r="D31" s="45">
        <f>+D154</f>
        <v>27660</v>
      </c>
      <c r="E31" s="59">
        <f t="shared" si="0"/>
        <v>91430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849610</v>
      </c>
      <c r="E33" s="60">
        <f t="shared" si="0"/>
        <v>2808640</v>
      </c>
    </row>
    <row r="34" spans="1:7" x14ac:dyDescent="0.3">
      <c r="C34" s="35" t="s">
        <v>112</v>
      </c>
      <c r="D34" s="44">
        <f>SUM(D24:D33)</f>
        <v>3939110</v>
      </c>
      <c r="E34" s="44">
        <f>SUM(E24:E33)</f>
        <v>13021860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TRUNC(114768,-1)</f>
        <v>114760</v>
      </c>
      <c r="E40" s="62">
        <f t="shared" ref="E40:E59" si="1">TRUNC(+D40*3.3058,-1)</f>
        <v>379370</v>
      </c>
    </row>
    <row r="41" spans="1:7" x14ac:dyDescent="0.3">
      <c r="A41" s="2">
        <v>2</v>
      </c>
      <c r="C41" s="38" t="s">
        <v>13</v>
      </c>
      <c r="D41" s="42">
        <f>TRUNC(274346,-1)</f>
        <v>274340</v>
      </c>
      <c r="E41" s="63">
        <f t="shared" si="1"/>
        <v>906910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TRUNC(34399,-1)</f>
        <v>34390</v>
      </c>
      <c r="E43" s="63">
        <f t="shared" si="1"/>
        <v>113680</v>
      </c>
    </row>
    <row r="44" spans="1:7" x14ac:dyDescent="0.3">
      <c r="A44" s="2">
        <v>5</v>
      </c>
      <c r="C44" s="38" t="s">
        <v>17</v>
      </c>
      <c r="D44" s="42">
        <f>TRUNC(33964,-1)</f>
        <v>33960</v>
      </c>
      <c r="E44" s="63">
        <f t="shared" si="1"/>
        <v>112260</v>
      </c>
    </row>
    <row r="45" spans="1:7" x14ac:dyDescent="0.3">
      <c r="A45" s="2">
        <v>6</v>
      </c>
      <c r="C45" s="38" t="s">
        <v>18</v>
      </c>
      <c r="D45" s="42">
        <f>TRUNC(1397,-1)</f>
        <v>1390</v>
      </c>
      <c r="E45" s="63">
        <f t="shared" si="1"/>
        <v>4590</v>
      </c>
    </row>
    <row r="46" spans="1:7" x14ac:dyDescent="0.3">
      <c r="A46" s="2">
        <v>7</v>
      </c>
      <c r="C46" s="38" t="s">
        <v>19</v>
      </c>
      <c r="D46" s="42">
        <f>TRUNC(1855,-1)</f>
        <v>1850</v>
      </c>
      <c r="E46" s="63">
        <f t="shared" si="1"/>
        <v>6110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TRUNC(15350,-1)</f>
        <v>15350</v>
      </c>
      <c r="E48" s="63">
        <f t="shared" si="1"/>
        <v>50740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TRUNC(26183,-1)</f>
        <v>26180</v>
      </c>
      <c r="E49" s="63">
        <f t="shared" si="1"/>
        <v>86540</v>
      </c>
    </row>
    <row r="50" spans="1:7" x14ac:dyDescent="0.3">
      <c r="A50" s="2">
        <v>11</v>
      </c>
      <c r="C50" s="38" t="s">
        <v>155</v>
      </c>
      <c r="D50" s="42">
        <f>TRUNC(22909,-1)</f>
        <v>22900</v>
      </c>
      <c r="E50" s="63">
        <f t="shared" si="1"/>
        <v>75700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TRUNC(18628,-1)</f>
        <v>18620</v>
      </c>
      <c r="E52" s="63">
        <f t="shared" si="1"/>
        <v>61550</v>
      </c>
    </row>
    <row r="53" spans="1:7" x14ac:dyDescent="0.3">
      <c r="A53" s="2">
        <v>14</v>
      </c>
      <c r="C53" s="38" t="s">
        <v>25</v>
      </c>
      <c r="D53" s="42">
        <f>TRUNC(13756,-1)</f>
        <v>13750</v>
      </c>
      <c r="E53" s="63">
        <f t="shared" si="1"/>
        <v>45450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TRUNC(9067+1010,-1)</f>
        <v>10070</v>
      </c>
      <c r="E58" s="63">
        <f t="shared" si="1"/>
        <v>33280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TRUNC(562506,-1)</f>
        <v>562500</v>
      </c>
      <c r="E59" s="64">
        <f t="shared" si="1"/>
        <v>1859510</v>
      </c>
    </row>
    <row r="60" spans="1:7" x14ac:dyDescent="0.3">
      <c r="A60" s="2">
        <v>21</v>
      </c>
      <c r="C60" s="27" t="s">
        <v>112</v>
      </c>
      <c r="D60" s="39">
        <f>SUM(D40:D59)</f>
        <v>1130060</v>
      </c>
      <c r="E60" s="39">
        <f>SUM(E40:E59)</f>
        <v>3735690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TRUNC(141208,-1)</f>
        <v>141200</v>
      </c>
      <c r="E63" s="62">
        <f>TRUNC(+D63*3.3058,-1)</f>
        <v>466770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TRUNC(925623,-1)</f>
        <v>925620</v>
      </c>
      <c r="E65" s="64">
        <f>TRUNC(+D65*3.3058,-1)</f>
        <v>3059910</v>
      </c>
    </row>
    <row r="66" spans="1:7" x14ac:dyDescent="0.3">
      <c r="A66" s="2">
        <v>4</v>
      </c>
      <c r="C66" s="27" t="s">
        <v>112</v>
      </c>
      <c r="D66" s="39">
        <f>SUM(D63:D65)</f>
        <v>1066820</v>
      </c>
      <c r="E66" s="65">
        <f>SUM(E63:E65)</f>
        <v>3526680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TRUNC(27046,-1)</f>
        <v>27040</v>
      </c>
      <c r="E69" s="62">
        <f t="shared" ref="E69:E94" si="2">TRUNC(+D69*3.3058,-1)</f>
        <v>89380</v>
      </c>
    </row>
    <row r="70" spans="1:7" ht="16.5" customHeight="1" x14ac:dyDescent="0.3">
      <c r="A70" s="2">
        <v>2</v>
      </c>
      <c r="C70" s="38" t="s">
        <v>31</v>
      </c>
      <c r="D70" s="42">
        <f>TRUNC(169,-1)</f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TRUNC(939,-1)</f>
        <v>930</v>
      </c>
      <c r="E71" s="63">
        <f t="shared" si="2"/>
        <v>3070</v>
      </c>
    </row>
    <row r="72" spans="1:7" x14ac:dyDescent="0.3">
      <c r="A72" s="2">
        <v>4</v>
      </c>
      <c r="C72" s="38" t="s">
        <v>33</v>
      </c>
      <c r="D72" s="42">
        <f>TRUNC(5948,-1)</f>
        <v>5940</v>
      </c>
      <c r="E72" s="63">
        <f t="shared" si="2"/>
        <v>19630</v>
      </c>
    </row>
    <row r="73" spans="1:7" x14ac:dyDescent="0.3">
      <c r="A73" s="2">
        <v>5</v>
      </c>
      <c r="C73" s="38" t="s">
        <v>34</v>
      </c>
      <c r="D73" s="42">
        <f>TRUNC(1626,-1)</f>
        <v>1620</v>
      </c>
      <c r="E73" s="63">
        <f t="shared" si="2"/>
        <v>5350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TRUNC(2529,-1)</f>
        <v>2520</v>
      </c>
      <c r="E75" s="63">
        <f t="shared" si="2"/>
        <v>8330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TRUNC(103215,-1)</f>
        <v>103210</v>
      </c>
      <c r="E89" s="63">
        <f t="shared" si="2"/>
        <v>341190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TRUNC(16374,-1)</f>
        <v>16370</v>
      </c>
      <c r="E91" s="63">
        <f t="shared" si="2"/>
        <v>54110</v>
      </c>
    </row>
    <row r="92" spans="1:7" x14ac:dyDescent="0.3">
      <c r="A92" s="2">
        <v>24</v>
      </c>
      <c r="C92" s="38" t="s">
        <v>38</v>
      </c>
      <c r="D92" s="42">
        <f>TRUNC(907,-1)</f>
        <v>900</v>
      </c>
      <c r="E92" s="63">
        <f t="shared" si="2"/>
        <v>2970</v>
      </c>
    </row>
    <row r="93" spans="1:7" x14ac:dyDescent="0.3">
      <c r="A93" s="2">
        <v>25</v>
      </c>
      <c r="C93" s="38" t="s">
        <v>148</v>
      </c>
      <c r="D93" s="42">
        <f>TRUNC(424745,-1)</f>
        <v>424740</v>
      </c>
      <c r="E93" s="63">
        <f t="shared" si="2"/>
        <v>1404100</v>
      </c>
    </row>
    <row r="94" spans="1:7" ht="17.25" thickBot="1" x14ac:dyDescent="0.35">
      <c r="A94" s="2">
        <v>26</v>
      </c>
      <c r="C94" s="38" t="s">
        <v>47</v>
      </c>
      <c r="D94" s="43">
        <f>TRUNC(3034+129,-1)</f>
        <v>3160</v>
      </c>
      <c r="E94" s="64">
        <f t="shared" si="2"/>
        <v>10440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586590</v>
      </c>
      <c r="E95" s="39">
        <f>SUM(E69:E94)</f>
        <v>1939090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TRUNC(6540,-1)</f>
        <v>6540</v>
      </c>
      <c r="E98" s="62">
        <f t="shared" ref="E98:E118" si="3">TRUNC(+D98*3.3058,-1)</f>
        <v>21610</v>
      </c>
    </row>
    <row r="99" spans="1:7" x14ac:dyDescent="0.3">
      <c r="A99" s="2">
        <v>2</v>
      </c>
      <c r="C99" s="38" t="s">
        <v>40</v>
      </c>
      <c r="D99" s="42">
        <f>TRUNC(31815,-1)</f>
        <v>31810</v>
      </c>
      <c r="E99" s="63">
        <f t="shared" si="3"/>
        <v>105150</v>
      </c>
    </row>
    <row r="100" spans="1:7" x14ac:dyDescent="0.3">
      <c r="A100" s="2">
        <v>3</v>
      </c>
      <c r="C100" s="38" t="s">
        <v>41</v>
      </c>
      <c r="D100" s="42">
        <f>TRUNC(10826,-1)</f>
        <v>10820</v>
      </c>
      <c r="E100" s="63">
        <f t="shared" si="3"/>
        <v>35760</v>
      </c>
    </row>
    <row r="101" spans="1:7" x14ac:dyDescent="0.3">
      <c r="A101" s="2">
        <v>4</v>
      </c>
      <c r="C101" s="38" t="s">
        <v>42</v>
      </c>
      <c r="D101" s="42">
        <f>TRUNC(1369,-1)</f>
        <v>1360</v>
      </c>
      <c r="E101" s="63">
        <f t="shared" si="3"/>
        <v>4490</v>
      </c>
    </row>
    <row r="102" spans="1:7" x14ac:dyDescent="0.3">
      <c r="A102" s="2">
        <v>5</v>
      </c>
      <c r="C102" s="38" t="s">
        <v>43</v>
      </c>
      <c r="D102" s="42">
        <f>TRUNC(2238,-1)</f>
        <v>2230</v>
      </c>
      <c r="E102" s="63">
        <f t="shared" si="3"/>
        <v>7370</v>
      </c>
    </row>
    <row r="103" spans="1:7" x14ac:dyDescent="0.3">
      <c r="A103" s="2">
        <v>6</v>
      </c>
      <c r="C103" s="38" t="s">
        <v>44</v>
      </c>
      <c r="D103" s="42">
        <f>TRUNC(4192,-1)</f>
        <v>4190</v>
      </c>
      <c r="E103" s="63">
        <f t="shared" si="3"/>
        <v>13850</v>
      </c>
    </row>
    <row r="104" spans="1:7" x14ac:dyDescent="0.3">
      <c r="A104" s="2">
        <v>7</v>
      </c>
      <c r="C104" s="38" t="s">
        <v>45</v>
      </c>
      <c r="D104" s="42">
        <f>TRUNC(2455,-1)</f>
        <v>2450</v>
      </c>
      <c r="E104" s="63">
        <f t="shared" si="3"/>
        <v>8090</v>
      </c>
    </row>
    <row r="105" spans="1:7" x14ac:dyDescent="0.3">
      <c r="A105" s="2">
        <v>8</v>
      </c>
      <c r="C105" s="38" t="s">
        <v>46</v>
      </c>
      <c r="D105" s="42">
        <f>TRUNC(6229,-1)</f>
        <v>6220</v>
      </c>
      <c r="E105" s="63">
        <f t="shared" si="3"/>
        <v>20560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TRUNC(2068,-1)</f>
        <v>2060</v>
      </c>
      <c r="E114" s="63">
        <f t="shared" si="3"/>
        <v>6800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TRUNC(6104,-1)</f>
        <v>6100</v>
      </c>
      <c r="E116" s="63">
        <f t="shared" si="3"/>
        <v>20160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TRUNC(102375,-1)</f>
        <v>102370</v>
      </c>
      <c r="E117" s="63">
        <f t="shared" si="3"/>
        <v>338410</v>
      </c>
    </row>
    <row r="118" spans="1:7" ht="17.25" thickBot="1" x14ac:dyDescent="0.35">
      <c r="A118" s="2">
        <v>21</v>
      </c>
      <c r="C118" s="38" t="s">
        <v>47</v>
      </c>
      <c r="D118" s="43">
        <f>TRUNC(4269,-1)</f>
        <v>4260</v>
      </c>
      <c r="E118" s="64">
        <f t="shared" si="3"/>
        <v>14080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180410</v>
      </c>
      <c r="E119" s="39">
        <f>SUM(E98:E118)</f>
        <v>596330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TRUNC(413,-1)</f>
        <v>410</v>
      </c>
      <c r="E124" s="63">
        <f t="shared" si="4"/>
        <v>1350</v>
      </c>
    </row>
    <row r="125" spans="1:7" x14ac:dyDescent="0.3">
      <c r="A125" s="2">
        <v>4</v>
      </c>
      <c r="C125" s="38" t="s">
        <v>138</v>
      </c>
      <c r="D125" s="42">
        <f>TRUNC(3624,-1)</f>
        <v>3620</v>
      </c>
      <c r="E125" s="63">
        <f t="shared" si="4"/>
        <v>11960</v>
      </c>
    </row>
    <row r="126" spans="1:7" x14ac:dyDescent="0.3">
      <c r="A126" s="2">
        <v>5</v>
      </c>
      <c r="C126" s="38" t="s">
        <v>53</v>
      </c>
      <c r="D126" s="42">
        <f>TRUNC(3147,-1)</f>
        <v>3140</v>
      </c>
      <c r="E126" s="63">
        <f t="shared" si="4"/>
        <v>10380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TRUNC(2792,-1)</f>
        <v>2790</v>
      </c>
      <c r="E128" s="63">
        <f t="shared" si="4"/>
        <v>9220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TRUNC(17839,-1)</f>
        <v>17830</v>
      </c>
      <c r="E131" s="63">
        <f t="shared" si="4"/>
        <v>58940</v>
      </c>
    </row>
    <row r="132" spans="1:7" ht="18" thickBot="1" x14ac:dyDescent="0.35">
      <c r="A132" s="2">
        <v>11</v>
      </c>
      <c r="C132" s="38" t="s">
        <v>47</v>
      </c>
      <c r="D132" s="43">
        <f>TRUNC(3707+288,-1)</f>
        <v>3990</v>
      </c>
      <c r="E132" s="64">
        <f t="shared" si="4"/>
        <v>13190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31780</v>
      </c>
      <c r="E133" s="39">
        <f>SUM(E122:E132)</f>
        <v>105040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TRUNC(182+2197+2573+143,-1)</f>
        <v>5090</v>
      </c>
      <c r="E137" s="63">
        <f t="shared" si="5"/>
        <v>16820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TRUNC(23047,-1)</f>
        <v>23040</v>
      </c>
      <c r="E141" s="63">
        <f t="shared" si="5"/>
        <v>76160</v>
      </c>
    </row>
    <row r="142" spans="1:7" x14ac:dyDescent="0.3">
      <c r="A142" s="2">
        <v>7</v>
      </c>
      <c r="C142" s="38" t="s">
        <v>58</v>
      </c>
      <c r="D142" s="42">
        <f>TRUNC(3110,-1)</f>
        <v>3110</v>
      </c>
      <c r="E142" s="63">
        <f t="shared" si="5"/>
        <v>10280</v>
      </c>
    </row>
    <row r="143" spans="1:7" x14ac:dyDescent="0.3">
      <c r="A143" s="2">
        <v>8</v>
      </c>
      <c r="C143" s="38" t="s">
        <v>62</v>
      </c>
      <c r="D143" s="42">
        <f>TRUNC(6128,-1)</f>
        <v>6120</v>
      </c>
      <c r="E143" s="63">
        <f t="shared" si="5"/>
        <v>20230</v>
      </c>
    </row>
    <row r="144" spans="1:7" x14ac:dyDescent="0.3">
      <c r="A144" s="2">
        <v>9</v>
      </c>
      <c r="C144" s="38" t="s">
        <v>63</v>
      </c>
      <c r="D144" s="42">
        <f>TRUNC(28827,-1)</f>
        <v>28820</v>
      </c>
      <c r="E144" s="63">
        <f t="shared" si="5"/>
        <v>95270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66180</v>
      </c>
      <c r="E146" s="39">
        <f>SUM(E136:E145)</f>
        <v>218760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TRUNC(1428,-1)</f>
        <v>1420</v>
      </c>
      <c r="E149" s="62">
        <f>TRUNC(+D149*3.3058,-1)</f>
        <v>4690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TRUNC(5885,-1)</f>
        <v>5880</v>
      </c>
      <c r="E150" s="63">
        <f>TRUNC(+D150*3.3058,-1)</f>
        <v>19430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f>TRUNC(20366,-1)</f>
        <v>20360</v>
      </c>
      <c r="E153" s="64">
        <f>TRUNC(+D153*3.3058,-1)</f>
        <v>67300</v>
      </c>
    </row>
    <row r="154" spans="1:7" x14ac:dyDescent="0.3">
      <c r="A154" s="2">
        <v>6</v>
      </c>
      <c r="C154" s="27" t="s">
        <v>112</v>
      </c>
      <c r="D154" s="39">
        <f>SUM(D149:D153)</f>
        <v>27660</v>
      </c>
      <c r="E154" s="39">
        <f>SUM(E149:E153)</f>
        <v>91420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2020-12-08T02:35:18Z</dcterms:modified>
</cp:coreProperties>
</file>