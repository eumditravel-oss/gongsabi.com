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58" i="4" l="1"/>
  <c r="D55" i="4"/>
  <c r="D53" i="4"/>
  <c r="D52" i="4"/>
  <c r="D51" i="4"/>
  <c r="D50" i="4"/>
  <c r="D49" i="4"/>
  <c r="D48" i="4"/>
  <c r="D47" i="4"/>
  <c r="D46" i="4"/>
  <c r="D45" i="4"/>
  <c r="D44" i="4"/>
  <c r="D43" i="4"/>
  <c r="D41" i="4"/>
  <c r="D40" i="4"/>
  <c r="D152" i="4"/>
  <c r="D150" i="4"/>
  <c r="D149" i="4"/>
  <c r="D63" i="4"/>
  <c r="D159" i="4"/>
  <c r="D158" i="4"/>
  <c r="D157" i="4"/>
  <c r="D59" i="4"/>
  <c r="D94" i="4"/>
  <c r="D85" i="4"/>
  <c r="D76" i="4"/>
  <c r="D90" i="4"/>
  <c r="D75" i="4"/>
  <c r="D72" i="4"/>
  <c r="D92" i="4"/>
  <c r="D78" i="4"/>
  <c r="D71" i="4"/>
  <c r="D69" i="4"/>
  <c r="D143" i="4"/>
  <c r="D104" i="4"/>
  <c r="D105" i="4"/>
  <c r="D102" i="4"/>
  <c r="D100" i="4"/>
  <c r="D99" i="4"/>
  <c r="D98" i="4"/>
  <c r="D106" i="4"/>
  <c r="D114" i="4"/>
  <c r="D117" i="4"/>
  <c r="D129" i="4"/>
  <c r="D124" i="4"/>
  <c r="D132" i="4"/>
  <c r="D125" i="4"/>
  <c r="D122" i="4"/>
  <c r="D123" i="4"/>
  <c r="D13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60" i="4"/>
  <c r="E154" i="4"/>
  <c r="E95" i="4"/>
  <c r="E146" i="4"/>
  <c r="E119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<sst xmlns="http://schemas.openxmlformats.org/spreadsheetml/2006/main" count="393" uniqueCount="268">
  <si>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</si>
  <si>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</si>
  <si>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</si>
  <si>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</si>
  <si>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</si>
  <si>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</si>
  <si>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</si>
  <si>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</si>
  <si>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</si>
  <si>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</si>
  <si>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</si>
  <si>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</si>
  <si>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</si>
  <si>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</si>
  <si>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</si>
  <si>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</si>
  <si>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</si>
  <si>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</si>
  <si>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</si>
  <si>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</si>
  <si>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</si>
  <si>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</si>
  <si>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</si>
  <si>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</si>
  <si>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</si>
  <si>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</si>
  <si>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</si>
  <si>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</si>
  <si>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</si>
  <si>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</si>
  <si>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</si>
  <si>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</si>
  <si>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</si>
  <si>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</si>
  <si>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</si>
  <si>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</si>
  <si>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</si>
  <si>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</si>
  <si>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</si>
  <si>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</si>
  <si>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</si>
  <si>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</si>
  <si>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</si>
  <si>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</si>
  <si>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</si>
  <si>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</si>
  <si>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</si>
  <si>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</si>
  <si>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</si>
  <si>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</si>
  <si>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</si>
  <si>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</si>
  <si>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</si>
  <si>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</si>
  <si>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</si>
  <si>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</si>
  <si>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</si>
  <si>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</si>
  <si>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</si>
  <si>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</si>
  <si>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</si>
  <si>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</si>
  <si>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</si>
  <si>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</si>
  <si>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</si>
  <si>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</si>
  <si>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</si>
  <si>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</si>
  <si>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</si>
  <si>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</si>
  <si>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</si>
  <si>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</si>
  <si>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</si>
  <si>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</si>
  <si>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</si>
  <si>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</si>
  <si>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</si>
  <si>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</si>
  <si>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</si>
  <si>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</si>
  <si>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</si>
  <si>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</si>
  <si>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</si>
  <si>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</si>
  <si>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</si>
  <si>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</si>
  <si>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</si>
  <si>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</si>
  <si>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</si>
  <si>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</si>
  <si>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</si>
  <si>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</si>
  <si>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</si>
  <si>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</si>
  <si>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</si>
  <si>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</si>
  <si>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</si>
  <si>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</si>
  <si>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</si>
  <si>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</si>
  <si>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</si>
  <si>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</si>
  <si>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</si>
  <si>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</si>
  <si>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</si>
  <si>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</si>
  <si>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</si>
  <si>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</si>
  <si>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</si>
  <si>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</si>
  <si>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</si>
  <si>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</si>
  <si>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</si>
  <si>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</si>
  <si>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</si>
  <si>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</si>
  <si>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</si>
  <si>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</si>
  <si>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</si>
  <si>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</si>
  <si>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</si>
  <si>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</si>
  <si>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</si>
  <si>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</si>
  <si>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</si>
  <si>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</si>
  <si>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</si>
  <si>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</si>
  <si>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</si>
  <si>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</si>
  <si>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</si>
  <si>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</si>
  <si>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</si>
  <si>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</si>
  <si>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</si>
  <si>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</si>
  <si>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</si>
  <si>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</si>
  <si>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</si>
  <si>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</si>
  <si>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</si>
  <si>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</si>
  <si>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</si>
  <si>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</si>
  <si>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</si>
  <si>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</si>
  <si>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</si>
  <si>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</si>
  <si>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</si>
  <si>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</si>
  <si>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</si>
  <si>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</si>
  <si>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</si>
  <si>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</si>
  <si>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</si>
  <si>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</si>
  <si>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</si>
  <si>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</si>
  <si>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</si>
  <si>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</si>
  <si>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</si>
  <si>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</si>
  <si>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</si>
  <si>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</si>
  <si>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</si>
  <si>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</si>
  <si>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</si>
  <si>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</si>
  <si>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</si>
  <si>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</si>
  <si>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</si>
  <si>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</si>
  <si>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</si>
  <si>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</si>
  <si>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</si>
  <si>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</si>
  <si>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</si>
  <si>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</si>
  <si>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</si>
  <si>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</si>
  <si>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</si>
  <si>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</si>
  <si>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</si>
  <si>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</si>
  <si>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</si>
  <si>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</si>
  <si>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</si>
  <si>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</si>
  <si>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</si>
  <si>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</si>
  <si>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</si>
  <si>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</si>
  <si>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</si>
  <si>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</si>
  <si>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</si>
  <si>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</si>
  <si>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</si>
  <si>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</si>
  <si>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</si>
  <si>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</si>
  <si>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</si>
  <si>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</si>
  <si>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</si>
  <si>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</si>
  <si>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</si>
  <si>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</si>
  <si>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</si>
  <si>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</si>
  <si>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</si>
  <si>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</si>
  <si>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</si>
  <si>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</si>
  <si>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</si>
  <si>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</si>
  <si>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</si>
  <si>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</si>
  <si>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</si>
  <si>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</si>
  <si>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</si>
  <si>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</si>
  <si>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</si>
  <si>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</si>
  <si>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</si>
  <si>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</si>
  <si>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</si>
  <si>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</si>
  <si>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</si>
  <si>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</si>
  <si>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</si>
  <si>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</si>
  <si>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</si>
  <si>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</si>
  <si>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</si>
  <si>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</si>
  <si>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</si>
  <si>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</si>
  <si>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</si>
  <si>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</si>
  <si>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</si>
  <si>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</si>
  <si>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</si>
  <si>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</si>
  <si>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</si>
  <si>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</si>
  <si>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</si>
  <si>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</si>
  <si>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</si>
  <si>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</si>
  <si>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00시립중앙도서관 건축공사</t>
  </si>
  <si>
    <t>교육연구</t>
  </si>
  <si>
    <t>경기도</t>
  </si>
  <si>
    <t>전화설비공사</t>
  </si>
  <si>
    <t>CCTV 설비공사</t>
  </si>
  <si>
    <t>변전실설비공사</t>
  </si>
  <si>
    <t>접지설비공사,피뢰침 설비공사</t>
    <phoneticPr fontId="2" type="noConversion"/>
  </si>
  <si>
    <t>전기 유도등</t>
    <phoneticPr fontId="2" type="noConversion"/>
  </si>
  <si>
    <t>위생설비공사</t>
  </si>
  <si>
    <t>공조배관공사,전열교환기설비공사,우수처리공사,시운전</t>
    <phoneticPr fontId="2" type="noConversion"/>
  </si>
  <si>
    <t>포장공사,자재비</t>
    <phoneticPr fontId="2" type="noConversion"/>
  </si>
  <si>
    <t>우수공사,오수공사</t>
  </si>
  <si>
    <t>상수공사,자재대,운반공사</t>
    <phoneticPr fontId="2" type="noConversion"/>
  </si>
  <si>
    <t>지정공사,잡공사,골재비,운반비,폐기물처리비,다목적실공사,정화조공사</t>
    <phoneticPr fontId="2" type="noConversion"/>
  </si>
  <si>
    <t>전기 화재경보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</si>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</sst>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5051</v>
      </c>
      <c r="D7" s="36">
        <f>+C7/3.3058</f>
        <v>1527.9206243571903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874550</v>
      </c>
      <c r="E25" s="59">
        <f t="shared" si="0"/>
        <v>2891080</v>
      </c>
    </row>
    <row r="26" spans="1:5" x14ac:dyDescent="0.3">
      <c r="B26" s="2">
        <v>3</v>
      </c>
      <c r="C26" s="35" t="s">
        <v>95</v>
      </c>
      <c r="D26" s="45">
        <f>+D66</f>
        <v>21070</v>
      </c>
      <c r="E26" s="59">
        <f t="shared" si="0"/>
        <v>69650</v>
      </c>
    </row>
    <row r="27" spans="1:5" x14ac:dyDescent="0.3">
      <c r="B27" s="2">
        <v>4</v>
      </c>
      <c r="C27" s="35" t="s">
        <v>96</v>
      </c>
      <c r="D27" s="45">
        <f>+D95</f>
        <v>164180</v>
      </c>
      <c r="E27" s="59">
        <f t="shared" si="0"/>
        <v>542740</v>
      </c>
    </row>
    <row r="28" spans="1:5" x14ac:dyDescent="0.3">
      <c r="B28" s="2">
        <v>5</v>
      </c>
      <c r="C28" s="35" t="s">
        <v>97</v>
      </c>
      <c r="D28" s="45">
        <f>+D119</f>
        <v>154920</v>
      </c>
      <c r="E28" s="59">
        <f t="shared" si="0"/>
        <v>512130</v>
      </c>
    </row>
    <row r="29" spans="1:5" x14ac:dyDescent="0.3">
      <c r="B29" s="2">
        <v>6</v>
      </c>
      <c r="C29" s="35" t="s">
        <v>98</v>
      </c>
      <c r="D29" s="45">
        <f>+D133</f>
        <v>57550</v>
      </c>
      <c r="E29" s="59">
        <f t="shared" si="0"/>
        <v>190240</v>
      </c>
    </row>
    <row r="30" spans="1:5" x14ac:dyDescent="0.3">
      <c r="B30" s="2">
        <v>7</v>
      </c>
      <c r="C30" s="35" t="s">
        <v>99</v>
      </c>
      <c r="D30" s="45">
        <f>+D146</f>
        <v>23950</v>
      </c>
      <c r="E30" s="59">
        <f t="shared" si="0"/>
        <v>79170</v>
      </c>
    </row>
    <row r="31" spans="1:5" x14ac:dyDescent="0.3">
      <c r="B31" s="2">
        <v>8</v>
      </c>
      <c r="C31" s="35" t="s">
        <v>100</v>
      </c>
      <c r="D31" s="45">
        <f>+D154</f>
        <v>14160</v>
      </c>
      <c r="E31" s="59">
        <f t="shared" si="0"/>
        <v>46810</v>
      </c>
    </row>
    <row r="32" spans="1:5" x14ac:dyDescent="0.3">
      <c r="B32" s="2">
        <v>9</v>
      </c>
      <c r="C32" s="35" t="s">
        <v>101</v>
      </c>
      <c r="D32" s="45">
        <f>+D161</f>
        <v>41560</v>
      </c>
      <c r="E32" s="59">
        <f t="shared" si="0"/>
        <v>137380</v>
      </c>
    </row>
    <row r="33" spans="1:7" x14ac:dyDescent="0.3">
      <c r="B33" s="2">
        <v>10</v>
      </c>
      <c r="C33" s="35" t="s">
        <v>154</v>
      </c>
      <c r="D33" s="53">
        <f>TRUNC(SUM(D24:D32)*0.275,-1)</f>
        <v>371780</v>
      </c>
      <c r="E33" s="60">
        <f t="shared" si="0"/>
        <v>1229030</v>
      </c>
    </row>
    <row r="34" spans="1:7" x14ac:dyDescent="0.3">
      <c r="C34" s="35" t="s">
        <v>112</v>
      </c>
      <c r="D34" s="44">
        <f>SUM(D24:D33)</f>
        <v>1723720</v>
      </c>
      <c r="E34" s="44">
        <f>SUM(E24:E33)</f>
        <v>5698230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TRUNC(36060.6479904969,-1)</f>
        <v>36060</v>
      </c>
      <c r="E40" s="62">
        <f t="shared" ref="E40:E59" si="1">TRUNC(+D40*3.3058,-1)</f>
        <v>119200</v>
      </c>
    </row>
    <row r="41" spans="1:7" x14ac:dyDescent="0.3">
      <c r="A41" s="2">
        <v>2</v>
      </c>
      <c r="C41" s="38" t="s">
        <v>13</v>
      </c>
      <c r="D41" s="42">
        <f>TRUNC(127802.113244902,-1)</f>
        <v>127800</v>
      </c>
      <c r="E41" s="63">
        <f t="shared" si="1"/>
        <v>422480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TRUNC(53118.5462284696,-1)</f>
        <v>53110</v>
      </c>
      <c r="E43" s="63">
        <f t="shared" si="1"/>
        <v>175570</v>
      </c>
    </row>
    <row r="44" spans="1:7" x14ac:dyDescent="0.3">
      <c r="A44" s="2">
        <v>5</v>
      </c>
      <c r="C44" s="38" t="s">
        <v>17</v>
      </c>
      <c r="D44" s="42">
        <f>TRUNC(33547.3442882598,-1)</f>
        <v>33540</v>
      </c>
      <c r="E44" s="63">
        <f t="shared" si="1"/>
        <v>110870</v>
      </c>
    </row>
    <row r="45" spans="1:7" x14ac:dyDescent="0.3">
      <c r="A45" s="2">
        <v>6</v>
      </c>
      <c r="C45" s="38" t="s">
        <v>18</v>
      </c>
      <c r="D45" s="42">
        <f>TRUNC(4153.20253415165,-1)</f>
        <v>4150</v>
      </c>
      <c r="E45" s="63">
        <f t="shared" si="1"/>
        <v>13710</v>
      </c>
    </row>
    <row r="46" spans="1:7" x14ac:dyDescent="0.3">
      <c r="A46" s="2">
        <v>7</v>
      </c>
      <c r="C46" s="38" t="s">
        <v>19</v>
      </c>
      <c r="D46" s="42">
        <f>TRUNC(11274.7151059196,-1)</f>
        <v>11270</v>
      </c>
      <c r="E46" s="63">
        <f t="shared" si="1"/>
        <v>37250</v>
      </c>
    </row>
    <row r="47" spans="1:7" x14ac:dyDescent="0.3">
      <c r="A47" s="2">
        <v>8</v>
      </c>
      <c r="C47" s="38" t="s">
        <v>20</v>
      </c>
      <c r="D47" s="42">
        <f>TRUNC(16630.9483270639,-1)</f>
        <v>16630</v>
      </c>
      <c r="E47" s="63">
        <f t="shared" si="1"/>
        <v>54970</v>
      </c>
    </row>
    <row r="48" spans="1:7" x14ac:dyDescent="0.3">
      <c r="A48" s="2">
        <v>9</v>
      </c>
      <c r="C48" s="38" t="s">
        <v>21</v>
      </c>
      <c r="D48" s="42">
        <f>TRUNC(108669.731538309,-1)</f>
        <v>108660</v>
      </c>
      <c r="E48" s="63">
        <f t="shared" si="1"/>
        <v>359200</v>
      </c>
    </row>
    <row r="49" spans="1:7" x14ac:dyDescent="0.3">
      <c r="A49" s="2">
        <v>10</v>
      </c>
      <c r="C49" s="38" t="s">
        <v>22</v>
      </c>
      <c r="D49" s="42">
        <f>TRUNC(22086.8968521085,-1)</f>
        <v>22080</v>
      </c>
      <c r="E49" s="63">
        <f t="shared" si="1"/>
        <v>72990</v>
      </c>
    </row>
    <row r="50" spans="1:7" x14ac:dyDescent="0.3">
      <c r="A50" s="2">
        <v>11</v>
      </c>
      <c r="C50" s="38" t="s">
        <v>155</v>
      </c>
      <c r="D50" s="42">
        <f>TRUNC(89146.7509404078,-1)</f>
        <v>89140</v>
      </c>
      <c r="E50" s="63">
        <f t="shared" si="1"/>
        <v>294670</v>
      </c>
    </row>
    <row r="51" spans="1:7" x14ac:dyDescent="0.3">
      <c r="A51" s="2">
        <v>12</v>
      </c>
      <c r="C51" s="38" t="s">
        <v>23</v>
      </c>
      <c r="D51" s="42">
        <f>TRUNC(17607.2177786577,-1)</f>
        <v>17600</v>
      </c>
      <c r="E51" s="63">
        <f t="shared" si="1"/>
        <v>58180</v>
      </c>
    </row>
    <row r="52" spans="1:7" x14ac:dyDescent="0.3">
      <c r="A52" s="2">
        <v>13</v>
      </c>
      <c r="C52" s="38" t="s">
        <v>24</v>
      </c>
      <c r="D52" s="42">
        <f>TRUNC(12381.3419124926,-1)</f>
        <v>12380</v>
      </c>
      <c r="E52" s="63">
        <f t="shared" si="1"/>
        <v>40920</v>
      </c>
    </row>
    <row r="53" spans="1:7" x14ac:dyDescent="0.3">
      <c r="A53" s="2">
        <v>14</v>
      </c>
      <c r="C53" s="38" t="s">
        <v>25</v>
      </c>
      <c r="D53" s="42">
        <f>TRUNC(50653.9164521877,-1)</f>
        <v>50650</v>
      </c>
      <c r="E53" s="63">
        <f t="shared" si="1"/>
        <v>167430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TRUNC(2978.86517521283,-1)</f>
        <v>2970</v>
      </c>
      <c r="E55" s="63">
        <f t="shared" si="1"/>
        <v>9810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TRUNC(1833.90021777866+29417.3767570778+1712.13621065136+1891.70382102554+2121.85923579489+37034.2555929519+4613.90318748763,-1)</f>
        <v>78620</v>
      </c>
      <c r="E58" s="63">
        <f t="shared" si="1"/>
        <v>259900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TRUNC(209890.516729361,-1)</f>
        <v>209890</v>
      </c>
      <c r="E59" s="64">
        <f t="shared" si="1"/>
        <v>693850</v>
      </c>
    </row>
    <row r="60" spans="1:7" x14ac:dyDescent="0.3">
      <c r="A60" s="2">
        <v>21</v>
      </c>
      <c r="C60" s="27" t="s">
        <v>112</v>
      </c>
      <c r="D60" s="39">
        <f>SUM(D40:D59)</f>
        <v>874550</v>
      </c>
      <c r="E60" s="39">
        <f>SUM(E40:E59)</f>
        <v>2891000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TRUNC(21070.0673134033,-1)</f>
        <v>21070</v>
      </c>
      <c r="E63" s="62">
        <f>TRUNC(+D63*3.3058,-1)</f>
        <v>69650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21070</v>
      </c>
      <c r="E66" s="65">
        <f>SUM(E63:E65)</f>
        <v>69650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TRUNC(18605.8930904771,-1)</f>
        <v>18600</v>
      </c>
      <c r="E69" s="62">
        <f t="shared" ref="E69:E94" si="2">TRUNC(+D69*3.3058,-1)</f>
        <v>61480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TRUNC(20470.4173431004,-1)</f>
        <v>20470</v>
      </c>
      <c r="E71" s="63">
        <f t="shared" si="2"/>
        <v>67660</v>
      </c>
    </row>
    <row r="72" spans="1:7" x14ac:dyDescent="0.3">
      <c r="A72" s="2">
        <v>4</v>
      </c>
      <c r="C72" s="38" t="s">
        <v>33</v>
      </c>
      <c r="D72" s="42">
        <f>TRUNC(1806.23044941596,-1)</f>
        <v>1800</v>
      </c>
      <c r="E72" s="63">
        <f t="shared" si="2"/>
        <v>5950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TRUNC(1876.85606810533,-1)</f>
        <v>1870</v>
      </c>
      <c r="E75" s="63">
        <f t="shared" si="2"/>
        <v>6180</v>
      </c>
    </row>
    <row r="76" spans="1:7" x14ac:dyDescent="0.3">
      <c r="A76" s="2">
        <v>8</v>
      </c>
      <c r="C76" s="38" t="s">
        <v>119</v>
      </c>
      <c r="D76" s="42">
        <f>TRUNC(35476.570184122,-1)</f>
        <v>35470</v>
      </c>
      <c r="E76" s="63">
        <f t="shared" si="2"/>
        <v>117250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TRUNC(32355.6782815284,-1)</f>
        <v>32350</v>
      </c>
      <c r="E78" s="63">
        <f t="shared" si="2"/>
        <v>106940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TRUNC(4545.70896852108,-1)</f>
        <v>4540</v>
      </c>
      <c r="E85" s="63">
        <f t="shared" si="2"/>
        <v>15000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TRUNC(1585.76123539893,-1)</f>
        <v>1580</v>
      </c>
      <c r="E90" s="63">
        <f t="shared" si="2"/>
        <v>5220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TRUNC(17493.617897446,-1)</f>
        <v>17490</v>
      </c>
      <c r="E92" s="63">
        <f t="shared" si="2"/>
        <v>57810</v>
      </c>
      <c r="F92" s="2" t="s">
        <v>256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TRUNC(17941.5895862206+4537.47911304692+4822.80736487824+2711.18273609186,-1)</f>
        <v>30010</v>
      </c>
      <c r="E94" s="64">
        <f t="shared" si="2"/>
        <v>99200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164180</v>
      </c>
      <c r="E95" s="39">
        <f>SUM(E69:E94)</f>
        <v>542690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TRUNC(12265.021183924,-1)</f>
        <v>12260</v>
      </c>
      <c r="E98" s="62">
        <f t="shared" ref="E98:E118" si="3">TRUNC(+D98*3.3058,-1)</f>
        <v>40520</v>
      </c>
    </row>
    <row r="99" spans="1:7" x14ac:dyDescent="0.3">
      <c r="A99" s="2">
        <v>2</v>
      </c>
      <c r="C99" s="38" t="s">
        <v>40</v>
      </c>
      <c r="D99" s="42">
        <f>TRUNC(7015.44149673332,-1)</f>
        <v>7010</v>
      </c>
      <c r="E99" s="63">
        <f t="shared" si="3"/>
        <v>23170</v>
      </c>
    </row>
    <row r="100" spans="1:7" x14ac:dyDescent="0.3">
      <c r="A100" s="2">
        <v>3</v>
      </c>
      <c r="C100" s="38" t="s">
        <v>41</v>
      </c>
      <c r="D100" s="42">
        <f>TRUNC(26014.1057216393,-1)</f>
        <v>26010</v>
      </c>
      <c r="E100" s="63">
        <f t="shared" si="3"/>
        <v>85980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TRUNC(6661.05959215997,-1)</f>
        <v>6660</v>
      </c>
      <c r="E102" s="63">
        <f t="shared" si="3"/>
        <v>22010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TRUNC(2582.76935260344+779.055830528608,-1)</f>
        <v>3360</v>
      </c>
      <c r="E104" s="63">
        <f t="shared" si="3"/>
        <v>11100</v>
      </c>
      <c r="F104" s="2" t="s">
        <v>254</v>
      </c>
    </row>
    <row r="105" spans="1:7" x14ac:dyDescent="0.3">
      <c r="A105" s="2">
        <v>8</v>
      </c>
      <c r="C105" s="38" t="s">
        <v>46</v>
      </c>
      <c r="D105" s="42">
        <f>TRUNC(1647.36943179568,-1)</f>
        <v>1640</v>
      </c>
      <c r="E105" s="63">
        <f t="shared" si="3"/>
        <v>5420</v>
      </c>
    </row>
    <row r="106" spans="1:7" x14ac:dyDescent="0.3">
      <c r="A106" s="2">
        <v>9</v>
      </c>
      <c r="C106" s="38" t="s">
        <v>135</v>
      </c>
      <c r="D106" s="42">
        <f>TRUNC(1693.74203128093,-1)</f>
        <v>1690</v>
      </c>
      <c r="E106" s="63">
        <f t="shared" si="3"/>
        <v>5580</v>
      </c>
      <c r="F106" s="2" t="s">
        <v>253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TRUNC(9173.8111265096,-1)</f>
        <v>9170</v>
      </c>
      <c r="E114" s="63">
        <f t="shared" si="3"/>
        <v>30310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TRUNC(25966.3432983568+61163.3339932687,-1)</f>
        <v>87120</v>
      </c>
      <c r="E117" s="63">
        <f t="shared" si="3"/>
        <v>288000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154920</v>
      </c>
      <c r="E119" s="39">
        <f>SUM(E98:E118)</f>
        <v>512090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TRUNC(2391.99683231043,-1)</f>
        <v>2390</v>
      </c>
      <c r="E122" s="62">
        <f t="shared" ref="E122:E132" si="4">TRUNC(+D122*3.3058,-1)</f>
        <v>7900</v>
      </c>
    </row>
    <row r="123" spans="1:7" x14ac:dyDescent="0.3">
      <c r="A123" s="2">
        <v>2</v>
      </c>
      <c r="C123" s="38" t="s">
        <v>124</v>
      </c>
      <c r="D123" s="42">
        <f>TRUNC(13727.3914076421,-1)</f>
        <v>13720</v>
      </c>
      <c r="E123" s="63">
        <f t="shared" si="4"/>
        <v>45350</v>
      </c>
      <c r="F123" s="2" t="s">
        <v>251</v>
      </c>
    </row>
    <row r="124" spans="1:7" x14ac:dyDescent="0.3">
      <c r="A124" s="2">
        <v>3</v>
      </c>
      <c r="C124" s="38" t="s">
        <v>151</v>
      </c>
      <c r="D124" s="42">
        <f>TRUNC(2557.84438725005,-1)</f>
        <v>2550</v>
      </c>
      <c r="E124" s="63">
        <f t="shared" si="4"/>
        <v>8420</v>
      </c>
    </row>
    <row r="125" spans="1:7" x14ac:dyDescent="0.3">
      <c r="A125" s="2">
        <v>4</v>
      </c>
      <c r="C125" s="38" t="s">
        <v>138</v>
      </c>
      <c r="D125" s="42">
        <f>TRUNC(4040.64799049693,-1)</f>
        <v>4040</v>
      </c>
      <c r="E125" s="63">
        <f t="shared" si="4"/>
        <v>13350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f>TRUNC(2678.50287071867,-1)</f>
        <v>2670</v>
      </c>
      <c r="E129" s="63">
        <f t="shared" si="4"/>
        <v>8820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TRUNC(10004.5535537517,-1)</f>
        <v>10000</v>
      </c>
      <c r="E131" s="63">
        <f t="shared" si="4"/>
        <v>33050</v>
      </c>
    </row>
    <row r="132" spans="1:7" ht="18" thickBot="1" x14ac:dyDescent="0.35">
      <c r="A132" s="2">
        <v>11</v>
      </c>
      <c r="C132" s="38" t="s">
        <v>47</v>
      </c>
      <c r="D132" s="43">
        <f>TRUNC(22181.1203722035,-1)</f>
        <v>22180</v>
      </c>
      <c r="E132" s="64">
        <f t="shared" si="4"/>
        <v>73320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57550</v>
      </c>
      <c r="E133" s="39">
        <f>SUM(E122:E132)</f>
        <v>190210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TRUNC(16476.4508018214,-1)</f>
        <v>16470</v>
      </c>
      <c r="E136" s="62">
        <f t="shared" ref="E136:E145" si="5">TRUNC(+D136*3.3058,-1)</f>
        <v>54440</v>
      </c>
    </row>
    <row r="137" spans="1:7" x14ac:dyDescent="0.3">
      <c r="A137" s="2">
        <v>2</v>
      </c>
      <c r="C137" s="38" t="s">
        <v>47</v>
      </c>
      <c r="D137" s="42">
        <f>TRUNC(5731.62720253415,-1)</f>
        <v>5730</v>
      </c>
      <c r="E137" s="63">
        <f t="shared" si="5"/>
        <v>18940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TRUNC(1752.29182340131,-1)</f>
        <v>1750</v>
      </c>
      <c r="E143" s="63">
        <f t="shared" si="5"/>
        <v>5780</v>
      </c>
      <c r="F143" s="2" t="s">
        <v>255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23950</v>
      </c>
      <c r="E146" s="39">
        <f>SUM(E136:E145)</f>
        <v>79160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TRUNC(4356.0186101762+626.891704612948,-1)</f>
        <v>4980</v>
      </c>
      <c r="E149" s="62">
        <f>TRUNC(+D149*3.3058,-1)</f>
        <v>16460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TRUNC(2590.75153434963,-1)</f>
        <v>2590</v>
      </c>
      <c r="E150" s="63">
        <f>TRUNC(+D150*3.3058,-1)</f>
        <v>8560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TRUNC(486.989902989507+5943.4149673332+166.798455751336,-1)</f>
        <v>6590</v>
      </c>
      <c r="E152" s="63">
        <f>TRUNC(+D152*3.3058,-1)</f>
        <v>21780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14160</v>
      </c>
      <c r="E154" s="39">
        <f>SUM(E149:E153)</f>
        <v>46800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TRUNC(7354.04890120768,-1)</f>
        <v>7350</v>
      </c>
      <c r="E157" s="62">
        <f>TRUNC(+D157*3.3058,-1)</f>
        <v>24290</v>
      </c>
    </row>
    <row r="158" spans="1:7" x14ac:dyDescent="0.3">
      <c r="A158" s="2">
        <v>2</v>
      </c>
      <c r="C158" s="38" t="s">
        <v>52</v>
      </c>
      <c r="D158" s="42">
        <f>TRUNC(3152.5187091665,-1)</f>
        <v>3150</v>
      </c>
      <c r="E158" s="63">
        <f>TRUNC(+D158*3.3058,-1)</f>
        <v>10410</v>
      </c>
    </row>
    <row r="159" spans="1:7" x14ac:dyDescent="0.3">
      <c r="A159" s="2">
        <v>3</v>
      </c>
      <c r="C159" s="38" t="s">
        <v>47</v>
      </c>
      <c r="D159" s="42">
        <f>TRUNC(3626.39338744803+27442.1635319739,-1)</f>
        <v>31060</v>
      </c>
      <c r="E159" s="63">
        <f>TRUNC(+D159*3.3058,-1)</f>
        <v>102670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41560</v>
      </c>
      <c r="E161" s="39">
        <f>SUM(E157:E160)</f>
        <v>137370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2020-12-07T09:17:10Z</dcterms:modified>
</cp:coreProperties>
</file>