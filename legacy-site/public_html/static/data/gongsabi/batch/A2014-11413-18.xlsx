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4" i="4" l="1"/>
  <c r="D58" i="4"/>
  <c r="D124" i="4" l="1"/>
  <c r="D125" i="4"/>
  <c r="D127" i="4"/>
  <c r="D132" i="4"/>
  <c r="D122" i="4"/>
  <c r="D130" i="4"/>
  <c r="D126" i="4"/>
  <c r="D105" i="4"/>
  <c r="D104" i="4"/>
  <c r="D100" i="4"/>
  <c r="D102" i="4"/>
  <c r="D108" i="4"/>
  <c r="D99" i="4"/>
  <c r="D98" i="4"/>
  <c r="D115" i="4"/>
  <c r="D118" i="4"/>
  <c r="D94" i="4"/>
  <c r="D76" i="4"/>
  <c r="D74" i="4"/>
  <c r="D92" i="4"/>
  <c r="D79" i="4"/>
  <c r="D71" i="4"/>
  <c r="D70" i="4"/>
  <c r="D69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37" i="4"/>
  <c r="D136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46" i="4"/>
  <c r="E154" i="4"/>
  <c r="D161" i="4"/>
  <c r="D154" i="4"/>
  <c r="D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<sst xmlns="http://schemas.openxmlformats.org/spreadsheetml/2006/main" count="398" uniqueCount="273">
  <si>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</si>
  <si>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</si>
  <si>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</si>
  <si>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</si>
  <si>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</si>
  <si>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</si>
  <si>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</si>
  <si>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</si>
  <si>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</si>
  <si>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</si>
  <si>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</si>
  <si>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</si>
  <si>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</si>
  <si>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</si>
  <si>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</si>
  <si>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</si>
  <si>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</si>
  <si>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</si>
  <si>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</si>
  <si>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</si>
  <si>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</si>
  <si>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</si>
  <si>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</si>
  <si>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</si>
  <si>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</si>
  <si>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</si>
  <si>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</si>
  <si>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</si>
  <si>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</si>
  <si>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</si>
  <si>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</si>
  <si>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</si>
  <si>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</si>
  <si>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</si>
  <si>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</si>
  <si>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</si>
  <si>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</si>
  <si>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</si>
  <si>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</si>
  <si>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</si>
  <si>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</si>
  <si>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</si>
  <si>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</si>
  <si>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</si>
  <si>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</si>
  <si>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</si>
  <si>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</si>
  <si>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</si>
  <si>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</si>
  <si>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</si>
  <si>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</si>
  <si>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</si>
  <si>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</si>
  <si>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</si>
  <si>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</si>
  <si>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</si>
  <si>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</si>
  <si>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</si>
  <si>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</si>
  <si>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</si>
  <si>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</si>
  <si>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</si>
  <si>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</si>
  <si>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</si>
  <si>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</si>
  <si>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</si>
  <si>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</si>
  <si>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</si>
  <si>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</si>
  <si>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</si>
  <si>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</si>
  <si>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</si>
  <si>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</si>
  <si>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</si>
  <si>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</si>
  <si>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</si>
  <si>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</si>
  <si>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</si>
  <si>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</si>
  <si>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</si>
  <si>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</si>
  <si>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</si>
  <si>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</si>
  <si>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</si>
  <si>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</si>
  <si>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</si>
  <si>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</si>
  <si>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</si>
  <si>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</si>
  <si>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</si>
  <si>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</si>
  <si>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</si>
  <si>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</si>
  <si>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</si>
  <si>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</si>
  <si>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</si>
  <si>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</si>
  <si>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</si>
  <si>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</si>
  <si>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</si>
  <si>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</si>
  <si>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</si>
  <si>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</si>
  <si>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</si>
  <si>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</si>
  <si>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</si>
  <si>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</si>
  <si>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</si>
  <si>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</si>
  <si>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</si>
  <si>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</si>
  <si>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</si>
  <si>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</si>
  <si>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</si>
  <si>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</si>
  <si>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</si>
  <si>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</si>
  <si>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</si>
  <si>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</si>
  <si>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</si>
  <si>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</si>
  <si>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</si>
  <si>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</si>
  <si>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</si>
  <si>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</si>
  <si>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</si>
  <si>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</si>
  <si>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</si>
  <si>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</si>
  <si>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</si>
  <si>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</si>
  <si>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</si>
  <si>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</si>
  <si>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</si>
  <si>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</si>
  <si>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</si>
  <si>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</si>
  <si>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</si>
  <si>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</si>
  <si>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</si>
  <si>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</si>
  <si>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</si>
  <si>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</si>
  <si>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</si>
  <si>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</si>
  <si>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</si>
  <si>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</si>
  <si>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</si>
  <si>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</si>
  <si>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</si>
  <si>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</si>
  <si>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</si>
  <si>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</si>
  <si>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</si>
  <si>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</si>
  <si>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</si>
  <si>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</si>
  <si>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</si>
  <si>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</si>
  <si>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</si>
  <si>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</si>
  <si>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</si>
  <si>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</si>
  <si>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</si>
  <si>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</si>
  <si>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</si>
  <si>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</si>
  <si>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</si>
  <si>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</si>
  <si>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</si>
  <si>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</si>
  <si>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</si>
  <si>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</si>
  <si>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</si>
  <si>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</si>
  <si>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</si>
  <si>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</si>
  <si>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</si>
  <si>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</si>
  <si>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</si>
  <si>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</si>
  <si>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</si>
  <si>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</si>
  <si>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</si>
  <si>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</si>
  <si>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</si>
  <si>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</si>
  <si>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</si>
  <si>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</si>
  <si>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</si>
  <si>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</si>
  <si>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</si>
  <si>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</si>
  <si>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</si>
  <si>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</si>
  <si>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</si>
  <si>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</si>
  <si>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</si>
  <si>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</si>
  <si>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</si>
  <si>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</si>
  <si>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</si>
  <si>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</si>
  <si>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</si>
  <si>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</si>
  <si>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</si>
  <si>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</si>
  <si>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</si>
  <si>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</si>
  <si>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</si>
  <si>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</si>
  <si>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</si>
  <si>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</si>
  <si>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</si>
  <si>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</si>
  <si>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</si>
  <si>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</si>
  <si>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</si>
  <si>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</si>
  <si>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</si>
  <si>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</si>
  <si>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</si>
  <si>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</si>
  <si>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</si>
  <si>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</si>
  <si>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</si>
  <si>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</si>
  <si>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</si>
  <si>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</si>
  <si>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</si>
  <si>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</si>
  <si>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</si>
  <si>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</si>
  <si>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</si>
  <si>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</si>
  <si>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</si>
  <si>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</si>
  <si>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</si>
  <si>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</si>
  <si>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</si>
  <si>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</si>
  <si>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</si>
  <si>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</si>
  <si>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</si>
  <si>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</si>
  <si>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</si>
  <si>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</si>
  <si>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</si>
  <si>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00사회관 신축공사</t>
    <phoneticPr fontId="2" type="noConversion"/>
  </si>
  <si>
    <t>교육연구</t>
  </si>
  <si>
    <t>전라도</t>
  </si>
  <si>
    <t>부대토목공사</t>
    <phoneticPr fontId="2" type="noConversion"/>
  </si>
  <si>
    <t>조경공사</t>
    <phoneticPr fontId="2" type="noConversion"/>
  </si>
  <si>
    <t>기계 소화설비공사</t>
    <phoneticPr fontId="2" type="noConversion"/>
  </si>
  <si>
    <t>전기 소방공사</t>
    <phoneticPr fontId="2" type="noConversion"/>
  </si>
  <si>
    <t>지붕기와공사,홈통공사</t>
    <phoneticPr fontId="2" type="noConversion"/>
  </si>
  <si>
    <t>환기덕트설치공사</t>
    <phoneticPr fontId="2" type="noConversion"/>
  </si>
  <si>
    <t>위생설비공사</t>
    <phoneticPr fontId="2" type="noConversion"/>
  </si>
  <si>
    <t>지열시스쳄설치공사</t>
    <phoneticPr fontId="2" type="noConversion"/>
  </si>
  <si>
    <t>냉매배관스리브공사,기타공사</t>
    <phoneticPr fontId="2" type="noConversion"/>
  </si>
  <si>
    <t>옥외전기설비공사,8층인테리어공사</t>
    <phoneticPr fontId="2" type="noConversion"/>
  </si>
  <si>
    <t>동력설비공사,기계실동력설비공사</t>
    <phoneticPr fontId="2" type="noConversion"/>
  </si>
  <si>
    <t>CATV 설비공사</t>
    <phoneticPr fontId="2" type="noConversion"/>
  </si>
  <si>
    <t>CCTV설비공사</t>
    <phoneticPr fontId="2" type="noConversion"/>
  </si>
  <si>
    <t>전관방송설비공사</t>
    <phoneticPr fontId="2" type="noConversion"/>
  </si>
  <si>
    <t>2층계단강의실 AV설비공사,강의실-세미나실 AV설비공사</t>
    <phoneticPr fontId="2" type="noConversion"/>
  </si>
  <si>
    <t>전통타일외벽공사,기타공사,주방기구공사,단독정화조공사(1000명용/일),주요자재비</t>
    <phoneticPr fontId="2" type="noConversion"/>
  </si>
  <si>
    <t>PHC PILE공사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</si>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</sst>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13332</v>
      </c>
      <c r="D7" s="36">
        <f>+C7/3.3058</f>
        <v>4032.9118518966666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271</v>
      </c>
    </row>
    <row r="19" spans="1:5" x14ac:dyDescent="0.3">
      <c r="A19" s="2">
        <v>9</v>
      </c>
      <c r="B19" s="2" t="s">
        <v>272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14170</v>
      </c>
      <c r="E24" s="58">
        <f t="shared" ref="E24:E33" si="0">TRUNC(+D24*3.3058,-1)</f>
        <v>46840</v>
      </c>
    </row>
    <row r="25" spans="1:5" x14ac:dyDescent="0.3">
      <c r="B25" s="2">
        <v>2</v>
      </c>
      <c r="C25" s="35" t="s">
        <v>111</v>
      </c>
      <c r="D25" s="45">
        <f>+D60</f>
        <v>445740</v>
      </c>
      <c r="E25" s="59">
        <f t="shared" si="0"/>
        <v>1473520</v>
      </c>
    </row>
    <row r="26" spans="1:5" x14ac:dyDescent="0.3">
      <c r="B26" s="2">
        <v>3</v>
      </c>
      <c r="C26" s="35" t="s">
        <v>95</v>
      </c>
      <c r="D26" s="45">
        <f>+D66</f>
        <v>7780</v>
      </c>
      <c r="E26" s="59">
        <f t="shared" si="0"/>
        <v>25710</v>
      </c>
    </row>
    <row r="27" spans="1:5" x14ac:dyDescent="0.3">
      <c r="B27" s="2">
        <v>4</v>
      </c>
      <c r="C27" s="35" t="s">
        <v>96</v>
      </c>
      <c r="D27" s="45">
        <f>+D95</f>
        <v>87430</v>
      </c>
      <c r="E27" s="59">
        <f t="shared" si="0"/>
        <v>289020</v>
      </c>
    </row>
    <row r="28" spans="1:5" x14ac:dyDescent="0.3">
      <c r="B28" s="2">
        <v>5</v>
      </c>
      <c r="C28" s="35" t="s">
        <v>97</v>
      </c>
      <c r="D28" s="45">
        <f>+D119</f>
        <v>62300</v>
      </c>
      <c r="E28" s="59">
        <f t="shared" si="0"/>
        <v>205950</v>
      </c>
    </row>
    <row r="29" spans="1:5" x14ac:dyDescent="0.3">
      <c r="B29" s="2">
        <v>6</v>
      </c>
      <c r="C29" s="35" t="s">
        <v>98</v>
      </c>
      <c r="D29" s="45">
        <f>+D133</f>
        <v>22750</v>
      </c>
      <c r="E29" s="59">
        <f t="shared" si="0"/>
        <v>75200</v>
      </c>
    </row>
    <row r="30" spans="1:5" x14ac:dyDescent="0.3">
      <c r="B30" s="2">
        <v>7</v>
      </c>
      <c r="C30" s="35" t="s">
        <v>99</v>
      </c>
      <c r="D30" s="45">
        <f>+D146</f>
        <v>36370</v>
      </c>
      <c r="E30" s="59">
        <f t="shared" si="0"/>
        <v>120230</v>
      </c>
    </row>
    <row r="31" spans="1:5" x14ac:dyDescent="0.3">
      <c r="B31" s="2">
        <v>8</v>
      </c>
      <c r="C31" s="35" t="s">
        <v>100</v>
      </c>
      <c r="D31" s="45">
        <f>+D154</f>
        <v>14250</v>
      </c>
      <c r="E31" s="59">
        <f t="shared" si="0"/>
        <v>47100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189960</v>
      </c>
      <c r="E33" s="60">
        <f t="shared" si="0"/>
        <v>627960</v>
      </c>
    </row>
    <row r="34" spans="1:7" x14ac:dyDescent="0.3">
      <c r="C34" s="35" t="s">
        <v>112</v>
      </c>
      <c r="D34" s="44">
        <f>SUM(D24:D33)</f>
        <v>880750</v>
      </c>
      <c r="E34" s="44">
        <f>SUM(E24:E33)</f>
        <v>2911530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TRUNC(14173,-1)</f>
        <v>14170</v>
      </c>
      <c r="E37" s="61">
        <f>TRUNC(+D37*3.3058,-1)</f>
        <v>46840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268</v>
      </c>
      <c r="E39" s="67" t="s">
        <v>269</v>
      </c>
      <c r="G39" s="68"/>
    </row>
    <row r="40" spans="1:7" x14ac:dyDescent="0.3">
      <c r="A40" s="2">
        <v>1</v>
      </c>
      <c r="C40" s="38" t="s">
        <v>15</v>
      </c>
      <c r="D40" s="40">
        <f>TRUNC(29971,-1)</f>
        <v>29970</v>
      </c>
      <c r="E40" s="62">
        <f t="shared" ref="E40:E59" si="1">TRUNC(+D40*3.3058,-1)</f>
        <v>99070</v>
      </c>
    </row>
    <row r="41" spans="1:7" x14ac:dyDescent="0.3">
      <c r="A41" s="2">
        <v>2</v>
      </c>
      <c r="C41" s="38" t="s">
        <v>13</v>
      </c>
      <c r="D41" s="42">
        <f>TRUNC(103418,-1)</f>
        <v>103410</v>
      </c>
      <c r="E41" s="63">
        <f t="shared" si="1"/>
        <v>341850</v>
      </c>
    </row>
    <row r="42" spans="1:7" x14ac:dyDescent="0.3">
      <c r="A42" s="2">
        <v>3</v>
      </c>
      <c r="C42" s="38" t="s">
        <v>14</v>
      </c>
      <c r="D42" s="42">
        <f>TRUNC(3321,-1)</f>
        <v>3320</v>
      </c>
      <c r="E42" s="63">
        <f t="shared" si="1"/>
        <v>10970</v>
      </c>
    </row>
    <row r="43" spans="1:7" x14ac:dyDescent="0.3">
      <c r="A43" s="2">
        <v>4</v>
      </c>
      <c r="C43" s="38" t="s">
        <v>16</v>
      </c>
      <c r="D43" s="42">
        <f>TRUNC(20112,-1)</f>
        <v>20110</v>
      </c>
      <c r="E43" s="63">
        <f t="shared" si="1"/>
        <v>66470</v>
      </c>
    </row>
    <row r="44" spans="1:7" x14ac:dyDescent="0.3">
      <c r="A44" s="2">
        <v>5</v>
      </c>
      <c r="C44" s="38" t="s">
        <v>17</v>
      </c>
      <c r="D44" s="42">
        <f>TRUNC(17902,-1)</f>
        <v>17900</v>
      </c>
      <c r="E44" s="63">
        <f t="shared" si="1"/>
        <v>59170</v>
      </c>
    </row>
    <row r="45" spans="1:7" x14ac:dyDescent="0.3">
      <c r="A45" s="2">
        <v>6</v>
      </c>
      <c r="C45" s="38" t="s">
        <v>18</v>
      </c>
      <c r="D45" s="42">
        <f>TRUNC(5336,-1)</f>
        <v>5330</v>
      </c>
      <c r="E45" s="63">
        <f t="shared" si="1"/>
        <v>17610</v>
      </c>
    </row>
    <row r="46" spans="1:7" x14ac:dyDescent="0.3">
      <c r="A46" s="2">
        <v>7</v>
      </c>
      <c r="C46" s="38" t="s">
        <v>19</v>
      </c>
      <c r="D46" s="42">
        <f>TRUNC(40949,-1)</f>
        <v>40940</v>
      </c>
      <c r="E46" s="63">
        <f t="shared" si="1"/>
        <v>135330</v>
      </c>
    </row>
    <row r="47" spans="1:7" x14ac:dyDescent="0.3">
      <c r="A47" s="2">
        <v>8</v>
      </c>
      <c r="C47" s="38" t="s">
        <v>20</v>
      </c>
      <c r="D47" s="42">
        <f>TRUNC(4108,-1)</f>
        <v>4100</v>
      </c>
      <c r="E47" s="63">
        <f t="shared" si="1"/>
        <v>13550</v>
      </c>
    </row>
    <row r="48" spans="1:7" x14ac:dyDescent="0.3">
      <c r="A48" s="2">
        <v>9</v>
      </c>
      <c r="C48" s="38" t="s">
        <v>21</v>
      </c>
      <c r="D48" s="42">
        <f>TRUNC(48332,-1)</f>
        <v>48330</v>
      </c>
      <c r="E48" s="63">
        <f t="shared" si="1"/>
        <v>159760</v>
      </c>
    </row>
    <row r="49" spans="1:7" x14ac:dyDescent="0.3">
      <c r="A49" s="2">
        <v>10</v>
      </c>
      <c r="C49" s="38" t="s">
        <v>22</v>
      </c>
      <c r="D49" s="42">
        <f>TRUNC(24733,-1)</f>
        <v>24730</v>
      </c>
      <c r="E49" s="63">
        <f t="shared" si="1"/>
        <v>81750</v>
      </c>
    </row>
    <row r="50" spans="1:7" x14ac:dyDescent="0.3">
      <c r="A50" s="2">
        <v>11</v>
      </c>
      <c r="C50" s="38" t="s">
        <v>155</v>
      </c>
      <c r="D50" s="42">
        <f>TRUNC(37490,-1)</f>
        <v>37490</v>
      </c>
      <c r="E50" s="63">
        <f t="shared" si="1"/>
        <v>123930</v>
      </c>
    </row>
    <row r="51" spans="1:7" x14ac:dyDescent="0.3">
      <c r="A51" s="2">
        <v>12</v>
      </c>
      <c r="C51" s="38" t="s">
        <v>23</v>
      </c>
      <c r="D51" s="42">
        <f>TRUNC(13172,-1)</f>
        <v>13170</v>
      </c>
      <c r="E51" s="63">
        <f t="shared" si="1"/>
        <v>43530</v>
      </c>
    </row>
    <row r="52" spans="1:7" x14ac:dyDescent="0.3">
      <c r="A52" s="2">
        <v>13</v>
      </c>
      <c r="C52" s="38" t="s">
        <v>24</v>
      </c>
      <c r="D52" s="42">
        <f>TRUNC(13735,-1)</f>
        <v>13730</v>
      </c>
      <c r="E52" s="63">
        <f t="shared" si="1"/>
        <v>45380</v>
      </c>
    </row>
    <row r="53" spans="1:7" x14ac:dyDescent="0.3">
      <c r="A53" s="2">
        <v>14</v>
      </c>
      <c r="C53" s="38" t="s">
        <v>25</v>
      </c>
      <c r="D53" s="42">
        <f>TRUNC(24876,-1)</f>
        <v>24870</v>
      </c>
      <c r="E53" s="63">
        <f t="shared" si="1"/>
        <v>82210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TRUNC(45464+1814,-1)</f>
        <v>47270</v>
      </c>
      <c r="E55" s="63">
        <f t="shared" si="1"/>
        <v>156260</v>
      </c>
      <c r="F55" s="2" t="s">
        <v>255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TRUNC(6246+1569+537+681+2037,-1)</f>
        <v>11070</v>
      </c>
      <c r="E58" s="63">
        <f t="shared" si="1"/>
        <v>36590</v>
      </c>
      <c r="F58" s="2" t="s">
        <v>266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445740</v>
      </c>
      <c r="E60" s="39">
        <f>SUM(E40:E59)</f>
        <v>1473430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TRUNC(7783,-1)</f>
        <v>7780</v>
      </c>
      <c r="E64" s="63">
        <f>TRUNC(+D64*3.3058,-1)</f>
        <v>25710</v>
      </c>
      <c r="F64" s="2" t="s">
        <v>267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7780</v>
      </c>
      <c r="E66" s="65">
        <f>SUM(E63:E65)</f>
        <v>25710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TRUNC(2514,-1)</f>
        <v>2510</v>
      </c>
      <c r="E69" s="62">
        <f t="shared" ref="E69:E94" si="2">TRUNC(+D69*3.3058,-1)</f>
        <v>8290</v>
      </c>
    </row>
    <row r="70" spans="1:7" ht="16.5" customHeight="1" x14ac:dyDescent="0.3">
      <c r="A70" s="2">
        <v>2</v>
      </c>
      <c r="C70" s="38" t="s">
        <v>31</v>
      </c>
      <c r="D70" s="42">
        <f>TRUNC(2700,-1)</f>
        <v>2700</v>
      </c>
      <c r="E70" s="63">
        <f t="shared" si="2"/>
        <v>8920</v>
      </c>
    </row>
    <row r="71" spans="1:7" x14ac:dyDescent="0.3">
      <c r="A71" s="2">
        <v>3</v>
      </c>
      <c r="C71" s="38" t="s">
        <v>32</v>
      </c>
      <c r="D71" s="42">
        <f>TRUNC(1744,-1)</f>
        <v>1740</v>
      </c>
      <c r="E71" s="63">
        <f t="shared" si="2"/>
        <v>5750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TRUNC(1991,-1)</f>
        <v>1990</v>
      </c>
      <c r="E74" s="63">
        <f t="shared" si="2"/>
        <v>6570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TRUNC(47458,-1)</f>
        <v>47450</v>
      </c>
      <c r="E76" s="63">
        <f t="shared" si="2"/>
        <v>156860</v>
      </c>
      <c r="F76" s="2" t="s">
        <v>258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TRUNC(3946,-1)</f>
        <v>3940</v>
      </c>
      <c r="E79" s="63">
        <f t="shared" si="2"/>
        <v>13020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TRUNC(21702,-1)</f>
        <v>21700</v>
      </c>
      <c r="E92" s="63">
        <f t="shared" si="2"/>
        <v>71730</v>
      </c>
      <c r="F92" s="2" t="s">
        <v>257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TRUNC(198+5202,-1)</f>
        <v>5400</v>
      </c>
      <c r="E94" s="64">
        <f t="shared" si="2"/>
        <v>17850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87430</v>
      </c>
      <c r="E95" s="39">
        <f>SUM(E69:E94)</f>
        <v>288990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TRUNC(10826,-1)</f>
        <v>10820</v>
      </c>
      <c r="E98" s="62">
        <f t="shared" ref="E98:E118" si="3">TRUNC(+D98*3.3058,-1)</f>
        <v>35760</v>
      </c>
    </row>
    <row r="99" spans="1:7" x14ac:dyDescent="0.3">
      <c r="A99" s="2">
        <v>2</v>
      </c>
      <c r="C99" s="38" t="s">
        <v>40</v>
      </c>
      <c r="D99" s="42">
        <f>TRUNC(1749+1321,-1)</f>
        <v>3070</v>
      </c>
      <c r="E99" s="63">
        <f t="shared" si="3"/>
        <v>10140</v>
      </c>
      <c r="F99" s="2" t="s">
        <v>261</v>
      </c>
    </row>
    <row r="100" spans="1:7" x14ac:dyDescent="0.3">
      <c r="A100" s="2">
        <v>3</v>
      </c>
      <c r="C100" s="38" t="s">
        <v>41</v>
      </c>
      <c r="D100" s="42">
        <f>TRUNC(25182,-1)</f>
        <v>25180</v>
      </c>
      <c r="E100" s="63">
        <f t="shared" si="3"/>
        <v>83240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TRUNC(9289,-1)</f>
        <v>9280</v>
      </c>
      <c r="E102" s="63">
        <f t="shared" si="3"/>
        <v>30670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TRUNC(2459,-1)</f>
        <v>2450</v>
      </c>
      <c r="E104" s="63">
        <f t="shared" si="3"/>
        <v>8090</v>
      </c>
    </row>
    <row r="105" spans="1:7" x14ac:dyDescent="0.3">
      <c r="A105" s="2">
        <v>8</v>
      </c>
      <c r="C105" s="38" t="s">
        <v>46</v>
      </c>
      <c r="D105" s="42">
        <f>TRUNC(2303,-1)</f>
        <v>2300</v>
      </c>
      <c r="E105" s="63">
        <f t="shared" si="3"/>
        <v>7600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TRUNC(2724,-1)</f>
        <v>2720</v>
      </c>
      <c r="E108" s="63">
        <f t="shared" si="3"/>
        <v>8990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TRUNC(2001,-1)</f>
        <v>2000</v>
      </c>
      <c r="E115" s="63">
        <f t="shared" si="3"/>
        <v>6610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TRUNC(1232+3251,-1)</f>
        <v>4480</v>
      </c>
      <c r="E118" s="64">
        <f t="shared" si="3"/>
        <v>14800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62300</v>
      </c>
      <c r="E119" s="39">
        <f>SUM(E98:E118)</f>
        <v>205900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TRUNC(2703,-1)</f>
        <v>2700</v>
      </c>
      <c r="E122" s="62">
        <f t="shared" ref="E122:E132" si="4">TRUNC(+D122*3.3058,-1)</f>
        <v>8920</v>
      </c>
      <c r="F122" s="2" t="s">
        <v>262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TRUNC(232+44,-1)</f>
        <v>270</v>
      </c>
      <c r="E124" s="63">
        <f t="shared" si="4"/>
        <v>890</v>
      </c>
      <c r="F124" s="2" t="s">
        <v>265</v>
      </c>
    </row>
    <row r="125" spans="1:7" x14ac:dyDescent="0.3">
      <c r="A125" s="2">
        <v>4</v>
      </c>
      <c r="C125" s="38" t="s">
        <v>138</v>
      </c>
      <c r="D125" s="42">
        <f>TRUNC(5212,-1)</f>
        <v>5210</v>
      </c>
      <c r="E125" s="63">
        <f t="shared" si="4"/>
        <v>17220</v>
      </c>
      <c r="F125" s="2" t="s">
        <v>264</v>
      </c>
    </row>
    <row r="126" spans="1:7" x14ac:dyDescent="0.3">
      <c r="A126" s="2">
        <v>5</v>
      </c>
      <c r="C126" s="38" t="s">
        <v>53</v>
      </c>
      <c r="D126" s="42">
        <f>TRUNC(1488,-1)</f>
        <v>1480</v>
      </c>
      <c r="E126" s="63">
        <f t="shared" si="4"/>
        <v>4890</v>
      </c>
    </row>
    <row r="127" spans="1:7" x14ac:dyDescent="0.3">
      <c r="A127" s="2">
        <v>6</v>
      </c>
      <c r="C127" s="38" t="s">
        <v>56</v>
      </c>
      <c r="D127" s="42">
        <f>TRUNC(849,-1)</f>
        <v>840</v>
      </c>
      <c r="E127" s="63">
        <f t="shared" si="4"/>
        <v>2770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TRUNC(11894,-1)</f>
        <v>11890</v>
      </c>
      <c r="E130" s="63">
        <f t="shared" si="4"/>
        <v>39300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TRUNC(369,-1)</f>
        <v>360</v>
      </c>
      <c r="E132" s="64">
        <f t="shared" si="4"/>
        <v>1190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22750</v>
      </c>
      <c r="E133" s="39">
        <f>SUM(E122:E132)</f>
        <v>75180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TRUNC(20786,-1)</f>
        <v>20780</v>
      </c>
      <c r="E136" s="62">
        <f t="shared" ref="E136:E145" si="5">TRUNC(+D136*3.3058,-1)</f>
        <v>68690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f>TRUNC(15597,-1)</f>
        <v>15590</v>
      </c>
      <c r="E137" s="63">
        <f t="shared" si="5"/>
        <v>51530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36370</v>
      </c>
      <c r="E146" s="39">
        <f>SUM(E136:E145)</f>
        <v>120220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TRUNC(14252,-1)</f>
        <v>14250</v>
      </c>
      <c r="E152" s="63">
        <f>TRUNC(+D152*3.3058,-1)</f>
        <v>47100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14250</v>
      </c>
      <c r="E154" s="39">
        <f>SUM(E149:E153)</f>
        <v>47100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2020-12-07T09:50:37Z</dcterms:modified>
</cp:coreProperties>
</file>