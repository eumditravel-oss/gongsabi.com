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28" i="4"/>
  <c r="D127" i="4"/>
  <c r="D125" i="4"/>
  <c r="D122" i="4"/>
  <c r="D118" i="4"/>
  <c r="D117" i="4"/>
  <c r="D116" i="4"/>
  <c r="D114" i="4"/>
  <c r="D104" i="4"/>
  <c r="D103" i="4"/>
  <c r="D102" i="4"/>
  <c r="D101" i="4"/>
  <c r="D100" i="4"/>
  <c r="D99" i="4"/>
  <c r="D98" i="4"/>
  <c r="D94" i="4"/>
  <c r="D92" i="4"/>
  <c r="D91" i="4"/>
  <c r="D89" i="4"/>
  <c r="D76" i="4"/>
  <c r="D75" i="4"/>
  <c r="D74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<sst xmlns="http://schemas.openxmlformats.org/spreadsheetml/2006/main" count="394" uniqueCount="268">
  <si>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</si>
  <si>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</si>
  <si>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</si>
  <si>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</si>
  <si>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</si>
  <si>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</si>
  <si>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</si>
  <si>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</si>
  <si>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</si>
  <si>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</si>
  <si>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</si>
  <si>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</si>
  <si>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</si>
  <si>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</si>
  <si>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</si>
  <si>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</si>
  <si>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</si>
  <si>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</si>
  <si>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</si>
  <si>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</si>
  <si>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</si>
  <si>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</si>
  <si>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</si>
  <si>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</si>
  <si>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</si>
  <si>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</si>
  <si>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</si>
  <si>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</si>
  <si>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</si>
  <si>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</si>
  <si>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</si>
  <si>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</si>
  <si>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</si>
  <si>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</si>
  <si>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</si>
  <si>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</si>
  <si>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</si>
  <si>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</si>
  <si>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</si>
  <si>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</si>
  <si>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</si>
  <si>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</si>
  <si>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</si>
  <si>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</si>
  <si>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</si>
  <si>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</si>
  <si>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</si>
  <si>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</si>
  <si>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</si>
  <si>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</si>
  <si>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</si>
  <si>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</si>
  <si>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</si>
  <si>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</si>
  <si>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</si>
  <si>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</si>
  <si>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</si>
  <si>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</si>
  <si>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</si>
  <si>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</si>
  <si>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</si>
  <si>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</si>
  <si>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</si>
  <si>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</si>
  <si>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</si>
  <si>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</si>
  <si>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</si>
  <si>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</si>
  <si>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</si>
  <si>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</si>
  <si>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</si>
  <si>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</si>
  <si>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</si>
  <si>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</si>
  <si>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</si>
  <si>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</si>
  <si>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</si>
  <si>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</si>
  <si>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</si>
  <si>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</si>
  <si>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</si>
  <si>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</si>
  <si>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</si>
  <si>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</si>
  <si>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</si>
  <si>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</si>
  <si>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</si>
  <si>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</si>
  <si>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</si>
  <si>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</si>
  <si>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</si>
  <si>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</si>
  <si>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</si>
  <si>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</si>
  <si>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</si>
  <si>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</si>
  <si>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</si>
  <si>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</si>
  <si>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</si>
  <si>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</si>
  <si>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</si>
  <si>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</si>
  <si>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</si>
  <si>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</si>
  <si>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</si>
  <si>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</si>
  <si>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</si>
  <si>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</si>
  <si>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</si>
  <si>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</si>
  <si>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</si>
  <si>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</si>
  <si>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</si>
  <si>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</si>
  <si>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</si>
  <si>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</si>
  <si>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</si>
  <si>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</si>
  <si>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</si>
  <si>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</si>
  <si>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</si>
  <si>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</si>
  <si>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</si>
  <si>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</si>
  <si>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</si>
  <si>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</si>
  <si>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</si>
  <si>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</si>
  <si>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</si>
  <si>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</si>
  <si>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</si>
  <si>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</si>
  <si>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</si>
  <si>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</si>
  <si>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</si>
  <si>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</si>
  <si>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</si>
  <si>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</si>
  <si>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</si>
  <si>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</si>
  <si>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</si>
  <si>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</si>
  <si>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</si>
  <si>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</si>
  <si>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</si>
  <si>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</si>
  <si>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</si>
  <si>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</si>
  <si>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</si>
  <si>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</si>
  <si>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</si>
  <si>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</si>
  <si>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</si>
  <si>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</si>
  <si>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</si>
  <si>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</si>
  <si>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</si>
  <si>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</si>
  <si>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</si>
  <si>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</si>
  <si>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</si>
  <si>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</si>
  <si>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</si>
  <si>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</si>
  <si>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</si>
  <si>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</si>
  <si>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</si>
  <si>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</si>
  <si>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</si>
  <si>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</si>
  <si>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</si>
  <si>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</si>
  <si>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</si>
  <si>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</si>
  <si>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</si>
  <si>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</si>
  <si>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</si>
  <si>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</si>
  <si>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</si>
  <si>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</si>
  <si>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</si>
  <si>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</si>
  <si>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</si>
  <si>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</si>
  <si>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</si>
  <si>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</si>
  <si>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</si>
  <si>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</si>
  <si>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</si>
  <si>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</si>
  <si>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</si>
  <si>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</si>
  <si>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</si>
  <si>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</si>
  <si>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</si>
  <si>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</si>
  <si>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</si>
  <si>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</si>
  <si>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</si>
  <si>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</si>
  <si>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</si>
  <si>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</si>
  <si>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</si>
  <si>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</si>
  <si>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</si>
  <si>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</si>
  <si>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</si>
  <si>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</si>
  <si>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</si>
  <si>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</si>
  <si>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</si>
  <si>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</si>
  <si>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</si>
  <si>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</si>
  <si>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</si>
  <si>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</si>
  <si>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</si>
  <si>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</si>
  <si>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</si>
  <si>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</si>
  <si>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</si>
  <si>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</si>
  <si>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</si>
  <si>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</si>
  <si>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</si>
  <si>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</si>
  <si>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</si>
  <si>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</si>
  <si>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</si>
  <si>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</si>
  <si>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</si>
  <si>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</si>
  <si>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</si>
  <si>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</si>
  <si>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</si>
  <si>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</si>
  <si>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</si>
  <si>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</si>
  <si>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</si>
  <si>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</si>
  <si>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</si>
  <si>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</si>
  <si>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</si>
  <si>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</si>
  <si>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</si>
  <si>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</si>
  <si>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</si>
  <si>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</si>
  <si>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</si>
  <si>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</si>
  <si>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</si>
  <si>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</si>
  <si>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</si>
  <si>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</si>
  <si>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</si>
  <si>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</si>
  <si>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1-1생활권 복합커뮤니티센터(B) 신축공사</t>
    <phoneticPr fontId="2" type="noConversion"/>
  </si>
  <si>
    <t>세종시</t>
  </si>
  <si>
    <t>골재비및운반비, 작업부산물, 품질시험비, 기타공사</t>
    <phoneticPr fontId="2" type="noConversion"/>
  </si>
  <si>
    <t>원격검침 설비공사, 기타공사</t>
    <phoneticPr fontId="2" type="noConversion"/>
  </si>
  <si>
    <t>CCTV설비공사</t>
    <phoneticPr fontId="2" type="noConversion"/>
  </si>
  <si>
    <t>펌프실배관공사, 무선통신보조설비공사, 기타공사</t>
    <phoneticPr fontId="2" type="noConversion"/>
  </si>
  <si>
    <t>상수도공사, 사급자재비, 기타공사</t>
    <phoneticPr fontId="2" type="noConversion"/>
  </si>
  <si>
    <t>포장공사</t>
    <phoneticPr fontId="2" type="noConversion"/>
  </si>
  <si>
    <t>근생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</si>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</sst>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12075.46</v>
      </c>
      <c r="D7" s="36">
        <f>+C7/3.3058</f>
        <v>3652.8102123540439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1021310</v>
      </c>
      <c r="E25" s="59">
        <f t="shared" si="0"/>
        <v>3376240</v>
      </c>
    </row>
    <row r="26" spans="1:5" x14ac:dyDescent="0.3">
      <c r="B26" s="2">
        <v>3</v>
      </c>
      <c r="C26" s="35" t="s">
        <v>95</v>
      </c>
      <c r="D26" s="45">
        <f>+D66</f>
        <v>91650</v>
      </c>
      <c r="E26" s="59">
        <f t="shared" si="0"/>
        <v>302970</v>
      </c>
    </row>
    <row r="27" spans="1:5" x14ac:dyDescent="0.3">
      <c r="B27" s="2">
        <v>4</v>
      </c>
      <c r="C27" s="35" t="s">
        <v>96</v>
      </c>
      <c r="D27" s="45">
        <f>+D95</f>
        <v>208320</v>
      </c>
      <c r="E27" s="59">
        <f t="shared" si="0"/>
        <v>688660</v>
      </c>
    </row>
    <row r="28" spans="1:5" x14ac:dyDescent="0.3">
      <c r="B28" s="2">
        <v>5</v>
      </c>
      <c r="C28" s="35" t="s">
        <v>97</v>
      </c>
      <c r="D28" s="45">
        <f>+D119</f>
        <v>164060</v>
      </c>
      <c r="E28" s="59">
        <f t="shared" si="0"/>
        <v>542340</v>
      </c>
    </row>
    <row r="29" spans="1:5" x14ac:dyDescent="0.3">
      <c r="B29" s="2">
        <v>6</v>
      </c>
      <c r="C29" s="35" t="s">
        <v>98</v>
      </c>
      <c r="D29" s="45">
        <f>+D133</f>
        <v>93960</v>
      </c>
      <c r="E29" s="59">
        <f t="shared" si="0"/>
        <v>310610</v>
      </c>
    </row>
    <row r="30" spans="1:5" x14ac:dyDescent="0.3">
      <c r="B30" s="2">
        <v>7</v>
      </c>
      <c r="C30" s="35" t="s">
        <v>99</v>
      </c>
      <c r="D30" s="45">
        <f>+D146</f>
        <v>69030</v>
      </c>
      <c r="E30" s="59">
        <f t="shared" si="0"/>
        <v>228190</v>
      </c>
    </row>
    <row r="31" spans="1:5" x14ac:dyDescent="0.3">
      <c r="B31" s="2">
        <v>8</v>
      </c>
      <c r="C31" s="35" t="s">
        <v>100</v>
      </c>
      <c r="D31" s="45">
        <f>+D154</f>
        <v>9190</v>
      </c>
      <c r="E31" s="59">
        <f t="shared" si="0"/>
        <v>30380</v>
      </c>
    </row>
    <row r="32" spans="1:5" x14ac:dyDescent="0.3">
      <c r="B32" s="2">
        <v>9</v>
      </c>
      <c r="C32" s="35" t="s">
        <v>101</v>
      </c>
      <c r="D32" s="45">
        <f>+D161</f>
        <v>80400</v>
      </c>
      <c r="E32" s="59">
        <f t="shared" si="0"/>
        <v>265780</v>
      </c>
    </row>
    <row r="33" spans="1:7" x14ac:dyDescent="0.3">
      <c r="B33" s="2">
        <v>10</v>
      </c>
      <c r="C33" s="35" t="s">
        <v>155</v>
      </c>
      <c r="D33" s="53">
        <f>TRUNC(SUM(D24:D32)*0.275,-1)</f>
        <v>477920</v>
      </c>
      <c r="E33" s="60">
        <f t="shared" si="0"/>
        <v>1579900</v>
      </c>
    </row>
    <row r="34" spans="1:7" x14ac:dyDescent="0.3">
      <c r="C34" s="35" t="s">
        <v>112</v>
      </c>
      <c r="D34" s="44">
        <f>SUM(D24:D33)</f>
        <v>2215840</v>
      </c>
      <c r="E34" s="44">
        <f>SUM(E24:E33)</f>
        <v>7325070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TRUNC(71451,-1)</f>
        <v>71450</v>
      </c>
      <c r="E40" s="62">
        <f t="shared" ref="E40:E59" si="1">TRUNC(+D40*3.3058,-1)</f>
        <v>236190</v>
      </c>
    </row>
    <row r="41" spans="1:7" x14ac:dyDescent="0.3">
      <c r="A41" s="2">
        <v>2</v>
      </c>
      <c r="C41" s="38" t="s">
        <v>13</v>
      </c>
      <c r="D41" s="42">
        <f>TRUNC(173432,-1)</f>
        <v>173430</v>
      </c>
      <c r="E41" s="63">
        <f t="shared" si="1"/>
        <v>573320</v>
      </c>
    </row>
    <row r="42" spans="1:7" x14ac:dyDescent="0.3">
      <c r="A42" s="2">
        <v>3</v>
      </c>
      <c r="C42" s="38" t="s">
        <v>14</v>
      </c>
      <c r="D42" s="42">
        <f>TRUNC(17265,-1)</f>
        <v>17260</v>
      </c>
      <c r="E42" s="63">
        <f t="shared" si="1"/>
        <v>57050</v>
      </c>
    </row>
    <row r="43" spans="1:7" x14ac:dyDescent="0.3">
      <c r="A43" s="2">
        <v>4</v>
      </c>
      <c r="C43" s="38" t="s">
        <v>16</v>
      </c>
      <c r="D43" s="42">
        <f>TRUNC(12853,-1)</f>
        <v>12850</v>
      </c>
      <c r="E43" s="63">
        <f t="shared" si="1"/>
        <v>42470</v>
      </c>
    </row>
    <row r="44" spans="1:7" x14ac:dyDescent="0.3">
      <c r="A44" s="2">
        <v>5</v>
      </c>
      <c r="C44" s="38" t="s">
        <v>17</v>
      </c>
      <c r="D44" s="42">
        <f>TRUNC(42044,-1)</f>
        <v>42040</v>
      </c>
      <c r="E44" s="63">
        <f t="shared" si="1"/>
        <v>138970</v>
      </c>
    </row>
    <row r="45" spans="1:7" x14ac:dyDescent="0.3">
      <c r="A45" s="2">
        <v>6</v>
      </c>
      <c r="C45" s="38" t="s">
        <v>18</v>
      </c>
      <c r="D45" s="42">
        <f>TRUNC(13433,-1)</f>
        <v>13430</v>
      </c>
      <c r="E45" s="63">
        <f t="shared" si="1"/>
        <v>44390</v>
      </c>
    </row>
    <row r="46" spans="1:7" x14ac:dyDescent="0.3">
      <c r="A46" s="2">
        <v>7</v>
      </c>
      <c r="C46" s="38" t="s">
        <v>19</v>
      </c>
      <c r="D46" s="42">
        <f>TRUNC(31347,-1)</f>
        <v>31340</v>
      </c>
      <c r="E46" s="63">
        <f t="shared" si="1"/>
        <v>103600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TRUNC(73898,-1)</f>
        <v>73890</v>
      </c>
      <c r="E48" s="63">
        <f t="shared" si="1"/>
        <v>244260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TRUNC(23367,-1)</f>
        <v>23360</v>
      </c>
      <c r="E49" s="63">
        <f t="shared" si="1"/>
        <v>77220</v>
      </c>
    </row>
    <row r="50" spans="1:7" x14ac:dyDescent="0.3">
      <c r="A50" s="2">
        <v>11</v>
      </c>
      <c r="C50" s="38" t="s">
        <v>156</v>
      </c>
      <c r="D50" s="42">
        <f>TRUNC(51947,-1)</f>
        <v>51940</v>
      </c>
      <c r="E50" s="63">
        <f t="shared" si="1"/>
        <v>171700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TRUNC(14838,-1)</f>
        <v>14830</v>
      </c>
      <c r="E52" s="63">
        <f t="shared" si="1"/>
        <v>49020</v>
      </c>
    </row>
    <row r="53" spans="1:7" x14ac:dyDescent="0.3">
      <c r="A53" s="2">
        <v>14</v>
      </c>
      <c r="C53" s="38" t="s">
        <v>25</v>
      </c>
      <c r="D53" s="42">
        <f>TRUNC(81664,-1)</f>
        <v>81660</v>
      </c>
      <c r="E53" s="63">
        <f t="shared" si="1"/>
        <v>269950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TRUNC(9660-398+1735+25492,-1)</f>
        <v>36480</v>
      </c>
      <c r="E58" s="63">
        <f t="shared" si="1"/>
        <v>120590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TRUNC(377355,-1)</f>
        <v>377350</v>
      </c>
      <c r="E59" s="64">
        <f t="shared" si="1"/>
        <v>1247440</v>
      </c>
    </row>
    <row r="60" spans="1:7" x14ac:dyDescent="0.3">
      <c r="A60" s="2">
        <v>21</v>
      </c>
      <c r="C60" s="27" t="s">
        <v>112</v>
      </c>
      <c r="D60" s="39">
        <f>SUM(D40:D59)</f>
        <v>1021310</v>
      </c>
      <c r="E60" s="39">
        <f>SUM(E40:E59)</f>
        <v>3376170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TRUNC(88382,-1)</f>
        <v>88380</v>
      </c>
      <c r="E63" s="62">
        <f>TRUNC(+D63*3.3058,-1)</f>
        <v>292160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TRUNC(3277,-1)</f>
        <v>3270</v>
      </c>
      <c r="E65" s="64">
        <f>TRUNC(+D65*3.3058,-1)</f>
        <v>10800</v>
      </c>
    </row>
    <row r="66" spans="1:7" x14ac:dyDescent="0.3">
      <c r="A66" s="2">
        <v>4</v>
      </c>
      <c r="C66" s="27" t="s">
        <v>112</v>
      </c>
      <c r="D66" s="39">
        <f>SUM(D63:D65)</f>
        <v>91650</v>
      </c>
      <c r="E66" s="65">
        <f>SUM(E63:E65)</f>
        <v>302960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TRUNC(15843,-1)</f>
        <v>15840</v>
      </c>
      <c r="E69" s="62">
        <f t="shared" ref="E69:E94" si="2">TRUNC(+D69*3.3058,-1)</f>
        <v>52360</v>
      </c>
    </row>
    <row r="70" spans="1:7" ht="16.5" customHeight="1" x14ac:dyDescent="0.3">
      <c r="A70" s="2">
        <v>2</v>
      </c>
      <c r="C70" s="38" t="s">
        <v>31</v>
      </c>
      <c r="D70" s="42">
        <f>TRUNC(9463,-1)</f>
        <v>9460</v>
      </c>
      <c r="E70" s="63">
        <f t="shared" si="2"/>
        <v>31270</v>
      </c>
    </row>
    <row r="71" spans="1:7" x14ac:dyDescent="0.3">
      <c r="A71" s="2">
        <v>3</v>
      </c>
      <c r="C71" s="38" t="s">
        <v>32</v>
      </c>
      <c r="D71" s="42">
        <f>TRUNC(38088,-1)</f>
        <v>38080</v>
      </c>
      <c r="E71" s="63">
        <f t="shared" si="2"/>
        <v>125880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TRUNC(7178,-1)</f>
        <v>7170</v>
      </c>
      <c r="E73" s="63">
        <f t="shared" si="2"/>
        <v>23700</v>
      </c>
    </row>
    <row r="74" spans="1:7" x14ac:dyDescent="0.3">
      <c r="A74" s="2">
        <v>6</v>
      </c>
      <c r="C74" s="38" t="s">
        <v>177</v>
      </c>
      <c r="D74" s="42">
        <f>TRUNC(1243,-1)</f>
        <v>1240</v>
      </c>
      <c r="E74" s="63">
        <f t="shared" si="2"/>
        <v>4090</v>
      </c>
    </row>
    <row r="75" spans="1:7" x14ac:dyDescent="0.3">
      <c r="A75" s="2">
        <v>7</v>
      </c>
      <c r="C75" s="38" t="s">
        <v>140</v>
      </c>
      <c r="D75" s="42">
        <f>TRUNC(1422,-1)</f>
        <v>1420</v>
      </c>
      <c r="E75" s="63">
        <f t="shared" si="2"/>
        <v>4690</v>
      </c>
    </row>
    <row r="76" spans="1:7" x14ac:dyDescent="0.3">
      <c r="A76" s="2">
        <v>8</v>
      </c>
      <c r="C76" s="38" t="s">
        <v>119</v>
      </c>
      <c r="D76" s="42">
        <f>TRUNC(32191,-1)</f>
        <v>32190</v>
      </c>
      <c r="E76" s="63">
        <f t="shared" si="2"/>
        <v>106410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TRUNC(4133,-1)</f>
        <v>4130</v>
      </c>
      <c r="E89" s="63">
        <f t="shared" si="2"/>
        <v>13650</v>
      </c>
    </row>
    <row r="90" spans="1:7" x14ac:dyDescent="0.3">
      <c r="A90" s="2">
        <v>22</v>
      </c>
      <c r="C90" s="38" t="s">
        <v>36</v>
      </c>
      <c r="D90" s="42">
        <v>940</v>
      </c>
      <c r="E90" s="63">
        <f t="shared" si="2"/>
        <v>3100</v>
      </c>
    </row>
    <row r="91" spans="1:7" x14ac:dyDescent="0.3">
      <c r="A91" s="2">
        <v>23</v>
      </c>
      <c r="C91" s="38" t="s">
        <v>37</v>
      </c>
      <c r="D91" s="42">
        <f>TRUNC(7586,-1)</f>
        <v>7580</v>
      </c>
      <c r="E91" s="63">
        <f t="shared" si="2"/>
        <v>25050</v>
      </c>
    </row>
    <row r="92" spans="1:7" x14ac:dyDescent="0.3">
      <c r="A92" s="2">
        <v>24</v>
      </c>
      <c r="C92" s="38" t="s">
        <v>38</v>
      </c>
      <c r="D92" s="42">
        <f>TRUNC(8939,-1)</f>
        <v>8930</v>
      </c>
      <c r="E92" s="63">
        <f t="shared" si="2"/>
        <v>29520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TRUNC(46594+7774+96+26883,-1)</f>
        <v>81340</v>
      </c>
      <c r="E94" s="64">
        <f t="shared" si="2"/>
        <v>268890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208320</v>
      </c>
      <c r="E95" s="39">
        <f>SUM(E69:E94)</f>
        <v>688610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TRUNC(9776,-1)</f>
        <v>9770</v>
      </c>
      <c r="E98" s="62">
        <f t="shared" ref="E98:E118" si="3">TRUNC(+D98*3.3058,-1)</f>
        <v>32290</v>
      </c>
    </row>
    <row r="99" spans="1:7" x14ac:dyDescent="0.3">
      <c r="A99" s="2">
        <v>2</v>
      </c>
      <c r="C99" s="38" t="s">
        <v>40</v>
      </c>
      <c r="D99" s="42">
        <f>TRUNC(6452,-1)</f>
        <v>6450</v>
      </c>
      <c r="E99" s="63">
        <f t="shared" si="3"/>
        <v>21320</v>
      </c>
    </row>
    <row r="100" spans="1:7" x14ac:dyDescent="0.3">
      <c r="A100" s="2">
        <v>3</v>
      </c>
      <c r="C100" s="38" t="s">
        <v>41</v>
      </c>
      <c r="D100" s="42">
        <f>TRUNC(30874,-1)</f>
        <v>30870</v>
      </c>
      <c r="E100" s="63">
        <f t="shared" si="3"/>
        <v>102050</v>
      </c>
    </row>
    <row r="101" spans="1:7" x14ac:dyDescent="0.3">
      <c r="A101" s="2">
        <v>4</v>
      </c>
      <c r="C101" s="38" t="s">
        <v>42</v>
      </c>
      <c r="D101" s="42">
        <f>TRUNC(5744,-1)</f>
        <v>5740</v>
      </c>
      <c r="E101" s="63">
        <f t="shared" si="3"/>
        <v>18970</v>
      </c>
    </row>
    <row r="102" spans="1:7" x14ac:dyDescent="0.3">
      <c r="A102" s="2">
        <v>5</v>
      </c>
      <c r="C102" s="38" t="s">
        <v>43</v>
      </c>
      <c r="D102" s="42">
        <f>TRUNC(12522,-1)</f>
        <v>12520</v>
      </c>
      <c r="E102" s="63">
        <f t="shared" si="3"/>
        <v>41380</v>
      </c>
    </row>
    <row r="103" spans="1:7" x14ac:dyDescent="0.3">
      <c r="A103" s="2">
        <v>6</v>
      </c>
      <c r="C103" s="38" t="s">
        <v>44</v>
      </c>
      <c r="D103" s="42">
        <f>TRUNC(3823,-1)</f>
        <v>3820</v>
      </c>
      <c r="E103" s="63">
        <f t="shared" si="3"/>
        <v>12620</v>
      </c>
    </row>
    <row r="104" spans="1:7" x14ac:dyDescent="0.3">
      <c r="A104" s="2">
        <v>7</v>
      </c>
      <c r="C104" s="38" t="s">
        <v>45</v>
      </c>
      <c r="D104" s="42">
        <f>TRUNC(2273,-1)</f>
        <v>2270</v>
      </c>
      <c r="E104" s="63">
        <f t="shared" si="3"/>
        <v>7500</v>
      </c>
    </row>
    <row r="105" spans="1:7" x14ac:dyDescent="0.3">
      <c r="A105" s="2">
        <v>8</v>
      </c>
      <c r="C105" s="38" t="s">
        <v>46</v>
      </c>
      <c r="D105" s="42">
        <v>4140</v>
      </c>
      <c r="E105" s="63">
        <f t="shared" si="3"/>
        <v>13680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TRUNC(6212,-1)</f>
        <v>6210</v>
      </c>
      <c r="E114" s="63">
        <f t="shared" si="3"/>
        <v>20520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TRUNC(2194,-1)</f>
        <v>2190</v>
      </c>
      <c r="E116" s="63">
        <f t="shared" si="3"/>
        <v>7230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TRUNC(77172,-1)</f>
        <v>77170</v>
      </c>
      <c r="E117" s="63">
        <f t="shared" si="3"/>
        <v>255100</v>
      </c>
    </row>
    <row r="118" spans="1:7" ht="17.25" thickBot="1" x14ac:dyDescent="0.35">
      <c r="A118" s="2">
        <v>21</v>
      </c>
      <c r="C118" s="38" t="s">
        <v>47</v>
      </c>
      <c r="D118" s="43">
        <f>TRUNC(1943+971,-1)</f>
        <v>2910</v>
      </c>
      <c r="E118" s="64">
        <f t="shared" si="3"/>
        <v>9610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164060</v>
      </c>
      <c r="E119" s="39">
        <f>SUM(E98:E118)</f>
        <v>542270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TRUNC(3492,-1)</f>
        <v>3490</v>
      </c>
      <c r="E122" s="62">
        <f t="shared" ref="E122:E132" si="4">TRUNC(+D122*3.3058,-1)</f>
        <v>11530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TRUNC(8735,-1)</f>
        <v>8730</v>
      </c>
      <c r="E125" s="63">
        <f t="shared" si="4"/>
        <v>28850</v>
      </c>
    </row>
    <row r="126" spans="1:7" x14ac:dyDescent="0.3">
      <c r="A126" s="2">
        <v>5</v>
      </c>
      <c r="C126" s="38" t="s">
        <v>53</v>
      </c>
      <c r="D126" s="42">
        <v>9360</v>
      </c>
      <c r="E126" s="63">
        <f t="shared" si="4"/>
        <v>30940</v>
      </c>
    </row>
    <row r="127" spans="1:7" x14ac:dyDescent="0.3">
      <c r="A127" s="2">
        <v>6</v>
      </c>
      <c r="C127" s="38" t="s">
        <v>56</v>
      </c>
      <c r="D127" s="42">
        <f>TRUNC(85,-1)</f>
        <v>80</v>
      </c>
      <c r="E127" s="63">
        <f t="shared" si="4"/>
        <v>260</v>
      </c>
    </row>
    <row r="128" spans="1:7" x14ac:dyDescent="0.3">
      <c r="A128" s="2">
        <v>7</v>
      </c>
      <c r="C128" s="38" t="s">
        <v>46</v>
      </c>
      <c r="D128" s="42">
        <f>TRUNC(5289,-1)</f>
        <v>5280</v>
      </c>
      <c r="E128" s="63">
        <f t="shared" si="4"/>
        <v>17450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149</v>
      </c>
      <c r="D131" s="42">
        <f>TRUNC(64968,-1)</f>
        <v>64960</v>
      </c>
      <c r="E131" s="63">
        <f t="shared" si="4"/>
        <v>214740</v>
      </c>
    </row>
    <row r="132" spans="1:7" ht="18" thickBot="1" x14ac:dyDescent="0.35">
      <c r="A132" s="2">
        <v>11</v>
      </c>
      <c r="C132" s="38" t="s">
        <v>47</v>
      </c>
      <c r="D132" s="43">
        <f>TRUNC(2061,-1)</f>
        <v>2060</v>
      </c>
      <c r="E132" s="64">
        <f t="shared" si="4"/>
        <v>6800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93960</v>
      </c>
      <c r="E133" s="39">
        <f>SUM(E122:E132)</f>
        <v>310570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TRUNC(2022+821+308,-1)</f>
        <v>3150</v>
      </c>
      <c r="E137" s="63">
        <f t="shared" si="5"/>
        <v>10410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TRUNC(2144,-1)</f>
        <v>2140</v>
      </c>
      <c r="E140" s="63">
        <f t="shared" si="5"/>
        <v>7070</v>
      </c>
    </row>
    <row r="141" spans="1:7" x14ac:dyDescent="0.3">
      <c r="A141" s="2">
        <v>6</v>
      </c>
      <c r="C141" s="38" t="s">
        <v>59</v>
      </c>
      <c r="D141" s="42">
        <f>TRUNC(29258,-1)</f>
        <v>29250</v>
      </c>
      <c r="E141" s="63">
        <f t="shared" si="5"/>
        <v>96690</v>
      </c>
    </row>
    <row r="142" spans="1:7" x14ac:dyDescent="0.3">
      <c r="A142" s="2">
        <v>7</v>
      </c>
      <c r="C142" s="38" t="s">
        <v>58</v>
      </c>
      <c r="D142" s="42">
        <f>TRUNC(5362,-1)</f>
        <v>5360</v>
      </c>
      <c r="E142" s="63">
        <f t="shared" si="5"/>
        <v>17710</v>
      </c>
    </row>
    <row r="143" spans="1:7" x14ac:dyDescent="0.3">
      <c r="A143" s="2">
        <v>8</v>
      </c>
      <c r="C143" s="38" t="s">
        <v>62</v>
      </c>
      <c r="D143" s="42">
        <f>TRUNC(3098,-1)</f>
        <v>3090</v>
      </c>
      <c r="E143" s="63">
        <f t="shared" si="5"/>
        <v>10210</v>
      </c>
    </row>
    <row r="144" spans="1:7" x14ac:dyDescent="0.3">
      <c r="A144" s="2">
        <v>9</v>
      </c>
      <c r="C144" s="38" t="s">
        <v>63</v>
      </c>
      <c r="D144" s="42">
        <f>TRUNC(26042,-1)</f>
        <v>26040</v>
      </c>
      <c r="E144" s="63">
        <f t="shared" si="5"/>
        <v>86080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69030</v>
      </c>
      <c r="E146" s="39">
        <f>SUM(E136:E145)</f>
        <v>228170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TRUNC(4542+1056,-1)</f>
        <v>5590</v>
      </c>
      <c r="E149" s="62">
        <f>TRUNC(+D149*3.3058,-1)</f>
        <v>18470</v>
      </c>
    </row>
    <row r="150" spans="1:7" x14ac:dyDescent="0.3">
      <c r="A150" s="2">
        <v>2</v>
      </c>
      <c r="C150" s="38" t="s">
        <v>49</v>
      </c>
      <c r="D150" s="42">
        <f>TRUNC(1934,-1)</f>
        <v>1930</v>
      </c>
      <c r="E150" s="63">
        <f>TRUNC(+D150*3.3058,-1)</f>
        <v>6380</v>
      </c>
    </row>
    <row r="151" spans="1:7" x14ac:dyDescent="0.3">
      <c r="A151" s="2">
        <v>3</v>
      </c>
      <c r="C151" s="38" t="s">
        <v>50</v>
      </c>
      <c r="D151" s="42">
        <f>TRUNC(987,-1)</f>
        <v>980</v>
      </c>
      <c r="E151" s="63">
        <f>TRUNC(+D151*3.3058,-1)</f>
        <v>3230</v>
      </c>
    </row>
    <row r="152" spans="1:7" x14ac:dyDescent="0.3">
      <c r="A152" s="2">
        <v>4</v>
      </c>
      <c r="C152" s="38" t="s">
        <v>47</v>
      </c>
      <c r="D152" s="42">
        <f>TRUNC(96+558+45,-1)</f>
        <v>690</v>
      </c>
      <c r="E152" s="63">
        <f>TRUNC(+D152*3.3058,-1)</f>
        <v>2280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9190</v>
      </c>
      <c r="E154" s="39">
        <f>SUM(E149:E153)</f>
        <v>30360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TRUNC(53019,-1)</f>
        <v>53010</v>
      </c>
      <c r="E157" s="62">
        <f>TRUNC(+D157*3.3058,-1)</f>
        <v>175240</v>
      </c>
    </row>
    <row r="158" spans="1:7" x14ac:dyDescent="0.3">
      <c r="A158" s="2">
        <v>2</v>
      </c>
      <c r="C158" s="38" t="s">
        <v>52</v>
      </c>
      <c r="D158" s="42">
        <f>TRUNC(19094,-1)</f>
        <v>19090</v>
      </c>
      <c r="E158" s="63">
        <f>TRUNC(+D158*3.3058,-1)</f>
        <v>63100</v>
      </c>
    </row>
    <row r="159" spans="1:7" x14ac:dyDescent="0.3">
      <c r="A159" s="2">
        <v>3</v>
      </c>
      <c r="C159" s="38" t="s">
        <v>47</v>
      </c>
      <c r="D159" s="42">
        <f>TRUNC(8307,-1)</f>
        <v>8300</v>
      </c>
      <c r="E159" s="63">
        <f>TRUNC(+D159*3.3058,-1)</f>
        <v>27430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80400</v>
      </c>
      <c r="E161" s="39">
        <f>SUM(E157:E160)</f>
        <v>265770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2020-12-08T01:14:38Z</dcterms:modified>
</cp:coreProperties>
</file>