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2" i="4" l="1"/>
  <c r="D130" i="4"/>
  <c r="D142" i="4"/>
  <c r="D139" i="4"/>
  <c r="D144" i="4"/>
  <c r="D143" i="4"/>
  <c r="D128" i="4"/>
  <c r="D127" i="4"/>
  <c r="D125" i="4"/>
  <c r="D122" i="4"/>
  <c r="D116" i="4"/>
  <c r="D105" i="4"/>
  <c r="D104" i="4"/>
  <c r="D101" i="4"/>
  <c r="D100" i="4"/>
  <c r="D99" i="4"/>
  <c r="D98" i="4"/>
  <c r="D94" i="4"/>
  <c r="D92" i="4"/>
  <c r="D91" i="4"/>
  <c r="D89" i="4"/>
  <c r="D72" i="4"/>
  <c r="D69" i="4"/>
  <c r="D58" i="4"/>
  <c r="D53" i="4"/>
  <c r="D50" i="4"/>
  <c r="D49" i="4"/>
  <c r="D48" i="4"/>
  <c r="D46" i="4"/>
  <c r="D45" i="4"/>
  <c r="D44" i="4"/>
  <c r="D43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<sst xmlns="http://schemas.openxmlformats.org/spreadsheetml/2006/main" count="388" uniqueCount="263">
  <si>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</si>
  <si>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</si>
  <si>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</si>
  <si>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</si>
  <si>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</si>
  <si>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</si>
  <si>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</si>
  <si>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</si>
  <si>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</si>
  <si>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</si>
  <si>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</si>
  <si>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</si>
  <si>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</si>
  <si>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</si>
  <si>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</si>
  <si>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</si>
  <si>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</si>
  <si>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</si>
  <si>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</si>
  <si>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</si>
  <si>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</si>
  <si>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</si>
  <si>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</si>
  <si>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</si>
  <si>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</si>
  <si>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</si>
  <si>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</si>
  <si>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</si>
  <si>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</si>
  <si>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</si>
  <si>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</si>
  <si>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</si>
  <si>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</si>
  <si>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</si>
  <si>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</si>
  <si>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</si>
  <si>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</si>
  <si>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</si>
  <si>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</si>
  <si>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</si>
  <si>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</si>
  <si>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</si>
  <si>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</si>
  <si>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</si>
  <si>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</si>
  <si>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</si>
  <si>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</si>
  <si>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</si>
  <si>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</si>
  <si>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</si>
  <si>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</si>
  <si>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</si>
  <si>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</si>
  <si>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</si>
  <si>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</si>
  <si>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</si>
  <si>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</si>
  <si>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</si>
  <si>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</si>
  <si>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</si>
  <si>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</si>
  <si>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</si>
  <si>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</si>
  <si>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</si>
  <si>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</si>
  <si>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</si>
  <si>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</si>
  <si>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</si>
  <si>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</si>
  <si>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</si>
  <si>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</si>
  <si>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</si>
  <si>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</si>
  <si>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</si>
  <si>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</si>
  <si>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</si>
  <si>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</si>
  <si>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</si>
  <si>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</si>
  <si>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</si>
  <si>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</si>
  <si>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</si>
  <si>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</si>
  <si>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</si>
  <si>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</si>
  <si>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</si>
  <si>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</si>
  <si>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</si>
  <si>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</si>
  <si>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</si>
  <si>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</si>
  <si>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</si>
  <si>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</si>
  <si>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</si>
  <si>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</si>
  <si>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</si>
  <si>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</si>
  <si>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</si>
  <si>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</si>
  <si>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</si>
  <si>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</si>
  <si>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</si>
  <si>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</si>
  <si>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</si>
  <si>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</si>
  <si>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</si>
  <si>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</si>
  <si>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</si>
  <si>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</si>
  <si>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</si>
  <si>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</si>
  <si>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</si>
  <si>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</si>
  <si>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</si>
  <si>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</si>
  <si>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</si>
  <si>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</si>
  <si>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</si>
  <si>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</si>
  <si>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</si>
  <si>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</si>
  <si>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</si>
  <si>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</si>
  <si>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</si>
  <si>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</si>
  <si>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</si>
  <si>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</si>
  <si>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</si>
  <si>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</si>
  <si>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</si>
  <si>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</si>
  <si>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</si>
  <si>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</si>
  <si>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</si>
  <si>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</si>
  <si>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</si>
  <si>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</si>
  <si>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</si>
  <si>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</si>
  <si>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</si>
  <si>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</si>
  <si>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</si>
  <si>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</si>
  <si>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</si>
  <si>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</si>
  <si>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</si>
  <si>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</si>
  <si>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</si>
  <si>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</si>
  <si>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</si>
  <si>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</si>
  <si>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</si>
  <si>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</si>
  <si>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</si>
  <si>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</si>
  <si>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</si>
  <si>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</si>
  <si>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</si>
  <si>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</si>
  <si>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</si>
  <si>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</si>
  <si>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</si>
  <si>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</si>
  <si>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</si>
  <si>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</si>
  <si>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</si>
  <si>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</si>
  <si>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</si>
  <si>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</si>
  <si>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</si>
  <si>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</si>
  <si>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</si>
  <si>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</si>
  <si>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</si>
  <si>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</si>
  <si>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</si>
  <si>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</si>
  <si>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</si>
  <si>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</si>
  <si>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</si>
  <si>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</si>
  <si>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</si>
  <si>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</si>
  <si>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</si>
  <si>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</si>
  <si>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</si>
  <si>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</si>
  <si>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</si>
  <si>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</si>
  <si>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</si>
  <si>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</si>
  <si>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</si>
  <si>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</si>
  <si>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</si>
  <si>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</si>
  <si>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</si>
  <si>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</si>
  <si>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</si>
  <si>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</si>
  <si>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</si>
  <si>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</si>
  <si>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</si>
  <si>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</si>
  <si>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</si>
  <si>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</si>
  <si>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</si>
  <si>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</si>
  <si>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</si>
  <si>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</si>
  <si>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</si>
  <si>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</si>
  <si>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</si>
  <si>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</si>
  <si>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</si>
  <si>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</si>
  <si>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</si>
  <si>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</si>
  <si>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</si>
  <si>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</si>
  <si>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</si>
  <si>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</si>
  <si>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</si>
  <si>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</si>
  <si>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</si>
  <si>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</si>
  <si>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</si>
  <si>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</si>
  <si>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</si>
  <si>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</si>
  <si>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</si>
  <si>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</si>
  <si>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</si>
  <si>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</si>
  <si>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</si>
  <si>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</si>
  <si>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</si>
  <si>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</si>
  <si>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</si>
  <si>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</si>
  <si>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</si>
  <si>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</si>
  <si>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</si>
  <si>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</si>
  <si>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</si>
  <si>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</si>
  <si>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</si>
  <si>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</si>
  <si>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</si>
  <si>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성산포수협 수산물위판장건립사업(건축-기계공사)</t>
    <phoneticPr fontId="2" type="noConversion"/>
  </si>
  <si>
    <t>제주도</t>
  </si>
  <si>
    <t>창고</t>
  </si>
  <si>
    <t>창호및유리공사</t>
    <phoneticPr fontId="2" type="noConversion"/>
  </si>
  <si>
    <t>목공사및수장공사(인테리어공사 포함)</t>
    <phoneticPr fontId="2" type="noConversion"/>
  </si>
  <si>
    <t>기초공사, 해체및철거공사, 골재비및운반비, 작업부산물, 기타공사</t>
    <phoneticPr fontId="2" type="noConversion"/>
  </si>
  <si>
    <t>난방배관공사, 기타공사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</si>
  <si>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</si>
  <si>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</si>
  <si>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CCTV설비공사, 주차관제설비공사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</si>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</sst>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260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5879.3</v>
      </c>
      <c r="D7" s="36">
        <f>+C7/3.3058</f>
        <v>1778.4802468388893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261</v>
      </c>
    </row>
    <row r="19" spans="1:5" x14ac:dyDescent="0.3">
      <c r="A19" s="2">
        <v>9</v>
      </c>
      <c r="B19" s="2" t="s">
        <v>262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800780</v>
      </c>
      <c r="E25" s="59">
        <f t="shared" si="0"/>
        <v>2647210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71910</v>
      </c>
      <c r="E27" s="59">
        <f t="shared" si="0"/>
        <v>237720</v>
      </c>
    </row>
    <row r="28" spans="1:5" x14ac:dyDescent="0.3">
      <c r="B28" s="2">
        <v>5</v>
      </c>
      <c r="C28" s="35" t="s">
        <v>97</v>
      </c>
      <c r="D28" s="45">
        <f>+D119</f>
        <v>91520</v>
      </c>
      <c r="E28" s="59">
        <f t="shared" si="0"/>
        <v>302540</v>
      </c>
    </row>
    <row r="29" spans="1:5" x14ac:dyDescent="0.3">
      <c r="B29" s="2">
        <v>6</v>
      </c>
      <c r="C29" s="35" t="s">
        <v>98</v>
      </c>
      <c r="D29" s="45">
        <f>+D133</f>
        <v>32040</v>
      </c>
      <c r="E29" s="59">
        <f t="shared" si="0"/>
        <v>105910</v>
      </c>
    </row>
    <row r="30" spans="1:5" x14ac:dyDescent="0.3">
      <c r="B30" s="2">
        <v>7</v>
      </c>
      <c r="C30" s="35" t="s">
        <v>99</v>
      </c>
      <c r="D30" s="45">
        <f>+D146</f>
        <v>43890</v>
      </c>
      <c r="E30" s="59">
        <f t="shared" si="0"/>
        <v>145090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286030</v>
      </c>
      <c r="E33" s="60">
        <f t="shared" si="0"/>
        <v>945550</v>
      </c>
    </row>
    <row r="34" spans="1:7" x14ac:dyDescent="0.3">
      <c r="C34" s="35" t="s">
        <v>112</v>
      </c>
      <c r="D34" s="44">
        <f>SUM(D24:D33)</f>
        <v>1326170</v>
      </c>
      <c r="E34" s="44">
        <f>SUM(E24:E33)</f>
        <v>4384020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258</v>
      </c>
      <c r="E39" s="67" t="s">
        <v>259</v>
      </c>
      <c r="G39" s="68"/>
    </row>
    <row r="40" spans="1:7" x14ac:dyDescent="0.3">
      <c r="A40" s="2">
        <v>1</v>
      </c>
      <c r="C40" s="38" t="s">
        <v>15</v>
      </c>
      <c r="D40" s="40">
        <f>TRUNC(66359,-1)</f>
        <v>66350</v>
      </c>
      <c r="E40" s="62">
        <f t="shared" ref="E40:E59" si="1">TRUNC(+D40*3.3058,-1)</f>
        <v>219330</v>
      </c>
    </row>
    <row r="41" spans="1:7" x14ac:dyDescent="0.3">
      <c r="A41" s="2">
        <v>2</v>
      </c>
      <c r="C41" s="38" t="s">
        <v>13</v>
      </c>
      <c r="D41" s="42">
        <f>TRUNC(264712,-1)</f>
        <v>264710</v>
      </c>
      <c r="E41" s="63">
        <f t="shared" si="1"/>
        <v>875070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TRUNC(10615,-1)</f>
        <v>10610</v>
      </c>
      <c r="E43" s="63">
        <f t="shared" si="1"/>
        <v>35070</v>
      </c>
    </row>
    <row r="44" spans="1:7" x14ac:dyDescent="0.3">
      <c r="A44" s="2">
        <v>5</v>
      </c>
      <c r="C44" s="38" t="s">
        <v>17</v>
      </c>
      <c r="D44" s="42">
        <f>TRUNC(47227,-1)</f>
        <v>47220</v>
      </c>
      <c r="E44" s="63">
        <f t="shared" si="1"/>
        <v>156090</v>
      </c>
    </row>
    <row r="45" spans="1:7" x14ac:dyDescent="0.3">
      <c r="A45" s="2">
        <v>6</v>
      </c>
      <c r="C45" s="38" t="s">
        <v>18</v>
      </c>
      <c r="D45" s="42">
        <f>TRUNC(23298,-1)</f>
        <v>23290</v>
      </c>
      <c r="E45" s="63">
        <f t="shared" si="1"/>
        <v>76990</v>
      </c>
    </row>
    <row r="46" spans="1:7" x14ac:dyDescent="0.3">
      <c r="A46" s="2">
        <v>7</v>
      </c>
      <c r="C46" s="38" t="s">
        <v>19</v>
      </c>
      <c r="D46" s="42">
        <f>TRUNC(31541,-1)</f>
        <v>31540</v>
      </c>
      <c r="E46" s="63">
        <f t="shared" si="1"/>
        <v>104260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TRUNC(46185,-1)</f>
        <v>46180</v>
      </c>
      <c r="E48" s="63">
        <f t="shared" si="1"/>
        <v>152660</v>
      </c>
    </row>
    <row r="49" spans="1:7" x14ac:dyDescent="0.3">
      <c r="A49" s="2">
        <v>10</v>
      </c>
      <c r="C49" s="38" t="s">
        <v>22</v>
      </c>
      <c r="D49" s="42">
        <f>TRUNC(29832,-1)</f>
        <v>29830</v>
      </c>
      <c r="E49" s="63">
        <f t="shared" si="1"/>
        <v>98610</v>
      </c>
    </row>
    <row r="50" spans="1:7" x14ac:dyDescent="0.3">
      <c r="A50" s="2">
        <v>11</v>
      </c>
      <c r="C50" s="38" t="s">
        <v>155</v>
      </c>
      <c r="D50" s="42">
        <f>TRUNC(40628,-1)</f>
        <v>40620</v>
      </c>
      <c r="E50" s="63">
        <f t="shared" si="1"/>
        <v>134280</v>
      </c>
      <c r="F50" s="2" t="s">
        <v>251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24420</v>
      </c>
      <c r="E52" s="63">
        <f t="shared" si="1"/>
        <v>80720</v>
      </c>
    </row>
    <row r="53" spans="1:7" x14ac:dyDescent="0.3">
      <c r="A53" s="2">
        <v>14</v>
      </c>
      <c r="C53" s="38" t="s">
        <v>25</v>
      </c>
      <c r="D53" s="42">
        <f>TRUNC(127145,-1)</f>
        <v>127140</v>
      </c>
      <c r="E53" s="63">
        <f t="shared" si="1"/>
        <v>420290</v>
      </c>
      <c r="F53" s="2" t="s">
        <v>252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TRUNC(51766+14556+7551-974+15974,-1)</f>
        <v>88870</v>
      </c>
      <c r="E58" s="63">
        <f t="shared" si="1"/>
        <v>293780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800780</v>
      </c>
      <c r="E60" s="39">
        <f>SUM(E40:E59)</f>
        <v>2647150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TRUNC(14068,-1)</f>
        <v>14060</v>
      </c>
      <c r="E69" s="62">
        <f t="shared" ref="E69:E94" si="2">TRUNC(+D69*3.3058,-1)</f>
        <v>46470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TRUNC(1785,-1)</f>
        <v>1780</v>
      </c>
      <c r="E72" s="63">
        <f t="shared" si="2"/>
        <v>5880</v>
      </c>
    </row>
    <row r="73" spans="1:7" x14ac:dyDescent="0.3">
      <c r="A73" s="2">
        <v>5</v>
      </c>
      <c r="C73" s="38" t="s">
        <v>34</v>
      </c>
      <c r="D73" s="42">
        <v>11100</v>
      </c>
      <c r="E73" s="63">
        <f t="shared" si="2"/>
        <v>36690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TRUNC(24584,-1)</f>
        <v>24580</v>
      </c>
      <c r="E89" s="63">
        <f t="shared" si="2"/>
        <v>81250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TRUNC(12078,-1)</f>
        <v>12070</v>
      </c>
      <c r="E91" s="63">
        <f t="shared" si="2"/>
        <v>39900</v>
      </c>
    </row>
    <row r="92" spans="1:7" x14ac:dyDescent="0.3">
      <c r="A92" s="2">
        <v>24</v>
      </c>
      <c r="C92" s="38" t="s">
        <v>38</v>
      </c>
      <c r="D92" s="42">
        <f>TRUNC(3266,-1)</f>
        <v>3260</v>
      </c>
      <c r="E92" s="63">
        <f t="shared" si="2"/>
        <v>10770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TRUNC(3507+1556,-1)</f>
        <v>5060</v>
      </c>
      <c r="E94" s="64">
        <f t="shared" si="2"/>
        <v>16720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71910</v>
      </c>
      <c r="E95" s="39">
        <f>SUM(E69:E94)</f>
        <v>237680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TRUNC(16605,-1)</f>
        <v>16600</v>
      </c>
      <c r="E98" s="62">
        <f t="shared" ref="E98:E118" si="3">TRUNC(+D98*3.3058,-1)</f>
        <v>54870</v>
      </c>
    </row>
    <row r="99" spans="1:7" x14ac:dyDescent="0.3">
      <c r="A99" s="2">
        <v>2</v>
      </c>
      <c r="C99" s="38" t="s">
        <v>40</v>
      </c>
      <c r="D99" s="42">
        <f>TRUNC(11001,-1)</f>
        <v>11000</v>
      </c>
      <c r="E99" s="63">
        <f t="shared" si="3"/>
        <v>36360</v>
      </c>
    </row>
    <row r="100" spans="1:7" x14ac:dyDescent="0.3">
      <c r="A100" s="2">
        <v>3</v>
      </c>
      <c r="C100" s="38" t="s">
        <v>41</v>
      </c>
      <c r="D100" s="42">
        <f>TRUNC(30443,-1)</f>
        <v>30440</v>
      </c>
      <c r="E100" s="63">
        <f t="shared" si="3"/>
        <v>100620</v>
      </c>
    </row>
    <row r="101" spans="1:7" x14ac:dyDescent="0.3">
      <c r="A101" s="2">
        <v>4</v>
      </c>
      <c r="C101" s="38" t="s">
        <v>42</v>
      </c>
      <c r="D101" s="42">
        <f>TRUNC(11579,-1)</f>
        <v>11570</v>
      </c>
      <c r="E101" s="63">
        <f t="shared" si="3"/>
        <v>38240</v>
      </c>
    </row>
    <row r="102" spans="1:7" x14ac:dyDescent="0.3">
      <c r="A102" s="2">
        <v>5</v>
      </c>
      <c r="C102" s="38" t="s">
        <v>43</v>
      </c>
      <c r="D102" s="42">
        <v>6870</v>
      </c>
      <c r="E102" s="63">
        <f t="shared" si="3"/>
        <v>22710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TRUNC(5266,-1)</f>
        <v>5260</v>
      </c>
      <c r="E104" s="63">
        <f t="shared" si="3"/>
        <v>17380</v>
      </c>
    </row>
    <row r="105" spans="1:7" x14ac:dyDescent="0.3">
      <c r="A105" s="2">
        <v>8</v>
      </c>
      <c r="C105" s="38" t="s">
        <v>46</v>
      </c>
      <c r="D105" s="42">
        <f>TRUNC(4681,-1)</f>
        <v>4680</v>
      </c>
      <c r="E105" s="63">
        <f t="shared" si="3"/>
        <v>15470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TRUNC(5105,-1)</f>
        <v>5100</v>
      </c>
      <c r="E116" s="63">
        <f t="shared" si="3"/>
        <v>16850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91520</v>
      </c>
      <c r="E119" s="39">
        <f>SUM(E98:E118)</f>
        <v>302500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TRUNC(3271,-1)</f>
        <v>3270</v>
      </c>
      <c r="E122" s="62">
        <f t="shared" ref="E122:E132" si="4">TRUNC(+D122*3.3058,-1)</f>
        <v>10800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TRUNC(6794,-1)</f>
        <v>6790</v>
      </c>
      <c r="E125" s="63">
        <f t="shared" si="4"/>
        <v>22440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TRUNC(3215,-1)</f>
        <v>3210</v>
      </c>
      <c r="E127" s="63">
        <f t="shared" si="4"/>
        <v>10610</v>
      </c>
    </row>
    <row r="128" spans="1:7" x14ac:dyDescent="0.3">
      <c r="A128" s="2">
        <v>7</v>
      </c>
      <c r="C128" s="38" t="s">
        <v>46</v>
      </c>
      <c r="D128" s="42">
        <f>TRUNC(2105,-1)</f>
        <v>2100</v>
      </c>
      <c r="E128" s="63">
        <f t="shared" si="4"/>
        <v>6940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TRUNC(9835,-1)</f>
        <v>9830</v>
      </c>
      <c r="E130" s="63">
        <f t="shared" si="4"/>
        <v>32490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TRUNC(779+6070,-1)</f>
        <v>6840</v>
      </c>
      <c r="E132" s="64">
        <f t="shared" si="4"/>
        <v>22610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32040</v>
      </c>
      <c r="E133" s="39">
        <f>SUM(E122:E132)</f>
        <v>105890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TRUNC(1306,-1)</f>
        <v>1300</v>
      </c>
      <c r="E139" s="63">
        <f t="shared" si="5"/>
        <v>4290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TRUNC(21374,-1)</f>
        <v>21370</v>
      </c>
      <c r="E142" s="63">
        <f t="shared" si="5"/>
        <v>70640</v>
      </c>
    </row>
    <row r="143" spans="1:7" x14ac:dyDescent="0.3">
      <c r="A143" s="2">
        <v>8</v>
      </c>
      <c r="C143" s="38" t="s">
        <v>62</v>
      </c>
      <c r="D143" s="42">
        <f>TRUNC(4884,-1)</f>
        <v>4880</v>
      </c>
      <c r="E143" s="63">
        <f t="shared" si="5"/>
        <v>16130</v>
      </c>
    </row>
    <row r="144" spans="1:7" x14ac:dyDescent="0.3">
      <c r="A144" s="2">
        <v>9</v>
      </c>
      <c r="C144" s="38" t="s">
        <v>63</v>
      </c>
      <c r="D144" s="42">
        <f>TRUNC(16341,-1)</f>
        <v>16340</v>
      </c>
      <c r="E144" s="63">
        <f t="shared" si="5"/>
        <v>54010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43890</v>
      </c>
      <c r="E146" s="39">
        <f>SUM(E136:E145)</f>
        <v>145070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2020-12-08T04:06:28Z</dcterms:modified>
</cp:coreProperties>
</file>