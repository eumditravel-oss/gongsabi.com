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58" i="4" l="1"/>
  <c r="D157" i="4"/>
  <c r="D153" i="4"/>
  <c r="D152" i="4"/>
  <c r="D151" i="4"/>
  <c r="D150" i="4"/>
  <c r="D144" i="4"/>
  <c r="D143" i="4"/>
  <c r="D142" i="4"/>
  <c r="D137" i="4"/>
  <c r="D132" i="4"/>
  <c r="D131" i="4"/>
  <c r="D128" i="4"/>
  <c r="D126" i="4"/>
  <c r="D125" i="4"/>
  <c r="D124" i="4"/>
  <c r="D122" i="4"/>
  <c r="D118" i="4"/>
  <c r="D117" i="4"/>
  <c r="D105" i="4"/>
  <c r="D104" i="4"/>
  <c r="D103" i="4"/>
  <c r="D102" i="4"/>
  <c r="D100" i="4"/>
  <c r="D99" i="4"/>
  <c r="D98" i="4"/>
  <c r="D93" i="4"/>
  <c r="D92" i="4"/>
  <c r="D75" i="4"/>
  <c r="D73" i="4"/>
  <c r="D72" i="4"/>
  <c r="D71" i="4"/>
  <c r="D70" i="4"/>
  <c r="D69" i="4"/>
  <c r="D63" i="4"/>
  <c r="D59" i="4"/>
  <c r="D58" i="4"/>
  <c r="D53" i="4"/>
  <c r="D50" i="4"/>
  <c r="D49" i="4"/>
  <c r="D48" i="4"/>
  <c r="D46" i="4"/>
  <c r="D44" i="4"/>
  <c r="D43" i="4"/>
  <c r="D42" i="4"/>
  <c r="D41" i="4"/>
  <c r="D40" i="4"/>
  <c r="D149" i="4" l="1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<sst xmlns="http://schemas.openxmlformats.org/spreadsheetml/2006/main" count="393" uniqueCount="266">
  <si>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</si>
  <si>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</si>
  <si>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</si>
  <si>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</si>
  <si>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</si>
  <si>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</si>
  <si>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</si>
  <si>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</si>
  <si>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</si>
  <si>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</si>
  <si>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</si>
  <si>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</si>
  <si>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</si>
  <si>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</si>
  <si>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</si>
  <si>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</si>
  <si>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</si>
  <si>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</si>
  <si>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</si>
  <si>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</si>
  <si>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</si>
  <si>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</si>
  <si>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</si>
  <si>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</si>
  <si>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</si>
  <si>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</si>
  <si>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</si>
  <si>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</si>
  <si>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</si>
  <si>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</si>
  <si>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</si>
  <si>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</si>
  <si>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</si>
  <si>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</si>
  <si>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</si>
  <si>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</si>
  <si>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</si>
  <si>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</si>
  <si>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</si>
  <si>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</si>
  <si>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</si>
  <si>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</si>
  <si>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</si>
  <si>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</si>
  <si>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</si>
  <si>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</si>
  <si>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</si>
  <si>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</si>
  <si>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</si>
  <si>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</si>
  <si>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</si>
  <si>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</si>
  <si>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</si>
  <si>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</si>
  <si>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</si>
  <si>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</si>
  <si>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</si>
  <si>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</si>
  <si>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</si>
  <si>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</si>
  <si>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</si>
  <si>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</si>
  <si>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</si>
  <si>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</si>
  <si>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</si>
  <si>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</si>
  <si>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</si>
  <si>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</si>
  <si>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</si>
  <si>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</si>
  <si>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</si>
  <si>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</si>
  <si>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</si>
  <si>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</si>
  <si>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</si>
  <si>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</si>
  <si>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</si>
  <si>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</si>
  <si>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</si>
  <si>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</si>
  <si>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</si>
  <si>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</si>
  <si>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</si>
  <si>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</si>
  <si>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</si>
  <si>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</si>
  <si>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</si>
  <si>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</si>
  <si>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</si>
  <si>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</si>
  <si>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</si>
  <si>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</si>
  <si>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</si>
  <si>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</si>
  <si>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</si>
  <si>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</si>
  <si>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</si>
  <si>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</si>
  <si>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</si>
  <si>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</si>
  <si>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</si>
  <si>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</si>
  <si>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</si>
  <si>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</si>
  <si>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</si>
  <si>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</si>
  <si>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</si>
  <si>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</si>
  <si>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</si>
  <si>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</si>
  <si>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</si>
  <si>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</si>
  <si>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</si>
  <si>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</si>
  <si>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</si>
  <si>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</si>
  <si>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</si>
  <si>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</si>
  <si>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</si>
  <si>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</si>
  <si>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</si>
  <si>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</si>
  <si>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</si>
  <si>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</si>
  <si>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</si>
  <si>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</si>
  <si>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</si>
  <si>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</si>
  <si>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</si>
  <si>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</si>
  <si>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</si>
  <si>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</si>
  <si>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</si>
  <si>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</si>
  <si>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</si>
  <si>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</si>
  <si>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</si>
  <si>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</si>
  <si>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</si>
  <si>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</si>
  <si>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</si>
  <si>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</si>
  <si>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</si>
  <si>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</si>
  <si>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</si>
  <si>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</si>
  <si>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</si>
  <si>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</si>
  <si>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</si>
  <si>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</si>
  <si>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</si>
  <si>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</si>
  <si>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</si>
  <si>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</si>
  <si>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</si>
  <si>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</si>
  <si>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</si>
  <si>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</si>
  <si>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</si>
  <si>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</si>
  <si>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</si>
  <si>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</si>
  <si>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</si>
  <si>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</si>
  <si>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</si>
  <si>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</si>
  <si>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</si>
  <si>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</si>
  <si>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</si>
  <si>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</si>
  <si>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</si>
  <si>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</si>
  <si>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</si>
  <si>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</si>
  <si>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</si>
  <si>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</si>
  <si>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</si>
  <si>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</si>
  <si>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</si>
  <si>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</si>
  <si>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</si>
  <si>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</si>
  <si>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</si>
  <si>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</si>
  <si>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</si>
  <si>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</si>
  <si>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</si>
  <si>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</si>
  <si>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</si>
  <si>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</si>
  <si>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</si>
  <si>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</si>
  <si>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</si>
  <si>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</si>
  <si>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</si>
  <si>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</si>
  <si>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</si>
  <si>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</si>
  <si>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</si>
  <si>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</si>
  <si>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</si>
  <si>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</si>
  <si>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</si>
  <si>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</si>
  <si>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</si>
  <si>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</si>
  <si>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</si>
  <si>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</si>
  <si>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</si>
  <si>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</si>
  <si>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</si>
  <si>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</si>
  <si>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</si>
  <si>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</si>
  <si>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</si>
  <si>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</si>
  <si>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</si>
  <si>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</si>
  <si>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</si>
  <si>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</si>
  <si>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</si>
  <si>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</si>
  <si>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</si>
  <si>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</si>
  <si>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</si>
  <si>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</si>
  <si>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</si>
  <si>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</si>
  <si>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</si>
  <si>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</si>
  <si>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</si>
  <si>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</si>
  <si>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</si>
  <si>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</si>
  <si>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</si>
  <si>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</si>
  <si>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</si>
  <si>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</si>
  <si>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</si>
  <si>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</si>
  <si>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</si>
  <si>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</si>
  <si>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</si>
  <si>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</si>
  <si>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</si>
  <si>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</si>
  <si>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</si>
  <si>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</si>
  <si>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경북대학교 물리생명공학관 개축공사</t>
    <phoneticPr fontId="2" type="noConversion"/>
  </si>
  <si>
    <t>교육연구</t>
  </si>
  <si>
    <t>대구시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</si>
  <si>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</si>
  <si>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</si>
  <si>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</si>
  <si>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기초공사,해체및철거공사,골재비및운반비,골재비및운반비,품질시험비,기타공사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</si>
  <si>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</si>
  <si>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</si>
  <si>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CCTV설비공사,주차관제설비공사,기타공사</t>
    <phoneticPr fontId="2" type="noConversion"/>
  </si>
  <si>
    <t>기타공사</t>
    <phoneticPr fontId="2" type="noConversion"/>
  </si>
  <si>
    <t>우수공사,오수공사</t>
    <phoneticPr fontId="2" type="noConversion"/>
  </si>
  <si>
    <t>운반비,기타공사</t>
    <phoneticPr fontId="2" type="noConversion"/>
  </si>
  <si>
    <t>조경시설물</t>
    <phoneticPr fontId="2" type="noConversion"/>
  </si>
  <si>
    <t>바닥난방공사, 난방배관공사,우수처리시설공사,기타공사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</si>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</sst>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  <font>
      <sz val="11"/>
      <color rgb="FF50505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5" fillId="0" borderId="0" xfId="0" applyFont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0" t="s">
        <v>156</v>
      </c>
      <c r="B2" s="73" t="s">
        <v>0</v>
      </c>
      <c r="C2" s="74"/>
      <c r="D2" s="73" t="s">
        <v>1</v>
      </c>
      <c r="E2" s="74"/>
      <c r="F2" s="73" t="s">
        <v>157</v>
      </c>
      <c r="G2" s="74"/>
      <c r="H2" s="73" t="s">
        <v>2</v>
      </c>
      <c r="I2" s="74"/>
      <c r="J2" s="73" t="s">
        <v>3</v>
      </c>
      <c r="K2" s="74"/>
      <c r="L2" s="73" t="s">
        <v>158</v>
      </c>
      <c r="M2" s="74"/>
      <c r="N2" s="73" t="s">
        <v>159</v>
      </c>
      <c r="O2" s="74"/>
      <c r="P2" s="73" t="s">
        <v>5</v>
      </c>
      <c r="Q2" s="74"/>
      <c r="R2" s="67" t="s">
        <v>94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5" sqref="A2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11934.05</v>
      </c>
      <c r="D7" s="36">
        <f>+C7/3.3058</f>
        <v>3610.0338798475404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975770</v>
      </c>
      <c r="E25" s="59">
        <f t="shared" si="0"/>
        <v>3225700</v>
      </c>
    </row>
    <row r="26" spans="1:5" x14ac:dyDescent="0.3">
      <c r="B26" s="2">
        <v>3</v>
      </c>
      <c r="C26" s="35" t="s">
        <v>95</v>
      </c>
      <c r="D26" s="45">
        <f>+D66</f>
        <v>25700</v>
      </c>
      <c r="E26" s="59">
        <f t="shared" si="0"/>
        <v>84950</v>
      </c>
    </row>
    <row r="27" spans="1:5" x14ac:dyDescent="0.3">
      <c r="B27" s="2">
        <v>4</v>
      </c>
      <c r="C27" s="35" t="s">
        <v>96</v>
      </c>
      <c r="D27" s="45">
        <f>+D95</f>
        <v>343810</v>
      </c>
      <c r="E27" s="59">
        <f t="shared" si="0"/>
        <v>1136560</v>
      </c>
    </row>
    <row r="28" spans="1:5" x14ac:dyDescent="0.3">
      <c r="B28" s="2">
        <v>5</v>
      </c>
      <c r="C28" s="35" t="s">
        <v>97</v>
      </c>
      <c r="D28" s="45">
        <f>+D119</f>
        <v>238420</v>
      </c>
      <c r="E28" s="59">
        <f t="shared" si="0"/>
        <v>788160</v>
      </c>
    </row>
    <row r="29" spans="1:5" x14ac:dyDescent="0.3">
      <c r="B29" s="2">
        <v>6</v>
      </c>
      <c r="C29" s="35" t="s">
        <v>98</v>
      </c>
      <c r="D29" s="45">
        <f>+D133</f>
        <v>119890</v>
      </c>
      <c r="E29" s="59">
        <f t="shared" si="0"/>
        <v>396330</v>
      </c>
    </row>
    <row r="30" spans="1:5" x14ac:dyDescent="0.3">
      <c r="B30" s="2">
        <v>7</v>
      </c>
      <c r="C30" s="35" t="s">
        <v>99</v>
      </c>
      <c r="D30" s="45">
        <f>+D146</f>
        <v>22580</v>
      </c>
      <c r="E30" s="59">
        <f t="shared" si="0"/>
        <v>74640</v>
      </c>
    </row>
    <row r="31" spans="1:5" x14ac:dyDescent="0.3">
      <c r="B31" s="2">
        <v>8</v>
      </c>
      <c r="C31" s="35" t="s">
        <v>100</v>
      </c>
      <c r="D31" s="45">
        <f>+D154</f>
        <v>31020</v>
      </c>
      <c r="E31" s="59">
        <f t="shared" si="0"/>
        <v>102540</v>
      </c>
    </row>
    <row r="32" spans="1:5" x14ac:dyDescent="0.3">
      <c r="B32" s="2">
        <v>9</v>
      </c>
      <c r="C32" s="35" t="s">
        <v>101</v>
      </c>
      <c r="D32" s="45">
        <f>+D161</f>
        <v>9110</v>
      </c>
      <c r="E32" s="59">
        <f t="shared" si="0"/>
        <v>30110</v>
      </c>
    </row>
    <row r="33" spans="1:7" x14ac:dyDescent="0.3">
      <c r="B33" s="2">
        <v>10</v>
      </c>
      <c r="C33" s="35" t="s">
        <v>154</v>
      </c>
      <c r="D33" s="53">
        <f>TRUNC(SUM(D24:D32)*0.275,-1)</f>
        <v>485730</v>
      </c>
      <c r="E33" s="60">
        <f t="shared" si="0"/>
        <v>1605720</v>
      </c>
    </row>
    <row r="34" spans="1:7" x14ac:dyDescent="0.3">
      <c r="C34" s="35" t="s">
        <v>112</v>
      </c>
      <c r="D34" s="44">
        <f>SUM(D24:D33)</f>
        <v>2252030</v>
      </c>
      <c r="E34" s="44">
        <f>SUM(E24:E33)</f>
        <v>7444710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237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TRUNC(56564,-1)</f>
        <v>56560</v>
      </c>
      <c r="E40" s="62">
        <f t="shared" ref="E40:E59" si="1">TRUNC(+D40*3.3058,-1)</f>
        <v>186970</v>
      </c>
    </row>
    <row r="41" spans="1:7" x14ac:dyDescent="0.3">
      <c r="A41" s="2">
        <v>2</v>
      </c>
      <c r="C41" s="38" t="s">
        <v>13</v>
      </c>
      <c r="D41" s="42">
        <f>TRUNC(142422,-1)</f>
        <v>142420</v>
      </c>
      <c r="E41" s="63">
        <f t="shared" si="1"/>
        <v>470810</v>
      </c>
    </row>
    <row r="42" spans="1:7" x14ac:dyDescent="0.3">
      <c r="A42" s="2">
        <v>3</v>
      </c>
      <c r="C42" s="38" t="s">
        <v>14</v>
      </c>
      <c r="D42" s="42">
        <f>TRUNC(87,-1)</f>
        <v>80</v>
      </c>
      <c r="E42" s="63">
        <f t="shared" si="1"/>
        <v>260</v>
      </c>
    </row>
    <row r="43" spans="1:7" x14ac:dyDescent="0.3">
      <c r="A43" s="2">
        <v>4</v>
      </c>
      <c r="C43" s="38" t="s">
        <v>16</v>
      </c>
      <c r="D43" s="42">
        <f>TRUNC(10486,-1)</f>
        <v>10480</v>
      </c>
      <c r="E43" s="63">
        <f t="shared" si="1"/>
        <v>34640</v>
      </c>
    </row>
    <row r="44" spans="1:7" x14ac:dyDescent="0.3">
      <c r="A44" s="2">
        <v>5</v>
      </c>
      <c r="C44" s="38" t="s">
        <v>17</v>
      </c>
      <c r="D44" s="42">
        <f>TRUNC(26157,-1)</f>
        <v>26150</v>
      </c>
      <c r="E44" s="63">
        <f t="shared" si="1"/>
        <v>86440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f>TRUNC(12846,-1)</f>
        <v>12840</v>
      </c>
      <c r="E46" s="63">
        <f t="shared" si="1"/>
        <v>42440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TRUNC(40144,-1)</f>
        <v>40140</v>
      </c>
      <c r="E48" s="63">
        <f t="shared" si="1"/>
        <v>132690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TRUNC(16026,-1)</f>
        <v>16020</v>
      </c>
      <c r="E49" s="63">
        <f t="shared" si="1"/>
        <v>52950</v>
      </c>
    </row>
    <row r="50" spans="1:7" x14ac:dyDescent="0.3">
      <c r="A50" s="2">
        <v>11</v>
      </c>
      <c r="C50" s="38" t="s">
        <v>155</v>
      </c>
      <c r="D50" s="42">
        <f>TRUNC(71212,-1)</f>
        <v>71210</v>
      </c>
      <c r="E50" s="63">
        <f t="shared" si="1"/>
        <v>235400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20510</v>
      </c>
      <c r="E52" s="63">
        <f t="shared" si="1"/>
        <v>67800</v>
      </c>
    </row>
    <row r="53" spans="1:7" x14ac:dyDescent="0.3">
      <c r="A53" s="2">
        <v>14</v>
      </c>
      <c r="C53" s="38" t="s">
        <v>25</v>
      </c>
      <c r="D53" s="42">
        <f>TRUNC(178221,-1)</f>
        <v>178220</v>
      </c>
      <c r="E53" s="63">
        <f t="shared" si="1"/>
        <v>589150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TRUNC(22123+41258+4356+620+3921,-1)</f>
        <v>72270</v>
      </c>
      <c r="E58" s="63">
        <f t="shared" si="1"/>
        <v>238910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TRUNC(328877,-1)</f>
        <v>328870</v>
      </c>
      <c r="E59" s="64">
        <f t="shared" si="1"/>
        <v>1087170</v>
      </c>
    </row>
    <row r="60" spans="1:7" x14ac:dyDescent="0.3">
      <c r="A60" s="2">
        <v>21</v>
      </c>
      <c r="C60" s="27" t="s">
        <v>112</v>
      </c>
      <c r="D60" s="39">
        <f>SUM(D40:D59)</f>
        <v>975770</v>
      </c>
      <c r="E60" s="39">
        <f>SUM(E40:E59)</f>
        <v>3225630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TRUNC(25706,-1)</f>
        <v>25700</v>
      </c>
      <c r="E63" s="62">
        <f>TRUNC(+D63*3.3058,-1)</f>
        <v>84950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25700</v>
      </c>
      <c r="E66" s="65">
        <f>SUM(E63:E65)</f>
        <v>84950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TRUNC(10584,-1)</f>
        <v>10580</v>
      </c>
      <c r="E69" s="62">
        <f t="shared" ref="E69:E94" si="2">TRUNC(+D69*3.3058,-1)</f>
        <v>34970</v>
      </c>
    </row>
    <row r="70" spans="1:7" ht="16.5" customHeight="1" x14ac:dyDescent="0.3">
      <c r="A70" s="2">
        <v>2</v>
      </c>
      <c r="C70" s="38" t="s">
        <v>31</v>
      </c>
      <c r="D70" s="42">
        <f>TRUNC(1422,-1)</f>
        <v>1420</v>
      </c>
      <c r="E70" s="63">
        <f t="shared" si="2"/>
        <v>4690</v>
      </c>
    </row>
    <row r="71" spans="1:7" x14ac:dyDescent="0.3">
      <c r="A71" s="2">
        <v>3</v>
      </c>
      <c r="C71" s="38" t="s">
        <v>32</v>
      </c>
      <c r="D71" s="42">
        <f>TRUNC(6424,-1)</f>
        <v>6420</v>
      </c>
      <c r="E71" s="63">
        <f t="shared" si="2"/>
        <v>21220</v>
      </c>
    </row>
    <row r="72" spans="1:7" x14ac:dyDescent="0.3">
      <c r="A72" s="2">
        <v>4</v>
      </c>
      <c r="C72" s="38" t="s">
        <v>33</v>
      </c>
      <c r="D72" s="42">
        <f>TRUNC(3222,-1)</f>
        <v>3220</v>
      </c>
      <c r="E72" s="63">
        <f t="shared" si="2"/>
        <v>10640</v>
      </c>
    </row>
    <row r="73" spans="1:7" x14ac:dyDescent="0.3">
      <c r="A73" s="2">
        <v>5</v>
      </c>
      <c r="C73" s="38" t="s">
        <v>34</v>
      </c>
      <c r="D73" s="42">
        <f>TRUNC(24977,-1)</f>
        <v>24970</v>
      </c>
      <c r="E73" s="63">
        <f t="shared" si="2"/>
        <v>82540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TRUNC(4045,-1)</f>
        <v>4040</v>
      </c>
      <c r="E75" s="63">
        <f t="shared" si="2"/>
        <v>13350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9380</v>
      </c>
      <c r="E89" s="63">
        <f t="shared" si="2"/>
        <v>31000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19350</v>
      </c>
      <c r="E91" s="63">
        <f t="shared" si="2"/>
        <v>63960</v>
      </c>
    </row>
    <row r="92" spans="1:7" x14ac:dyDescent="0.3">
      <c r="A92" s="2">
        <v>24</v>
      </c>
      <c r="C92" s="38" t="s">
        <v>38</v>
      </c>
      <c r="D92" s="42">
        <f>TRUNC(10095,-1)</f>
        <v>10090</v>
      </c>
      <c r="E92" s="63">
        <f t="shared" si="2"/>
        <v>33350</v>
      </c>
    </row>
    <row r="93" spans="1:7" x14ac:dyDescent="0.3">
      <c r="A93" s="2">
        <v>25</v>
      </c>
      <c r="C93" s="38" t="s">
        <v>148</v>
      </c>
      <c r="D93" s="42">
        <f>TRUNC(214522,-1)</f>
        <v>214520</v>
      </c>
      <c r="E93" s="63">
        <f t="shared" si="2"/>
        <v>709160</v>
      </c>
    </row>
    <row r="94" spans="1:7" ht="17.25" thickBot="1" x14ac:dyDescent="0.35">
      <c r="A94" s="2">
        <v>26</v>
      </c>
      <c r="C94" s="38" t="s">
        <v>47</v>
      </c>
      <c r="D94" s="43">
        <f>TRUNC(188+441+3794+35402,-1)</f>
        <v>39820</v>
      </c>
      <c r="E94" s="64">
        <f t="shared" si="2"/>
        <v>131630</v>
      </c>
      <c r="F94" s="66" t="s">
        <v>262</v>
      </c>
    </row>
    <row r="95" spans="1:7" x14ac:dyDescent="0.3">
      <c r="A95" s="2">
        <v>27</v>
      </c>
      <c r="C95" s="27" t="s">
        <v>112</v>
      </c>
      <c r="D95" s="39">
        <f>SUM(D69:D94)</f>
        <v>343810</v>
      </c>
      <c r="E95" s="39">
        <f>SUM(E69:E94)</f>
        <v>1136510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TRUNC(28053,-1)</f>
        <v>28050</v>
      </c>
      <c r="E98" s="62">
        <f t="shared" ref="E98:E118" si="3">TRUNC(+D98*3.3058,-1)</f>
        <v>92720</v>
      </c>
    </row>
    <row r="99" spans="1:7" x14ac:dyDescent="0.3">
      <c r="A99" s="2">
        <v>2</v>
      </c>
      <c r="C99" s="38" t="s">
        <v>40</v>
      </c>
      <c r="D99" s="42">
        <f>TRUNC(4875,-1)</f>
        <v>4870</v>
      </c>
      <c r="E99" s="63">
        <f t="shared" si="3"/>
        <v>16090</v>
      </c>
    </row>
    <row r="100" spans="1:7" x14ac:dyDescent="0.3">
      <c r="A100" s="2">
        <v>3</v>
      </c>
      <c r="C100" s="38" t="s">
        <v>41</v>
      </c>
      <c r="D100" s="42">
        <f>TRUNC(30686,-1)</f>
        <v>30680</v>
      </c>
      <c r="E100" s="63">
        <f t="shared" si="3"/>
        <v>101420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TRUNC(35123,-1)</f>
        <v>35120</v>
      </c>
      <c r="E102" s="63">
        <f t="shared" si="3"/>
        <v>116090</v>
      </c>
    </row>
    <row r="103" spans="1:7" x14ac:dyDescent="0.3">
      <c r="A103" s="2">
        <v>6</v>
      </c>
      <c r="C103" s="38" t="s">
        <v>44</v>
      </c>
      <c r="D103" s="42">
        <f>TRUNC(5366,-1)</f>
        <v>5360</v>
      </c>
      <c r="E103" s="63">
        <f t="shared" si="3"/>
        <v>17710</v>
      </c>
    </row>
    <row r="104" spans="1:7" x14ac:dyDescent="0.3">
      <c r="A104" s="2">
        <v>7</v>
      </c>
      <c r="C104" s="38" t="s">
        <v>45</v>
      </c>
      <c r="D104" s="42">
        <f>TRUNC(6331,-1)</f>
        <v>6330</v>
      </c>
      <c r="E104" s="63">
        <f t="shared" si="3"/>
        <v>20920</v>
      </c>
    </row>
    <row r="105" spans="1:7" x14ac:dyDescent="0.3">
      <c r="A105" s="2">
        <v>8</v>
      </c>
      <c r="C105" s="38" t="s">
        <v>46</v>
      </c>
      <c r="D105" s="42">
        <f>TRUNC(9544,-1)</f>
        <v>9540</v>
      </c>
      <c r="E105" s="63">
        <f t="shared" si="3"/>
        <v>31530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TRUNC(111994,-1)</f>
        <v>111990</v>
      </c>
      <c r="E117" s="63">
        <f t="shared" si="3"/>
        <v>370210</v>
      </c>
    </row>
    <row r="118" spans="1:7" ht="17.25" thickBot="1" x14ac:dyDescent="0.35">
      <c r="A118" s="2">
        <v>21</v>
      </c>
      <c r="C118" s="38" t="s">
        <v>47</v>
      </c>
      <c r="D118" s="43">
        <f>TRUNC(6482,-1)</f>
        <v>6480</v>
      </c>
      <c r="E118" s="64">
        <f t="shared" si="3"/>
        <v>21420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238420</v>
      </c>
      <c r="E119" s="39">
        <f>SUM(E98:E118)</f>
        <v>788110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TRUNC(3006,-1)</f>
        <v>3000</v>
      </c>
      <c r="E122" s="62">
        <f t="shared" ref="E122:E132" si="4">TRUNC(+D122*3.3058,-1)</f>
        <v>9910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TRUNC(1316,-1)</f>
        <v>1310</v>
      </c>
      <c r="E124" s="63">
        <f t="shared" si="4"/>
        <v>4330</v>
      </c>
    </row>
    <row r="125" spans="1:7" x14ac:dyDescent="0.3">
      <c r="A125" s="2">
        <v>4</v>
      </c>
      <c r="C125" s="38" t="s">
        <v>138</v>
      </c>
      <c r="D125" s="42">
        <f>TRUNC(5234,-1)</f>
        <v>5230</v>
      </c>
      <c r="E125" s="63">
        <f t="shared" si="4"/>
        <v>17280</v>
      </c>
    </row>
    <row r="126" spans="1:7" x14ac:dyDescent="0.3">
      <c r="A126" s="2">
        <v>5</v>
      </c>
      <c r="C126" s="38" t="s">
        <v>53</v>
      </c>
      <c r="D126" s="42">
        <f>TRUNC(3864,-1)</f>
        <v>3860</v>
      </c>
      <c r="E126" s="63">
        <f t="shared" si="4"/>
        <v>12760</v>
      </c>
    </row>
    <row r="127" spans="1:7" x14ac:dyDescent="0.3">
      <c r="A127" s="2">
        <v>6</v>
      </c>
      <c r="C127" s="38" t="s">
        <v>56</v>
      </c>
      <c r="D127" s="42">
        <v>15120</v>
      </c>
      <c r="E127" s="63">
        <f t="shared" si="4"/>
        <v>49980</v>
      </c>
    </row>
    <row r="128" spans="1:7" x14ac:dyDescent="0.3">
      <c r="A128" s="2">
        <v>7</v>
      </c>
      <c r="C128" s="38" t="s">
        <v>46</v>
      </c>
      <c r="D128" s="42">
        <f>TRUNC(7247,-1)</f>
        <v>7240</v>
      </c>
      <c r="E128" s="63">
        <f t="shared" si="4"/>
        <v>23930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TRUNC(50241,-1)</f>
        <v>50240</v>
      </c>
      <c r="E131" s="63">
        <f t="shared" si="4"/>
        <v>166080</v>
      </c>
    </row>
    <row r="132" spans="1:7" ht="18" thickBot="1" x14ac:dyDescent="0.35">
      <c r="A132" s="2">
        <v>11</v>
      </c>
      <c r="C132" s="38" t="s">
        <v>47</v>
      </c>
      <c r="D132" s="43">
        <f>TRUNC(1772+774+31348,-1)</f>
        <v>33890</v>
      </c>
      <c r="E132" s="64">
        <f t="shared" si="4"/>
        <v>112030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119890</v>
      </c>
      <c r="E133" s="39">
        <f>SUM(E122:E132)</f>
        <v>396300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TRUNC(196,-1)</f>
        <v>190</v>
      </c>
      <c r="E137" s="63">
        <f t="shared" si="5"/>
        <v>620</v>
      </c>
      <c r="F137" s="66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TRUNC(6646,-1)</f>
        <v>6640</v>
      </c>
      <c r="E142" s="63">
        <f t="shared" si="5"/>
        <v>21950</v>
      </c>
    </row>
    <row r="143" spans="1:7" x14ac:dyDescent="0.3">
      <c r="A143" s="2">
        <v>8</v>
      </c>
      <c r="C143" s="38" t="s">
        <v>62</v>
      </c>
      <c r="D143" s="42">
        <f>TRUNC(10112,-1)</f>
        <v>10110</v>
      </c>
      <c r="E143" s="63">
        <f t="shared" si="5"/>
        <v>33420</v>
      </c>
    </row>
    <row r="144" spans="1:7" x14ac:dyDescent="0.3">
      <c r="A144" s="2">
        <v>9</v>
      </c>
      <c r="C144" s="38" t="s">
        <v>63</v>
      </c>
      <c r="D144" s="42">
        <f>TRUNC(5643,-1)</f>
        <v>5640</v>
      </c>
      <c r="E144" s="63">
        <f t="shared" si="5"/>
        <v>18640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22580</v>
      </c>
      <c r="E146" s="39">
        <f>SUM(E136:E145)</f>
        <v>74630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4329+611</f>
        <v>4940</v>
      </c>
      <c r="E149" s="62">
        <f>TRUNC(+D149*3.3058,-1)</f>
        <v>16330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f>TRUNC(5592,-1)</f>
        <v>5590</v>
      </c>
      <c r="E150" s="63">
        <f>TRUNC(+D150*3.3058,-1)</f>
        <v>18470</v>
      </c>
    </row>
    <row r="151" spans="1:7" x14ac:dyDescent="0.3">
      <c r="A151" s="2">
        <v>3</v>
      </c>
      <c r="C151" s="38" t="s">
        <v>50</v>
      </c>
      <c r="D151" s="42">
        <f>TRUNC(8512,-1)</f>
        <v>8510</v>
      </c>
      <c r="E151" s="63">
        <f>TRUNC(+D151*3.3058,-1)</f>
        <v>28130</v>
      </c>
    </row>
    <row r="152" spans="1:7" x14ac:dyDescent="0.3">
      <c r="A152" s="2">
        <v>4</v>
      </c>
      <c r="C152" s="38" t="s">
        <v>47</v>
      </c>
      <c r="D152" s="42">
        <f>TRUNC(230+1646,-1)</f>
        <v>1870</v>
      </c>
      <c r="E152" s="63">
        <f>TRUNC(+D152*3.3058,-1)</f>
        <v>6180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f>TRUNC(10111,-1)</f>
        <v>10110</v>
      </c>
      <c r="E153" s="64">
        <f>TRUNC(+D153*3.3058,-1)</f>
        <v>33420</v>
      </c>
    </row>
    <row r="154" spans="1:7" x14ac:dyDescent="0.3">
      <c r="A154" s="2">
        <v>6</v>
      </c>
      <c r="C154" s="27" t="s">
        <v>112</v>
      </c>
      <c r="D154" s="39">
        <f>SUM(D149:D153)</f>
        <v>31020</v>
      </c>
      <c r="E154" s="39">
        <f>SUM(E149:E153)</f>
        <v>102530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TRUNC(4125,-1)</f>
        <v>4120</v>
      </c>
      <c r="E157" s="62">
        <f>TRUNC(+D157*3.3058,-1)</f>
        <v>13610</v>
      </c>
    </row>
    <row r="158" spans="1:7" x14ac:dyDescent="0.3">
      <c r="A158" s="2">
        <v>2</v>
      </c>
      <c r="C158" s="38" t="s">
        <v>52</v>
      </c>
      <c r="D158" s="42">
        <f>TRUNC(4996,-1)</f>
        <v>4990</v>
      </c>
      <c r="E158" s="63">
        <f>TRUNC(+D158*3.3058,-1)</f>
        <v>16490</v>
      </c>
      <c r="F158" s="2" t="s">
        <v>261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9110</v>
      </c>
      <c r="E161" s="39">
        <f>SUM(E157:E160)</f>
        <v>30100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2020-12-08T04:20:56Z</dcterms:modified>
</cp:coreProperties>
</file>