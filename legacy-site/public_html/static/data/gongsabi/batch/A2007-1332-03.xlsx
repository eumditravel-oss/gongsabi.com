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D59" i="4"/>
  <c r="D63" i="4"/>
  <c r="D152" i="4"/>
  <c r="D150" i="4"/>
  <c r="D149" i="4"/>
  <c r="D159" i="4"/>
  <c r="D158" i="4"/>
  <c r="D157" i="4"/>
  <c r="D94" i="4"/>
  <c r="D93" i="4"/>
  <c r="D137" i="4"/>
  <c r="D118" i="4"/>
  <c r="D104" i="4"/>
  <c r="D102" i="4"/>
  <c r="D100" i="4"/>
  <c r="D99" i="4"/>
  <c r="D98" i="4"/>
  <c r="D115" i="4"/>
  <c r="D117" i="4"/>
  <c r="D132" i="4"/>
  <c r="D125" i="4"/>
  <c r="D131" i="4"/>
  <c r="D124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95" i="4"/>
  <c r="E60" i="4"/>
  <c r="E154" i="4"/>
  <c r="E119" i="4"/>
  <c r="E133" i="4"/>
  <c r="D161" i="4"/>
  <c r="D154" i="4"/>
  <c r="D146" i="4"/>
  <c r="D133" i="4"/>
  <c r="D29" i="4" s="1"/>
  <c r="E29" i="4" s="1"/>
  <c r="D119" i="4"/>
  <c r="D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8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<sst xmlns="http://schemas.openxmlformats.org/spreadsheetml/2006/main" count="389" uniqueCount="264">
  <si>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</si>
  <si>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</si>
  <si>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</si>
  <si>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</si>
  <si>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</si>
  <si>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</si>
  <si>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</si>
  <si>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</si>
  <si>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</si>
  <si>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</si>
  <si>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</si>
  <si>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</si>
  <si>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</si>
  <si>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</si>
  <si>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</si>
  <si>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</si>
  <si>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</si>
  <si>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</si>
  <si>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</si>
  <si>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</si>
  <si>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</si>
  <si>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</si>
  <si>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</si>
  <si>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</si>
  <si>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</si>
  <si>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</si>
  <si>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</si>
  <si>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</si>
  <si>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</si>
  <si>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</si>
  <si>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</si>
  <si>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</si>
  <si>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</si>
  <si>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</si>
  <si>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</si>
  <si>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</si>
  <si>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</si>
  <si>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</si>
  <si>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</si>
  <si>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</si>
  <si>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</si>
  <si>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</si>
  <si>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</si>
  <si>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</si>
  <si>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</si>
  <si>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</si>
  <si>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</si>
  <si>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</si>
  <si>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</si>
  <si>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</si>
  <si>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</si>
  <si>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</si>
  <si>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</si>
  <si>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</si>
  <si>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</si>
  <si>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</si>
  <si>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</si>
  <si>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</si>
  <si>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</si>
  <si>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</si>
  <si>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</si>
  <si>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</si>
  <si>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</si>
  <si>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</si>
  <si>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</si>
  <si>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</si>
  <si>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</si>
  <si>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</si>
  <si>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</si>
  <si>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</si>
  <si>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</si>
  <si>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</si>
  <si>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</si>
  <si>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</si>
  <si>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</si>
  <si>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</si>
  <si>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</si>
  <si>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</si>
  <si>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</si>
  <si>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</si>
  <si>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</si>
  <si>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</si>
  <si>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</si>
  <si>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</si>
  <si>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</si>
  <si>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</si>
  <si>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</si>
  <si>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</si>
  <si>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</si>
  <si>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</si>
  <si>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</si>
  <si>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</si>
  <si>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</si>
  <si>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</si>
  <si>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</si>
  <si>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</si>
  <si>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</si>
  <si>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</si>
  <si>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</si>
  <si>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</si>
  <si>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</si>
  <si>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</si>
  <si>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</si>
  <si>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</si>
  <si>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</si>
  <si>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</si>
  <si>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</si>
  <si>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</si>
  <si>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</si>
  <si>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</si>
  <si>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</si>
  <si>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</si>
  <si>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</si>
  <si>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</si>
  <si>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</si>
  <si>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</si>
  <si>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</si>
  <si>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</si>
  <si>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</si>
  <si>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</si>
  <si>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</si>
  <si>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</si>
  <si>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</si>
  <si>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</si>
  <si>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</si>
  <si>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</si>
  <si>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</si>
  <si>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</si>
  <si>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</si>
  <si>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</si>
  <si>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</si>
  <si>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</si>
  <si>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</si>
  <si>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</si>
  <si>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</si>
  <si>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</si>
  <si>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</si>
  <si>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</si>
  <si>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</si>
  <si>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</si>
  <si>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</si>
  <si>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</si>
  <si>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</si>
  <si>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</si>
  <si>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</si>
  <si>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</si>
  <si>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</si>
  <si>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</si>
  <si>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</si>
  <si>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</si>
  <si>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</si>
  <si>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</si>
  <si>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</si>
  <si>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</si>
  <si>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</si>
  <si>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</si>
  <si>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</si>
  <si>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</si>
  <si>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</si>
  <si>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</si>
  <si>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</si>
  <si>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</si>
  <si>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</si>
  <si>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</si>
  <si>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</si>
  <si>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</si>
  <si>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</si>
  <si>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</si>
  <si>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</si>
  <si>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</si>
  <si>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</si>
  <si>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</si>
  <si>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</si>
  <si>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</si>
  <si>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</si>
  <si>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</si>
  <si>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</si>
  <si>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</si>
  <si>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</si>
  <si>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</si>
  <si>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</si>
  <si>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</si>
  <si>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</si>
  <si>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</si>
  <si>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</si>
  <si>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</si>
  <si>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</si>
  <si>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</si>
  <si>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</si>
  <si>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</si>
  <si>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</si>
  <si>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</si>
  <si>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</si>
  <si>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</si>
  <si>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</si>
  <si>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</si>
  <si>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</si>
  <si>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</si>
  <si>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</si>
  <si>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</si>
  <si>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</si>
  <si>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</si>
  <si>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</si>
  <si>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</si>
  <si>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</si>
  <si>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</si>
  <si>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</si>
  <si>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</si>
  <si>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</si>
  <si>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</si>
  <si>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</si>
  <si>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</si>
  <si>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</si>
  <si>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</si>
  <si>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</si>
  <si>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</si>
  <si>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</si>
  <si>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</si>
  <si>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</si>
  <si>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</si>
  <si>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</si>
  <si>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</si>
  <si>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</si>
  <si>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</si>
  <si>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</si>
  <si>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</si>
  <si>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</si>
  <si>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</si>
  <si>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</si>
  <si>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</si>
  <si>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</si>
  <si>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</si>
  <si>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</si>
  <si>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</si>
  <si>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</si>
  <si>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</si>
  <si>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</si>
  <si>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</si>
  <si>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</si>
  <si>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</si>
  <si>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</si>
  <si>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</si>
  <si>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</si>
  <si>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</si>
  <si>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</si>
  <si>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</si>
  <si>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</si>
  <si>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</si>
  <si>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00경찰서 청사 신축 건축공사</t>
  </si>
  <si>
    <t>업무</t>
  </si>
  <si>
    <t>경기도</t>
  </si>
  <si>
    <t>구내통신선로공사,구내전송선로공사,CCTV 설비공사,가설사무소</t>
    <phoneticPr fontId="2" type="noConversion"/>
  </si>
  <si>
    <t>가설사무소</t>
    <phoneticPr fontId="2" type="noConversion"/>
  </si>
  <si>
    <t>기계 소화배관공사</t>
    <phoneticPr fontId="2" type="noConversion"/>
  </si>
  <si>
    <t>본관동설비공사,입초소설비공사</t>
    <phoneticPr fontId="2" type="noConversion"/>
  </si>
  <si>
    <t>포장공사</t>
    <phoneticPr fontId="2" type="noConversion"/>
  </si>
  <si>
    <t>우수공사,오수공사</t>
  </si>
  <si>
    <t>상수도공사,옹벽공사,운반비,부대공사,자재대,구조물철거,영구배수공사</t>
    <phoneticPr fontId="2" type="noConversion"/>
  </si>
  <si>
    <t>토공사,기타공사,사격장공사,대강당의자공사,골재비,운반비,작업부산물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</si>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</sst>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7213</v>
      </c>
      <c r="D7" s="36">
        <f>+C7/3.3058</f>
        <v>2181.922681347934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2540</v>
      </c>
      <c r="E24" s="58">
        <f t="shared" ref="E24:E33" si="0">TRUNC(+D24*3.3058,-1)</f>
        <v>8390</v>
      </c>
    </row>
    <row r="25" spans="1:5" x14ac:dyDescent="0.3">
      <c r="B25" s="2">
        <v>2</v>
      </c>
      <c r="C25" s="35" t="s">
        <v>111</v>
      </c>
      <c r="D25" s="45">
        <f>+D60</f>
        <v>622160</v>
      </c>
      <c r="E25" s="59">
        <f t="shared" si="0"/>
        <v>2056730</v>
      </c>
    </row>
    <row r="26" spans="1:5" x14ac:dyDescent="0.3">
      <c r="B26" s="2">
        <v>3</v>
      </c>
      <c r="C26" s="35" t="s">
        <v>95</v>
      </c>
      <c r="D26" s="45">
        <f>+D66</f>
        <v>24990</v>
      </c>
      <c r="E26" s="59">
        <f t="shared" si="0"/>
        <v>82610</v>
      </c>
    </row>
    <row r="27" spans="1:5" x14ac:dyDescent="0.3">
      <c r="B27" s="2">
        <v>4</v>
      </c>
      <c r="C27" s="35" t="s">
        <v>96</v>
      </c>
      <c r="D27" s="45">
        <f>+D95</f>
        <v>144510</v>
      </c>
      <c r="E27" s="59">
        <f t="shared" si="0"/>
        <v>477720</v>
      </c>
    </row>
    <row r="28" spans="1:5" x14ac:dyDescent="0.3">
      <c r="B28" s="2">
        <v>5</v>
      </c>
      <c r="C28" s="35" t="s">
        <v>97</v>
      </c>
      <c r="D28" s="45">
        <f>+D119</f>
        <v>114710</v>
      </c>
      <c r="E28" s="59">
        <f t="shared" si="0"/>
        <v>379200</v>
      </c>
    </row>
    <row r="29" spans="1:5" x14ac:dyDescent="0.3">
      <c r="B29" s="2">
        <v>6</v>
      </c>
      <c r="C29" s="35" t="s">
        <v>98</v>
      </c>
      <c r="D29" s="45">
        <f>+D133</f>
        <v>81330</v>
      </c>
      <c r="E29" s="59">
        <f t="shared" si="0"/>
        <v>268860</v>
      </c>
    </row>
    <row r="30" spans="1:5" x14ac:dyDescent="0.3">
      <c r="B30" s="2">
        <v>7</v>
      </c>
      <c r="C30" s="35" t="s">
        <v>99</v>
      </c>
      <c r="D30" s="45">
        <f>+D146</f>
        <v>30630</v>
      </c>
      <c r="E30" s="59">
        <f t="shared" si="0"/>
        <v>101250</v>
      </c>
    </row>
    <row r="31" spans="1:5" x14ac:dyDescent="0.3">
      <c r="B31" s="2">
        <v>8</v>
      </c>
      <c r="C31" s="35" t="s">
        <v>100</v>
      </c>
      <c r="D31" s="45">
        <f>+D154</f>
        <v>47610</v>
      </c>
      <c r="E31" s="59">
        <f t="shared" si="0"/>
        <v>157380</v>
      </c>
    </row>
    <row r="32" spans="1:5" x14ac:dyDescent="0.3">
      <c r="B32" s="2">
        <v>9</v>
      </c>
      <c r="C32" s="35" t="s">
        <v>101</v>
      </c>
      <c r="D32" s="45">
        <f>+D161</f>
        <v>26670</v>
      </c>
      <c r="E32" s="59">
        <f t="shared" si="0"/>
        <v>88160</v>
      </c>
    </row>
    <row r="33" spans="1:7" x14ac:dyDescent="0.3">
      <c r="B33" s="2">
        <v>10</v>
      </c>
      <c r="C33" s="35" t="s">
        <v>154</v>
      </c>
      <c r="D33" s="53">
        <f>TRUNC(SUM(D24:D32)*0.275,-1)</f>
        <v>301160</v>
      </c>
      <c r="E33" s="60">
        <f t="shared" si="0"/>
        <v>995570</v>
      </c>
    </row>
    <row r="34" spans="1:7" x14ac:dyDescent="0.3">
      <c r="C34" s="35" t="s">
        <v>112</v>
      </c>
      <c r="D34" s="44">
        <f>SUM(D24:D33)</f>
        <v>1396310</v>
      </c>
      <c r="E34" s="44">
        <f>SUM(E24:E33)</f>
        <v>4615870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TRUNC(2542.11785713295,-1)</f>
        <v>2540</v>
      </c>
      <c r="E37" s="61">
        <f>TRUNC(+D37*3.3058,-1)</f>
        <v>8390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TRUNC(37149.467499591,-1)</f>
        <v>37140</v>
      </c>
      <c r="E40" s="62">
        <f t="shared" ref="E40:E59" si="1">TRUNC(+D40*3.3058,-1)</f>
        <v>122770</v>
      </c>
    </row>
    <row r="41" spans="1:7" x14ac:dyDescent="0.3">
      <c r="A41" s="2">
        <v>2</v>
      </c>
      <c r="C41" s="38" t="s">
        <v>13</v>
      </c>
      <c r="D41" s="42">
        <f>TRUNC(107588.102407551,-1)</f>
        <v>107580</v>
      </c>
      <c r="E41" s="63">
        <f t="shared" si="1"/>
        <v>355630</v>
      </c>
    </row>
    <row r="42" spans="1:7" x14ac:dyDescent="0.3">
      <c r="A42" s="2">
        <v>3</v>
      </c>
      <c r="C42" s="38" t="s">
        <v>14</v>
      </c>
      <c r="D42" s="42">
        <f>TRUNC(18269.6556562052,-1)</f>
        <v>18260</v>
      </c>
      <c r="E42" s="63">
        <f t="shared" si="1"/>
        <v>60360</v>
      </c>
    </row>
    <row r="43" spans="1:7" x14ac:dyDescent="0.3">
      <c r="A43" s="2">
        <v>4</v>
      </c>
      <c r="C43" s="38" t="s">
        <v>16</v>
      </c>
      <c r="D43" s="42">
        <f>TRUNC(16443.7868944731,-1)</f>
        <v>16440</v>
      </c>
      <c r="E43" s="63">
        <f t="shared" si="1"/>
        <v>54340</v>
      </c>
    </row>
    <row r="44" spans="1:7" x14ac:dyDescent="0.3">
      <c r="A44" s="2">
        <v>5</v>
      </c>
      <c r="C44" s="38" t="s">
        <v>17</v>
      </c>
      <c r="D44" s="42">
        <f>TRUNC(31076.3934985318,-1)</f>
        <v>31070</v>
      </c>
      <c r="E44" s="63">
        <f t="shared" si="1"/>
        <v>102710</v>
      </c>
    </row>
    <row r="45" spans="1:7" x14ac:dyDescent="0.3">
      <c r="A45" s="2">
        <v>6</v>
      </c>
      <c r="C45" s="38" t="s">
        <v>18</v>
      </c>
      <c r="D45" s="42">
        <f>TRUNC(9975.08685537782,-1)</f>
        <v>9970</v>
      </c>
      <c r="E45" s="63">
        <f t="shared" si="1"/>
        <v>32950</v>
      </c>
    </row>
    <row r="46" spans="1:7" x14ac:dyDescent="0.3">
      <c r="A46" s="2">
        <v>7</v>
      </c>
      <c r="C46" s="38" t="s">
        <v>19</v>
      </c>
      <c r="D46" s="42">
        <f>TRUNC(3845.18878047563,-1)</f>
        <v>3840</v>
      </c>
      <c r="E46" s="63">
        <f t="shared" si="1"/>
        <v>12690</v>
      </c>
    </row>
    <row r="47" spans="1:7" x14ac:dyDescent="0.3">
      <c r="A47" s="2">
        <v>8</v>
      </c>
      <c r="C47" s="38" t="s">
        <v>20</v>
      </c>
      <c r="D47" s="42">
        <f>TRUNC(2221.85511441619,-1)</f>
        <v>2220</v>
      </c>
      <c r="E47" s="63">
        <f t="shared" si="1"/>
        <v>7330</v>
      </c>
    </row>
    <row r="48" spans="1:7" x14ac:dyDescent="0.3">
      <c r="A48" s="2">
        <v>9</v>
      </c>
      <c r="C48" s="38" t="s">
        <v>21</v>
      </c>
      <c r="D48" s="42">
        <f>TRUNC(49750.2807376538,-1)</f>
        <v>49750</v>
      </c>
      <c r="E48" s="63">
        <f t="shared" si="1"/>
        <v>164460</v>
      </c>
    </row>
    <row r="49" spans="1:7" x14ac:dyDescent="0.3">
      <c r="A49" s="2">
        <v>10</v>
      </c>
      <c r="C49" s="38" t="s">
        <v>22</v>
      </c>
      <c r="D49" s="42">
        <f>TRUNC(18219.0050380278,-1)</f>
        <v>18210</v>
      </c>
      <c r="E49" s="63">
        <f t="shared" si="1"/>
        <v>60190</v>
      </c>
    </row>
    <row r="50" spans="1:7" x14ac:dyDescent="0.3">
      <c r="A50" s="2">
        <v>11</v>
      </c>
      <c r="C50" s="38" t="s">
        <v>155</v>
      </c>
      <c r="D50" s="42">
        <f>TRUNC(57176.2479308595,-1)</f>
        <v>57170</v>
      </c>
      <c r="E50" s="63">
        <f t="shared" si="1"/>
        <v>188990</v>
      </c>
    </row>
    <row r="51" spans="1:7" x14ac:dyDescent="0.3">
      <c r="A51" s="2">
        <v>12</v>
      </c>
      <c r="C51" s="38" t="s">
        <v>23</v>
      </c>
      <c r="D51" s="42">
        <f>TRUNC(12529.9603224116,-1)</f>
        <v>12520</v>
      </c>
      <c r="E51" s="63">
        <f t="shared" si="1"/>
        <v>41380</v>
      </c>
    </row>
    <row r="52" spans="1:7" x14ac:dyDescent="0.3">
      <c r="A52" s="2">
        <v>13</v>
      </c>
      <c r="C52" s="38" t="s">
        <v>24</v>
      </c>
      <c r="D52" s="42">
        <f>TRUNC(6749.64287397721,-1)</f>
        <v>6740</v>
      </c>
      <c r="E52" s="63">
        <f t="shared" si="1"/>
        <v>22280</v>
      </c>
    </row>
    <row r="53" spans="1:7" x14ac:dyDescent="0.3">
      <c r="A53" s="2">
        <v>14</v>
      </c>
      <c r="C53" s="38" t="s">
        <v>25</v>
      </c>
      <c r="D53" s="42">
        <f>TRUNC(45166.4991945255,-1)</f>
        <v>45160</v>
      </c>
      <c r="E53" s="63">
        <f t="shared" si="1"/>
        <v>149280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TRUNC(380.119060492379,-1)</f>
        <v>380</v>
      </c>
      <c r="E55" s="63">
        <f t="shared" si="1"/>
        <v>1250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TRUNC(2017.42195493225+14701.543849142+22071.5527495654+2092.84722048927+1255.62515076652+1581.69812314748-599.669492065869,-1)</f>
        <v>43120</v>
      </c>
      <c r="E58" s="63">
        <f t="shared" si="1"/>
        <v>142540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TRUNC(162596.455912404,-1)</f>
        <v>162590</v>
      </c>
      <c r="E59" s="64">
        <f t="shared" si="1"/>
        <v>537490</v>
      </c>
    </row>
    <row r="60" spans="1:7" x14ac:dyDescent="0.3">
      <c r="A60" s="2">
        <v>21</v>
      </c>
      <c r="C60" s="27" t="s">
        <v>112</v>
      </c>
      <c r="D60" s="39">
        <f>SUM(D40:D59)</f>
        <v>622160</v>
      </c>
      <c r="E60" s="39">
        <f>SUM(E40:E59)</f>
        <v>2056640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TRUNC(24999.8713459048,-1)</f>
        <v>24990</v>
      </c>
      <c r="E63" s="62">
        <f>TRUNC(+D63*3.3058,-1)</f>
        <v>82610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24990</v>
      </c>
      <c r="E66" s="65">
        <f>SUM(E63:E65)</f>
        <v>82610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TRUNC(39869.0445492532,-1)</f>
        <v>39860</v>
      </c>
      <c r="E93" s="63">
        <f t="shared" si="2"/>
        <v>131760</v>
      </c>
    </row>
    <row r="94" spans="1:7" ht="17.25" thickBot="1" x14ac:dyDescent="0.35">
      <c r="A94" s="2">
        <v>26</v>
      </c>
      <c r="C94" s="38" t="s">
        <v>47</v>
      </c>
      <c r="D94" s="43">
        <f>TRUNC(104283.479178277+376.352878219472,-1)</f>
        <v>104650</v>
      </c>
      <c r="E94" s="64">
        <f t="shared" si="2"/>
        <v>345950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144510</v>
      </c>
      <c r="E95" s="39">
        <f>SUM(E69:E94)</f>
        <v>477710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TRUNC(24140.1212232121,-1)</f>
        <v>24140</v>
      </c>
      <c r="E98" s="62">
        <f t="shared" ref="E98:E118" si="3">TRUNC(+D98*3.3058,-1)</f>
        <v>79800</v>
      </c>
    </row>
    <row r="99" spans="1:7" x14ac:dyDescent="0.3">
      <c r="A99" s="2">
        <v>2</v>
      </c>
      <c r="C99" s="38" t="s">
        <v>40</v>
      </c>
      <c r="D99" s="42">
        <f>TRUNC(8198.90851972927,-1)</f>
        <v>8190</v>
      </c>
      <c r="E99" s="63">
        <f t="shared" si="3"/>
        <v>27070</v>
      </c>
    </row>
    <row r="100" spans="1:7" x14ac:dyDescent="0.3">
      <c r="A100" s="2">
        <v>3</v>
      </c>
      <c r="C100" s="38" t="s">
        <v>41</v>
      </c>
      <c r="D100" s="42">
        <f>TRUNC(25668.5812281475,-1)</f>
        <v>25660</v>
      </c>
      <c r="E100" s="63">
        <f t="shared" si="3"/>
        <v>84820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TRUNC(8553.03141211733,-1)</f>
        <v>8550</v>
      </c>
      <c r="E102" s="63">
        <f t="shared" si="3"/>
        <v>28260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TRUNC(3725.77712341643,-1)</f>
        <v>3720</v>
      </c>
      <c r="E104" s="63">
        <f t="shared" si="3"/>
        <v>12290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TRUNC(6750.589479755,-1)</f>
        <v>6750</v>
      </c>
      <c r="E115" s="63">
        <f t="shared" si="3"/>
        <v>22310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TRUNC(11690.0545393546+25911.4615826117,-1)</f>
        <v>37600</v>
      </c>
      <c r="E117" s="63">
        <f t="shared" si="3"/>
        <v>124290</v>
      </c>
    </row>
    <row r="118" spans="1:7" ht="17.25" thickBot="1" x14ac:dyDescent="0.35">
      <c r="A118" s="2">
        <v>21</v>
      </c>
      <c r="C118" s="38" t="s">
        <v>47</v>
      </c>
      <c r="D118" s="43">
        <f>TRUNC(102.619940830207,-1)</f>
        <v>100</v>
      </c>
      <c r="E118" s="64">
        <f t="shared" si="3"/>
        <v>330</v>
      </c>
      <c r="F118" s="2" t="s">
        <v>252</v>
      </c>
    </row>
    <row r="119" spans="1:7" x14ac:dyDescent="0.3">
      <c r="A119" s="2">
        <v>22</v>
      </c>
      <c r="C119" s="27" t="s">
        <v>112</v>
      </c>
      <c r="D119" s="39">
        <f>SUM(D98:D118)</f>
        <v>114710</v>
      </c>
      <c r="E119" s="39">
        <f>SUM(E98:E118)</f>
        <v>379170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TRUNC(737.512373252148,-1)</f>
        <v>730</v>
      </c>
      <c r="E124" s="63">
        <f t="shared" si="4"/>
        <v>2410</v>
      </c>
    </row>
    <row r="125" spans="1:7" x14ac:dyDescent="0.3">
      <c r="A125" s="2">
        <v>4</v>
      </c>
      <c r="C125" s="38" t="s">
        <v>138</v>
      </c>
      <c r="D125" s="42">
        <f>TRUNC(4182.9264370302,-1)</f>
        <v>4180</v>
      </c>
      <c r="E125" s="63">
        <f t="shared" si="4"/>
        <v>13810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TRUNC(12685.8760539793,-1)</f>
        <v>12680</v>
      </c>
      <c r="E131" s="63">
        <f t="shared" si="4"/>
        <v>41910</v>
      </c>
    </row>
    <row r="132" spans="1:7" ht="18" thickBot="1" x14ac:dyDescent="0.35">
      <c r="A132" s="2">
        <v>11</v>
      </c>
      <c r="C132" s="38" t="s">
        <v>47</v>
      </c>
      <c r="D132" s="43">
        <f>TRUNC(46982.5073407698+5015.13792883543+11649.8714845407+100.080963352992,-1)</f>
        <v>63740</v>
      </c>
      <c r="E132" s="64">
        <f t="shared" si="4"/>
        <v>210710</v>
      </c>
      <c r="F132" s="54" t="s">
        <v>251</v>
      </c>
    </row>
    <row r="133" spans="1:7" x14ac:dyDescent="0.3">
      <c r="A133" s="2">
        <v>12</v>
      </c>
      <c r="C133" s="27" t="s">
        <v>112</v>
      </c>
      <c r="D133" s="39">
        <f>SUM(D122:D132)</f>
        <v>81330</v>
      </c>
      <c r="E133" s="39">
        <f>SUM(E122:E132)</f>
        <v>268840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TRUNC(30638.6448897429,-1)</f>
        <v>30630</v>
      </c>
      <c r="E137" s="63">
        <f t="shared" si="5"/>
        <v>101250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30630</v>
      </c>
      <c r="E146" s="39">
        <f>SUM(E136:E145)</f>
        <v>101250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TRUNC(9893.78190358152+3390.24544095914,-1)</f>
        <v>13280</v>
      </c>
      <c r="E149" s="62">
        <f>TRUNC(+D149*3.3058,-1)</f>
        <v>43900</v>
      </c>
      <c r="F149" s="2" t="s">
        <v>256</v>
      </c>
    </row>
    <row r="150" spans="1:7" x14ac:dyDescent="0.3">
      <c r="A150" s="2">
        <v>2</v>
      </c>
      <c r="C150" s="38" t="s">
        <v>49</v>
      </c>
      <c r="D150" s="42">
        <f>TRUNC(9904.23906925417,-1)</f>
        <v>9900</v>
      </c>
      <c r="E150" s="63">
        <f>TRUNC(+D150*3.3058,-1)</f>
        <v>32720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TRUNC(590.365499629842+3298.05313635948+39.8049947734274+6330.29526669384+11735.1738632551+124.138031425981+2319.83726920592,-1)</f>
        <v>24430</v>
      </c>
      <c r="E152" s="63">
        <f>TRUNC(+D152*3.3058,-1)</f>
        <v>80760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47610</v>
      </c>
      <c r="E154" s="39">
        <f>SUM(E149:E153)</f>
        <v>157380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TRUNC(24882.1676828677,-1)</f>
        <v>24880</v>
      </c>
      <c r="E157" s="62">
        <f>TRUNC(+D157*3.3058,-1)</f>
        <v>82240</v>
      </c>
    </row>
    <row r="158" spans="1:7" x14ac:dyDescent="0.3">
      <c r="A158" s="2">
        <v>2</v>
      </c>
      <c r="C158" s="38" t="s">
        <v>52</v>
      </c>
      <c r="D158" s="42">
        <f>TRUNC(1533.75229095789,-1)</f>
        <v>1530</v>
      </c>
      <c r="E158" s="63">
        <f>TRUNC(+D158*3.3058,-1)</f>
        <v>5050</v>
      </c>
    </row>
    <row r="159" spans="1:7" x14ac:dyDescent="0.3">
      <c r="A159" s="2">
        <v>3</v>
      </c>
      <c r="C159" s="38" t="s">
        <v>47</v>
      </c>
      <c r="D159" s="42">
        <f>TRUNC(264.707741704722,-1)</f>
        <v>260</v>
      </c>
      <c r="E159" s="63">
        <f>TRUNC(+D159*3.3058,-1)</f>
        <v>850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26670</v>
      </c>
      <c r="E161" s="39">
        <f>SUM(E157:E160)</f>
        <v>88140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2020-12-07T09:19:51Z</dcterms:modified>
</cp:coreProperties>
</file>