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93" i="4"/>
  <c r="D117" i="4"/>
  <c r="D131" i="4"/>
  <c r="D153" i="4"/>
  <c r="D159" i="4"/>
  <c r="D158" i="4"/>
  <c r="D157" i="4"/>
  <c r="D152" i="4"/>
  <c r="D151" i="4"/>
  <c r="D150" i="4"/>
  <c r="D149" i="4"/>
  <c r="D137" i="4"/>
  <c r="D144" i="4"/>
  <c r="D143" i="4"/>
  <c r="D139" i="4"/>
  <c r="D138" i="4"/>
  <c r="D141" i="4"/>
  <c r="D142" i="4"/>
  <c r="D140" i="4"/>
  <c r="D132" i="4"/>
  <c r="D128" i="4"/>
  <c r="D124" i="4"/>
  <c r="D125" i="4"/>
  <c r="D122" i="4"/>
  <c r="D130" i="4"/>
  <c r="D118" i="4"/>
  <c r="D105" i="4"/>
  <c r="D104" i="4"/>
  <c r="D103" i="4"/>
  <c r="D102" i="4"/>
  <c r="D101" i="4"/>
  <c r="D99" i="4"/>
  <c r="D114" i="4"/>
  <c r="D98" i="4"/>
  <c r="D116" i="4"/>
  <c r="D94" i="4"/>
  <c r="D75" i="4"/>
  <c r="D92" i="4"/>
  <c r="D91" i="4"/>
  <c r="D90" i="4"/>
  <c r="D89" i="4"/>
  <c r="D73" i="4"/>
  <c r="D72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<sst xmlns="http://schemas.openxmlformats.org/spreadsheetml/2006/main" count="395" uniqueCount="269">
  <si>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</si>
  <si>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</si>
  <si>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</si>
  <si>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</si>
  <si>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</si>
  <si>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</si>
  <si>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</si>
  <si>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</si>
  <si>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</si>
  <si>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</si>
  <si>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</si>
  <si>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</si>
  <si>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</si>
  <si>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</si>
  <si>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</si>
  <si>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</si>
  <si>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</si>
  <si>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</si>
  <si>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</si>
  <si>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</si>
  <si>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</si>
  <si>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</si>
  <si>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</si>
  <si>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</si>
  <si>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</si>
  <si>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</si>
  <si>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</si>
  <si>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</si>
  <si>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</si>
  <si>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</si>
  <si>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</si>
  <si>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</si>
  <si>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</si>
  <si>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</si>
  <si>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</si>
  <si>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</si>
  <si>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</si>
  <si>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</si>
  <si>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</si>
  <si>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</si>
  <si>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</si>
  <si>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</si>
  <si>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</si>
  <si>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</si>
  <si>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</si>
  <si>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</si>
  <si>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</si>
  <si>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</si>
  <si>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</si>
  <si>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</si>
  <si>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</si>
  <si>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</si>
  <si>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</si>
  <si>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</si>
  <si>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</si>
  <si>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</si>
  <si>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</si>
  <si>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</si>
  <si>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</si>
  <si>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</si>
  <si>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</si>
  <si>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</si>
  <si>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</si>
  <si>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</si>
  <si>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</si>
  <si>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</si>
  <si>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</si>
  <si>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</si>
  <si>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</si>
  <si>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</si>
  <si>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</si>
  <si>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</si>
  <si>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</si>
  <si>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</si>
  <si>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</si>
  <si>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</si>
  <si>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</si>
  <si>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</si>
  <si>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</si>
  <si>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</si>
  <si>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</si>
  <si>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</si>
  <si>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</si>
  <si>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</si>
  <si>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</si>
  <si>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</si>
  <si>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</si>
  <si>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</si>
  <si>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</si>
  <si>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</si>
  <si>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</si>
  <si>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</si>
  <si>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</si>
  <si>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</si>
  <si>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</si>
  <si>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</si>
  <si>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</si>
  <si>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</si>
  <si>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</si>
  <si>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</si>
  <si>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</si>
  <si>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</si>
  <si>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</si>
  <si>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</si>
  <si>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</si>
  <si>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</si>
  <si>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</si>
  <si>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</si>
  <si>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</si>
  <si>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</si>
  <si>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</si>
  <si>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</si>
  <si>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</si>
  <si>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</si>
  <si>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</si>
  <si>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</si>
  <si>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</si>
  <si>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</si>
  <si>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</si>
  <si>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</si>
  <si>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</si>
  <si>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</si>
  <si>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</si>
  <si>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</si>
  <si>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</si>
  <si>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</si>
  <si>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</si>
  <si>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</si>
  <si>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</si>
  <si>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</si>
  <si>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</si>
  <si>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</si>
  <si>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</si>
  <si>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</si>
  <si>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</si>
  <si>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</si>
  <si>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</si>
  <si>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</si>
  <si>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</si>
  <si>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</si>
  <si>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</si>
  <si>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</si>
  <si>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</si>
  <si>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</si>
  <si>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</si>
  <si>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</si>
  <si>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</si>
  <si>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</si>
  <si>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</si>
  <si>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</si>
  <si>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</si>
  <si>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</si>
  <si>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</si>
  <si>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</si>
  <si>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</si>
  <si>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</si>
  <si>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</si>
  <si>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</si>
  <si>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</si>
  <si>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</si>
  <si>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</si>
  <si>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</si>
  <si>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</si>
  <si>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</si>
  <si>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</si>
  <si>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</si>
  <si>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</si>
  <si>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</si>
  <si>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</si>
  <si>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</si>
  <si>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</si>
  <si>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</si>
  <si>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</si>
  <si>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</si>
  <si>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</si>
  <si>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</si>
  <si>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</si>
  <si>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</si>
  <si>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</si>
  <si>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</si>
  <si>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</si>
  <si>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</si>
  <si>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</si>
  <si>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</si>
  <si>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</si>
  <si>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</si>
  <si>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</si>
  <si>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</si>
  <si>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</si>
  <si>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</si>
  <si>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</si>
  <si>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</si>
  <si>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</si>
  <si>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</si>
  <si>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</si>
  <si>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</si>
  <si>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</si>
  <si>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</si>
  <si>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</si>
  <si>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</si>
  <si>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</si>
  <si>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</si>
  <si>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</si>
  <si>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</si>
  <si>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</si>
  <si>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</si>
  <si>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</si>
  <si>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</si>
  <si>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</si>
  <si>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</si>
  <si>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</si>
  <si>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</si>
  <si>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</si>
  <si>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</si>
  <si>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</si>
  <si>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</si>
  <si>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</si>
  <si>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</si>
  <si>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</si>
  <si>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</si>
  <si>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</si>
  <si>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</si>
  <si>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</si>
  <si>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</si>
  <si>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</si>
  <si>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</si>
  <si>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</si>
  <si>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</si>
  <si>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</si>
  <si>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</si>
  <si>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</si>
  <si>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</si>
  <si>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</si>
  <si>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</si>
  <si>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</si>
  <si>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</si>
  <si>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원 /평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</si>
  <si>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</si>
  <si>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</si>
  <si>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</si>
  <si>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</si>
  <si>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</si>
  <si>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</si>
  <si>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</si>
  <si>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</si>
  <si>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</si>
  <si>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</si>
  <si>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</si>
  <si>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</si>
  <si>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중부권광역우편물류센터 건립공사</t>
    <phoneticPr fontId="2" type="noConversion"/>
  </si>
  <si>
    <t>창고</t>
  </si>
  <si>
    <t>대전시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</si>
  <si>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</si>
  <si>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</si>
  <si>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</si>
  <si>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기초공사,골재비및운반비,작업부산물,품질시험비,기타공사</t>
    <phoneticPr fontId="2" type="noConversion"/>
  </si>
  <si>
    <t>공조배관공사,기타공사</t>
    <phoneticPr fontId="2" type="noConversion"/>
  </si>
  <si>
    <t>전기인입 및 수변전 설비공사</t>
    <phoneticPr fontId="2" type="noConversion"/>
  </si>
  <si>
    <t>기타공사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</si>
  <si>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</si>
  <si>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</si>
  <si>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옥외소화배관공사,펌프실배관공사,기타공사</t>
    <phoneticPr fontId="2" type="noConversion"/>
  </si>
  <si>
    <t>우수공사,오수공사</t>
    <phoneticPr fontId="2" type="noConversion"/>
  </si>
  <si>
    <t>사급자재비,운반비,기타공사</t>
    <phoneticPr fontId="2" type="noConversion"/>
  </si>
  <si>
    <t>조경시설물</t>
    <phoneticPr fontId="2" type="noConversion"/>
  </si>
  <si>
    <t>포장공사,기타공사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</si>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</sst>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26631.15</v>
      </c>
      <c r="D7" s="36">
        <f>+C7/3.3058</f>
        <v>8055.8866235101941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468190</v>
      </c>
      <c r="E25" s="59">
        <f t="shared" si="0"/>
        <v>1547740</v>
      </c>
    </row>
    <row r="26" spans="1:5" x14ac:dyDescent="0.3">
      <c r="B26" s="2">
        <v>3</v>
      </c>
      <c r="C26" s="35" t="s">
        <v>95</v>
      </c>
      <c r="D26" s="45">
        <f>+D66</f>
        <v>10200</v>
      </c>
      <c r="E26" s="59">
        <f t="shared" si="0"/>
        <v>33710</v>
      </c>
    </row>
    <row r="27" spans="1:5" x14ac:dyDescent="0.3">
      <c r="B27" s="2">
        <v>4</v>
      </c>
      <c r="C27" s="35" t="s">
        <v>96</v>
      </c>
      <c r="D27" s="45">
        <f>+D95</f>
        <v>76240</v>
      </c>
      <c r="E27" s="59">
        <f t="shared" si="0"/>
        <v>252030</v>
      </c>
    </row>
    <row r="28" spans="1:5" x14ac:dyDescent="0.3">
      <c r="B28" s="2">
        <v>5</v>
      </c>
      <c r="C28" s="35" t="s">
        <v>97</v>
      </c>
      <c r="D28" s="45">
        <f>+D119</f>
        <v>134290</v>
      </c>
      <c r="E28" s="59">
        <f t="shared" si="0"/>
        <v>443930</v>
      </c>
    </row>
    <row r="29" spans="1:5" x14ac:dyDescent="0.3">
      <c r="B29" s="2">
        <v>6</v>
      </c>
      <c r="C29" s="35" t="s">
        <v>98</v>
      </c>
      <c r="D29" s="45">
        <f>+D133</f>
        <v>34110</v>
      </c>
      <c r="E29" s="59">
        <f t="shared" si="0"/>
        <v>112760</v>
      </c>
    </row>
    <row r="30" spans="1:5" x14ac:dyDescent="0.3">
      <c r="B30" s="2">
        <v>7</v>
      </c>
      <c r="C30" s="35" t="s">
        <v>99</v>
      </c>
      <c r="D30" s="45">
        <f>+D146</f>
        <v>67150</v>
      </c>
      <c r="E30" s="59">
        <f t="shared" si="0"/>
        <v>221980</v>
      </c>
    </row>
    <row r="31" spans="1:5" x14ac:dyDescent="0.3">
      <c r="B31" s="2">
        <v>8</v>
      </c>
      <c r="C31" s="35" t="s">
        <v>100</v>
      </c>
      <c r="D31" s="45">
        <f>+D154</f>
        <v>53930</v>
      </c>
      <c r="E31" s="59">
        <f t="shared" si="0"/>
        <v>178280</v>
      </c>
    </row>
    <row r="32" spans="1:5" x14ac:dyDescent="0.3">
      <c r="B32" s="2">
        <v>9</v>
      </c>
      <c r="C32" s="35" t="s">
        <v>101</v>
      </c>
      <c r="D32" s="45">
        <f>+D161</f>
        <v>14670</v>
      </c>
      <c r="E32" s="59">
        <f t="shared" si="0"/>
        <v>48490</v>
      </c>
    </row>
    <row r="33" spans="1:7" x14ac:dyDescent="0.3">
      <c r="B33" s="2">
        <v>10</v>
      </c>
      <c r="C33" s="35" t="s">
        <v>154</v>
      </c>
      <c r="D33" s="53">
        <f>TRUNC(SUM(D24:D32)*0.275,-1)</f>
        <v>236160</v>
      </c>
      <c r="E33" s="60">
        <f t="shared" si="0"/>
        <v>780690</v>
      </c>
    </row>
    <row r="34" spans="1:7" x14ac:dyDescent="0.3">
      <c r="C34" s="35" t="s">
        <v>112</v>
      </c>
      <c r="D34" s="44">
        <f>SUM(D24:D33)</f>
        <v>1094940</v>
      </c>
      <c r="E34" s="44">
        <f>SUM(E24:E33)</f>
        <v>3619610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113</v>
      </c>
      <c r="D39" s="57" t="s">
        <v>235</v>
      </c>
      <c r="E39" s="57" t="s">
        <v>236</v>
      </c>
      <c r="G39" s="55"/>
    </row>
    <row r="40" spans="1:7" x14ac:dyDescent="0.3">
      <c r="A40" s="2">
        <v>1</v>
      </c>
      <c r="C40" s="38" t="s">
        <v>15</v>
      </c>
      <c r="D40" s="40">
        <f>TRUNC(17791,-1)</f>
        <v>17790</v>
      </c>
      <c r="E40" s="62">
        <f t="shared" ref="E40:E59" si="1">TRUNC(+D40*3.3058,-1)</f>
        <v>58810</v>
      </c>
    </row>
    <row r="41" spans="1:7" x14ac:dyDescent="0.3">
      <c r="A41" s="2">
        <v>2</v>
      </c>
      <c r="C41" s="38" t="s">
        <v>13</v>
      </c>
      <c r="D41" s="42">
        <f>TRUNC(29001,-1)</f>
        <v>29000</v>
      </c>
      <c r="E41" s="63">
        <f t="shared" si="1"/>
        <v>95860</v>
      </c>
    </row>
    <row r="42" spans="1:7" x14ac:dyDescent="0.3">
      <c r="A42" s="2">
        <v>3</v>
      </c>
      <c r="C42" s="38" t="s">
        <v>14</v>
      </c>
      <c r="D42" s="42">
        <f>TRUNC(121889,-1)</f>
        <v>121880</v>
      </c>
      <c r="E42" s="63">
        <f t="shared" si="1"/>
        <v>402910</v>
      </c>
    </row>
    <row r="43" spans="1:7" x14ac:dyDescent="0.3">
      <c r="A43" s="2">
        <v>4</v>
      </c>
      <c r="C43" s="38" t="s">
        <v>16</v>
      </c>
      <c r="D43" s="42">
        <f>TRUNC(4795,-1)</f>
        <v>4790</v>
      </c>
      <c r="E43" s="63">
        <f t="shared" si="1"/>
        <v>15830</v>
      </c>
    </row>
    <row r="44" spans="1:7" x14ac:dyDescent="0.3">
      <c r="A44" s="2">
        <v>5</v>
      </c>
      <c r="C44" s="38" t="s">
        <v>17</v>
      </c>
      <c r="D44" s="42">
        <f>TRUNC(4977,-1)</f>
        <v>4970</v>
      </c>
      <c r="E44" s="63">
        <f t="shared" si="1"/>
        <v>16420</v>
      </c>
    </row>
    <row r="45" spans="1:7" x14ac:dyDescent="0.3">
      <c r="A45" s="2">
        <v>6</v>
      </c>
      <c r="C45" s="38" t="s">
        <v>18</v>
      </c>
      <c r="D45" s="42">
        <f>TRUNC(2723,-1)</f>
        <v>2720</v>
      </c>
      <c r="E45" s="63">
        <f t="shared" si="1"/>
        <v>8990</v>
      </c>
    </row>
    <row r="46" spans="1:7" x14ac:dyDescent="0.3">
      <c r="A46" s="2">
        <v>7</v>
      </c>
      <c r="C46" s="38" t="s">
        <v>19</v>
      </c>
      <c r="D46" s="42">
        <f>TRUNC(1265,-1)</f>
        <v>1260</v>
      </c>
      <c r="E46" s="63">
        <f t="shared" si="1"/>
        <v>4160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TRUNC(12793,-1)</f>
        <v>12790</v>
      </c>
      <c r="E48" s="63">
        <f t="shared" si="1"/>
        <v>42280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TRUNC(26658,-1)</f>
        <v>26650</v>
      </c>
      <c r="E49" s="63">
        <f t="shared" si="1"/>
        <v>88090</v>
      </c>
    </row>
    <row r="50" spans="1:7" x14ac:dyDescent="0.3">
      <c r="A50" s="2">
        <v>11</v>
      </c>
      <c r="C50" s="38" t="s">
        <v>155</v>
      </c>
      <c r="D50" s="42">
        <f>TRUNC(6657,-1)</f>
        <v>6650</v>
      </c>
      <c r="E50" s="63">
        <f t="shared" si="1"/>
        <v>21980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TRUNC(2081,-1)</f>
        <v>2080</v>
      </c>
      <c r="E52" s="63">
        <f t="shared" si="1"/>
        <v>6870</v>
      </c>
    </row>
    <row r="53" spans="1:7" x14ac:dyDescent="0.3">
      <c r="A53" s="2">
        <v>14</v>
      </c>
      <c r="C53" s="38" t="s">
        <v>25</v>
      </c>
      <c r="D53" s="42">
        <f>TRUNC(14078,-1)</f>
        <v>14070</v>
      </c>
      <c r="E53" s="63">
        <f t="shared" si="1"/>
        <v>46510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TRUNC(4579+6149-1238+640+7166,-1)</f>
        <v>17290</v>
      </c>
      <c r="E58" s="63">
        <f t="shared" si="1"/>
        <v>57150</v>
      </c>
      <c r="F58" s="2" t="s">
        <v>255</v>
      </c>
    </row>
    <row r="59" spans="1:7" ht="17.25" thickBot="1" x14ac:dyDescent="0.35">
      <c r="A59" s="2">
        <v>20</v>
      </c>
      <c r="C59" s="38" t="s">
        <v>148</v>
      </c>
      <c r="D59" s="43">
        <f>TRUNC(206254,-1)</f>
        <v>206250</v>
      </c>
      <c r="E59" s="64">
        <f t="shared" si="1"/>
        <v>681820</v>
      </c>
    </row>
    <row r="60" spans="1:7" x14ac:dyDescent="0.3">
      <c r="A60" s="2">
        <v>21</v>
      </c>
      <c r="C60" s="27" t="s">
        <v>112</v>
      </c>
      <c r="D60" s="39">
        <f>SUM(D40:D59)</f>
        <v>468190</v>
      </c>
      <c r="E60" s="39">
        <f>SUM(E40:E59)</f>
        <v>1547680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TRUNC(10205,-1)</f>
        <v>10200</v>
      </c>
      <c r="E63" s="62">
        <f>TRUNC(+D63*3.3058,-1)</f>
        <v>33710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10200</v>
      </c>
      <c r="E66" s="65">
        <f>SUM(E63:E65)</f>
        <v>33710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TRUNC(2292,-1)</f>
        <v>2290</v>
      </c>
      <c r="E69" s="62">
        <f t="shared" ref="E69:E94" si="2">TRUNC(+D69*3.3058,-1)</f>
        <v>7570</v>
      </c>
    </row>
    <row r="70" spans="1:7" ht="16.5" customHeight="1" x14ac:dyDescent="0.3">
      <c r="A70" s="2">
        <v>2</v>
      </c>
      <c r="C70" s="38" t="s">
        <v>31</v>
      </c>
      <c r="D70" s="42">
        <f>TRUNC(1081,-1)</f>
        <v>1080</v>
      </c>
      <c r="E70" s="63">
        <f t="shared" si="2"/>
        <v>3570</v>
      </c>
    </row>
    <row r="71" spans="1:7" x14ac:dyDescent="0.3">
      <c r="A71" s="2">
        <v>3</v>
      </c>
      <c r="C71" s="38" t="s">
        <v>32</v>
      </c>
      <c r="D71" s="42">
        <f>TRUNC(1349,-1)</f>
        <v>1340</v>
      </c>
      <c r="E71" s="63">
        <f t="shared" si="2"/>
        <v>4420</v>
      </c>
    </row>
    <row r="72" spans="1:7" x14ac:dyDescent="0.3">
      <c r="A72" s="2">
        <v>4</v>
      </c>
      <c r="C72" s="38" t="s">
        <v>33</v>
      </c>
      <c r="D72" s="42">
        <f>TRUNC(381,-1)</f>
        <v>380</v>
      </c>
      <c r="E72" s="63">
        <f t="shared" si="2"/>
        <v>1250</v>
      </c>
    </row>
    <row r="73" spans="1:7" x14ac:dyDescent="0.3">
      <c r="A73" s="2">
        <v>5</v>
      </c>
      <c r="C73" s="38" t="s">
        <v>34</v>
      </c>
      <c r="D73" s="42">
        <f>TRUNC(2591,-1)</f>
        <v>2590</v>
      </c>
      <c r="E73" s="63">
        <f t="shared" si="2"/>
        <v>8560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TRUNC(27,-1)</f>
        <v>20</v>
      </c>
      <c r="E75" s="63">
        <f t="shared" si="2"/>
        <v>60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TRUNC(2235,-1)</f>
        <v>2230</v>
      </c>
      <c r="E89" s="63">
        <f t="shared" si="2"/>
        <v>7370</v>
      </c>
    </row>
    <row r="90" spans="1:7" x14ac:dyDescent="0.3">
      <c r="A90" s="2">
        <v>22</v>
      </c>
      <c r="C90" s="38" t="s">
        <v>36</v>
      </c>
      <c r="D90" s="42">
        <f>TRUNC(585,-1)</f>
        <v>580</v>
      </c>
      <c r="E90" s="63">
        <f t="shared" si="2"/>
        <v>1910</v>
      </c>
    </row>
    <row r="91" spans="1:7" x14ac:dyDescent="0.3">
      <c r="A91" s="2">
        <v>23</v>
      </c>
      <c r="C91" s="38" t="s">
        <v>37</v>
      </c>
      <c r="D91" s="42">
        <f>TRUNC(10284,-1)</f>
        <v>10280</v>
      </c>
      <c r="E91" s="63">
        <f t="shared" si="2"/>
        <v>33980</v>
      </c>
    </row>
    <row r="92" spans="1:7" x14ac:dyDescent="0.3">
      <c r="A92" s="2">
        <v>24</v>
      </c>
      <c r="C92" s="38" t="s">
        <v>38</v>
      </c>
      <c r="D92" s="42">
        <f>TRUNC(2051,-1)</f>
        <v>2050</v>
      </c>
      <c r="E92" s="63">
        <f t="shared" si="2"/>
        <v>6770</v>
      </c>
    </row>
    <row r="93" spans="1:7" x14ac:dyDescent="0.3">
      <c r="A93" s="2">
        <v>25</v>
      </c>
      <c r="C93" s="38" t="s">
        <v>148</v>
      </c>
      <c r="D93" s="42">
        <f>TRUNC(20500,-1)</f>
        <v>20500</v>
      </c>
      <c r="E93" s="63">
        <f t="shared" si="2"/>
        <v>67760</v>
      </c>
    </row>
    <row r="94" spans="1:7" ht="17.25" thickBot="1" x14ac:dyDescent="0.35">
      <c r="A94" s="2">
        <v>26</v>
      </c>
      <c r="C94" s="38" t="s">
        <v>47</v>
      </c>
      <c r="D94" s="43">
        <f>TRUNC(43+32866,-1)</f>
        <v>32900</v>
      </c>
      <c r="E94" s="64">
        <f t="shared" si="2"/>
        <v>108760</v>
      </c>
      <c r="F94" s="2" t="s">
        <v>256</v>
      </c>
    </row>
    <row r="95" spans="1:7" x14ac:dyDescent="0.3">
      <c r="A95" s="2">
        <v>27</v>
      </c>
      <c r="C95" s="27" t="s">
        <v>112</v>
      </c>
      <c r="D95" s="39">
        <f>SUM(D69:D94)</f>
        <v>76240</v>
      </c>
      <c r="E95" s="39">
        <f>SUM(E69:E94)</f>
        <v>251980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TRUNC(21791,-1)</f>
        <v>21790</v>
      </c>
      <c r="E98" s="62">
        <f t="shared" ref="E98:E118" si="3">TRUNC(+D98*3.3058,-1)</f>
        <v>72030</v>
      </c>
    </row>
    <row r="99" spans="1:7" x14ac:dyDescent="0.3">
      <c r="A99" s="2">
        <v>2</v>
      </c>
      <c r="C99" s="38" t="s">
        <v>40</v>
      </c>
      <c r="D99" s="42">
        <f>TRUNC(11092,-1)</f>
        <v>11090</v>
      </c>
      <c r="E99" s="63">
        <f t="shared" si="3"/>
        <v>36660</v>
      </c>
    </row>
    <row r="100" spans="1:7" x14ac:dyDescent="0.3">
      <c r="A100" s="2">
        <v>3</v>
      </c>
      <c r="C100" s="38" t="s">
        <v>41</v>
      </c>
      <c r="D100" s="42">
        <v>0</v>
      </c>
      <c r="E100" s="63">
        <f t="shared" si="3"/>
        <v>0</v>
      </c>
    </row>
    <row r="101" spans="1:7" x14ac:dyDescent="0.3">
      <c r="A101" s="2">
        <v>4</v>
      </c>
      <c r="C101" s="38" t="s">
        <v>42</v>
      </c>
      <c r="D101" s="42">
        <f>TRUNC(1480,-1)</f>
        <v>1480</v>
      </c>
      <c r="E101" s="63">
        <f t="shared" si="3"/>
        <v>4890</v>
      </c>
    </row>
    <row r="102" spans="1:7" x14ac:dyDescent="0.3">
      <c r="A102" s="2">
        <v>5</v>
      </c>
      <c r="C102" s="38" t="s">
        <v>43</v>
      </c>
      <c r="D102" s="42">
        <f>TRUNC(3338,-1)</f>
        <v>3330</v>
      </c>
      <c r="E102" s="63">
        <f t="shared" si="3"/>
        <v>11000</v>
      </c>
    </row>
    <row r="103" spans="1:7" x14ac:dyDescent="0.3">
      <c r="A103" s="2">
        <v>6</v>
      </c>
      <c r="C103" s="38" t="s">
        <v>44</v>
      </c>
      <c r="D103" s="42">
        <f>TRUNC(6357,-1)</f>
        <v>6350</v>
      </c>
      <c r="E103" s="63">
        <f t="shared" si="3"/>
        <v>20990</v>
      </c>
    </row>
    <row r="104" spans="1:7" x14ac:dyDescent="0.3">
      <c r="A104" s="2">
        <v>7</v>
      </c>
      <c r="C104" s="38" t="s">
        <v>45</v>
      </c>
      <c r="D104" s="42">
        <f>TRUNC(3136,-1)</f>
        <v>3130</v>
      </c>
      <c r="E104" s="63">
        <f t="shared" si="3"/>
        <v>10340</v>
      </c>
    </row>
    <row r="105" spans="1:7" x14ac:dyDescent="0.3">
      <c r="A105" s="2">
        <v>8</v>
      </c>
      <c r="C105" s="38" t="s">
        <v>46</v>
      </c>
      <c r="D105" s="42">
        <f>TRUNC(7550,-1)</f>
        <v>7550</v>
      </c>
      <c r="E105" s="63">
        <f t="shared" si="3"/>
        <v>24950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TRUNC(25432,-1)</f>
        <v>25430</v>
      </c>
      <c r="E114" s="63">
        <f t="shared" si="3"/>
        <v>84060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TRUNC(2965,-1)</f>
        <v>2960</v>
      </c>
      <c r="E116" s="63">
        <f t="shared" si="3"/>
        <v>9780</v>
      </c>
      <c r="F116" s="2" t="s">
        <v>257</v>
      </c>
    </row>
    <row r="117" spans="1:7" x14ac:dyDescent="0.3">
      <c r="A117" s="2">
        <v>20</v>
      </c>
      <c r="C117" s="38" t="s">
        <v>148</v>
      </c>
      <c r="D117" s="42">
        <f>TRUNC(49909,-1)</f>
        <v>49900</v>
      </c>
      <c r="E117" s="63">
        <f t="shared" si="3"/>
        <v>164950</v>
      </c>
    </row>
    <row r="118" spans="1:7" ht="17.25" thickBot="1" x14ac:dyDescent="0.35">
      <c r="A118" s="2">
        <v>21</v>
      </c>
      <c r="C118" s="38" t="s">
        <v>47</v>
      </c>
      <c r="D118" s="43">
        <f>TRUNC(1287,-1)</f>
        <v>1280</v>
      </c>
      <c r="E118" s="64">
        <f t="shared" si="3"/>
        <v>4230</v>
      </c>
      <c r="F118" s="2" t="s">
        <v>258</v>
      </c>
    </row>
    <row r="119" spans="1:7" x14ac:dyDescent="0.3">
      <c r="A119" s="2">
        <v>22</v>
      </c>
      <c r="C119" s="27" t="s">
        <v>112</v>
      </c>
      <c r="D119" s="39">
        <f>SUM(D98:D118)</f>
        <v>134290</v>
      </c>
      <c r="E119" s="39">
        <f>SUM(E98:E118)</f>
        <v>443880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TRUNC(670,-1)</f>
        <v>670</v>
      </c>
      <c r="E122" s="62">
        <f t="shared" ref="E122:E132" si="4">TRUNC(+D122*3.3058,-1)</f>
        <v>2210</v>
      </c>
      <c r="F122" s="2" t="s">
        <v>259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TRUNC(160,-1)</f>
        <v>160</v>
      </c>
      <c r="E124" s="63">
        <f t="shared" si="4"/>
        <v>520</v>
      </c>
    </row>
    <row r="125" spans="1:7" x14ac:dyDescent="0.3">
      <c r="A125" s="2">
        <v>4</v>
      </c>
      <c r="C125" s="38" t="s">
        <v>138</v>
      </c>
      <c r="D125" s="42">
        <f>TRUNC(2403,-1)</f>
        <v>2400</v>
      </c>
      <c r="E125" s="63">
        <f t="shared" si="4"/>
        <v>7930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TRUNC(2180,-1)</f>
        <v>2180</v>
      </c>
      <c r="E128" s="63">
        <f t="shared" si="4"/>
        <v>7200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TRUNC(4521,-1)</f>
        <v>4520</v>
      </c>
      <c r="E130" s="63">
        <f t="shared" si="4"/>
        <v>14940</v>
      </c>
    </row>
    <row r="131" spans="1:7" x14ac:dyDescent="0.3">
      <c r="A131" s="2">
        <v>10</v>
      </c>
      <c r="C131" s="38" t="s">
        <v>148</v>
      </c>
      <c r="D131" s="42">
        <f>TRUNC(18512,-1)</f>
        <v>18510</v>
      </c>
      <c r="E131" s="63">
        <f t="shared" si="4"/>
        <v>61190</v>
      </c>
    </row>
    <row r="132" spans="1:7" ht="18" thickBot="1" x14ac:dyDescent="0.35">
      <c r="A132" s="2">
        <v>11</v>
      </c>
      <c r="C132" s="38" t="s">
        <v>47</v>
      </c>
      <c r="D132" s="43">
        <f>TRUNC(5585+85,-1)</f>
        <v>5670</v>
      </c>
      <c r="E132" s="64">
        <f t="shared" si="4"/>
        <v>18740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34110</v>
      </c>
      <c r="E133" s="39">
        <f>SUM(E122:E132)</f>
        <v>112730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TRUNC(1873+1642+3598,-1)</f>
        <v>7110</v>
      </c>
      <c r="E137" s="63">
        <f t="shared" si="5"/>
        <v>23500</v>
      </c>
      <c r="F137" s="2" t="s">
        <v>261</v>
      </c>
    </row>
    <row r="138" spans="1:7" x14ac:dyDescent="0.3">
      <c r="A138" s="2">
        <v>3</v>
      </c>
      <c r="C138" s="38" t="s">
        <v>60</v>
      </c>
      <c r="D138" s="42">
        <f>TRUNC(1323,-1)</f>
        <v>1320</v>
      </c>
      <c r="E138" s="63">
        <f t="shared" si="5"/>
        <v>4360</v>
      </c>
    </row>
    <row r="139" spans="1:7" x14ac:dyDescent="0.3">
      <c r="A139" s="2">
        <v>4</v>
      </c>
      <c r="C139" s="38" t="s">
        <v>61</v>
      </c>
      <c r="D139" s="42">
        <f>TRUNC(5348,-1)</f>
        <v>5340</v>
      </c>
      <c r="E139" s="63">
        <f t="shared" si="5"/>
        <v>17650</v>
      </c>
    </row>
    <row r="140" spans="1:7" x14ac:dyDescent="0.3">
      <c r="A140" s="2">
        <v>5</v>
      </c>
      <c r="C140" s="38" t="s">
        <v>57</v>
      </c>
      <c r="D140" s="42">
        <f>TRUNC(383,-1)</f>
        <v>380</v>
      </c>
      <c r="E140" s="63">
        <f t="shared" si="5"/>
        <v>1250</v>
      </c>
    </row>
    <row r="141" spans="1:7" x14ac:dyDescent="0.3">
      <c r="A141" s="2">
        <v>6</v>
      </c>
      <c r="C141" s="38" t="s">
        <v>59</v>
      </c>
      <c r="D141" s="42">
        <f>TRUNC(30032,-1)</f>
        <v>30030</v>
      </c>
      <c r="E141" s="63">
        <f t="shared" si="5"/>
        <v>99270</v>
      </c>
    </row>
    <row r="142" spans="1:7" x14ac:dyDescent="0.3">
      <c r="A142" s="2">
        <v>7</v>
      </c>
      <c r="C142" s="38" t="s">
        <v>58</v>
      </c>
      <c r="D142" s="42">
        <f>TRUNC(6528,-1)</f>
        <v>6520</v>
      </c>
      <c r="E142" s="63">
        <f t="shared" si="5"/>
        <v>21550</v>
      </c>
    </row>
    <row r="143" spans="1:7" x14ac:dyDescent="0.3">
      <c r="A143" s="2">
        <v>8</v>
      </c>
      <c r="C143" s="38" t="s">
        <v>62</v>
      </c>
      <c r="D143" s="42">
        <f>TRUNC(5251,-1)</f>
        <v>5250</v>
      </c>
      <c r="E143" s="63">
        <f t="shared" si="5"/>
        <v>17350</v>
      </c>
    </row>
    <row r="144" spans="1:7" x14ac:dyDescent="0.3">
      <c r="A144" s="2">
        <v>9</v>
      </c>
      <c r="C144" s="38" t="s">
        <v>63</v>
      </c>
      <c r="D144" s="42">
        <f>TRUNC(11203,-1)</f>
        <v>11200</v>
      </c>
      <c r="E144" s="63">
        <f t="shared" si="5"/>
        <v>37020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67150</v>
      </c>
      <c r="E146" s="39">
        <f>SUM(E136:E145)</f>
        <v>221950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TRUNC(4636+702,-1)</f>
        <v>5330</v>
      </c>
      <c r="E149" s="62">
        <f>TRUNC(+D149*3.3058,-1)</f>
        <v>17610</v>
      </c>
      <c r="F149" s="2" t="s">
        <v>262</v>
      </c>
    </row>
    <row r="150" spans="1:7" x14ac:dyDescent="0.3">
      <c r="A150" s="2">
        <v>2</v>
      </c>
      <c r="C150" s="38" t="s">
        <v>49</v>
      </c>
      <c r="D150" s="42">
        <f>TRUNC(8116,-1)</f>
        <v>8110</v>
      </c>
      <c r="E150" s="63">
        <f>TRUNC(+D150*3.3058,-1)</f>
        <v>26810</v>
      </c>
    </row>
    <row r="151" spans="1:7" x14ac:dyDescent="0.3">
      <c r="A151" s="2">
        <v>3</v>
      </c>
      <c r="C151" s="38" t="s">
        <v>50</v>
      </c>
      <c r="D151" s="42">
        <f>TRUNC(2736,-1)</f>
        <v>2730</v>
      </c>
      <c r="E151" s="63">
        <f>TRUNC(+D151*3.3058,-1)</f>
        <v>9020</v>
      </c>
    </row>
    <row r="152" spans="1:7" x14ac:dyDescent="0.3">
      <c r="A152" s="2">
        <v>4</v>
      </c>
      <c r="C152" s="38" t="s">
        <v>47</v>
      </c>
      <c r="D152" s="42">
        <f>TRUNC(14872+16+19,-1)</f>
        <v>14900</v>
      </c>
      <c r="E152" s="63">
        <f>TRUNC(+D152*3.3058,-1)</f>
        <v>49250</v>
      </c>
      <c r="F152" s="2" t="s">
        <v>263</v>
      </c>
    </row>
    <row r="153" spans="1:7" ht="17.25" thickBot="1" x14ac:dyDescent="0.35">
      <c r="A153" s="2">
        <v>5</v>
      </c>
      <c r="C153" s="38" t="s">
        <v>148</v>
      </c>
      <c r="D153" s="43">
        <f>TRUNC(22864,-1)</f>
        <v>22860</v>
      </c>
      <c r="E153" s="64">
        <f>TRUNC(+D153*3.3058,-1)</f>
        <v>75570</v>
      </c>
    </row>
    <row r="154" spans="1:7" x14ac:dyDescent="0.3">
      <c r="A154" s="2">
        <v>6</v>
      </c>
      <c r="C154" s="27" t="s">
        <v>112</v>
      </c>
      <c r="D154" s="39">
        <f>SUM(D149:D153)</f>
        <v>53930</v>
      </c>
      <c r="E154" s="39">
        <f>SUM(E149:E153)</f>
        <v>178260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TRUNC(7025,-1)</f>
        <v>7020</v>
      </c>
      <c r="E157" s="62">
        <f>TRUNC(+D157*3.3058,-1)</f>
        <v>23200</v>
      </c>
    </row>
    <row r="158" spans="1:7" x14ac:dyDescent="0.3">
      <c r="A158" s="2">
        <v>2</v>
      </c>
      <c r="C158" s="38" t="s">
        <v>52</v>
      </c>
      <c r="D158" s="42">
        <f>TRUNC(5153,-1)</f>
        <v>5150</v>
      </c>
      <c r="E158" s="63">
        <f>TRUNC(+D158*3.3058,-1)</f>
        <v>17020</v>
      </c>
      <c r="F158" s="2" t="s">
        <v>264</v>
      </c>
    </row>
    <row r="159" spans="1:7" x14ac:dyDescent="0.3">
      <c r="A159" s="2">
        <v>3</v>
      </c>
      <c r="C159" s="38" t="s">
        <v>47</v>
      </c>
      <c r="D159" s="42">
        <f>TRUNC(2501+0,-1)</f>
        <v>2500</v>
      </c>
      <c r="E159" s="63">
        <f>TRUNC(+D159*3.3058,-1)</f>
        <v>8260</v>
      </c>
      <c r="F159" s="2" t="s">
        <v>265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14670</v>
      </c>
      <c r="E161" s="39">
        <f>SUM(E157:E160)</f>
        <v>48480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2020-12-08T01:55:00Z</dcterms:modified>
</cp:coreProperties>
</file>