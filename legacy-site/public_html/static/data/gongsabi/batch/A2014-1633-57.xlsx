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79" i="4"/>
  <c r="D94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6" i="4"/>
  <c r="E124" i="4"/>
  <c r="E123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3" i="4"/>
  <c r="E101" i="4"/>
  <c r="E94" i="4"/>
  <c r="E93" i="4"/>
  <c r="E92" i="4"/>
  <c r="E91" i="4"/>
  <c r="E90" i="4"/>
  <c r="E89" i="4"/>
  <c r="E88" i="4"/>
  <c r="E87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65" i="4"/>
  <c r="E64" i="4"/>
  <c r="E63" i="4"/>
  <c r="E66" i="4" s="1"/>
  <c r="E59" i="4"/>
  <c r="E57" i="4"/>
  <c r="E56" i="4"/>
  <c r="E54" i="4"/>
  <c r="E47" i="4"/>
  <c r="E42" i="4"/>
  <c r="E146" i="4" l="1"/>
  <c r="D132" i="4"/>
  <c r="E132" i="4" s="1"/>
  <c r="D127" i="4"/>
  <c r="E127" i="4" s="1"/>
  <c r="D125" i="4"/>
  <c r="E125" i="4" s="1"/>
  <c r="D122" i="4"/>
  <c r="E122" i="4" s="1"/>
  <c r="D118" i="4"/>
  <c r="E118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86" i="4"/>
  <c r="E86" i="4" s="1"/>
  <c r="D85" i="4"/>
  <c r="E85" i="4" s="1"/>
  <c r="D70" i="4"/>
  <c r="E70" i="4" s="1"/>
  <c r="E95" i="4" s="1"/>
  <c r="D69" i="4"/>
  <c r="E6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D37" i="4"/>
  <c r="E37" i="4" s="1"/>
  <c r="D159" i="4"/>
  <c r="E159" i="4" s="1"/>
  <c r="E161" i="4" s="1"/>
  <c r="D152" i="4"/>
  <c r="E152" i="4" s="1"/>
  <c r="E154" i="4" s="1"/>
  <c r="E133" i="4" l="1"/>
  <c r="E119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<sst xmlns="http://schemas.openxmlformats.org/spreadsheetml/2006/main" count="390" uniqueCount="265">
  <si>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</si>
  <si>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</si>
  <si>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</si>
  <si>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</si>
  <si>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</si>
  <si>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</si>
  <si>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</si>
  <si>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</si>
  <si>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</si>
  <si>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</si>
  <si>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</si>
  <si>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</si>
  <si>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</si>
  <si>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</si>
  <si>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</si>
  <si>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</si>
  <si>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</si>
  <si>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</si>
  <si>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</si>
  <si>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</si>
  <si>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</si>
  <si>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</si>
  <si>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</si>
  <si>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</si>
  <si>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</si>
  <si>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</si>
  <si>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</si>
  <si>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</si>
  <si>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</si>
  <si>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</si>
  <si>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</si>
  <si>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</si>
  <si>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</si>
  <si>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</si>
  <si>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</si>
  <si>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</si>
  <si>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</si>
  <si>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</si>
  <si>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</si>
  <si>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</si>
  <si>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</si>
  <si>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</si>
  <si>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</si>
  <si>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</si>
  <si>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</si>
  <si>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</si>
  <si>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</si>
  <si>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</si>
  <si>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</si>
  <si>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</si>
  <si>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</si>
  <si>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</si>
  <si>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</si>
  <si>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</si>
  <si>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</si>
  <si>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</si>
  <si>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</si>
  <si>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</si>
  <si>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</si>
  <si>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</si>
  <si>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</si>
  <si>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</si>
  <si>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</si>
  <si>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</si>
  <si>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</si>
  <si>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</si>
  <si>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</si>
  <si>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</si>
  <si>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</si>
  <si>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</si>
  <si>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</si>
  <si>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</si>
  <si>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</si>
  <si>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</si>
  <si>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</si>
  <si>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</si>
  <si>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</si>
  <si>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</si>
  <si>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</si>
  <si>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</si>
  <si>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</si>
  <si>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</si>
  <si>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</si>
  <si>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</si>
  <si>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</si>
  <si>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</si>
  <si>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</si>
  <si>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</si>
  <si>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</si>
  <si>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</si>
  <si>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</si>
  <si>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</si>
  <si>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</si>
  <si>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</si>
  <si>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</si>
  <si>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</si>
  <si>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</si>
  <si>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</si>
  <si>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</si>
  <si>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</si>
  <si>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</si>
  <si>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</si>
  <si>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</si>
  <si>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</si>
  <si>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</si>
  <si>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</si>
  <si>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</si>
  <si>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</si>
  <si>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</si>
  <si>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</si>
  <si>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</si>
  <si>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</si>
  <si>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</si>
  <si>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</si>
  <si>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</si>
  <si>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</si>
  <si>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</si>
  <si>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</si>
  <si>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</si>
  <si>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</si>
  <si>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</si>
  <si>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</si>
  <si>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</si>
  <si>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</si>
  <si>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</si>
  <si>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</si>
  <si>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</si>
  <si>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</si>
  <si>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</si>
  <si>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</si>
  <si>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</si>
  <si>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</si>
  <si>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</si>
  <si>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</si>
  <si>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</si>
  <si>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</si>
  <si>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</si>
  <si>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</si>
  <si>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</si>
  <si>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</si>
  <si>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</si>
  <si>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</si>
  <si>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</si>
  <si>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</si>
  <si>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</si>
  <si>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</si>
  <si>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</si>
  <si>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</si>
  <si>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</si>
  <si>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</si>
  <si>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</si>
  <si>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</si>
  <si>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</si>
  <si>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</si>
  <si>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</si>
  <si>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</si>
  <si>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</si>
  <si>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</si>
  <si>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</si>
  <si>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</si>
  <si>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</si>
  <si>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</si>
  <si>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</si>
  <si>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</si>
  <si>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</si>
  <si>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</si>
  <si>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</si>
  <si>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</si>
  <si>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</si>
  <si>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</si>
  <si>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</si>
  <si>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</si>
  <si>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</si>
  <si>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</si>
  <si>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</si>
  <si>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</si>
  <si>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</si>
  <si>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</si>
  <si>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</si>
  <si>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</si>
  <si>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</si>
  <si>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</si>
  <si>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</si>
  <si>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</si>
  <si>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</si>
  <si>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</si>
  <si>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</si>
  <si>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</si>
  <si>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</si>
  <si>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</si>
  <si>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</si>
  <si>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</si>
  <si>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</si>
  <si>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</si>
  <si>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</si>
  <si>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</si>
  <si>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</si>
  <si>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</si>
  <si>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</si>
  <si>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</si>
  <si>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</si>
  <si>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</si>
  <si>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</si>
  <si>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</si>
  <si>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</si>
  <si>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</si>
  <si>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</si>
  <si>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</si>
  <si>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</si>
  <si>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</si>
  <si>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</si>
  <si>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</si>
  <si>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</si>
  <si>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</si>
  <si>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</si>
  <si>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</si>
  <si>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</si>
  <si>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</si>
  <si>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</si>
  <si>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</si>
  <si>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</si>
  <si>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</si>
  <si>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</si>
  <si>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</si>
  <si>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</si>
  <si>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</si>
  <si>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</si>
  <si>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</si>
  <si>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</si>
  <si>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</si>
  <si>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</si>
  <si>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</si>
  <si>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</si>
  <si>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</si>
  <si>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</si>
  <si>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</si>
  <si>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</si>
  <si>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</si>
  <si>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</si>
  <si>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</si>
  <si>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</si>
  <si>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</si>
  <si>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</si>
  <si>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</si>
  <si>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</si>
  <si>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</si>
  <si>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</si>
  <si>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</si>
  <si>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 00창고 신축공사</t>
    <phoneticPr fontId="2" type="noConversion"/>
  </si>
  <si>
    <t>창고</t>
  </si>
  <si>
    <t>인천시</t>
  </si>
  <si>
    <t>부대조경공사</t>
    <phoneticPr fontId="2" type="noConversion"/>
  </si>
  <si>
    <t>부대토목공사</t>
    <phoneticPr fontId="2" type="noConversion"/>
  </si>
  <si>
    <t>경비등,가설공사</t>
    <phoneticPr fontId="2" type="noConversion"/>
  </si>
  <si>
    <t>옥외CCTV설비공사,옥외CCTV철거공사,정보통신설비공사,CCTV설비공사,정보통신설비공사</t>
    <phoneticPr fontId="2" type="noConversion"/>
  </si>
  <si>
    <t>PEB공사,PHC파일공사,고재처리비,기타공사,운반및골재비,철거공사,캐노피철거공사,토및지정공사,판넬공사</t>
    <phoneticPr fontId="2" type="noConversion"/>
  </si>
  <si>
    <t>위생배관공사</t>
    <phoneticPr fontId="2" type="noConversion"/>
  </si>
  <si>
    <t>환기덕트설치공사</t>
    <phoneticPr fontId="2" type="noConversion"/>
  </si>
  <si>
    <t>전기 소방공사</t>
    <phoneticPr fontId="2" type="noConversion"/>
  </si>
  <si>
    <t>기계 소화설비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</si>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</sst>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8100</v>
      </c>
      <c r="D7" s="36">
        <f>+C7/3.3058</f>
        <v>2450.2389739246173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6440</v>
      </c>
      <c r="E24" s="58">
        <f t="shared" ref="E24:E33" si="0">TRUNC(+D24*3.3058,-1)</f>
        <v>21280</v>
      </c>
    </row>
    <row r="25" spans="1:5" x14ac:dyDescent="0.3">
      <c r="B25" s="2">
        <v>2</v>
      </c>
      <c r="C25" s="35" t="s">
        <v>111</v>
      </c>
      <c r="D25" s="45">
        <f>+D60</f>
        <v>460740</v>
      </c>
      <c r="E25" s="59">
        <f t="shared" si="0"/>
        <v>1523110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12540</v>
      </c>
      <c r="E27" s="59">
        <f t="shared" si="0"/>
        <v>41450</v>
      </c>
    </row>
    <row r="28" spans="1:5" x14ac:dyDescent="0.3">
      <c r="B28" s="2">
        <v>5</v>
      </c>
      <c r="C28" s="35" t="s">
        <v>97</v>
      </c>
      <c r="D28" s="45">
        <f>+D119</f>
        <v>32280</v>
      </c>
      <c r="E28" s="59">
        <f t="shared" si="0"/>
        <v>106710</v>
      </c>
    </row>
    <row r="29" spans="1:5" x14ac:dyDescent="0.3">
      <c r="B29" s="2">
        <v>6</v>
      </c>
      <c r="C29" s="35" t="s">
        <v>98</v>
      </c>
      <c r="D29" s="45">
        <f>+D133</f>
        <v>29280</v>
      </c>
      <c r="E29" s="59">
        <f t="shared" si="0"/>
        <v>96790</v>
      </c>
    </row>
    <row r="30" spans="1:5" x14ac:dyDescent="0.3">
      <c r="B30" s="2">
        <v>7</v>
      </c>
      <c r="C30" s="35" t="s">
        <v>99</v>
      </c>
      <c r="D30" s="45">
        <f>+D146</f>
        <v>21540</v>
      </c>
      <c r="E30" s="59">
        <f t="shared" si="0"/>
        <v>71200</v>
      </c>
    </row>
    <row r="31" spans="1:5" x14ac:dyDescent="0.3">
      <c r="B31" s="2">
        <v>8</v>
      </c>
      <c r="C31" s="35" t="s">
        <v>100</v>
      </c>
      <c r="D31" s="45">
        <f>+D154</f>
        <v>25060</v>
      </c>
      <c r="E31" s="59">
        <f t="shared" si="0"/>
        <v>82840</v>
      </c>
    </row>
    <row r="32" spans="1:5" x14ac:dyDescent="0.3">
      <c r="B32" s="2">
        <v>9</v>
      </c>
      <c r="C32" s="35" t="s">
        <v>101</v>
      </c>
      <c r="D32" s="45">
        <f>+D161</f>
        <v>1060</v>
      </c>
      <c r="E32" s="59">
        <f t="shared" si="0"/>
        <v>3500</v>
      </c>
    </row>
    <row r="33" spans="1:7" x14ac:dyDescent="0.3">
      <c r="B33" s="2">
        <v>10</v>
      </c>
      <c r="C33" s="35" t="s">
        <v>154</v>
      </c>
      <c r="D33" s="53">
        <f>TRUNC(SUM(D24:D32)*0.275,-1)</f>
        <v>161950</v>
      </c>
      <c r="E33" s="60">
        <f t="shared" si="0"/>
        <v>535370</v>
      </c>
    </row>
    <row r="34" spans="1:7" x14ac:dyDescent="0.3">
      <c r="C34" s="35" t="s">
        <v>112</v>
      </c>
      <c r="D34" s="44">
        <f>SUM(D24:D33)</f>
        <v>750890</v>
      </c>
      <c r="E34" s="44">
        <f>SUM(E24:E33)</f>
        <v>2482250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TRUNC(6440,-1)</f>
        <v>6440</v>
      </c>
      <c r="E37" s="61">
        <f>TRUNC(+D37*3.3058,-1)</f>
        <v>21280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TRUNC(6904,-1)</f>
        <v>6900</v>
      </c>
      <c r="E40" s="62">
        <f t="shared" ref="E40:E59" si="1">TRUNC(+D40*3.3058,-1)</f>
        <v>22810</v>
      </c>
    </row>
    <row r="41" spans="1:7" x14ac:dyDescent="0.3">
      <c r="A41" s="2">
        <v>2</v>
      </c>
      <c r="C41" s="38" t="s">
        <v>13</v>
      </c>
      <c r="D41" s="42">
        <f>TRUNC(20253,-1)</f>
        <v>20250</v>
      </c>
      <c r="E41" s="63">
        <f t="shared" si="1"/>
        <v>66940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TRUNC(82,-1)</f>
        <v>80</v>
      </c>
      <c r="E43" s="63">
        <f t="shared" si="1"/>
        <v>260</v>
      </c>
    </row>
    <row r="44" spans="1:7" x14ac:dyDescent="0.3">
      <c r="A44" s="2">
        <v>5</v>
      </c>
      <c r="C44" s="38" t="s">
        <v>17</v>
      </c>
      <c r="D44" s="42">
        <f>TRUNC(14586,-1)</f>
        <v>14580</v>
      </c>
      <c r="E44" s="63">
        <f t="shared" si="1"/>
        <v>48190</v>
      </c>
    </row>
    <row r="45" spans="1:7" x14ac:dyDescent="0.3">
      <c r="A45" s="2">
        <v>6</v>
      </c>
      <c r="C45" s="38" t="s">
        <v>18</v>
      </c>
      <c r="D45" s="42">
        <f>TRUNC(103,-1)</f>
        <v>100</v>
      </c>
      <c r="E45" s="63">
        <f t="shared" si="1"/>
        <v>330</v>
      </c>
    </row>
    <row r="46" spans="1:7" x14ac:dyDescent="0.3">
      <c r="A46" s="2">
        <v>7</v>
      </c>
      <c r="C46" s="38" t="s">
        <v>19</v>
      </c>
      <c r="D46" s="42">
        <f>TRUNC(103,-1)</f>
        <v>100</v>
      </c>
      <c r="E46" s="63">
        <f t="shared" si="1"/>
        <v>330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TRUNC(18311,-1)</f>
        <v>18310</v>
      </c>
      <c r="E48" s="63">
        <f t="shared" si="1"/>
        <v>60520</v>
      </c>
    </row>
    <row r="49" spans="1:7" x14ac:dyDescent="0.3">
      <c r="A49" s="2">
        <v>10</v>
      </c>
      <c r="C49" s="38" t="s">
        <v>22</v>
      </c>
      <c r="D49" s="42">
        <f>TRUNC(1024,-1)</f>
        <v>1020</v>
      </c>
      <c r="E49" s="63">
        <f t="shared" si="1"/>
        <v>3370</v>
      </c>
    </row>
    <row r="50" spans="1:7" x14ac:dyDescent="0.3">
      <c r="A50" s="2">
        <v>11</v>
      </c>
      <c r="C50" s="38" t="s">
        <v>155</v>
      </c>
      <c r="D50" s="42">
        <f>TRUNC(8099,-1)</f>
        <v>8090</v>
      </c>
      <c r="E50" s="63">
        <f t="shared" si="1"/>
        <v>26740</v>
      </c>
    </row>
    <row r="51" spans="1:7" x14ac:dyDescent="0.3">
      <c r="A51" s="2">
        <v>12</v>
      </c>
      <c r="C51" s="38" t="s">
        <v>23</v>
      </c>
      <c r="D51" s="42">
        <f>TRUNC(1400,-1)</f>
        <v>1400</v>
      </c>
      <c r="E51" s="63">
        <f t="shared" si="1"/>
        <v>4620</v>
      </c>
    </row>
    <row r="52" spans="1:7" x14ac:dyDescent="0.3">
      <c r="A52" s="2">
        <v>13</v>
      </c>
      <c r="C52" s="38" t="s">
        <v>24</v>
      </c>
      <c r="D52" s="42">
        <f>TRUNC(27078,-1)</f>
        <v>27070</v>
      </c>
      <c r="E52" s="63">
        <f t="shared" si="1"/>
        <v>89480</v>
      </c>
    </row>
    <row r="53" spans="1:7" x14ac:dyDescent="0.3">
      <c r="A53" s="2">
        <v>14</v>
      </c>
      <c r="C53" s="38" t="s">
        <v>25</v>
      </c>
      <c r="D53" s="42">
        <f>TRUNC(222,-1)</f>
        <v>220</v>
      </c>
      <c r="E53" s="63">
        <f t="shared" si="1"/>
        <v>720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TRUNC(49,-1)</f>
        <v>40</v>
      </c>
      <c r="E55" s="63">
        <f t="shared" si="1"/>
        <v>130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TRUNC(220053+16607-177+250+587+123+3692+4983+116463,-1)</f>
        <v>362580</v>
      </c>
      <c r="E58" s="63">
        <f t="shared" si="1"/>
        <v>1198610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460740</v>
      </c>
      <c r="E60" s="39">
        <f>SUM(E40:E59)</f>
        <v>1523050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TRUNC(10619,-1)</f>
        <v>10610</v>
      </c>
      <c r="E69" s="62">
        <f t="shared" ref="E69:E94" si="2">TRUNC(+D69*3.3058,-1)</f>
        <v>35070</v>
      </c>
    </row>
    <row r="70" spans="1:7" ht="16.5" customHeight="1" x14ac:dyDescent="0.3">
      <c r="A70" s="2">
        <v>2</v>
      </c>
      <c r="C70" s="38" t="s">
        <v>31</v>
      </c>
      <c r="D70" s="42">
        <f>TRUNC(99,-1)</f>
        <v>90</v>
      </c>
      <c r="E70" s="63">
        <f t="shared" si="2"/>
        <v>290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TRUNC(1480,-1)</f>
        <v>1480</v>
      </c>
      <c r="E79" s="63">
        <f t="shared" si="2"/>
        <v>4890</v>
      </c>
      <c r="F79" s="2" t="s">
        <v>257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TRUNC(31,-1)</f>
        <v>30</v>
      </c>
      <c r="E85" s="63">
        <f t="shared" si="2"/>
        <v>90</v>
      </c>
    </row>
    <row r="86" spans="1:7" x14ac:dyDescent="0.3">
      <c r="A86" s="2">
        <v>18</v>
      </c>
      <c r="C86" s="38" t="s">
        <v>141</v>
      </c>
      <c r="D86" s="42">
        <f>TRUNC(144,-1)</f>
        <v>140</v>
      </c>
      <c r="E86" s="63">
        <f t="shared" si="2"/>
        <v>460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TRUNC(192,-1)</f>
        <v>190</v>
      </c>
      <c r="E94" s="64">
        <f t="shared" si="2"/>
        <v>620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12540</v>
      </c>
      <c r="E95" s="39">
        <f>SUM(E69:E94)</f>
        <v>41420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TRUNC(14180,-1)</f>
        <v>14180</v>
      </c>
      <c r="E98" s="62">
        <f t="shared" ref="E98:E118" si="3">TRUNC(+D98*3.3058,-1)</f>
        <v>46870</v>
      </c>
    </row>
    <row r="99" spans="1:7" x14ac:dyDescent="0.3">
      <c r="A99" s="2">
        <v>2</v>
      </c>
      <c r="C99" s="38" t="s">
        <v>40</v>
      </c>
      <c r="D99" s="42">
        <f>TRUNC(6376,-1)</f>
        <v>6370</v>
      </c>
      <c r="E99" s="63">
        <f t="shared" si="3"/>
        <v>21050</v>
      </c>
    </row>
    <row r="100" spans="1:7" x14ac:dyDescent="0.3">
      <c r="A100" s="2">
        <v>3</v>
      </c>
      <c r="C100" s="38" t="s">
        <v>41</v>
      </c>
      <c r="D100" s="42">
        <f>TRUNC(4787,-1)</f>
        <v>4780</v>
      </c>
      <c r="E100" s="63">
        <f t="shared" si="3"/>
        <v>15800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TRUNC(2121,-1)</f>
        <v>2120</v>
      </c>
      <c r="E102" s="63">
        <f t="shared" si="3"/>
        <v>7000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TRUNC(2265,-1)</f>
        <v>2260</v>
      </c>
      <c r="E104" s="63">
        <f t="shared" si="3"/>
        <v>7470</v>
      </c>
    </row>
    <row r="105" spans="1:7" x14ac:dyDescent="0.3">
      <c r="A105" s="2">
        <v>8</v>
      </c>
      <c r="C105" s="38" t="s">
        <v>46</v>
      </c>
      <c r="D105" s="42">
        <f>TRUNC(1353,-1)</f>
        <v>1350</v>
      </c>
      <c r="E105" s="63">
        <f t="shared" si="3"/>
        <v>4460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TRUNC(1032+197,-1)</f>
        <v>1220</v>
      </c>
      <c r="E118" s="64">
        <f t="shared" si="3"/>
        <v>4030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32280</v>
      </c>
      <c r="E119" s="39">
        <f>SUM(E98:E118)</f>
        <v>106680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TRUNC(738,-1)</f>
        <v>730</v>
      </c>
      <c r="E122" s="62">
        <f t="shared" ref="E122:E132" si="4">TRUNC(+D122*3.3058,-1)</f>
        <v>2410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TRUNC(3928,-1)</f>
        <v>3920</v>
      </c>
      <c r="E125" s="63">
        <f t="shared" si="4"/>
        <v>12950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TRUNC(8397,-1)</f>
        <v>8390</v>
      </c>
      <c r="E127" s="63">
        <f t="shared" si="4"/>
        <v>27730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TRUNC(5869+60+3861+5184+1274,-1)</f>
        <v>16240</v>
      </c>
      <c r="E132" s="64">
        <f t="shared" si="4"/>
        <v>53680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29280</v>
      </c>
      <c r="E133" s="39">
        <f>SUM(E122:E132)</f>
        <v>96770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TRUNC(6118,-1)</f>
        <v>6110</v>
      </c>
      <c r="E136" s="62">
        <f t="shared" ref="E136:E145" si="5">TRUNC(+D136*3.3058,-1)</f>
        <v>20190</v>
      </c>
      <c r="F136" s="2" t="s">
        <v>259</v>
      </c>
    </row>
    <row r="137" spans="1:7" x14ac:dyDescent="0.3">
      <c r="A137" s="2">
        <v>2</v>
      </c>
      <c r="C137" s="38" t="s">
        <v>47</v>
      </c>
      <c r="D137" s="42">
        <f>TRUNC(15433,-1)</f>
        <v>15430</v>
      </c>
      <c r="E137" s="63">
        <f t="shared" si="5"/>
        <v>51000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21540</v>
      </c>
      <c r="E146" s="39">
        <f>SUM(E136:E145)</f>
        <v>71190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TRUNC(25060,-1)</f>
        <v>25060</v>
      </c>
      <c r="E152" s="63">
        <f>TRUNC(+D152*3.3058,-1)</f>
        <v>82840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25060</v>
      </c>
      <c r="E154" s="39">
        <f>SUM(E149:E153)</f>
        <v>82840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TRUNC(1065,-1)</f>
        <v>1060</v>
      </c>
      <c r="E159" s="63">
        <f>TRUNC(+D159*3.3058,-1)</f>
        <v>3500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1060</v>
      </c>
      <c r="E161" s="39">
        <f>SUM(E157:E160)</f>
        <v>3500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2020-12-07T09:45:15Z</dcterms:modified>
</cp:coreProperties>
</file>