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1" i="4"/>
  <c r="E150" i="4"/>
  <c r="E149" i="4"/>
  <c r="E145" i="4"/>
  <c r="E142" i="4"/>
  <c r="E141" i="4"/>
  <c r="E140" i="4"/>
  <c r="E139" i="4"/>
  <c r="E129" i="4"/>
  <c r="E127" i="4"/>
  <c r="E126" i="4"/>
  <c r="E123" i="4"/>
  <c r="E116" i="4"/>
  <c r="E114" i="4"/>
  <c r="E113" i="4"/>
  <c r="E112" i="4"/>
  <c r="E111" i="4"/>
  <c r="E110" i="4"/>
  <c r="E109" i="4"/>
  <c r="E107" i="4"/>
  <c r="E106" i="4"/>
  <c r="E103" i="4"/>
  <c r="E101" i="4"/>
  <c r="E91" i="4"/>
  <c r="E89" i="4"/>
  <c r="E88" i="4"/>
  <c r="E87" i="4"/>
  <c r="E86" i="4"/>
  <c r="E85" i="4"/>
  <c r="E83" i="4"/>
  <c r="E82" i="4"/>
  <c r="E80" i="4"/>
  <c r="E79" i="4"/>
  <c r="E77" i="4"/>
  <c r="E76" i="4"/>
  <c r="E74" i="4"/>
  <c r="E73" i="4"/>
  <c r="E72" i="4"/>
  <c r="E65" i="4"/>
  <c r="E64" i="4"/>
  <c r="E57" i="4"/>
  <c r="E56" i="4"/>
  <c r="E54" i="4"/>
  <c r="E161" i="4" l="1"/>
  <c r="D128" i="4"/>
  <c r="E128" i="4" s="1"/>
  <c r="D152" i="4"/>
  <c r="E152" i="4" s="1"/>
  <c r="E154" i="4" s="1"/>
  <c r="D144" i="4"/>
  <c r="E144" i="4" s="1"/>
  <c r="D143" i="4"/>
  <c r="E143" i="4" s="1"/>
  <c r="D138" i="4"/>
  <c r="E138" i="4" s="1"/>
  <c r="D137" i="4"/>
  <c r="E137" i="4" s="1"/>
  <c r="D136" i="4"/>
  <c r="E136" i="4" s="1"/>
  <c r="D132" i="4"/>
  <c r="E132" i="4" s="1"/>
  <c r="D131" i="4"/>
  <c r="E131" i="4" s="1"/>
  <c r="D130" i="4"/>
  <c r="E130" i="4" s="1"/>
  <c r="D125" i="4"/>
  <c r="E125" i="4" s="1"/>
  <c r="D124" i="4"/>
  <c r="E124" i="4" s="1"/>
  <c r="D122" i="4"/>
  <c r="E122" i="4" s="1"/>
  <c r="D98" i="4"/>
  <c r="E98" i="4" s="1"/>
  <c r="D118" i="4"/>
  <c r="E118" i="4" s="1"/>
  <c r="D117" i="4"/>
  <c r="E117" i="4" s="1"/>
  <c r="D115" i="4"/>
  <c r="E115" i="4" s="1"/>
  <c r="D108" i="4"/>
  <c r="E108" i="4" s="1"/>
  <c r="D105" i="4"/>
  <c r="E105" i="4" s="1"/>
  <c r="D104" i="4"/>
  <c r="E104" i="4" s="1"/>
  <c r="D102" i="4"/>
  <c r="E102" i="4" s="1"/>
  <c r="D100" i="4"/>
  <c r="E100" i="4" s="1"/>
  <c r="D99" i="4"/>
  <c r="E99" i="4" s="1"/>
  <c r="D94" i="4"/>
  <c r="E94" i="4" s="1"/>
  <c r="D93" i="4"/>
  <c r="E93" i="4" s="1"/>
  <c r="D92" i="4"/>
  <c r="E92" i="4" s="1"/>
  <c r="D90" i="4"/>
  <c r="E90" i="4" s="1"/>
  <c r="D84" i="4"/>
  <c r="E84" i="4" s="1"/>
  <c r="D81" i="4"/>
  <c r="E81" i="4" s="1"/>
  <c r="D78" i="4"/>
  <c r="E78" i="4" s="1"/>
  <c r="D75" i="4"/>
  <c r="E75" i="4" s="1"/>
  <c r="D71" i="4"/>
  <c r="E71" i="4" s="1"/>
  <c r="D70" i="4"/>
  <c r="E70" i="4" s="1"/>
  <c r="D69" i="4"/>
  <c r="E69" i="4" s="1"/>
  <c r="D63" i="4"/>
  <c r="E63" i="4" s="1"/>
  <c r="E66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61" i="4"/>
  <c r="D154" i="4"/>
  <c r="D133" i="4"/>
  <c r="D29" i="4" s="1"/>
  <c r="E29" i="4" s="1"/>
  <c r="D66" i="4"/>
  <c r="D60" i="4"/>
  <c r="D25" i="4" s="1"/>
  <c r="E25" i="4" s="1"/>
  <c r="D26" i="4"/>
  <c r="E26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24" i="4" l="1"/>
  <c r="D119" i="4"/>
  <c r="D28" i="4" s="1"/>
  <c r="E28" i="4" s="1"/>
  <c r="E95" i="4"/>
  <c r="D146" i="4"/>
  <c r="D30" i="4" s="1"/>
  <c r="E30" i="4" s="1"/>
  <c r="E60" i="4"/>
  <c r="D95" i="4"/>
  <c r="D27" i="4" s="1"/>
  <c r="E27" i="4" s="1"/>
  <c r="E119" i="4"/>
  <c r="E133" i="4"/>
  <c r="E146" i="4"/>
  <c r="E24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<sst xmlns="http://schemas.openxmlformats.org/spreadsheetml/2006/main" count="393" uniqueCount="268">
  <si>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</si>
  <si>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</si>
  <si>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</si>
  <si>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</si>
  <si>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</si>
  <si>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</si>
  <si>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</si>
  <si>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</si>
  <si>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</si>
  <si>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</si>
  <si>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</si>
  <si>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</si>
  <si>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</si>
  <si>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</si>
  <si>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</si>
  <si>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</si>
  <si>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</si>
  <si>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</si>
  <si>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</si>
  <si>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</si>
  <si>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</si>
  <si>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</si>
  <si>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</si>
  <si>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</si>
  <si>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</si>
  <si>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</si>
  <si>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</si>
  <si>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</si>
  <si>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</si>
  <si>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</si>
  <si>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</si>
  <si>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</si>
  <si>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</si>
  <si>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</si>
  <si>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</si>
  <si>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</si>
  <si>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</si>
  <si>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</si>
  <si>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</si>
  <si>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</si>
  <si>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</si>
  <si>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</si>
  <si>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</si>
  <si>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</si>
  <si>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</si>
  <si>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</si>
  <si>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</si>
  <si>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</si>
  <si>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</si>
  <si>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</si>
  <si>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</si>
  <si>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</si>
  <si>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</si>
  <si>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</si>
  <si>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</si>
  <si>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</si>
  <si>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</si>
  <si>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</si>
  <si>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</si>
  <si>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</si>
  <si>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</si>
  <si>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</si>
  <si>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</si>
  <si>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</si>
  <si>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</si>
  <si>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</si>
  <si>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</si>
  <si>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</si>
  <si>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</si>
  <si>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</si>
  <si>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</si>
  <si>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</si>
  <si>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</si>
  <si>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</si>
  <si>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</si>
  <si>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</si>
  <si>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</si>
  <si>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</si>
  <si>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</si>
  <si>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</si>
  <si>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</si>
  <si>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</si>
  <si>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</si>
  <si>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</si>
  <si>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</si>
  <si>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</si>
  <si>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</si>
  <si>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</si>
  <si>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</si>
  <si>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</si>
  <si>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</si>
  <si>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</si>
  <si>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</si>
  <si>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</si>
  <si>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</si>
  <si>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</si>
  <si>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</si>
  <si>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</si>
  <si>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</si>
  <si>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</si>
  <si>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</si>
  <si>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</si>
  <si>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</si>
  <si>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</si>
  <si>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</si>
  <si>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</si>
  <si>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</si>
  <si>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</si>
  <si>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</si>
  <si>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</si>
  <si>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</si>
  <si>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</si>
  <si>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</si>
  <si>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</si>
  <si>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</si>
  <si>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</si>
  <si>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</si>
  <si>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</si>
  <si>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</si>
  <si>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</si>
  <si>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</si>
  <si>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</si>
  <si>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</si>
  <si>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</si>
  <si>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</si>
  <si>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</si>
  <si>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</si>
  <si>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</si>
  <si>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</si>
  <si>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</si>
  <si>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</si>
  <si>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</si>
  <si>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</si>
  <si>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</si>
  <si>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</si>
  <si>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</si>
  <si>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</si>
  <si>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</si>
  <si>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</si>
  <si>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</si>
  <si>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</si>
  <si>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</si>
  <si>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</si>
  <si>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</si>
  <si>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</si>
  <si>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</si>
  <si>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</si>
  <si>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</si>
  <si>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</si>
  <si>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</si>
  <si>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</si>
  <si>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</si>
  <si>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</si>
  <si>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</si>
  <si>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</si>
  <si>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</si>
  <si>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</si>
  <si>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</si>
  <si>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</si>
  <si>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</si>
  <si>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</si>
  <si>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</si>
  <si>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</si>
  <si>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</si>
  <si>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</si>
  <si>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</si>
  <si>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</si>
  <si>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</si>
  <si>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</si>
  <si>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</si>
  <si>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</si>
  <si>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</si>
  <si>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</si>
  <si>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</si>
  <si>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</si>
  <si>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</si>
  <si>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</si>
  <si>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</si>
  <si>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</si>
  <si>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</si>
  <si>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</si>
  <si>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</si>
  <si>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</si>
  <si>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</si>
  <si>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</si>
  <si>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</si>
  <si>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</si>
  <si>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</si>
  <si>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</si>
  <si>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</si>
  <si>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</si>
  <si>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</si>
  <si>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</si>
  <si>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</si>
  <si>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</si>
  <si>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</si>
  <si>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</si>
  <si>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</si>
  <si>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</si>
  <si>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</si>
  <si>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</si>
  <si>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</si>
  <si>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</si>
  <si>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</si>
  <si>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</si>
  <si>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</si>
  <si>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</si>
  <si>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</si>
  <si>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</si>
  <si>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</si>
  <si>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</si>
  <si>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</si>
  <si>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</si>
  <si>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</si>
  <si>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</si>
  <si>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</si>
  <si>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</si>
  <si>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</si>
  <si>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</si>
  <si>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</si>
  <si>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</si>
  <si>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</si>
  <si>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</si>
  <si>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</si>
  <si>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</si>
  <si>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</si>
  <si>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</si>
  <si>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</si>
  <si>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</si>
  <si>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</si>
  <si>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</si>
  <si>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</si>
  <si>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</si>
  <si>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</si>
  <si>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</si>
  <si>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</si>
  <si>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</si>
  <si>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</si>
  <si>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</si>
  <si>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</si>
  <si>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</si>
  <si>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</si>
  <si>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</si>
  <si>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</si>
  <si>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</si>
  <si>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</si>
  <si>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</si>
  <si>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</si>
  <si>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문화및집회</t>
  </si>
  <si>
    <t>00돌문화공원 특별전시관 신축공사</t>
  </si>
  <si>
    <t>제주도</t>
  </si>
  <si>
    <t>토목부대공사</t>
    <phoneticPr fontId="2" type="noConversion"/>
  </si>
  <si>
    <t>잡공사, 운반기기공사, 롤스크린공사, 무대장치공사, 수장고공사, 골재비 및 운반비, 고자재대공제</t>
    <phoneticPr fontId="2" type="noConversion"/>
  </si>
  <si>
    <t>난방배관공사</t>
  </si>
  <si>
    <t>소화장비설치공사</t>
  </si>
  <si>
    <t>옥외소화배관공사, 펌프실 소화배관공사, 소화배관공사, SP배관공사, 피압덕트설치공사</t>
    <phoneticPr fontId="2" type="noConversion"/>
  </si>
  <si>
    <t>피뢰침설비공사, 접지설비</t>
    <phoneticPr fontId="2" type="noConversion"/>
  </si>
  <si>
    <t>케이블트레이설치공사</t>
  </si>
  <si>
    <t>옥외외등설비공사</t>
  </si>
  <si>
    <t>도급자설치관급, 관급자설치관급</t>
    <phoneticPr fontId="2" type="noConversion"/>
  </si>
  <si>
    <t>관급자설치관급</t>
  </si>
  <si>
    <t>도급자설치</t>
    <phoneticPr fontId="2" type="noConversion"/>
  </si>
  <si>
    <t>관급자설치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</si>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</sst>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5907</v>
      </c>
      <c r="D7" s="36">
        <f>+C7/3.3058</f>
        <v>1786.8594591324338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13930</v>
      </c>
      <c r="E24" s="58">
        <f t="shared" ref="E24:E33" si="0">TRUNC(+D24*3.3058,-1)</f>
        <v>46040</v>
      </c>
    </row>
    <row r="25" spans="1:5" x14ac:dyDescent="0.3">
      <c r="B25" s="2">
        <v>2</v>
      </c>
      <c r="C25" s="35" t="s">
        <v>111</v>
      </c>
      <c r="D25" s="45">
        <f>+D60</f>
        <v>1103320</v>
      </c>
      <c r="E25" s="59">
        <f t="shared" si="0"/>
        <v>3647350</v>
      </c>
    </row>
    <row r="26" spans="1:5" x14ac:dyDescent="0.3">
      <c r="B26" s="2">
        <v>3</v>
      </c>
      <c r="C26" s="35" t="s">
        <v>95</v>
      </c>
      <c r="D26" s="45">
        <f>+D66</f>
        <v>252160</v>
      </c>
      <c r="E26" s="59">
        <f t="shared" si="0"/>
        <v>833590</v>
      </c>
    </row>
    <row r="27" spans="1:5" x14ac:dyDescent="0.3">
      <c r="B27" s="2">
        <v>4</v>
      </c>
      <c r="C27" s="35" t="s">
        <v>96</v>
      </c>
      <c r="D27" s="45">
        <f>+D95</f>
        <v>124810</v>
      </c>
      <c r="E27" s="59">
        <f t="shared" si="0"/>
        <v>412590</v>
      </c>
    </row>
    <row r="28" spans="1:5" x14ac:dyDescent="0.3">
      <c r="B28" s="2">
        <v>5</v>
      </c>
      <c r="C28" s="35" t="s">
        <v>97</v>
      </c>
      <c r="D28" s="45">
        <f>+D119</f>
        <v>112710</v>
      </c>
      <c r="E28" s="59">
        <f t="shared" si="0"/>
        <v>372590</v>
      </c>
    </row>
    <row r="29" spans="1:5" x14ac:dyDescent="0.3">
      <c r="B29" s="2">
        <v>6</v>
      </c>
      <c r="C29" s="35" t="s">
        <v>98</v>
      </c>
      <c r="D29" s="45">
        <f>+D133</f>
        <v>63220</v>
      </c>
      <c r="E29" s="59">
        <f t="shared" si="0"/>
        <v>208990</v>
      </c>
    </row>
    <row r="30" spans="1:5" x14ac:dyDescent="0.3">
      <c r="B30" s="2">
        <v>7</v>
      </c>
      <c r="C30" s="35" t="s">
        <v>99</v>
      </c>
      <c r="D30" s="45">
        <f>+D146</f>
        <v>124690</v>
      </c>
      <c r="E30" s="59">
        <f t="shared" si="0"/>
        <v>412200</v>
      </c>
    </row>
    <row r="31" spans="1:5" x14ac:dyDescent="0.3">
      <c r="B31" s="2">
        <v>8</v>
      </c>
      <c r="C31" s="35" t="s">
        <v>100</v>
      </c>
      <c r="D31" s="45">
        <f>+D154</f>
        <v>7910</v>
      </c>
      <c r="E31" s="59">
        <f t="shared" si="0"/>
        <v>26140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495750</v>
      </c>
      <c r="E33" s="60">
        <f t="shared" si="0"/>
        <v>1638850</v>
      </c>
    </row>
    <row r="34" spans="1:7" x14ac:dyDescent="0.3">
      <c r="C34" s="35" t="s">
        <v>112</v>
      </c>
      <c r="D34" s="44">
        <f>SUM(D24:D33)</f>
        <v>2298500</v>
      </c>
      <c r="E34" s="44">
        <f>SUM(E24:E33)</f>
        <v>7598340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234</v>
      </c>
      <c r="E36" s="57" t="s">
        <v>235</v>
      </c>
      <c r="G36" s="55"/>
    </row>
    <row r="37" spans="1:7" ht="17.25" thickBot="1" x14ac:dyDescent="0.35">
      <c r="C37" s="38" t="s">
        <v>143</v>
      </c>
      <c r="D37" s="52">
        <f>TRUNC(13938.6067377687,-1)</f>
        <v>13930</v>
      </c>
      <c r="E37" s="61">
        <f>TRUNC(+D37*3.3058,-1)</f>
        <v>46040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TRUNC(36048.5391907906,-1)</f>
        <v>36040</v>
      </c>
      <c r="E40" s="62">
        <f t="shared" ref="E40:E59" si="1">TRUNC(+D40*3.3058,-1)</f>
        <v>119140</v>
      </c>
    </row>
    <row r="41" spans="1:7" x14ac:dyDescent="0.3">
      <c r="A41" s="2">
        <v>2</v>
      </c>
      <c r="C41" s="38" t="s">
        <v>13</v>
      </c>
      <c r="D41" s="42">
        <f>TRUNC(168135.289994921,-1)</f>
        <v>168130</v>
      </c>
      <c r="E41" s="63">
        <f t="shared" si="1"/>
        <v>555800</v>
      </c>
    </row>
    <row r="42" spans="1:7" x14ac:dyDescent="0.3">
      <c r="A42" s="2">
        <v>3</v>
      </c>
      <c r="C42" s="38" t="s">
        <v>14</v>
      </c>
      <c r="D42" s="42">
        <f>TRUNC(11595.4201794481,-1)</f>
        <v>11590</v>
      </c>
      <c r="E42" s="63">
        <f t="shared" si="1"/>
        <v>38310</v>
      </c>
    </row>
    <row r="43" spans="1:7" x14ac:dyDescent="0.3">
      <c r="A43" s="2">
        <v>4</v>
      </c>
      <c r="C43" s="38" t="s">
        <v>16</v>
      </c>
      <c r="D43" s="42">
        <f>TRUNC(26823.1000507872,-1)</f>
        <v>26820</v>
      </c>
      <c r="E43" s="63">
        <f t="shared" si="1"/>
        <v>88660</v>
      </c>
    </row>
    <row r="44" spans="1:7" x14ac:dyDescent="0.3">
      <c r="A44" s="2">
        <v>5</v>
      </c>
      <c r="C44" s="38" t="s">
        <v>17</v>
      </c>
      <c r="D44" s="42">
        <f>TRUNC(45976.9258506856,-1)</f>
        <v>45970</v>
      </c>
      <c r="E44" s="63">
        <f t="shared" si="1"/>
        <v>151960</v>
      </c>
    </row>
    <row r="45" spans="1:7" x14ac:dyDescent="0.3">
      <c r="A45" s="2">
        <v>6</v>
      </c>
      <c r="C45" s="38" t="s">
        <v>18</v>
      </c>
      <c r="D45" s="42">
        <f>TRUNC(4915.37701032673,-1)</f>
        <v>4910</v>
      </c>
      <c r="E45" s="63">
        <f t="shared" si="1"/>
        <v>16230</v>
      </c>
    </row>
    <row r="46" spans="1:7" x14ac:dyDescent="0.3">
      <c r="A46" s="2">
        <v>7</v>
      </c>
      <c r="C46" s="38" t="s">
        <v>19</v>
      </c>
      <c r="D46" s="42">
        <f>TRUNC(54881.6996783477,-1)</f>
        <v>54880</v>
      </c>
      <c r="E46" s="63">
        <f t="shared" si="1"/>
        <v>181420</v>
      </c>
    </row>
    <row r="47" spans="1:7" x14ac:dyDescent="0.3">
      <c r="A47" s="2">
        <v>8</v>
      </c>
      <c r="C47" s="38" t="s">
        <v>20</v>
      </c>
      <c r="D47" s="42">
        <f>TRUNC(25574.7199932284,-1)</f>
        <v>25570</v>
      </c>
      <c r="E47" s="63">
        <f t="shared" si="1"/>
        <v>84520</v>
      </c>
    </row>
    <row r="48" spans="1:7" x14ac:dyDescent="0.3">
      <c r="A48" s="2">
        <v>9</v>
      </c>
      <c r="C48" s="38" t="s">
        <v>21</v>
      </c>
      <c r="D48" s="42">
        <f>TRUNC(74138.8562722194,-1)</f>
        <v>74130</v>
      </c>
      <c r="E48" s="63">
        <f t="shared" si="1"/>
        <v>245050</v>
      </c>
    </row>
    <row r="49" spans="1:7" x14ac:dyDescent="0.3">
      <c r="A49" s="2">
        <v>10</v>
      </c>
      <c r="C49" s="38" t="s">
        <v>22</v>
      </c>
      <c r="D49" s="42">
        <f>TRUNC(25419.4139156932,-1)</f>
        <v>25410</v>
      </c>
      <c r="E49" s="63">
        <f t="shared" si="1"/>
        <v>84000</v>
      </c>
    </row>
    <row r="50" spans="1:7" x14ac:dyDescent="0.3">
      <c r="A50" s="2">
        <v>11</v>
      </c>
      <c r="C50" s="38" t="s">
        <v>154</v>
      </c>
      <c r="D50" s="42">
        <f>TRUNC(52615.0438462841,-1)</f>
        <v>52610</v>
      </c>
      <c r="E50" s="63">
        <f t="shared" si="1"/>
        <v>173910</v>
      </c>
    </row>
    <row r="51" spans="1:7" x14ac:dyDescent="0.3">
      <c r="A51" s="2">
        <v>12</v>
      </c>
      <c r="C51" s="38" t="s">
        <v>23</v>
      </c>
      <c r="D51" s="42">
        <f>TRUNC(6424.95869307601,-1)</f>
        <v>6420</v>
      </c>
      <c r="E51" s="63">
        <f t="shared" si="1"/>
        <v>21220</v>
      </c>
    </row>
    <row r="52" spans="1:7" x14ac:dyDescent="0.3">
      <c r="A52" s="2">
        <v>13</v>
      </c>
      <c r="C52" s="38" t="s">
        <v>24</v>
      </c>
      <c r="D52" s="42">
        <f>TRUNC(8485.25732182157,-1)</f>
        <v>8480</v>
      </c>
      <c r="E52" s="63">
        <f t="shared" si="1"/>
        <v>28030</v>
      </c>
    </row>
    <row r="53" spans="1:7" x14ac:dyDescent="0.3">
      <c r="A53" s="2">
        <v>14</v>
      </c>
      <c r="C53" s="38" t="s">
        <v>25</v>
      </c>
      <c r="D53" s="42">
        <f>TRUNC(56915.9258506856,-1)</f>
        <v>56910</v>
      </c>
      <c r="E53" s="63">
        <f t="shared" si="1"/>
        <v>188130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TRUNC(57297.1107160995,-1)</f>
        <v>57290</v>
      </c>
      <c r="E55" s="63">
        <f t="shared" si="1"/>
        <v>189380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TRUNC(27830.031995937+18605.0448620281+15346.707296428+41678.3477230404+159945.049940748+6223.38818351109-680.142204164551,-1)</f>
        <v>268940</v>
      </c>
      <c r="E58" s="63">
        <f t="shared" si="1"/>
        <v>889060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TRUNC(179226.68020992,-1)</f>
        <v>179220</v>
      </c>
      <c r="E59" s="64">
        <f t="shared" si="1"/>
        <v>592460</v>
      </c>
      <c r="F59" s="2" t="s">
        <v>261</v>
      </c>
    </row>
    <row r="60" spans="1:7" x14ac:dyDescent="0.3">
      <c r="A60" s="2">
        <v>21</v>
      </c>
      <c r="C60" s="27" t="s">
        <v>112</v>
      </c>
      <c r="D60" s="39">
        <f>SUM(D40:D59)</f>
        <v>1103320</v>
      </c>
      <c r="E60" s="39">
        <f>SUM(E40:E59)</f>
        <v>3647280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235</v>
      </c>
      <c r="G62" s="55"/>
    </row>
    <row r="63" spans="1:7" x14ac:dyDescent="0.3">
      <c r="A63" s="2">
        <v>1</v>
      </c>
      <c r="C63" s="38" t="s">
        <v>27</v>
      </c>
      <c r="D63" s="40">
        <f>TRUNC(252168.912646013,-1)</f>
        <v>252160</v>
      </c>
      <c r="E63" s="62">
        <f>TRUNC(+D63*3.3058,-1)</f>
        <v>833590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252160</v>
      </c>
      <c r="E66" s="65">
        <f>SUM(E63:E65)</f>
        <v>833590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235</v>
      </c>
      <c r="G68" s="55"/>
    </row>
    <row r="69" spans="1:7" x14ac:dyDescent="0.3">
      <c r="A69" s="2">
        <v>1</v>
      </c>
      <c r="C69" s="38" t="s">
        <v>30</v>
      </c>
      <c r="D69" s="40">
        <f>TRUNC(23193.1784323684,-1)</f>
        <v>23190</v>
      </c>
      <c r="E69" s="62">
        <f>TRUNC(+D69*3.3058,-1)</f>
        <v>76660</v>
      </c>
    </row>
    <row r="70" spans="1:7" ht="16.5" customHeight="1" x14ac:dyDescent="0.3">
      <c r="A70" s="2">
        <v>2</v>
      </c>
      <c r="C70" s="38" t="s">
        <v>31</v>
      </c>
      <c r="D70" s="42">
        <f>TRUNC(2064.93651599797,-1)</f>
        <v>2060</v>
      </c>
      <c r="E70" s="63">
        <f>TRUNC(+D70*3.3058,-1)</f>
        <v>6800</v>
      </c>
    </row>
    <row r="71" spans="1:7" x14ac:dyDescent="0.3">
      <c r="A71" s="2">
        <v>3</v>
      </c>
      <c r="C71" s="38" t="s">
        <v>32</v>
      </c>
      <c r="D71" s="42">
        <f>TRUNC(3073.84526832572,-1)</f>
        <v>3070</v>
      </c>
      <c r="E71" s="63">
        <f t="shared" ref="E71:E73" si="2">TRUNC(+D71*3.3058,-1)</f>
        <v>10140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TRUNC(565.782969358388,-1)</f>
        <v>560</v>
      </c>
      <c r="E75" s="63">
        <f>TRUNC(+D75*3.3058,-1)</f>
        <v>1850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f>TRUNC(16612.6060606061,-1)</f>
        <v>16610</v>
      </c>
      <c r="E78" s="63">
        <f t="shared" si="3"/>
        <v>54900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TRUNC(10701.5376671745,-1)</f>
        <v>10700</v>
      </c>
      <c r="E81" s="63">
        <f t="shared" si="3"/>
        <v>35370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TRUNC(17945.3947858473,-1)</f>
        <v>17940</v>
      </c>
      <c r="E84" s="63">
        <f>TRUNC(+D84*3.3058,-1)</f>
        <v>59300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f>TRUNC(1320.13712544439,-1)</f>
        <v>1320</v>
      </c>
      <c r="E90" s="63">
        <f>TRUNC(+D90*3.3058,-1)</f>
        <v>4360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TRUNC(17173.915862536,-1)</f>
        <v>17170</v>
      </c>
      <c r="E92" s="63">
        <f>TRUNC(+D92*3.3058,-1)</f>
        <v>56760</v>
      </c>
    </row>
    <row r="93" spans="1:7" x14ac:dyDescent="0.3">
      <c r="A93" s="2">
        <v>25</v>
      </c>
      <c r="C93" s="38" t="s">
        <v>148</v>
      </c>
      <c r="D93" s="42">
        <f>TRUNC(31932.9608938547,-1)</f>
        <v>31930</v>
      </c>
      <c r="E93" s="63">
        <f>TRUNC(+D93*3.3058,-1)</f>
        <v>105550</v>
      </c>
      <c r="F93" s="2" t="s">
        <v>262</v>
      </c>
    </row>
    <row r="94" spans="1:7" ht="17.25" thickBot="1" x14ac:dyDescent="0.35">
      <c r="A94" s="2">
        <v>26</v>
      </c>
      <c r="C94" s="38" t="s">
        <v>47</v>
      </c>
      <c r="D94" s="43">
        <f>TRUNC(266.240223463687,-1)</f>
        <v>260</v>
      </c>
      <c r="E94" s="64">
        <f>TRUNC(+D94*3.3058,-1)</f>
        <v>850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124810</v>
      </c>
      <c r="E95" s="39">
        <f>SUM(E69:E94)</f>
        <v>412540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235</v>
      </c>
      <c r="G97" s="55"/>
    </row>
    <row r="98" spans="1:7" x14ac:dyDescent="0.3">
      <c r="A98" s="2">
        <v>1</v>
      </c>
      <c r="C98" s="38" t="s">
        <v>39</v>
      </c>
      <c r="D98" s="40">
        <f>TRUNC(6580.96597257491,-1)</f>
        <v>6580</v>
      </c>
      <c r="E98" s="62">
        <f t="shared" ref="E98:E118" si="4">TRUNC(+D98*3.3058,-1)</f>
        <v>21750</v>
      </c>
    </row>
    <row r="99" spans="1:7" x14ac:dyDescent="0.3">
      <c r="A99" s="2">
        <v>2</v>
      </c>
      <c r="C99" s="38" t="s">
        <v>40</v>
      </c>
      <c r="D99" s="42">
        <f>TRUNC(4035.81581174877,-1)</f>
        <v>4030</v>
      </c>
      <c r="E99" s="63">
        <f t="shared" si="4"/>
        <v>13320</v>
      </c>
    </row>
    <row r="100" spans="1:7" x14ac:dyDescent="0.3">
      <c r="A100" s="2">
        <v>3</v>
      </c>
      <c r="C100" s="38" t="s">
        <v>41</v>
      </c>
      <c r="D100" s="42">
        <f>TRUNC(18916.3384120535,-1)</f>
        <v>18910</v>
      </c>
      <c r="E100" s="63">
        <f t="shared" si="4"/>
        <v>62510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TRUNC(3700.99204333841,-1)</f>
        <v>3700</v>
      </c>
      <c r="E102" s="63">
        <f t="shared" si="4"/>
        <v>12230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TRUNC(3873.25562891485+926.312849162011,-1)</f>
        <v>4790</v>
      </c>
      <c r="E104" s="63">
        <f t="shared" si="4"/>
        <v>15830</v>
      </c>
      <c r="F104" s="2" t="s">
        <v>256</v>
      </c>
    </row>
    <row r="105" spans="1:7" x14ac:dyDescent="0.3">
      <c r="A105" s="2">
        <v>8</v>
      </c>
      <c r="C105" s="38" t="s">
        <v>46</v>
      </c>
      <c r="D105" s="42">
        <f>TRUNC(1513.95903165736,-1)</f>
        <v>1510</v>
      </c>
      <c r="E105" s="63">
        <f t="shared" si="4"/>
        <v>4990</v>
      </c>
      <c r="F105" s="2" t="s">
        <v>257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TRUNC(1307.69815473167,-1)</f>
        <v>1300</v>
      </c>
      <c r="E108" s="63">
        <f t="shared" si="4"/>
        <v>4290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TRUNC(1567.23903842898,-1)</f>
        <v>1560</v>
      </c>
      <c r="E115" s="63">
        <f t="shared" si="4"/>
        <v>5150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TRUNC(10097.5114271204+58301.3373963095,-1)</f>
        <v>68390</v>
      </c>
      <c r="E117" s="63">
        <f t="shared" si="4"/>
        <v>226080</v>
      </c>
      <c r="F117" s="2" t="s">
        <v>259</v>
      </c>
    </row>
    <row r="118" spans="1:7" ht="17.25" thickBot="1" x14ac:dyDescent="0.35">
      <c r="A118" s="2">
        <v>21</v>
      </c>
      <c r="C118" s="38" t="s">
        <v>47</v>
      </c>
      <c r="D118" s="43">
        <f>TRUNC(1940.15134586084,-1)</f>
        <v>1940</v>
      </c>
      <c r="E118" s="64">
        <f t="shared" si="4"/>
        <v>6410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112710</v>
      </c>
      <c r="E119" s="39">
        <f>SUM(E98:E118)</f>
        <v>372560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235</v>
      </c>
      <c r="G121" s="55"/>
    </row>
    <row r="122" spans="1:7" x14ac:dyDescent="0.3">
      <c r="A122" s="2">
        <v>1</v>
      </c>
      <c r="C122" s="38" t="s">
        <v>55</v>
      </c>
      <c r="D122" s="40">
        <f>TRUNC(973.379888268156,-1)</f>
        <v>970</v>
      </c>
      <c r="E122" s="62">
        <f t="shared" ref="E122:E132" si="5">TRUNC(+D122*3.3058,-1)</f>
        <v>3200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f>TRUNC(1566.37734890808,-1)</f>
        <v>1560</v>
      </c>
      <c r="E124" s="63">
        <f t="shared" si="5"/>
        <v>5150</v>
      </c>
    </row>
    <row r="125" spans="1:7" x14ac:dyDescent="0.3">
      <c r="A125" s="2">
        <v>4</v>
      </c>
      <c r="C125" s="38" t="s">
        <v>138</v>
      </c>
      <c r="D125" s="42">
        <f>TRUNC(2252.88945319113,-1)</f>
        <v>2250</v>
      </c>
      <c r="E125" s="63">
        <f t="shared" si="5"/>
        <v>7430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TRUNC(924.076519383782,-1)</f>
        <v>920</v>
      </c>
      <c r="E128" s="63">
        <f t="shared" si="5"/>
        <v>3040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TRUNC(3840.57829693584,-1)</f>
        <v>3840</v>
      </c>
      <c r="E130" s="63">
        <f t="shared" si="5"/>
        <v>12690</v>
      </c>
    </row>
    <row r="131" spans="1:7" x14ac:dyDescent="0.3">
      <c r="A131" s="2">
        <v>10</v>
      </c>
      <c r="C131" s="38" t="s">
        <v>148</v>
      </c>
      <c r="D131" s="42">
        <f>TRUNC(49573.3875063484,-1)</f>
        <v>49570</v>
      </c>
      <c r="E131" s="63">
        <f t="shared" si="5"/>
        <v>163860</v>
      </c>
      <c r="F131" s="2" t="s">
        <v>260</v>
      </c>
    </row>
    <row r="132" spans="1:7" ht="18" thickBot="1" x14ac:dyDescent="0.35">
      <c r="A132" s="2">
        <v>11</v>
      </c>
      <c r="C132" s="38" t="s">
        <v>47</v>
      </c>
      <c r="D132" s="43">
        <f>TRUNC(4110.51532080582,-1)</f>
        <v>4110</v>
      </c>
      <c r="E132" s="64">
        <f t="shared" si="5"/>
        <v>13580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63220</v>
      </c>
      <c r="E133" s="39">
        <f>SUM(E122:E132)</f>
        <v>208950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235</v>
      </c>
      <c r="G135" s="55"/>
    </row>
    <row r="136" spans="1:7" x14ac:dyDescent="0.3">
      <c r="A136" s="2">
        <v>1</v>
      </c>
      <c r="C136" s="38" t="s">
        <v>131</v>
      </c>
      <c r="D136" s="40">
        <f>TRUNC(986.086507533435,-1)</f>
        <v>980</v>
      </c>
      <c r="E136" s="62">
        <f t="shared" ref="E136:E145" si="6">TRUNC(+D136*3.3058,-1)</f>
        <v>3230</v>
      </c>
      <c r="F136" s="2" t="s">
        <v>254</v>
      </c>
    </row>
    <row r="137" spans="1:7" x14ac:dyDescent="0.3">
      <c r="A137" s="2">
        <v>2</v>
      </c>
      <c r="C137" s="38" t="s">
        <v>47</v>
      </c>
      <c r="D137" s="42">
        <f>TRUNC(1593.76756390723+1354.52598611816+2773.86592178771+25505.8369730828+1199.69392246487,-1)</f>
        <v>32420</v>
      </c>
      <c r="E137" s="63">
        <f t="shared" si="6"/>
        <v>107170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f>TRUNC(73739.7452175385,-1)</f>
        <v>73730</v>
      </c>
      <c r="E138" s="63">
        <f t="shared" si="6"/>
        <v>243730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f>TRUNC(1832.29541222279,-1)</f>
        <v>1830</v>
      </c>
      <c r="E143" s="63">
        <f t="shared" si="6"/>
        <v>6040</v>
      </c>
    </row>
    <row r="144" spans="1:7" x14ac:dyDescent="0.3">
      <c r="A144" s="2">
        <v>9</v>
      </c>
      <c r="C144" s="38" t="s">
        <v>63</v>
      </c>
      <c r="D144" s="42">
        <f>TRUNC(15739.197223633,-1)</f>
        <v>15730</v>
      </c>
      <c r="E144" s="63">
        <f t="shared" si="6"/>
        <v>52000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124690</v>
      </c>
      <c r="E146" s="39">
        <f>SUM(E136:E145)</f>
        <v>412170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235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TRUNC(7913.74030810902,-1)</f>
        <v>7910</v>
      </c>
      <c r="E152" s="63">
        <f>TRUNC(+D152*3.3058,-1)</f>
        <v>26140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7910</v>
      </c>
      <c r="E154" s="39">
        <f>SUM(E149:E153)</f>
        <v>26140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235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2020-12-07T09:11:18Z</dcterms:modified>
</cp:coreProperties>
</file>