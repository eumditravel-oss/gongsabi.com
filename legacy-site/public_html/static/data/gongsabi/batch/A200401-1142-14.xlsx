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33" i="4"/>
  <c r="E133" i="4" l="1"/>
  <c r="E146" i="4"/>
  <c r="E119" i="4"/>
  <c r="E154" i="4"/>
  <c r="D161" i="4"/>
  <c r="D154" i="4"/>
  <c r="D31" i="4" s="1"/>
  <c r="E31" i="4" s="1"/>
  <c r="D146" i="4"/>
  <c r="D133" i="4"/>
  <c r="D29" i="4" s="1"/>
  <c r="E29" i="4" s="1"/>
  <c r="D119" i="4"/>
  <c r="D94" i="4"/>
  <c r="E94" i="4" s="1"/>
  <c r="E95" i="4" s="1"/>
  <c r="D66" i="4"/>
  <c r="D60" i="4"/>
  <c r="D25" i="4" s="1"/>
  <c r="E25" i="4" s="1"/>
  <c r="D32" i="4"/>
  <c r="E32" i="4" s="1"/>
  <c r="D30" i="4"/>
  <c r="E30" i="4" s="1"/>
  <c r="D28" i="4"/>
  <c r="E28" i="4" s="1"/>
  <c r="D26" i="4"/>
  <c r="E26" i="4" s="1"/>
  <c r="D24" i="4"/>
  <c r="E24" i="4" s="1"/>
  <c r="D7" i="4"/>
  <c r="D95" i="4" l="1"/>
  <c r="D27" i="4" s="1"/>
  <c r="E27" i="4" s="1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</calcChain>
</file>

<file path=xl/sharedStrings.xml><?xml version="1.0" encoding="utf-8"?>
<sst xmlns="http://schemas.openxmlformats.org/spreadsheetml/2006/main" count="385" uniqueCount="262">
  <si>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</si>
  <si>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</si>
  <si>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</si>
  <si>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</si>
  <si>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</si>
  <si>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</si>
  <si>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</si>
  <si>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</si>
  <si>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</si>
  <si>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</si>
  <si>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</si>
  <si>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</si>
  <si>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</si>
  <si>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</si>
  <si>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</si>
  <si>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</si>
  <si>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</si>
  <si>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</si>
  <si>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</si>
  <si>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</si>
  <si>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</si>
  <si>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</si>
  <si>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</si>
  <si>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</si>
  <si>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</si>
  <si>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</si>
  <si>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</si>
  <si>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</si>
  <si>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</si>
  <si>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</si>
  <si>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</si>
  <si>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</si>
  <si>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</si>
  <si>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</si>
  <si>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</si>
  <si>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</si>
  <si>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</si>
  <si>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</si>
  <si>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</si>
  <si>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</si>
  <si>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</si>
  <si>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</si>
  <si>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</si>
  <si>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</si>
  <si>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</si>
  <si>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</si>
  <si>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</si>
  <si>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</si>
  <si>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</si>
  <si>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</si>
  <si>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</si>
  <si>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</si>
  <si>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</si>
  <si>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</si>
  <si>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</si>
  <si>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</si>
  <si>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</si>
  <si>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</si>
  <si>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</si>
  <si>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</si>
  <si>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</si>
  <si>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</si>
  <si>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</si>
  <si>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</si>
  <si>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</si>
  <si>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</si>
  <si>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</si>
  <si>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</si>
  <si>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</si>
  <si>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</si>
  <si>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</si>
  <si>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</si>
  <si>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</si>
  <si>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</si>
  <si>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</si>
  <si>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</si>
  <si>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</si>
  <si>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</si>
  <si>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</si>
  <si>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</si>
  <si>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</si>
  <si>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</si>
  <si>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</si>
  <si>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</si>
  <si>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</si>
  <si>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</si>
  <si>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</si>
  <si>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</si>
  <si>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</si>
  <si>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</si>
  <si>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</si>
  <si>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</si>
  <si>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</si>
  <si>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</si>
  <si>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</si>
  <si>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</si>
  <si>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</si>
  <si>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</si>
  <si>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</si>
  <si>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</si>
  <si>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</si>
  <si>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</si>
  <si>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</si>
  <si>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</si>
  <si>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</si>
  <si>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</si>
  <si>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</si>
  <si>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</si>
  <si>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</si>
  <si>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</si>
  <si>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</si>
  <si>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</si>
  <si>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</si>
  <si>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</si>
  <si>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</si>
  <si>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</si>
  <si>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</si>
  <si>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</si>
  <si>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</si>
  <si>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</si>
  <si>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</si>
  <si>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</si>
  <si>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</si>
  <si>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</si>
  <si>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</si>
  <si>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</si>
  <si>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</si>
  <si>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</si>
  <si>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</si>
  <si>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</si>
  <si>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</si>
  <si>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</si>
  <si>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</si>
  <si>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</si>
  <si>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</si>
  <si>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</si>
  <si>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</si>
  <si>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</si>
  <si>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</si>
  <si>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</si>
  <si>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</si>
  <si>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</si>
  <si>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</si>
  <si>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</si>
  <si>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</si>
  <si>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</si>
  <si>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</si>
  <si>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</si>
  <si>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</si>
  <si>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</si>
  <si>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</si>
  <si>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</si>
  <si>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</si>
  <si>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</si>
  <si>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</si>
  <si>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</si>
  <si>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</si>
  <si>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</si>
  <si>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</si>
  <si>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</si>
  <si>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</si>
  <si>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</si>
  <si>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</si>
  <si>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</si>
  <si>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</si>
  <si>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</si>
  <si>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</si>
  <si>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</si>
  <si>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</si>
  <si>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</si>
  <si>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</si>
  <si>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</si>
  <si>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</si>
  <si>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</si>
  <si>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</si>
  <si>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</si>
  <si>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</si>
  <si>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</si>
  <si>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</si>
  <si>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</si>
  <si>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</si>
  <si>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</si>
  <si>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</si>
  <si>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</si>
  <si>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</si>
  <si>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</si>
  <si>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</si>
  <si>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</si>
  <si>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</si>
  <si>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</si>
  <si>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</si>
  <si>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</si>
  <si>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</si>
  <si>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</si>
  <si>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</si>
  <si>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</si>
  <si>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</si>
  <si>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</si>
  <si>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</si>
  <si>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</si>
  <si>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</si>
  <si>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</si>
  <si>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</si>
  <si>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</si>
  <si>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</si>
  <si>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</si>
  <si>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</si>
  <si>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</si>
  <si>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</si>
  <si>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</si>
  <si>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</si>
  <si>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</si>
  <si>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</si>
  <si>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</si>
  <si>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</si>
  <si>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</si>
  <si>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</si>
  <si>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</si>
  <si>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</si>
  <si>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</si>
  <si>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</si>
  <si>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</si>
  <si>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</si>
  <si>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</si>
  <si>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</si>
  <si>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</si>
  <si>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</si>
  <si>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</si>
  <si>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</si>
  <si>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</si>
  <si>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</si>
  <si>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</si>
  <si>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</si>
  <si>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</si>
  <si>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</si>
  <si>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</si>
  <si>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</si>
  <si>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원 /평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</si>
  <si>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</si>
  <si>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</si>
  <si>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</si>
  <si>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</si>
  <si>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</si>
  <si>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</si>
  <si>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</si>
  <si>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</si>
  <si>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</si>
  <si>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</si>
  <si>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</si>
  <si>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</si>
  <si>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마감공사</t>
    <phoneticPr fontId="2" type="noConversion"/>
  </si>
  <si>
    <t>기타설비</t>
    <phoneticPr fontId="2" type="noConversion"/>
  </si>
  <si>
    <t>전등전열설비</t>
    <phoneticPr fontId="2" type="noConversion"/>
  </si>
  <si>
    <t>옥외인입공사</t>
    <phoneticPr fontId="2" type="noConversion"/>
  </si>
  <si>
    <t>경기도 수원시 00 중고등학교</t>
    <phoneticPr fontId="2" type="noConversion"/>
  </si>
  <si>
    <t>원/ m2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</si>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</sst>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238</v>
      </c>
    </row>
    <row r="7" spans="1:4" ht="17.25" thickBot="1" x14ac:dyDescent="0.35">
      <c r="C7" s="37">
        <v>10596</v>
      </c>
      <c r="D7" s="36">
        <f>+C7/3.3058</f>
        <v>3205.2755762599068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237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441080</v>
      </c>
      <c r="E25" s="59">
        <f t="shared" si="0"/>
        <v>1458120</v>
      </c>
    </row>
    <row r="26" spans="1:5" x14ac:dyDescent="0.3">
      <c r="B26" s="2">
        <v>3</v>
      </c>
      <c r="C26" s="35" t="s">
        <v>95</v>
      </c>
      <c r="D26" s="45">
        <f>+D66</f>
        <v>12920</v>
      </c>
      <c r="E26" s="59">
        <f t="shared" si="0"/>
        <v>42710</v>
      </c>
    </row>
    <row r="27" spans="1:5" x14ac:dyDescent="0.3">
      <c r="B27" s="2">
        <v>4</v>
      </c>
      <c r="C27" s="35" t="s">
        <v>96</v>
      </c>
      <c r="D27" s="45">
        <f>+D95</f>
        <v>93160</v>
      </c>
      <c r="E27" s="59">
        <f t="shared" si="0"/>
        <v>307960</v>
      </c>
    </row>
    <row r="28" spans="1:5" x14ac:dyDescent="0.3">
      <c r="B28" s="2">
        <v>5</v>
      </c>
      <c r="C28" s="35" t="s">
        <v>97</v>
      </c>
      <c r="D28" s="45">
        <f>+D119</f>
        <v>49280</v>
      </c>
      <c r="E28" s="59">
        <f t="shared" si="0"/>
        <v>162900</v>
      </c>
    </row>
    <row r="29" spans="1:5" x14ac:dyDescent="0.3">
      <c r="B29" s="2">
        <v>6</v>
      </c>
      <c r="C29" s="35" t="s">
        <v>98</v>
      </c>
      <c r="D29" s="45">
        <f>+D133</f>
        <v>24610</v>
      </c>
      <c r="E29" s="59">
        <f t="shared" si="0"/>
        <v>81350</v>
      </c>
    </row>
    <row r="30" spans="1:5" x14ac:dyDescent="0.3">
      <c r="B30" s="2">
        <v>7</v>
      </c>
      <c r="C30" s="35" t="s">
        <v>99</v>
      </c>
      <c r="D30" s="45">
        <f>+D146</f>
        <v>4310</v>
      </c>
      <c r="E30" s="59">
        <f t="shared" si="0"/>
        <v>14240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v>261330</v>
      </c>
      <c r="E33" s="60">
        <f t="shared" si="0"/>
        <v>863900</v>
      </c>
    </row>
    <row r="34" spans="1:7" x14ac:dyDescent="0.3">
      <c r="C34" s="35" t="s">
        <v>112</v>
      </c>
      <c r="D34" s="44">
        <f>SUM(D24:D33)</f>
        <v>886690</v>
      </c>
      <c r="E34" s="44">
        <f>SUM(E24:E33)</f>
        <v>2931180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239</v>
      </c>
      <c r="D36" s="56" t="s">
        <v>255</v>
      </c>
      <c r="E36" s="56" t="s">
        <v>237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243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v>27270</v>
      </c>
      <c r="E40" s="62">
        <f t="shared" ref="E40:E59" si="1">TRUNC(+D40*3.3058,-1)</f>
        <v>90140</v>
      </c>
    </row>
    <row r="41" spans="1:7" x14ac:dyDescent="0.3">
      <c r="A41" s="2">
        <v>2</v>
      </c>
      <c r="C41" s="38" t="s">
        <v>13</v>
      </c>
      <c r="D41" s="42">
        <v>169040</v>
      </c>
      <c r="E41" s="63">
        <f t="shared" si="1"/>
        <v>558810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244770</v>
      </c>
      <c r="E58" s="63">
        <f t="shared" si="1"/>
        <v>809160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441080</v>
      </c>
      <c r="E60" s="39">
        <f>SUM(E40:E59)</f>
        <v>1458110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240</v>
      </c>
      <c r="C62" s="55" t="s">
        <v>241</v>
      </c>
      <c r="D62" s="56" t="s">
        <v>236</v>
      </c>
      <c r="E62" s="56" t="s">
        <v>237</v>
      </c>
      <c r="F62" s="54"/>
      <c r="G62" s="54"/>
    </row>
    <row r="63" spans="1:7" x14ac:dyDescent="0.3">
      <c r="A63" s="2">
        <v>1</v>
      </c>
      <c r="C63" s="38" t="s">
        <v>27</v>
      </c>
      <c r="D63" s="40">
        <v>12920</v>
      </c>
      <c r="E63" s="62">
        <f>TRUNC(+D63*3.3058,-1)</f>
        <v>42710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12920</v>
      </c>
      <c r="E66" s="57">
        <f>SUM(E63:E65)</f>
        <v>42710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242</v>
      </c>
      <c r="C68" s="55" t="s">
        <v>243</v>
      </c>
      <c r="D68" s="56" t="s">
        <v>236</v>
      </c>
      <c r="E68" s="56" t="s">
        <v>237</v>
      </c>
      <c r="F68" s="54"/>
      <c r="G68" s="54"/>
    </row>
    <row r="69" spans="1:7" x14ac:dyDescent="0.3">
      <c r="A69" s="2">
        <v>1</v>
      </c>
      <c r="C69" s="38" t="s">
        <v>30</v>
      </c>
      <c r="D69" s="40">
        <v>3470</v>
      </c>
      <c r="E69" s="62">
        <f>TRUNC(+D69*3.3058,-1)</f>
        <v>11470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1930</v>
      </c>
      <c r="E74" s="63">
        <f>TRUNC(+D74*3.3058,-1)</f>
        <v>6380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2590</v>
      </c>
      <c r="E81" s="63">
        <f t="shared" si="3"/>
        <v>8560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4780</v>
      </c>
      <c r="E84" s="63">
        <f>TRUNC(+D84*3.3058,-1)</f>
        <v>15800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660</v>
      </c>
      <c r="E90" s="63">
        <f>TRUNC(+D90*3.3058,-1)</f>
        <v>2180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22970</v>
      </c>
      <c r="E92" s="63">
        <f>TRUNC(+D92*3.3058,-1)</f>
        <v>75930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56760</f>
        <v>56760</v>
      </c>
      <c r="E94" s="64">
        <f>TRUNC(+D94*3.3058,-1)</f>
        <v>187630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93160</v>
      </c>
      <c r="E95" s="39">
        <f>SUM(E69:E94)</f>
        <v>307950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244</v>
      </c>
      <c r="C97" s="55" t="s">
        <v>243</v>
      </c>
      <c r="D97" s="56" t="s">
        <v>236</v>
      </c>
      <c r="E97" s="56" t="s">
        <v>237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22910</v>
      </c>
      <c r="E100" s="63">
        <f t="shared" si="4"/>
        <v>75730</v>
      </c>
      <c r="F100" s="2" t="s">
        <v>252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4540</v>
      </c>
      <c r="E105" s="63">
        <f t="shared" si="4"/>
        <v>15000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7680</v>
      </c>
      <c r="E116" s="63">
        <f t="shared" si="4"/>
        <v>25380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14150</v>
      </c>
      <c r="E117" s="63">
        <f t="shared" si="4"/>
        <v>46770</v>
      </c>
    </row>
    <row r="118" spans="1:7" ht="17.25" thickBot="1" x14ac:dyDescent="0.35">
      <c r="A118" s="2">
        <v>21</v>
      </c>
      <c r="C118" s="38" t="s">
        <v>47</v>
      </c>
      <c r="D118" s="43"/>
      <c r="E118" s="64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49280</v>
      </c>
      <c r="E119" s="39">
        <f>SUM(E98:E118)</f>
        <v>162880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245</v>
      </c>
      <c r="C121" s="55" t="s">
        <v>243</v>
      </c>
      <c r="D121" s="56" t="s">
        <v>256</v>
      </c>
      <c r="E121" s="56" t="s">
        <v>237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2950</v>
      </c>
      <c r="E125" s="63">
        <f t="shared" si="5"/>
        <v>9750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2830</v>
      </c>
      <c r="E128" s="63">
        <f t="shared" si="5"/>
        <v>9350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9400</v>
      </c>
      <c r="E130" s="63">
        <f t="shared" si="5"/>
        <v>31070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5"/>
        <v>0</v>
      </c>
    </row>
    <row r="132" spans="1:7" ht="17.25" thickBot="1" x14ac:dyDescent="0.35">
      <c r="A132" s="2">
        <v>11</v>
      </c>
      <c r="C132" s="38" t="s">
        <v>47</v>
      </c>
      <c r="D132" s="43">
        <v>9430</v>
      </c>
      <c r="E132" s="64">
        <f t="shared" si="5"/>
        <v>31170</v>
      </c>
    </row>
    <row r="133" spans="1:7" x14ac:dyDescent="0.3">
      <c r="A133" s="2">
        <v>12</v>
      </c>
      <c r="C133" s="27" t="s">
        <v>112</v>
      </c>
      <c r="D133" s="39">
        <f>SUM(D122:D132)</f>
        <v>24610</v>
      </c>
      <c r="E133" s="39">
        <f>SUM(E122:E132)</f>
        <v>81340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246</v>
      </c>
      <c r="C135" s="55" t="s">
        <v>243</v>
      </c>
      <c r="D135" s="56" t="s">
        <v>256</v>
      </c>
      <c r="E135" s="56" t="s">
        <v>237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4310</v>
      </c>
      <c r="E136" s="62">
        <f t="shared" ref="E136:E145" si="6">TRUNC(+D136*3.3058,-1)</f>
        <v>14240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4310</v>
      </c>
      <c r="E146" s="39">
        <f>SUM(E136:E145)</f>
        <v>14240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247</v>
      </c>
      <c r="C148" s="55" t="s">
        <v>243</v>
      </c>
      <c r="D148" s="56" t="s">
        <v>256</v>
      </c>
      <c r="E148" s="56" t="s">
        <v>237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248</v>
      </c>
      <c r="C156" s="55" t="s">
        <v>243</v>
      </c>
      <c r="D156" s="56" t="s">
        <v>256</v>
      </c>
      <c r="E156" s="56" t="s">
        <v>237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2020-12-07T08:48:31Z</dcterms:modified>
</cp:coreProperties>
</file>