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0" i="4"/>
  <c r="D149" i="4"/>
  <c r="D144" i="4"/>
  <c r="D143" i="4"/>
  <c r="D137" i="4"/>
  <c r="D132" i="4"/>
  <c r="D131" i="4"/>
  <c r="D128" i="4"/>
  <c r="D125" i="4"/>
  <c r="D118" i="4"/>
  <c r="D116" i="4"/>
  <c r="D105" i="4"/>
  <c r="D102" i="4"/>
  <c r="D101" i="4"/>
  <c r="D100" i="4"/>
  <c r="D99" i="4"/>
  <c r="D98" i="4"/>
  <c r="D94" i="4"/>
  <c r="D92" i="4"/>
  <c r="D91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5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<sst xmlns="http://schemas.openxmlformats.org/spreadsheetml/2006/main" count="389" uniqueCount="264">
  <si>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</si>
  <si>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</si>
  <si>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</si>
  <si>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</si>
  <si>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</si>
  <si>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</si>
  <si>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</si>
  <si>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</si>
  <si>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</si>
  <si>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</si>
  <si>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</si>
  <si>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</si>
  <si>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</si>
  <si>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</si>
  <si>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</si>
  <si>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</si>
  <si>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</si>
  <si>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</si>
  <si>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</si>
  <si>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</si>
  <si>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</si>
  <si>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</si>
  <si>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</si>
  <si>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</si>
  <si>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</si>
  <si>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</si>
  <si>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</si>
  <si>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</si>
  <si>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</si>
  <si>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</si>
  <si>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</si>
  <si>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</si>
  <si>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</si>
  <si>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</si>
  <si>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</si>
  <si>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</si>
  <si>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</si>
  <si>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</si>
  <si>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</si>
  <si>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</si>
  <si>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</si>
  <si>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</si>
  <si>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</si>
  <si>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</si>
  <si>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</si>
  <si>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</si>
  <si>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</si>
  <si>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</si>
  <si>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</si>
  <si>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</si>
  <si>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</si>
  <si>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</si>
  <si>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</si>
  <si>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</si>
  <si>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</si>
  <si>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</si>
  <si>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</si>
  <si>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</si>
  <si>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</si>
  <si>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</si>
  <si>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</si>
  <si>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</si>
  <si>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</si>
  <si>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</si>
  <si>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</si>
  <si>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</si>
  <si>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</si>
  <si>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</si>
  <si>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</si>
  <si>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</si>
  <si>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</si>
  <si>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</si>
  <si>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</si>
  <si>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</si>
  <si>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</si>
  <si>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</si>
  <si>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</si>
  <si>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</si>
  <si>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</si>
  <si>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</si>
  <si>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</si>
  <si>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</si>
  <si>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</si>
  <si>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</si>
  <si>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</si>
  <si>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</si>
  <si>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</si>
  <si>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</si>
  <si>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</si>
  <si>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</si>
  <si>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</si>
  <si>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</si>
  <si>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</si>
  <si>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</si>
  <si>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</si>
  <si>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</si>
  <si>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</si>
  <si>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</si>
  <si>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</si>
  <si>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</si>
  <si>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</si>
  <si>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</si>
  <si>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</si>
  <si>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</si>
  <si>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</si>
  <si>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</si>
  <si>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</si>
  <si>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</si>
  <si>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</si>
  <si>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</si>
  <si>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</si>
  <si>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</si>
  <si>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</si>
  <si>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</si>
  <si>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</si>
  <si>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</si>
  <si>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</si>
  <si>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</si>
  <si>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</si>
  <si>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</si>
  <si>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</si>
  <si>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</si>
  <si>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</si>
  <si>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</si>
  <si>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</si>
  <si>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</si>
  <si>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</si>
  <si>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</si>
  <si>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</si>
  <si>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</si>
  <si>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</si>
  <si>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</si>
  <si>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</si>
  <si>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</si>
  <si>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</si>
  <si>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</si>
  <si>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</si>
  <si>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</si>
  <si>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</si>
  <si>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</si>
  <si>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</si>
  <si>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</si>
  <si>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</si>
  <si>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</si>
  <si>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</si>
  <si>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</si>
  <si>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</si>
  <si>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</si>
  <si>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</si>
  <si>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</si>
  <si>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</si>
  <si>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</si>
  <si>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</si>
  <si>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</si>
  <si>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</si>
  <si>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</si>
  <si>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</si>
  <si>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</si>
  <si>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</si>
  <si>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</si>
  <si>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</si>
  <si>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</si>
  <si>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</si>
  <si>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</si>
  <si>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</si>
  <si>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</si>
  <si>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</si>
  <si>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</si>
  <si>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</si>
  <si>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</si>
  <si>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</si>
  <si>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</si>
  <si>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</si>
  <si>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</si>
  <si>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</si>
  <si>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</si>
  <si>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</si>
  <si>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</si>
  <si>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</si>
  <si>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</si>
  <si>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</si>
  <si>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</si>
  <si>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</si>
  <si>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</si>
  <si>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</si>
  <si>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</si>
  <si>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</si>
  <si>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</si>
  <si>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</si>
  <si>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</si>
  <si>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</si>
  <si>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</si>
  <si>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</si>
  <si>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</si>
  <si>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</si>
  <si>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</si>
  <si>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</si>
  <si>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</si>
  <si>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</si>
  <si>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</si>
  <si>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</si>
  <si>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</si>
  <si>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</si>
  <si>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</si>
  <si>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</si>
  <si>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</si>
  <si>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</si>
  <si>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</si>
  <si>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</si>
  <si>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</si>
  <si>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</si>
  <si>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</si>
  <si>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</si>
  <si>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</si>
  <si>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</si>
  <si>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</si>
  <si>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</si>
  <si>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</si>
  <si>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</si>
  <si>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</si>
  <si>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</si>
  <si>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</si>
  <si>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</si>
  <si>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</si>
  <si>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</si>
  <si>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</si>
  <si>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</si>
  <si>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</si>
  <si>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</si>
  <si>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</si>
  <si>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</si>
  <si>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</si>
  <si>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</si>
  <si>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</si>
  <si>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</si>
  <si>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</si>
  <si>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</si>
  <si>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</si>
  <si>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</si>
  <si>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</si>
  <si>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</si>
  <si>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</si>
  <si>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</si>
  <si>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</si>
  <si>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</si>
  <si>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</si>
  <si>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</si>
  <si>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</si>
  <si>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</si>
  <si>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</si>
  <si>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</si>
  <si>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</si>
  <si>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</si>
  <si>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교육연구</t>
  </si>
  <si>
    <t>제조로봇 토탈솔루션 테스트플랜트 신축공사</t>
    <phoneticPr fontId="2" type="noConversion"/>
  </si>
  <si>
    <t>경상도</t>
  </si>
  <si>
    <t>기초공사, 골재비및운반비, 기타공사</t>
    <phoneticPr fontId="2" type="noConversion"/>
  </si>
  <si>
    <t>사급자재비, 운반비,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</si>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</sst>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253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4346.8599999999997</v>
      </c>
      <c r="D7" s="36">
        <f>+C7/3.3058</f>
        <v>1314.919232863452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819260</v>
      </c>
      <c r="E25" s="59">
        <f t="shared" si="0"/>
        <v>2708300</v>
      </c>
    </row>
    <row r="26" spans="1:5" x14ac:dyDescent="0.3">
      <c r="B26" s="2">
        <v>3</v>
      </c>
      <c r="C26" s="35" t="s">
        <v>95</v>
      </c>
      <c r="D26" s="45">
        <f>+D66</f>
        <v>2970</v>
      </c>
      <c r="E26" s="59">
        <f t="shared" si="0"/>
        <v>9810</v>
      </c>
    </row>
    <row r="27" spans="1:5" x14ac:dyDescent="0.3">
      <c r="B27" s="2">
        <v>4</v>
      </c>
      <c r="C27" s="35" t="s">
        <v>96</v>
      </c>
      <c r="D27" s="45">
        <f>+D95</f>
        <v>88710</v>
      </c>
      <c r="E27" s="59">
        <f t="shared" si="0"/>
        <v>293250</v>
      </c>
    </row>
    <row r="28" spans="1:5" x14ac:dyDescent="0.3">
      <c r="B28" s="2">
        <v>5</v>
      </c>
      <c r="C28" s="35" t="s">
        <v>97</v>
      </c>
      <c r="D28" s="45">
        <f>+D119</f>
        <v>266290</v>
      </c>
      <c r="E28" s="59">
        <f t="shared" si="0"/>
        <v>880300</v>
      </c>
    </row>
    <row r="29" spans="1:5" x14ac:dyDescent="0.3">
      <c r="B29" s="2">
        <v>6</v>
      </c>
      <c r="C29" s="35" t="s">
        <v>98</v>
      </c>
      <c r="D29" s="45">
        <f>+D133</f>
        <v>51050</v>
      </c>
      <c r="E29" s="59">
        <f t="shared" si="0"/>
        <v>168760</v>
      </c>
    </row>
    <row r="30" spans="1:5" x14ac:dyDescent="0.3">
      <c r="B30" s="2">
        <v>7</v>
      </c>
      <c r="C30" s="35" t="s">
        <v>99</v>
      </c>
      <c r="D30" s="45">
        <f>+D146</f>
        <v>34620</v>
      </c>
      <c r="E30" s="59">
        <f t="shared" si="0"/>
        <v>114440</v>
      </c>
    </row>
    <row r="31" spans="1:5" x14ac:dyDescent="0.3">
      <c r="B31" s="2">
        <v>8</v>
      </c>
      <c r="C31" s="35" t="s">
        <v>100</v>
      </c>
      <c r="D31" s="45">
        <f>+D154</f>
        <v>69490</v>
      </c>
      <c r="E31" s="59">
        <f t="shared" si="0"/>
        <v>229720</v>
      </c>
    </row>
    <row r="32" spans="1:5" x14ac:dyDescent="0.3">
      <c r="B32" s="2">
        <v>9</v>
      </c>
      <c r="C32" s="35" t="s">
        <v>101</v>
      </c>
      <c r="D32" s="45">
        <f>+D161</f>
        <v>62000</v>
      </c>
      <c r="E32" s="59">
        <f t="shared" si="0"/>
        <v>204950</v>
      </c>
    </row>
    <row r="33" spans="1:7" x14ac:dyDescent="0.3">
      <c r="B33" s="2">
        <v>10</v>
      </c>
      <c r="C33" s="35" t="s">
        <v>154</v>
      </c>
      <c r="D33" s="53">
        <f>TRUNC(SUM(D24:D32)*0.275,-1)</f>
        <v>383450</v>
      </c>
      <c r="E33" s="60">
        <f t="shared" si="0"/>
        <v>1267600</v>
      </c>
    </row>
    <row r="34" spans="1:7" x14ac:dyDescent="0.3">
      <c r="C34" s="35" t="s">
        <v>112</v>
      </c>
      <c r="D34" s="44">
        <f>SUM(D24:D33)</f>
        <v>1777840</v>
      </c>
      <c r="E34" s="44">
        <f>SUM(E24:E33)</f>
        <v>5877130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TRUNC(42186,-1)</f>
        <v>42180</v>
      </c>
      <c r="E40" s="62">
        <f t="shared" ref="E40:E59" si="1">TRUNC(+D40*3.3058,-1)</f>
        <v>139430</v>
      </c>
    </row>
    <row r="41" spans="1:7" x14ac:dyDescent="0.3">
      <c r="A41" s="2">
        <v>2</v>
      </c>
      <c r="C41" s="38" t="s">
        <v>13</v>
      </c>
      <c r="D41" s="42">
        <f>TRUNC(122166,-1)</f>
        <v>122160</v>
      </c>
      <c r="E41" s="63">
        <f t="shared" si="1"/>
        <v>403830</v>
      </c>
    </row>
    <row r="42" spans="1:7" x14ac:dyDescent="0.3">
      <c r="A42" s="2">
        <v>3</v>
      </c>
      <c r="C42" s="38" t="s">
        <v>14</v>
      </c>
      <c r="D42" s="42">
        <f>TRUNC(62104,-1)</f>
        <v>62100</v>
      </c>
      <c r="E42" s="63">
        <f t="shared" si="1"/>
        <v>205290</v>
      </c>
    </row>
    <row r="43" spans="1:7" x14ac:dyDescent="0.3">
      <c r="A43" s="2">
        <v>4</v>
      </c>
      <c r="C43" s="38" t="s">
        <v>16</v>
      </c>
      <c r="D43" s="42">
        <f>TRUNC(42295,-1)</f>
        <v>42290</v>
      </c>
      <c r="E43" s="63">
        <f t="shared" si="1"/>
        <v>139800</v>
      </c>
    </row>
    <row r="44" spans="1:7" x14ac:dyDescent="0.3">
      <c r="A44" s="2">
        <v>5</v>
      </c>
      <c r="C44" s="38" t="s">
        <v>17</v>
      </c>
      <c r="D44" s="42">
        <f>TRUNC(20571,-1)</f>
        <v>20570</v>
      </c>
      <c r="E44" s="63">
        <f t="shared" si="1"/>
        <v>68000</v>
      </c>
    </row>
    <row r="45" spans="1:7" x14ac:dyDescent="0.3">
      <c r="A45" s="2">
        <v>6</v>
      </c>
      <c r="C45" s="38" t="s">
        <v>18</v>
      </c>
      <c r="D45" s="42">
        <f>TRUNC(4982,-1)</f>
        <v>4980</v>
      </c>
      <c r="E45" s="63">
        <f t="shared" si="1"/>
        <v>16460</v>
      </c>
    </row>
    <row r="46" spans="1:7" x14ac:dyDescent="0.3">
      <c r="A46" s="2">
        <v>7</v>
      </c>
      <c r="C46" s="38" t="s">
        <v>19</v>
      </c>
      <c r="D46" s="42">
        <f>TRUNC(28727,-1)</f>
        <v>28720</v>
      </c>
      <c r="E46" s="63">
        <f t="shared" si="1"/>
        <v>94940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TRUNC(29056,-1)</f>
        <v>29050</v>
      </c>
      <c r="E48" s="63">
        <f t="shared" si="1"/>
        <v>96030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TRUNC(15482,-1)</f>
        <v>15480</v>
      </c>
      <c r="E49" s="63">
        <f t="shared" si="1"/>
        <v>51170</v>
      </c>
    </row>
    <row r="50" spans="1:7" x14ac:dyDescent="0.3">
      <c r="A50" s="2">
        <v>11</v>
      </c>
      <c r="C50" s="38" t="s">
        <v>155</v>
      </c>
      <c r="D50" s="42">
        <f>TRUNC(38969,-1)</f>
        <v>38960</v>
      </c>
      <c r="E50" s="63">
        <f t="shared" si="1"/>
        <v>128790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TRUNC(27727,-1)</f>
        <v>27720</v>
      </c>
      <c r="E52" s="63">
        <f t="shared" si="1"/>
        <v>91630</v>
      </c>
    </row>
    <row r="53" spans="1:7" x14ac:dyDescent="0.3">
      <c r="A53" s="2">
        <v>14</v>
      </c>
      <c r="C53" s="38" t="s">
        <v>25</v>
      </c>
      <c r="D53" s="42">
        <f>TRUNC(159476,-1)</f>
        <v>159470</v>
      </c>
      <c r="E53" s="63">
        <f t="shared" si="1"/>
        <v>527170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TRUNC(13802+6993+1512,-1)</f>
        <v>22300</v>
      </c>
      <c r="E58" s="63">
        <f t="shared" si="1"/>
        <v>73710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v>203280</v>
      </c>
      <c r="E59" s="64">
        <f t="shared" si="1"/>
        <v>672000</v>
      </c>
    </row>
    <row r="60" spans="1:7" x14ac:dyDescent="0.3">
      <c r="A60" s="2">
        <v>21</v>
      </c>
      <c r="C60" s="27" t="s">
        <v>112</v>
      </c>
      <c r="D60" s="39">
        <f>SUM(D40:D59)</f>
        <v>819260</v>
      </c>
      <c r="E60" s="39">
        <f>SUM(E40:E59)</f>
        <v>2708250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TRUNC(2975,-1)</f>
        <v>2970</v>
      </c>
      <c r="E63" s="62">
        <f>TRUNC(+D63*3.3058,-1)</f>
        <v>9810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2970</v>
      </c>
      <c r="E66" s="65">
        <f>SUM(E63:E65)</f>
        <v>9810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TRUNC(1376,-1)</f>
        <v>1370</v>
      </c>
      <c r="E69" s="62">
        <f t="shared" ref="E69:E94" si="2">TRUNC(+D69*3.3058,-1)</f>
        <v>4520</v>
      </c>
    </row>
    <row r="70" spans="1:7" ht="16.5" customHeight="1" x14ac:dyDescent="0.3">
      <c r="A70" s="2">
        <v>2</v>
      </c>
      <c r="C70" s="38" t="s">
        <v>31</v>
      </c>
      <c r="D70" s="42">
        <f>TRUNC(1131,-1)</f>
        <v>1130</v>
      </c>
      <c r="E70" s="63">
        <f t="shared" si="2"/>
        <v>3730</v>
      </c>
    </row>
    <row r="71" spans="1:7" x14ac:dyDescent="0.3">
      <c r="A71" s="2">
        <v>3</v>
      </c>
      <c r="C71" s="38" t="s">
        <v>32</v>
      </c>
      <c r="D71" s="42">
        <f>TRUNC(3243,-1)</f>
        <v>3240</v>
      </c>
      <c r="E71" s="63">
        <f t="shared" si="2"/>
        <v>10710</v>
      </c>
    </row>
    <row r="72" spans="1:7" x14ac:dyDescent="0.3">
      <c r="A72" s="2">
        <v>4</v>
      </c>
      <c r="C72" s="38" t="s">
        <v>33</v>
      </c>
      <c r="D72" s="42">
        <f>TRUNC(5297,-1)</f>
        <v>5290</v>
      </c>
      <c r="E72" s="63">
        <f t="shared" si="2"/>
        <v>17480</v>
      </c>
    </row>
    <row r="73" spans="1:7" x14ac:dyDescent="0.3">
      <c r="A73" s="2">
        <v>5</v>
      </c>
      <c r="C73" s="38" t="s">
        <v>34</v>
      </c>
      <c r="D73" s="42">
        <f>TRUNC(4961,-1)</f>
        <v>4960</v>
      </c>
      <c r="E73" s="63">
        <f t="shared" si="2"/>
        <v>16390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2160</v>
      </c>
      <c r="E89" s="63">
        <f t="shared" si="2"/>
        <v>7140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TRUNC(2223,-1)</f>
        <v>2220</v>
      </c>
      <c r="E91" s="63">
        <f t="shared" si="2"/>
        <v>7330</v>
      </c>
    </row>
    <row r="92" spans="1:7" x14ac:dyDescent="0.3">
      <c r="A92" s="2">
        <v>24</v>
      </c>
      <c r="C92" s="38" t="s">
        <v>38</v>
      </c>
      <c r="D92" s="42">
        <f>TRUNC(4171,-1)</f>
        <v>4170</v>
      </c>
      <c r="E92" s="63">
        <f t="shared" si="2"/>
        <v>13780</v>
      </c>
    </row>
    <row r="93" spans="1:7" x14ac:dyDescent="0.3">
      <c r="A93" s="2">
        <v>25</v>
      </c>
      <c r="C93" s="38" t="s">
        <v>148</v>
      </c>
      <c r="D93" s="42">
        <v>58650</v>
      </c>
      <c r="E93" s="63">
        <f t="shared" si="2"/>
        <v>193880</v>
      </c>
    </row>
    <row r="94" spans="1:7" ht="17.25" thickBot="1" x14ac:dyDescent="0.35">
      <c r="A94" s="2">
        <v>26</v>
      </c>
      <c r="C94" s="38" t="s">
        <v>47</v>
      </c>
      <c r="D94" s="43">
        <f>TRUNC(5524,-1)</f>
        <v>5520</v>
      </c>
      <c r="E94" s="64">
        <f t="shared" si="2"/>
        <v>18240</v>
      </c>
    </row>
    <row r="95" spans="1:7" x14ac:dyDescent="0.3">
      <c r="A95" s="2">
        <v>27</v>
      </c>
      <c r="C95" s="27" t="s">
        <v>112</v>
      </c>
      <c r="D95" s="39">
        <f>SUM(D69:D94)</f>
        <v>88710</v>
      </c>
      <c r="E95" s="39">
        <f>SUM(E69:E94)</f>
        <v>293200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TRUNC(30046,-1)</f>
        <v>30040</v>
      </c>
      <c r="E98" s="62">
        <f t="shared" ref="E98:E118" si="3">TRUNC(+D98*3.3058,-1)</f>
        <v>99300</v>
      </c>
    </row>
    <row r="99" spans="1:7" x14ac:dyDescent="0.3">
      <c r="A99" s="2">
        <v>2</v>
      </c>
      <c r="C99" s="38" t="s">
        <v>40</v>
      </c>
      <c r="D99" s="42">
        <f>TRUNC(1137,-1)</f>
        <v>1130</v>
      </c>
      <c r="E99" s="63">
        <f t="shared" si="3"/>
        <v>3730</v>
      </c>
    </row>
    <row r="100" spans="1:7" x14ac:dyDescent="0.3">
      <c r="A100" s="2">
        <v>3</v>
      </c>
      <c r="C100" s="38" t="s">
        <v>41</v>
      </c>
      <c r="D100" s="42">
        <f>TRUNC(22828,-1)</f>
        <v>22820</v>
      </c>
      <c r="E100" s="63">
        <f t="shared" si="3"/>
        <v>75430</v>
      </c>
    </row>
    <row r="101" spans="1:7" x14ac:dyDescent="0.3">
      <c r="A101" s="2">
        <v>4</v>
      </c>
      <c r="C101" s="38" t="s">
        <v>42</v>
      </c>
      <c r="D101" s="42">
        <f>TRUNC(2079,-1)</f>
        <v>2070</v>
      </c>
      <c r="E101" s="63">
        <f t="shared" si="3"/>
        <v>6840</v>
      </c>
    </row>
    <row r="102" spans="1:7" x14ac:dyDescent="0.3">
      <c r="A102" s="2">
        <v>5</v>
      </c>
      <c r="C102" s="38" t="s">
        <v>43</v>
      </c>
      <c r="D102" s="42">
        <f>TRUNC(17923,-1)</f>
        <v>17920</v>
      </c>
      <c r="E102" s="63">
        <f t="shared" si="3"/>
        <v>59230</v>
      </c>
    </row>
    <row r="103" spans="1:7" x14ac:dyDescent="0.3">
      <c r="A103" s="2">
        <v>6</v>
      </c>
      <c r="C103" s="38" t="s">
        <v>44</v>
      </c>
      <c r="D103" s="42">
        <v>1510</v>
      </c>
      <c r="E103" s="63">
        <f t="shared" si="3"/>
        <v>4990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TRUNC(4292,-1)</f>
        <v>4290</v>
      </c>
      <c r="E105" s="63">
        <f t="shared" si="3"/>
        <v>14180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3260</v>
      </c>
      <c r="E114" s="63">
        <f t="shared" si="3"/>
        <v>10770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TRUNC(2944,-1)</f>
        <v>2940</v>
      </c>
      <c r="E116" s="63">
        <f t="shared" si="3"/>
        <v>9710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v>179040</v>
      </c>
      <c r="E117" s="63">
        <f t="shared" si="3"/>
        <v>591870</v>
      </c>
    </row>
    <row r="118" spans="1:7" ht="17.25" thickBot="1" x14ac:dyDescent="0.35">
      <c r="A118" s="2">
        <v>21</v>
      </c>
      <c r="C118" s="38" t="s">
        <v>47</v>
      </c>
      <c r="D118" s="43">
        <f>TRUNC(1278,-1)</f>
        <v>1270</v>
      </c>
      <c r="E118" s="64">
        <f t="shared" si="3"/>
        <v>4190</v>
      </c>
    </row>
    <row r="119" spans="1:7" x14ac:dyDescent="0.3">
      <c r="A119" s="2">
        <v>22</v>
      </c>
      <c r="C119" s="27" t="s">
        <v>112</v>
      </c>
      <c r="D119" s="39">
        <f>SUM(D98:D118)</f>
        <v>266290</v>
      </c>
      <c r="E119" s="39">
        <f>SUM(E98:E118)</f>
        <v>880240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1760</v>
      </c>
      <c r="E124" s="63">
        <f t="shared" si="4"/>
        <v>5810</v>
      </c>
    </row>
    <row r="125" spans="1:7" x14ac:dyDescent="0.3">
      <c r="A125" s="2">
        <v>4</v>
      </c>
      <c r="C125" s="38" t="s">
        <v>138</v>
      </c>
      <c r="D125" s="42">
        <f>TRUNC(8052,-1)</f>
        <v>8050</v>
      </c>
      <c r="E125" s="63">
        <f t="shared" si="4"/>
        <v>26610</v>
      </c>
    </row>
    <row r="126" spans="1:7" x14ac:dyDescent="0.3">
      <c r="A126" s="2">
        <v>5</v>
      </c>
      <c r="C126" s="38" t="s">
        <v>53</v>
      </c>
      <c r="D126" s="42">
        <v>1070</v>
      </c>
      <c r="E126" s="63">
        <f t="shared" si="4"/>
        <v>3530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TRUNC(3352,-1)</f>
        <v>3350</v>
      </c>
      <c r="E128" s="63">
        <f t="shared" si="4"/>
        <v>11070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16420</v>
      </c>
      <c r="E130" s="63">
        <f t="shared" si="4"/>
        <v>54280</v>
      </c>
    </row>
    <row r="131" spans="1:7" x14ac:dyDescent="0.3">
      <c r="A131" s="2">
        <v>10</v>
      </c>
      <c r="C131" s="38" t="s">
        <v>148</v>
      </c>
      <c r="D131" s="42">
        <f>TRUNC(18779,-1)</f>
        <v>18770</v>
      </c>
      <c r="E131" s="63">
        <f t="shared" si="4"/>
        <v>62040</v>
      </c>
    </row>
    <row r="132" spans="1:7" ht="18" thickBot="1" x14ac:dyDescent="0.35">
      <c r="A132" s="2">
        <v>11</v>
      </c>
      <c r="C132" s="38" t="s">
        <v>47</v>
      </c>
      <c r="D132" s="43">
        <f>TRUNC(1631,-1)</f>
        <v>1630</v>
      </c>
      <c r="E132" s="64">
        <f t="shared" si="4"/>
        <v>5380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51050</v>
      </c>
      <c r="E133" s="39">
        <f>SUM(E122:E132)</f>
        <v>168720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TRUNC(17232,-1)</f>
        <v>17230</v>
      </c>
      <c r="E137" s="63">
        <f t="shared" si="5"/>
        <v>56950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TRUNC(5072,-1)</f>
        <v>5070</v>
      </c>
      <c r="E143" s="63">
        <f t="shared" si="5"/>
        <v>16760</v>
      </c>
    </row>
    <row r="144" spans="1:7" x14ac:dyDescent="0.3">
      <c r="A144" s="2">
        <v>9</v>
      </c>
      <c r="C144" s="38" t="s">
        <v>63</v>
      </c>
      <c r="D144" s="42">
        <f>TRUNC(12322,-1)</f>
        <v>12320</v>
      </c>
      <c r="E144" s="63">
        <f t="shared" si="5"/>
        <v>40720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34620</v>
      </c>
      <c r="E146" s="39">
        <f>SUM(E136:E145)</f>
        <v>114430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TRUNC(6858+911,-1)</f>
        <v>7760</v>
      </c>
      <c r="E149" s="62">
        <f>TRUNC(+D149*3.3058,-1)</f>
        <v>25650</v>
      </c>
    </row>
    <row r="150" spans="1:7" x14ac:dyDescent="0.3">
      <c r="A150" s="2">
        <v>2</v>
      </c>
      <c r="C150" s="38" t="s">
        <v>49</v>
      </c>
      <c r="D150" s="42">
        <f>TRUNC(3993,-1)</f>
        <v>3990</v>
      </c>
      <c r="E150" s="63">
        <f>TRUNC(+D150*3.3058,-1)</f>
        <v>13190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11172+539+4209</f>
        <v>15920</v>
      </c>
      <c r="E152" s="63">
        <f>TRUNC(+D152*3.3058,-1)</f>
        <v>52620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f>TRUNC(41828,-1)</f>
        <v>41820</v>
      </c>
      <c r="E153" s="64">
        <f>TRUNC(+D153*3.3058,-1)</f>
        <v>138240</v>
      </c>
    </row>
    <row r="154" spans="1:7" x14ac:dyDescent="0.3">
      <c r="A154" s="2">
        <v>6</v>
      </c>
      <c r="C154" s="27" t="s">
        <v>112</v>
      </c>
      <c r="D154" s="39">
        <f>SUM(D149:D153)</f>
        <v>69490</v>
      </c>
      <c r="E154" s="39">
        <f>SUM(E149:E153)</f>
        <v>229700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TRUNC(43256,-1)</f>
        <v>43250</v>
      </c>
      <c r="E157" s="62">
        <f>TRUNC(+D157*3.3058,-1)</f>
        <v>142970</v>
      </c>
    </row>
    <row r="158" spans="1:7" x14ac:dyDescent="0.3">
      <c r="A158" s="2">
        <v>2</v>
      </c>
      <c r="C158" s="38" t="s">
        <v>52</v>
      </c>
      <c r="D158" s="42">
        <f>TRUNC(8026,-1)</f>
        <v>8020</v>
      </c>
      <c r="E158" s="63">
        <f>TRUNC(+D158*3.3058,-1)</f>
        <v>26510</v>
      </c>
    </row>
    <row r="159" spans="1:7" x14ac:dyDescent="0.3">
      <c r="A159" s="2">
        <v>3</v>
      </c>
      <c r="C159" s="38" t="s">
        <v>47</v>
      </c>
      <c r="D159" s="42">
        <f>TRUNC(10611+126,-1)</f>
        <v>10730</v>
      </c>
      <c r="E159" s="63">
        <f>TRUNC(+D159*3.3058,-1)</f>
        <v>35470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62000</v>
      </c>
      <c r="E161" s="39">
        <f>SUM(E157:E160)</f>
        <v>204950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2020-12-08T01:25:03Z</dcterms:modified>
</cp:coreProperties>
</file>