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7" i="4" l="1"/>
  <c r="D152" i="4"/>
  <c r="D150" i="4"/>
  <c r="D149" i="4"/>
  <c r="D144" i="4"/>
  <c r="D143" i="4"/>
  <c r="D139" i="4"/>
  <c r="D138" i="4"/>
  <c r="D137" i="4"/>
  <c r="D132" i="4"/>
  <c r="D131" i="4"/>
  <c r="D130" i="4"/>
  <c r="D128" i="4"/>
  <c r="D125" i="4"/>
  <c r="D124" i="4"/>
  <c r="D122" i="4"/>
  <c r="D117" i="4"/>
  <c r="D116" i="4"/>
  <c r="D105" i="4"/>
  <c r="D104" i="4"/>
  <c r="D103" i="4"/>
  <c r="D102" i="4"/>
  <c r="D101" i="4"/>
  <c r="D100" i="4"/>
  <c r="D99" i="4"/>
  <c r="D98" i="4"/>
  <c r="D94" i="4"/>
  <c r="D91" i="4"/>
  <c r="D89" i="4"/>
  <c r="D75" i="4"/>
  <c r="D73" i="4"/>
  <c r="D72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66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<sst xmlns="http://schemas.openxmlformats.org/spreadsheetml/2006/main" count="391" uniqueCount="267">
  <si>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</si>
  <si>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</si>
  <si>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</si>
  <si>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</si>
  <si>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</si>
  <si>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</si>
  <si>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</si>
  <si>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</si>
  <si>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</si>
  <si>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</si>
  <si>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</si>
  <si>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</si>
  <si>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</si>
  <si>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</si>
  <si>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</si>
  <si>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</si>
  <si>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</si>
  <si>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</si>
  <si>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</si>
  <si>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</si>
  <si>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</si>
  <si>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</si>
  <si>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</si>
  <si>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</si>
  <si>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</si>
  <si>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</si>
  <si>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</si>
  <si>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</si>
  <si>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</si>
  <si>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</si>
  <si>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</si>
  <si>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</si>
  <si>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</si>
  <si>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</si>
  <si>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</si>
  <si>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</si>
  <si>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</si>
  <si>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</si>
  <si>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</si>
  <si>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</si>
  <si>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</si>
  <si>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</si>
  <si>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</si>
  <si>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</si>
  <si>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</si>
  <si>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</si>
  <si>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</si>
  <si>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</si>
  <si>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</si>
  <si>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</si>
  <si>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</si>
  <si>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</si>
  <si>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</si>
  <si>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</si>
  <si>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</si>
  <si>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</si>
  <si>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</si>
  <si>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</si>
  <si>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</si>
  <si>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</si>
  <si>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</si>
  <si>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</si>
  <si>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</si>
  <si>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</si>
  <si>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</si>
  <si>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</si>
  <si>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</si>
  <si>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</si>
  <si>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</si>
  <si>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</si>
  <si>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</si>
  <si>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</si>
  <si>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</si>
  <si>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</si>
  <si>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</si>
  <si>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</si>
  <si>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</si>
  <si>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</si>
  <si>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</si>
  <si>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</si>
  <si>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</si>
  <si>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</si>
  <si>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</si>
  <si>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</si>
  <si>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</si>
  <si>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</si>
  <si>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</si>
  <si>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</si>
  <si>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</si>
  <si>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</si>
  <si>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</si>
  <si>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</si>
  <si>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</si>
  <si>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</si>
  <si>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</si>
  <si>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</si>
  <si>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</si>
  <si>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</si>
  <si>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</si>
  <si>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</si>
  <si>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</si>
  <si>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</si>
  <si>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</si>
  <si>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</si>
  <si>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</si>
  <si>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</si>
  <si>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</si>
  <si>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</si>
  <si>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</si>
  <si>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</si>
  <si>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</si>
  <si>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</si>
  <si>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</si>
  <si>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</si>
  <si>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</si>
  <si>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</si>
  <si>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</si>
  <si>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</si>
  <si>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</si>
  <si>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</si>
  <si>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</si>
  <si>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</si>
  <si>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</si>
  <si>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</si>
  <si>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</si>
  <si>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</si>
  <si>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</si>
  <si>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</si>
  <si>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</si>
  <si>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</si>
  <si>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</si>
  <si>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</si>
  <si>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</si>
  <si>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</si>
  <si>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</si>
  <si>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</si>
  <si>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</si>
  <si>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</si>
  <si>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</si>
  <si>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</si>
  <si>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</si>
  <si>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</si>
  <si>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</si>
  <si>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</si>
  <si>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</si>
  <si>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</si>
  <si>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</si>
  <si>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</si>
  <si>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</si>
  <si>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</si>
  <si>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</si>
  <si>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</si>
  <si>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</si>
  <si>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</si>
  <si>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</si>
  <si>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</si>
  <si>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</si>
  <si>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</si>
  <si>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</si>
  <si>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</si>
  <si>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</si>
  <si>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</si>
  <si>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</si>
  <si>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</si>
  <si>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</si>
  <si>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</si>
  <si>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</si>
  <si>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</si>
  <si>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</si>
  <si>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</si>
  <si>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</si>
  <si>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</si>
  <si>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</si>
  <si>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</si>
  <si>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</si>
  <si>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</si>
  <si>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</si>
  <si>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</si>
  <si>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</si>
  <si>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</si>
  <si>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</si>
  <si>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</si>
  <si>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</si>
  <si>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</si>
  <si>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</si>
  <si>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</si>
  <si>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</si>
  <si>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</si>
  <si>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</si>
  <si>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</si>
  <si>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</si>
  <si>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</si>
  <si>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</si>
  <si>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</si>
  <si>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</si>
  <si>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</si>
  <si>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</si>
  <si>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</si>
  <si>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</si>
  <si>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</si>
  <si>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</si>
  <si>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</si>
  <si>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</si>
  <si>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</si>
  <si>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</si>
  <si>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</si>
  <si>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</si>
  <si>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</si>
  <si>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</si>
  <si>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</si>
  <si>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</si>
  <si>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</si>
  <si>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</si>
  <si>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</si>
  <si>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</si>
  <si>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</si>
  <si>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</si>
  <si>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</si>
  <si>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</si>
  <si>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</si>
  <si>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</si>
  <si>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</si>
  <si>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</si>
  <si>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</si>
  <si>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</si>
  <si>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</si>
  <si>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</si>
  <si>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</si>
  <si>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</si>
  <si>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</si>
  <si>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</si>
  <si>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</si>
  <si>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</si>
  <si>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</si>
  <si>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</si>
  <si>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</si>
  <si>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</si>
  <si>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</si>
  <si>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</si>
  <si>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</si>
  <si>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</si>
  <si>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</si>
  <si>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</si>
  <si>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</si>
  <si>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</si>
  <si>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</si>
  <si>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</si>
  <si>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</si>
  <si>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</si>
  <si>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</si>
  <si>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</si>
  <si>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</si>
  <si>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</si>
  <si>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업무</t>
  </si>
  <si>
    <t>긴급상황센터 신축공사</t>
    <phoneticPr fontId="2" type="noConversion"/>
  </si>
  <si>
    <t>충청도</t>
  </si>
  <si>
    <t>기초공사, 골재비및운반비, 작업부산물, 기타공사</t>
    <phoneticPr fontId="2" type="noConversion"/>
  </si>
  <si>
    <t>우수처리시설공사, 바닥난방공사, 기타공사</t>
    <phoneticPr fontId="2" type="noConversion"/>
  </si>
  <si>
    <t>CCTV설비공사</t>
    <phoneticPr fontId="2" type="noConversion"/>
  </si>
  <si>
    <t>옥외소화배관공사, 기타공사</t>
    <phoneticPr fontId="2" type="noConversion"/>
  </si>
  <si>
    <t xml:space="preserve"> 사급자재비, 운반비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</si>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</sst>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253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3271.72</v>
      </c>
      <c r="D7" s="36">
        <f>+C7/3.3058</f>
        <v>989.69084639119114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1097900</v>
      </c>
      <c r="E25" s="59">
        <f t="shared" si="0"/>
        <v>3629430</v>
      </c>
    </row>
    <row r="26" spans="1:5" x14ac:dyDescent="0.3">
      <c r="B26" s="2">
        <v>3</v>
      </c>
      <c r="C26" s="35" t="s">
        <v>95</v>
      </c>
      <c r="D26" s="45">
        <f>+D66</f>
        <v>66820</v>
      </c>
      <c r="E26" s="59">
        <f t="shared" si="0"/>
        <v>220890</v>
      </c>
    </row>
    <row r="27" spans="1:5" x14ac:dyDescent="0.3">
      <c r="B27" s="2">
        <v>4</v>
      </c>
      <c r="C27" s="35" t="s">
        <v>96</v>
      </c>
      <c r="D27" s="45">
        <f>+D95</f>
        <v>114040</v>
      </c>
      <c r="E27" s="59">
        <f t="shared" si="0"/>
        <v>376990</v>
      </c>
    </row>
    <row r="28" spans="1:5" x14ac:dyDescent="0.3">
      <c r="B28" s="2">
        <v>5</v>
      </c>
      <c r="C28" s="35" t="s">
        <v>97</v>
      </c>
      <c r="D28" s="45">
        <f>+D119</f>
        <v>340910</v>
      </c>
      <c r="E28" s="59">
        <f t="shared" si="0"/>
        <v>1126980</v>
      </c>
    </row>
    <row r="29" spans="1:5" x14ac:dyDescent="0.3">
      <c r="B29" s="2">
        <v>6</v>
      </c>
      <c r="C29" s="35" t="s">
        <v>98</v>
      </c>
      <c r="D29" s="45">
        <f>+D133</f>
        <v>204040</v>
      </c>
      <c r="E29" s="59">
        <f t="shared" si="0"/>
        <v>674510</v>
      </c>
    </row>
    <row r="30" spans="1:5" x14ac:dyDescent="0.3">
      <c r="B30" s="2">
        <v>7</v>
      </c>
      <c r="C30" s="35" t="s">
        <v>99</v>
      </c>
      <c r="D30" s="45">
        <f>+D146</f>
        <v>43850</v>
      </c>
      <c r="E30" s="59">
        <f t="shared" si="0"/>
        <v>144950</v>
      </c>
    </row>
    <row r="31" spans="1:5" x14ac:dyDescent="0.3">
      <c r="B31" s="2">
        <v>8</v>
      </c>
      <c r="C31" s="35" t="s">
        <v>100</v>
      </c>
      <c r="D31" s="45">
        <f>+D154</f>
        <v>28690</v>
      </c>
      <c r="E31" s="59">
        <f t="shared" si="0"/>
        <v>94840</v>
      </c>
    </row>
    <row r="32" spans="1:5" x14ac:dyDescent="0.3">
      <c r="B32" s="2">
        <v>9</v>
      </c>
      <c r="C32" s="35" t="s">
        <v>101</v>
      </c>
      <c r="D32" s="45">
        <f>+D161</f>
        <v>22100</v>
      </c>
      <c r="E32" s="59">
        <f t="shared" si="0"/>
        <v>73050</v>
      </c>
    </row>
    <row r="33" spans="1:7" x14ac:dyDescent="0.3">
      <c r="B33" s="2">
        <v>10</v>
      </c>
      <c r="C33" s="35" t="s">
        <v>154</v>
      </c>
      <c r="D33" s="53">
        <f>TRUNC(SUM(D24:D32)*0.275,-1)</f>
        <v>527540</v>
      </c>
      <c r="E33" s="60">
        <f t="shared" si="0"/>
        <v>1743940</v>
      </c>
    </row>
    <row r="34" spans="1:7" x14ac:dyDescent="0.3">
      <c r="C34" s="35" t="s">
        <v>112</v>
      </c>
      <c r="D34" s="44">
        <f>SUM(D24:D33)</f>
        <v>2445890</v>
      </c>
      <c r="E34" s="44">
        <f>SUM(E24:E33)</f>
        <v>8085580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261</v>
      </c>
      <c r="D39" s="57" t="s">
        <v>262</v>
      </c>
      <c r="E39" s="57" t="s">
        <v>263</v>
      </c>
      <c r="G39" s="55"/>
    </row>
    <row r="40" spans="1:7" x14ac:dyDescent="0.3">
      <c r="A40" s="2">
        <v>1</v>
      </c>
      <c r="C40" s="38" t="s">
        <v>15</v>
      </c>
      <c r="D40" s="40">
        <f>TRUNC(64325,-1)</f>
        <v>64320</v>
      </c>
      <c r="E40" s="62">
        <f t="shared" ref="E40:E59" si="1">TRUNC(+D40*3.3058,-1)</f>
        <v>212620</v>
      </c>
    </row>
    <row r="41" spans="1:7" x14ac:dyDescent="0.3">
      <c r="A41" s="2">
        <v>2</v>
      </c>
      <c r="C41" s="38" t="s">
        <v>13</v>
      </c>
      <c r="D41" s="42">
        <f>TRUNC(233029,-1)</f>
        <v>233020</v>
      </c>
      <c r="E41" s="63">
        <f t="shared" si="1"/>
        <v>770310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TRUNC(22591,-1)</f>
        <v>22590</v>
      </c>
      <c r="E43" s="63">
        <f t="shared" si="1"/>
        <v>74670</v>
      </c>
    </row>
    <row r="44" spans="1:7" x14ac:dyDescent="0.3">
      <c r="A44" s="2">
        <v>5</v>
      </c>
      <c r="C44" s="38" t="s">
        <v>17</v>
      </c>
      <c r="D44" s="42">
        <f>TRUNC(80552,-1)</f>
        <v>80550</v>
      </c>
      <c r="E44" s="63">
        <f t="shared" si="1"/>
        <v>266280</v>
      </c>
    </row>
    <row r="45" spans="1:7" x14ac:dyDescent="0.3">
      <c r="A45" s="2">
        <v>6</v>
      </c>
      <c r="C45" s="38" t="s">
        <v>18</v>
      </c>
      <c r="D45" s="42">
        <f>TRUNC(12878,-1)</f>
        <v>12870</v>
      </c>
      <c r="E45" s="63">
        <f t="shared" si="1"/>
        <v>42540</v>
      </c>
    </row>
    <row r="46" spans="1:7" x14ac:dyDescent="0.3">
      <c r="A46" s="2">
        <v>7</v>
      </c>
      <c r="C46" s="38" t="s">
        <v>19</v>
      </c>
      <c r="D46" s="42">
        <f>TRUNC(23182,-1)</f>
        <v>23180</v>
      </c>
      <c r="E46" s="63">
        <f t="shared" si="1"/>
        <v>76620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TRUNC(76911,-1)</f>
        <v>76910</v>
      </c>
      <c r="E48" s="63">
        <f t="shared" si="1"/>
        <v>254240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TRUNC(18991,-1)</f>
        <v>18990</v>
      </c>
      <c r="E49" s="63">
        <f t="shared" si="1"/>
        <v>62770</v>
      </c>
    </row>
    <row r="50" spans="1:7" x14ac:dyDescent="0.3">
      <c r="A50" s="2">
        <v>11</v>
      </c>
      <c r="C50" s="38" t="s">
        <v>155</v>
      </c>
      <c r="D50" s="42">
        <f>TRUNC(50783,-1)</f>
        <v>50780</v>
      </c>
      <c r="E50" s="63">
        <f t="shared" si="1"/>
        <v>167860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TRUNC(29875,-1)</f>
        <v>29870</v>
      </c>
      <c r="E52" s="63">
        <f t="shared" si="1"/>
        <v>98740</v>
      </c>
    </row>
    <row r="53" spans="1:7" x14ac:dyDescent="0.3">
      <c r="A53" s="2">
        <v>14</v>
      </c>
      <c r="C53" s="38" t="s">
        <v>25</v>
      </c>
      <c r="D53" s="42">
        <f>TRUNC(147915,-1)</f>
        <v>147910</v>
      </c>
      <c r="E53" s="63">
        <f t="shared" si="1"/>
        <v>488960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TRUNC(21336+3470-416+168,-1)</f>
        <v>24550</v>
      </c>
      <c r="E58" s="63">
        <f t="shared" si="1"/>
        <v>81150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f>TRUNC(312363,-1)</f>
        <v>312360</v>
      </c>
      <c r="E59" s="64">
        <f t="shared" si="1"/>
        <v>1032590</v>
      </c>
    </row>
    <row r="60" spans="1:7" x14ac:dyDescent="0.3">
      <c r="A60" s="2">
        <v>21</v>
      </c>
      <c r="C60" s="27" t="s">
        <v>112</v>
      </c>
      <c r="D60" s="39">
        <f>SUM(D40:D59)</f>
        <v>1097900</v>
      </c>
      <c r="E60" s="39">
        <f>SUM(E40:E59)</f>
        <v>3629350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TRUNC(24656,-1)</f>
        <v>24650</v>
      </c>
      <c r="E63" s="62">
        <f>TRUNC(+D63*3.3058,-1)</f>
        <v>81480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TRUNC(42172,-1)</f>
        <v>42170</v>
      </c>
      <c r="E65" s="64">
        <f>TRUNC(+D65*3.3058,-1)</f>
        <v>139400</v>
      </c>
    </row>
    <row r="66" spans="1:7" x14ac:dyDescent="0.3">
      <c r="A66" s="2">
        <v>4</v>
      </c>
      <c r="C66" s="27" t="s">
        <v>112</v>
      </c>
      <c r="D66" s="39">
        <f>SUM(D63:D65)</f>
        <v>66820</v>
      </c>
      <c r="E66" s="65">
        <f>SUM(E63:E65)</f>
        <v>220880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TRUNC(11445,-1)</f>
        <v>11440</v>
      </c>
      <c r="E69" s="62">
        <f t="shared" ref="E69:E94" si="2">TRUNC(+D69*3.3058,-1)</f>
        <v>37810</v>
      </c>
    </row>
    <row r="70" spans="1:7" ht="16.5" customHeight="1" x14ac:dyDescent="0.3">
      <c r="A70" s="2">
        <v>2</v>
      </c>
      <c r="C70" s="38" t="s">
        <v>31</v>
      </c>
      <c r="D70" s="42">
        <f>TRUNC(757,-1)</f>
        <v>750</v>
      </c>
      <c r="E70" s="63">
        <f t="shared" si="2"/>
        <v>2470</v>
      </c>
    </row>
    <row r="71" spans="1:7" x14ac:dyDescent="0.3">
      <c r="A71" s="2">
        <v>3</v>
      </c>
      <c r="C71" s="38" t="s">
        <v>32</v>
      </c>
      <c r="D71" s="42">
        <f>TRUNC(9185,-1)</f>
        <v>9180</v>
      </c>
      <c r="E71" s="63">
        <f t="shared" si="2"/>
        <v>30340</v>
      </c>
    </row>
    <row r="72" spans="1:7" x14ac:dyDescent="0.3">
      <c r="A72" s="2">
        <v>4</v>
      </c>
      <c r="C72" s="38" t="s">
        <v>33</v>
      </c>
      <c r="D72" s="42">
        <f>TRUNC(3242,-1)</f>
        <v>3240</v>
      </c>
      <c r="E72" s="63">
        <f t="shared" si="2"/>
        <v>10710</v>
      </c>
    </row>
    <row r="73" spans="1:7" x14ac:dyDescent="0.3">
      <c r="A73" s="2">
        <v>5</v>
      </c>
      <c r="C73" s="38" t="s">
        <v>34</v>
      </c>
      <c r="D73" s="42">
        <f>TRUNC(9522,-1)</f>
        <v>9520</v>
      </c>
      <c r="E73" s="63">
        <f t="shared" si="2"/>
        <v>31470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TRUNC(2144,-1)</f>
        <v>2140</v>
      </c>
      <c r="E75" s="63">
        <f t="shared" si="2"/>
        <v>7070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TRUNC(9804,-1)</f>
        <v>9800</v>
      </c>
      <c r="E89" s="63">
        <f t="shared" si="2"/>
        <v>32390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TRUNC(42219,-1)</f>
        <v>42210</v>
      </c>
      <c r="E91" s="63">
        <f t="shared" si="2"/>
        <v>139530</v>
      </c>
    </row>
    <row r="92" spans="1:7" x14ac:dyDescent="0.3">
      <c r="A92" s="2">
        <v>24</v>
      </c>
      <c r="C92" s="38" t="s">
        <v>38</v>
      </c>
      <c r="D92" s="42">
        <v>4800</v>
      </c>
      <c r="E92" s="63">
        <f t="shared" si="2"/>
        <v>15860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TRUNC(14222+207+6532,-1)</f>
        <v>20960</v>
      </c>
      <c r="E94" s="64">
        <f t="shared" si="2"/>
        <v>69280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114040</v>
      </c>
      <c r="E95" s="39">
        <f>SUM(E69:E94)</f>
        <v>376930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TRUNC(8528,-1)</f>
        <v>8520</v>
      </c>
      <c r="E98" s="62">
        <f t="shared" ref="E98:E118" si="3">TRUNC(+D98*3.3058,-1)</f>
        <v>28160</v>
      </c>
    </row>
    <row r="99" spans="1:7" x14ac:dyDescent="0.3">
      <c r="A99" s="2">
        <v>2</v>
      </c>
      <c r="C99" s="38" t="s">
        <v>40</v>
      </c>
      <c r="D99" s="42">
        <f>TRUNC(3727,-1)</f>
        <v>3720</v>
      </c>
      <c r="E99" s="63">
        <f t="shared" si="3"/>
        <v>12290</v>
      </c>
    </row>
    <row r="100" spans="1:7" x14ac:dyDescent="0.3">
      <c r="A100" s="2">
        <v>3</v>
      </c>
      <c r="C100" s="38" t="s">
        <v>41</v>
      </c>
      <c r="D100" s="42">
        <f>TRUNC(45288,-1)</f>
        <v>45280</v>
      </c>
      <c r="E100" s="63">
        <f t="shared" si="3"/>
        <v>149680</v>
      </c>
    </row>
    <row r="101" spans="1:7" x14ac:dyDescent="0.3">
      <c r="A101" s="2">
        <v>4</v>
      </c>
      <c r="C101" s="38" t="s">
        <v>42</v>
      </c>
      <c r="D101" s="42">
        <f>TRUNC(33352,-1)</f>
        <v>33350</v>
      </c>
      <c r="E101" s="63">
        <f t="shared" si="3"/>
        <v>110240</v>
      </c>
    </row>
    <row r="102" spans="1:7" x14ac:dyDescent="0.3">
      <c r="A102" s="2">
        <v>5</v>
      </c>
      <c r="C102" s="38" t="s">
        <v>43</v>
      </c>
      <c r="D102" s="42">
        <f>TRUNC(21844,-1)</f>
        <v>21840</v>
      </c>
      <c r="E102" s="63">
        <f t="shared" si="3"/>
        <v>72190</v>
      </c>
    </row>
    <row r="103" spans="1:7" x14ac:dyDescent="0.3">
      <c r="A103" s="2">
        <v>6</v>
      </c>
      <c r="C103" s="38" t="s">
        <v>44</v>
      </c>
      <c r="D103" s="42">
        <f>TRUNC(6571,-1)</f>
        <v>6570</v>
      </c>
      <c r="E103" s="63">
        <f t="shared" si="3"/>
        <v>21710</v>
      </c>
    </row>
    <row r="104" spans="1:7" x14ac:dyDescent="0.3">
      <c r="A104" s="2">
        <v>7</v>
      </c>
      <c r="C104" s="38" t="s">
        <v>45</v>
      </c>
      <c r="D104" s="42">
        <f>TRUNC(3514,-1)</f>
        <v>3510</v>
      </c>
      <c r="E104" s="63">
        <f t="shared" si="3"/>
        <v>11600</v>
      </c>
    </row>
    <row r="105" spans="1:7" x14ac:dyDescent="0.3">
      <c r="A105" s="2">
        <v>8</v>
      </c>
      <c r="C105" s="38" t="s">
        <v>46</v>
      </c>
      <c r="D105" s="42">
        <f>TRUNC(7984,-1)</f>
        <v>7980</v>
      </c>
      <c r="E105" s="63">
        <f t="shared" si="3"/>
        <v>26380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TRUNC(29787,-1)</f>
        <v>29780</v>
      </c>
      <c r="E116" s="63">
        <f t="shared" si="3"/>
        <v>98440</v>
      </c>
      <c r="F116" s="2" t="s">
        <v>251</v>
      </c>
    </row>
    <row r="117" spans="1:7" x14ac:dyDescent="0.3">
      <c r="A117" s="2">
        <v>20</v>
      </c>
      <c r="C117" s="38" t="s">
        <v>148</v>
      </c>
      <c r="D117" s="42">
        <f>TRUNC(178837,-1)</f>
        <v>178830</v>
      </c>
      <c r="E117" s="63">
        <f t="shared" si="3"/>
        <v>591170</v>
      </c>
    </row>
    <row r="118" spans="1:7" ht="17.25" thickBot="1" x14ac:dyDescent="0.35">
      <c r="A118" s="2">
        <v>21</v>
      </c>
      <c r="C118" s="38" t="s">
        <v>47</v>
      </c>
      <c r="D118" s="43">
        <v>1530</v>
      </c>
      <c r="E118" s="64">
        <f t="shared" si="3"/>
        <v>5050</v>
      </c>
    </row>
    <row r="119" spans="1:7" x14ac:dyDescent="0.3">
      <c r="A119" s="2">
        <v>22</v>
      </c>
      <c r="C119" s="27" t="s">
        <v>112</v>
      </c>
      <c r="D119" s="39">
        <f>SUM(D98:D118)</f>
        <v>340910</v>
      </c>
      <c r="E119" s="39">
        <f>SUM(E98:E118)</f>
        <v>1126910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TRUNC(8959,-1)</f>
        <v>8950</v>
      </c>
      <c r="E122" s="62">
        <f t="shared" ref="E122:E132" si="4">TRUNC(+D122*3.3058,-1)</f>
        <v>29580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TRUNC(1363,-1)</f>
        <v>1360</v>
      </c>
      <c r="E124" s="63">
        <f t="shared" si="4"/>
        <v>4490</v>
      </c>
    </row>
    <row r="125" spans="1:7" x14ac:dyDescent="0.3">
      <c r="A125" s="2">
        <v>4</v>
      </c>
      <c r="C125" s="38" t="s">
        <v>138</v>
      </c>
      <c r="D125" s="42">
        <f>TRUNC(9347,-1)</f>
        <v>9340</v>
      </c>
      <c r="E125" s="63">
        <f t="shared" si="4"/>
        <v>30870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34720</v>
      </c>
      <c r="E127" s="63">
        <f t="shared" si="4"/>
        <v>114770</v>
      </c>
    </row>
    <row r="128" spans="1:7" x14ac:dyDescent="0.3">
      <c r="A128" s="2">
        <v>7</v>
      </c>
      <c r="C128" s="38" t="s">
        <v>46</v>
      </c>
      <c r="D128" s="42">
        <f>TRUNC(11921,-1)</f>
        <v>11920</v>
      </c>
      <c r="E128" s="63">
        <f t="shared" si="4"/>
        <v>39400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TRUNC(35405,-1)</f>
        <v>35400</v>
      </c>
      <c r="E130" s="63">
        <f t="shared" si="4"/>
        <v>117020</v>
      </c>
    </row>
    <row r="131" spans="1:7" x14ac:dyDescent="0.3">
      <c r="A131" s="2">
        <v>10</v>
      </c>
      <c r="C131" s="38" t="s">
        <v>148</v>
      </c>
      <c r="D131" s="42">
        <f>TRUNC(92034,-1)</f>
        <v>92030</v>
      </c>
      <c r="E131" s="63">
        <f t="shared" si="4"/>
        <v>304230</v>
      </c>
    </row>
    <row r="132" spans="1:7" ht="18" thickBot="1" x14ac:dyDescent="0.35">
      <c r="A132" s="2">
        <v>11</v>
      </c>
      <c r="C132" s="38" t="s">
        <v>47</v>
      </c>
      <c r="D132" s="43">
        <f>TRUNC(10327,-1)</f>
        <v>10320</v>
      </c>
      <c r="E132" s="64">
        <f t="shared" si="4"/>
        <v>34110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204040</v>
      </c>
      <c r="E133" s="39">
        <f>SUM(E122:E132)</f>
        <v>674470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TRUNC(9966+996,-1)</f>
        <v>10960</v>
      </c>
      <c r="E137" s="63">
        <f t="shared" si="5"/>
        <v>36230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f>TRUNC(8827,-1)</f>
        <v>8820</v>
      </c>
      <c r="E138" s="63">
        <f t="shared" si="5"/>
        <v>29150</v>
      </c>
    </row>
    <row r="139" spans="1:7" x14ac:dyDescent="0.3">
      <c r="A139" s="2">
        <v>4</v>
      </c>
      <c r="C139" s="38" t="s">
        <v>61</v>
      </c>
      <c r="D139" s="42">
        <f>TRUNC(1815,-1)</f>
        <v>1810</v>
      </c>
      <c r="E139" s="63">
        <f t="shared" si="5"/>
        <v>5980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TRUNC(4624,-1)</f>
        <v>4620</v>
      </c>
      <c r="E143" s="63">
        <f t="shared" si="5"/>
        <v>15270</v>
      </c>
    </row>
    <row r="144" spans="1:7" x14ac:dyDescent="0.3">
      <c r="A144" s="2">
        <v>9</v>
      </c>
      <c r="C144" s="38" t="s">
        <v>63</v>
      </c>
      <c r="D144" s="42">
        <f>TRUNC(17641,-1)</f>
        <v>17640</v>
      </c>
      <c r="E144" s="63">
        <f t="shared" si="5"/>
        <v>58310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43850</v>
      </c>
      <c r="E146" s="39">
        <f>SUM(E136:E145)</f>
        <v>144940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TRUNC(5273+1205,-1)</f>
        <v>6470</v>
      </c>
      <c r="E149" s="62">
        <f>TRUNC(+D149*3.3058,-1)</f>
        <v>21380</v>
      </c>
    </row>
    <row r="150" spans="1:7" x14ac:dyDescent="0.3">
      <c r="A150" s="2">
        <v>2</v>
      </c>
      <c r="C150" s="38" t="s">
        <v>49</v>
      </c>
      <c r="D150" s="42">
        <f>TRUNC(7918,-1)</f>
        <v>7910</v>
      </c>
      <c r="E150" s="63">
        <f>TRUNC(+D150*3.3058,-1)</f>
        <v>26140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TRUNC(13431+887,-1)</f>
        <v>14310</v>
      </c>
      <c r="E152" s="63">
        <f>TRUNC(+D152*3.3058,-1)</f>
        <v>47300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28690</v>
      </c>
      <c r="E154" s="39">
        <f>SUM(E149:E153)</f>
        <v>94820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TRUNC(22108,-1)</f>
        <v>22100</v>
      </c>
      <c r="E157" s="62">
        <f>TRUNC(+D157*3.3058,-1)</f>
        <v>73050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22100</v>
      </c>
      <c r="E161" s="39">
        <f>SUM(E157:E160)</f>
        <v>73050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2020-12-08T02:09:09Z</dcterms:modified>
</cp:coreProperties>
</file>