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3" i="4"/>
  <c r="D152" i="4"/>
  <c r="D151" i="4"/>
  <c r="D150" i="4"/>
  <c r="D149" i="4"/>
  <c r="D145" i="4"/>
  <c r="D144" i="4"/>
  <c r="D143" i="4"/>
  <c r="D142" i="4"/>
  <c r="D141" i="4"/>
  <c r="D138" i="4"/>
  <c r="D137" i="4"/>
  <c r="D132" i="4"/>
  <c r="D131" i="4"/>
  <c r="D130" i="4"/>
  <c r="D128" i="4"/>
  <c r="D127" i="4"/>
  <c r="D125" i="4"/>
  <c r="D124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3" i="4"/>
  <c r="D92" i="4"/>
  <c r="D91" i="4"/>
  <c r="D90" i="4"/>
  <c r="D89" i="4"/>
  <c r="D75" i="4"/>
  <c r="D71" i="4"/>
  <c r="D70" i="4"/>
  <c r="D69" i="4"/>
  <c r="D63" i="4"/>
  <c r="D59" i="4"/>
  <c r="D58" i="4"/>
  <c r="D53" i="4"/>
  <c r="D52" i="4"/>
  <c r="D50" i="4"/>
  <c r="D49" i="4"/>
  <c r="D48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<sst xmlns="http://schemas.openxmlformats.org/spreadsheetml/2006/main" count="393" uniqueCount="269">
  <si>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</si>
  <si>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</si>
  <si>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</si>
  <si>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</si>
  <si>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</si>
  <si>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</si>
  <si>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</si>
  <si>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</si>
  <si>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</si>
  <si>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</si>
  <si>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</si>
  <si>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</si>
  <si>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</si>
  <si>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</si>
  <si>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</si>
  <si>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</si>
  <si>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</si>
  <si>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</si>
  <si>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</si>
  <si>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</si>
  <si>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</si>
  <si>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</si>
  <si>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</si>
  <si>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</si>
  <si>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</si>
  <si>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</si>
  <si>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</si>
  <si>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</si>
  <si>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</si>
  <si>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</si>
  <si>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</si>
  <si>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</si>
  <si>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</si>
  <si>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</si>
  <si>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</si>
  <si>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</si>
  <si>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</si>
  <si>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</si>
  <si>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</si>
  <si>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</si>
  <si>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</si>
  <si>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</si>
  <si>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</si>
  <si>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</si>
  <si>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</si>
  <si>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</si>
  <si>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</si>
  <si>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</si>
  <si>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</si>
  <si>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</si>
  <si>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</si>
  <si>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</si>
  <si>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</si>
  <si>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</si>
  <si>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</si>
  <si>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</si>
  <si>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</si>
  <si>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</si>
  <si>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</si>
  <si>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</si>
  <si>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</si>
  <si>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</si>
  <si>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</si>
  <si>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</si>
  <si>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</si>
  <si>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</si>
  <si>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</si>
  <si>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</si>
  <si>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</si>
  <si>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</si>
  <si>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</si>
  <si>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</si>
  <si>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</si>
  <si>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</si>
  <si>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</si>
  <si>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</si>
  <si>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</si>
  <si>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</si>
  <si>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</si>
  <si>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</si>
  <si>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</si>
  <si>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</si>
  <si>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</si>
  <si>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</si>
  <si>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</si>
  <si>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</si>
  <si>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</si>
  <si>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</si>
  <si>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</si>
  <si>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</si>
  <si>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</si>
  <si>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</si>
  <si>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</si>
  <si>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</si>
  <si>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</si>
  <si>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</si>
  <si>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</si>
  <si>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</si>
  <si>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</si>
  <si>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</si>
  <si>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</si>
  <si>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</si>
  <si>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</si>
  <si>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</si>
  <si>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</si>
  <si>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</si>
  <si>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</si>
  <si>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</si>
  <si>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</si>
  <si>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</si>
  <si>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</si>
  <si>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</si>
  <si>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</si>
  <si>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</si>
  <si>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</si>
  <si>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</si>
  <si>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</si>
  <si>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</si>
  <si>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</si>
  <si>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</si>
  <si>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</si>
  <si>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</si>
  <si>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</si>
  <si>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</si>
  <si>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</si>
  <si>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</si>
  <si>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</si>
  <si>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</si>
  <si>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</si>
  <si>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</si>
  <si>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</si>
  <si>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</si>
  <si>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</si>
  <si>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</si>
  <si>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</si>
  <si>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</si>
  <si>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</si>
  <si>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</si>
  <si>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</si>
  <si>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</si>
  <si>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</si>
  <si>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</si>
  <si>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</si>
  <si>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</si>
  <si>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</si>
  <si>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</si>
  <si>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</si>
  <si>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</si>
  <si>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</si>
  <si>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</si>
  <si>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</si>
  <si>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</si>
  <si>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</si>
  <si>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</si>
  <si>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</si>
  <si>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</si>
  <si>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</si>
  <si>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</si>
  <si>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</si>
  <si>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</si>
  <si>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</si>
  <si>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</si>
  <si>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</si>
  <si>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</si>
  <si>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</si>
  <si>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</si>
  <si>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</si>
  <si>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</si>
  <si>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</si>
  <si>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</si>
  <si>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</si>
  <si>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</si>
  <si>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</si>
  <si>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</si>
  <si>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</si>
  <si>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</si>
  <si>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</si>
  <si>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</si>
  <si>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</si>
  <si>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</si>
  <si>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</si>
  <si>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</si>
  <si>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</si>
  <si>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</si>
  <si>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</si>
  <si>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</si>
  <si>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</si>
  <si>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</si>
  <si>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</si>
  <si>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</si>
  <si>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</si>
  <si>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</si>
  <si>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</si>
  <si>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</si>
  <si>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</si>
  <si>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</si>
  <si>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</si>
  <si>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</si>
  <si>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</si>
  <si>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</si>
  <si>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</si>
  <si>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</si>
  <si>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</si>
  <si>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</si>
  <si>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</si>
  <si>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</si>
  <si>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</si>
  <si>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</si>
  <si>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</si>
  <si>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</si>
  <si>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</si>
  <si>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</si>
  <si>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</si>
  <si>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</si>
  <si>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</si>
  <si>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</si>
  <si>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</si>
  <si>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</si>
  <si>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</si>
  <si>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</si>
  <si>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</si>
  <si>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</si>
  <si>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</si>
  <si>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</si>
  <si>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</si>
  <si>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</si>
  <si>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</si>
  <si>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</si>
  <si>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</si>
  <si>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</si>
  <si>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</si>
  <si>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</si>
  <si>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</si>
  <si>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</si>
  <si>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</si>
  <si>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</si>
  <si>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</si>
  <si>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</si>
  <si>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</si>
  <si>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</si>
  <si>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</si>
  <si>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</si>
  <si>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</si>
  <si>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</si>
  <si>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</si>
  <si>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</si>
  <si>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</si>
  <si>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</si>
  <si>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</si>
  <si>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</si>
  <si>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</si>
  <si>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</si>
  <si>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</si>
  <si>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</si>
  <si>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</si>
  <si>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</si>
  <si>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</si>
  <si>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 xml:space="preserve"> 한국식품연구원 신청사 신축사업</t>
    <phoneticPr fontId="2" type="noConversion"/>
  </si>
  <si>
    <t>전라도</t>
  </si>
  <si>
    <t>기초공사, 골재비및운반비, 품질시험비, 기타공사</t>
    <phoneticPr fontId="2" type="noConversion"/>
  </si>
  <si>
    <t>공조배관공사,우수처리시설공사, 바닥난방공사,기타공사</t>
    <phoneticPr fontId="2" type="noConversion"/>
  </si>
  <si>
    <t>옥외보안등설비공사</t>
    <phoneticPr fontId="2" type="noConversion"/>
  </si>
  <si>
    <t>CCTV설비공사, 주차관제설비공사, 기타공사</t>
    <phoneticPr fontId="2" type="noConversion"/>
  </si>
  <si>
    <t>옥외소화배관공사, 펌프실배관공사, 무선통신보조설비공사, 기타공사</t>
    <phoneticPr fontId="2" type="noConversion"/>
  </si>
  <si>
    <t>상수도공사, 사급자재비,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</si>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</sst>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49187.14</v>
      </c>
      <c r="D7" s="36">
        <f>+C7/3.3058</f>
        <v>14879.042894306975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741440</v>
      </c>
      <c r="E25" s="59">
        <f t="shared" si="0"/>
        <v>2451050</v>
      </c>
    </row>
    <row r="26" spans="1:5" x14ac:dyDescent="0.3">
      <c r="B26" s="2">
        <v>3</v>
      </c>
      <c r="C26" s="35" t="s">
        <v>95</v>
      </c>
      <c r="D26" s="45">
        <f>+D66</f>
        <v>11620</v>
      </c>
      <c r="E26" s="59">
        <f t="shared" si="0"/>
        <v>38410</v>
      </c>
    </row>
    <row r="27" spans="1:5" x14ac:dyDescent="0.3">
      <c r="B27" s="2">
        <v>4</v>
      </c>
      <c r="C27" s="35" t="s">
        <v>96</v>
      </c>
      <c r="D27" s="45">
        <f>+D95</f>
        <v>606500</v>
      </c>
      <c r="E27" s="59">
        <f t="shared" si="0"/>
        <v>2004960</v>
      </c>
    </row>
    <row r="28" spans="1:5" x14ac:dyDescent="0.3">
      <c r="B28" s="2">
        <v>5</v>
      </c>
      <c r="C28" s="35" t="s">
        <v>97</v>
      </c>
      <c r="D28" s="45">
        <f>+D119</f>
        <v>289760</v>
      </c>
      <c r="E28" s="59">
        <f t="shared" si="0"/>
        <v>957880</v>
      </c>
    </row>
    <row r="29" spans="1:5" x14ac:dyDescent="0.3">
      <c r="B29" s="2">
        <v>6</v>
      </c>
      <c r="C29" s="35" t="s">
        <v>98</v>
      </c>
      <c r="D29" s="45">
        <f>+D133</f>
        <v>116720</v>
      </c>
      <c r="E29" s="59">
        <f t="shared" si="0"/>
        <v>385850</v>
      </c>
    </row>
    <row r="30" spans="1:5" x14ac:dyDescent="0.3">
      <c r="B30" s="2">
        <v>7</v>
      </c>
      <c r="C30" s="35" t="s">
        <v>99</v>
      </c>
      <c r="D30" s="45">
        <f>+D146</f>
        <v>75680</v>
      </c>
      <c r="E30" s="59">
        <f t="shared" si="0"/>
        <v>250180</v>
      </c>
    </row>
    <row r="31" spans="1:5" x14ac:dyDescent="0.3">
      <c r="B31" s="2">
        <v>8</v>
      </c>
      <c r="C31" s="35" t="s">
        <v>100</v>
      </c>
      <c r="D31" s="45">
        <f>+D154</f>
        <v>65910</v>
      </c>
      <c r="E31" s="59">
        <f t="shared" si="0"/>
        <v>217880</v>
      </c>
    </row>
    <row r="32" spans="1:5" x14ac:dyDescent="0.3">
      <c r="B32" s="2">
        <v>9</v>
      </c>
      <c r="C32" s="35" t="s">
        <v>101</v>
      </c>
      <c r="D32" s="45">
        <f>+D161</f>
        <v>51810</v>
      </c>
      <c r="E32" s="59">
        <f t="shared" si="0"/>
        <v>171270</v>
      </c>
    </row>
    <row r="33" spans="1:7" x14ac:dyDescent="0.3">
      <c r="B33" s="2">
        <v>10</v>
      </c>
      <c r="C33" s="35" t="s">
        <v>154</v>
      </c>
      <c r="D33" s="53">
        <f>TRUNC(SUM(D24:D32)*0.275,-1)</f>
        <v>538840</v>
      </c>
      <c r="E33" s="60">
        <f t="shared" si="0"/>
        <v>1781290</v>
      </c>
    </row>
    <row r="34" spans="1:7" x14ac:dyDescent="0.3">
      <c r="C34" s="35" t="s">
        <v>112</v>
      </c>
      <c r="D34" s="44">
        <f>SUM(D24:D33)</f>
        <v>2498280</v>
      </c>
      <c r="E34" s="44">
        <f>SUM(E24:E33)</f>
        <v>8258770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TRUNC(53972,-1)</f>
        <v>53970</v>
      </c>
      <c r="E40" s="62">
        <f t="shared" ref="E40:E59" si="1">TRUNC(+D40*3.3058,-1)</f>
        <v>178410</v>
      </c>
    </row>
    <row r="41" spans="1:7" x14ac:dyDescent="0.3">
      <c r="A41" s="2">
        <v>2</v>
      </c>
      <c r="C41" s="38" t="s">
        <v>13</v>
      </c>
      <c r="D41" s="42">
        <f>TRUNC(104658,-1)</f>
        <v>104650</v>
      </c>
      <c r="E41" s="63">
        <f t="shared" si="1"/>
        <v>345950</v>
      </c>
    </row>
    <row r="42" spans="1:7" x14ac:dyDescent="0.3">
      <c r="A42" s="2">
        <v>3</v>
      </c>
      <c r="C42" s="38" t="s">
        <v>14</v>
      </c>
      <c r="D42" s="42">
        <f>TRUNC(16956,-1)</f>
        <v>16950</v>
      </c>
      <c r="E42" s="63">
        <f t="shared" si="1"/>
        <v>56030</v>
      </c>
    </row>
    <row r="43" spans="1:7" x14ac:dyDescent="0.3">
      <c r="A43" s="2">
        <v>4</v>
      </c>
      <c r="C43" s="38" t="s">
        <v>16</v>
      </c>
      <c r="D43" s="42">
        <f>TRUNC(12059,-1)</f>
        <v>12050</v>
      </c>
      <c r="E43" s="63">
        <f t="shared" si="1"/>
        <v>39830</v>
      </c>
    </row>
    <row r="44" spans="1:7" x14ac:dyDescent="0.3">
      <c r="A44" s="2">
        <v>5</v>
      </c>
      <c r="C44" s="38" t="s">
        <v>17</v>
      </c>
      <c r="D44" s="42">
        <f>TRUNC(20505,-1)</f>
        <v>20500</v>
      </c>
      <c r="E44" s="63">
        <f t="shared" si="1"/>
        <v>67760</v>
      </c>
    </row>
    <row r="45" spans="1:7" x14ac:dyDescent="0.3">
      <c r="A45" s="2">
        <v>6</v>
      </c>
      <c r="C45" s="38" t="s">
        <v>18</v>
      </c>
      <c r="D45" s="42">
        <f>TRUNC(6031,-1)</f>
        <v>6030</v>
      </c>
      <c r="E45" s="63">
        <f t="shared" si="1"/>
        <v>19930</v>
      </c>
    </row>
    <row r="46" spans="1:7" x14ac:dyDescent="0.3">
      <c r="A46" s="2">
        <v>7</v>
      </c>
      <c r="C46" s="38" t="s">
        <v>19</v>
      </c>
      <c r="D46" s="42">
        <v>27390</v>
      </c>
      <c r="E46" s="63">
        <f t="shared" si="1"/>
        <v>90540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TRUNC(72595,-1)</f>
        <v>72590</v>
      </c>
      <c r="E48" s="63">
        <f t="shared" si="1"/>
        <v>239960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TRUNC(14523,-1)</f>
        <v>14520</v>
      </c>
      <c r="E49" s="63">
        <f t="shared" si="1"/>
        <v>48000</v>
      </c>
    </row>
    <row r="50" spans="1:7" x14ac:dyDescent="0.3">
      <c r="A50" s="2">
        <v>11</v>
      </c>
      <c r="C50" s="38" t="s">
        <v>155</v>
      </c>
      <c r="D50" s="42">
        <f>TRUNC(41093,-1)</f>
        <v>41090</v>
      </c>
      <c r="E50" s="63">
        <f t="shared" si="1"/>
        <v>135830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TRUNC(15594,-1)</f>
        <v>15590</v>
      </c>
      <c r="E52" s="63">
        <f t="shared" si="1"/>
        <v>51530</v>
      </c>
    </row>
    <row r="53" spans="1:7" x14ac:dyDescent="0.3">
      <c r="A53" s="2">
        <v>14</v>
      </c>
      <c r="C53" s="38" t="s">
        <v>25</v>
      </c>
      <c r="D53" s="42">
        <f>TRUNC(63921,-1)</f>
        <v>63920</v>
      </c>
      <c r="E53" s="63">
        <f t="shared" si="1"/>
        <v>211300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TRUNC(10451+5217+2779+51504,-1)</f>
        <v>69950</v>
      </c>
      <c r="E58" s="63">
        <f t="shared" si="1"/>
        <v>231240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TRUNC(222248,-1)</f>
        <v>222240</v>
      </c>
      <c r="E59" s="64">
        <f t="shared" si="1"/>
        <v>734680</v>
      </c>
    </row>
    <row r="60" spans="1:7" x14ac:dyDescent="0.3">
      <c r="A60" s="2">
        <v>21</v>
      </c>
      <c r="C60" s="27" t="s">
        <v>112</v>
      </c>
      <c r="D60" s="39">
        <f>SUM(D40:D59)</f>
        <v>741440</v>
      </c>
      <c r="E60" s="39">
        <f>SUM(E40:E59)</f>
        <v>2450990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TRUNC(11626,-1)</f>
        <v>11620</v>
      </c>
      <c r="E63" s="62">
        <f>TRUNC(+D63*3.3058,-1)</f>
        <v>38410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11620</v>
      </c>
      <c r="E66" s="65">
        <f>SUM(E63:E65)</f>
        <v>38410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TRUNC(69929,-1)</f>
        <v>69920</v>
      </c>
      <c r="E69" s="62">
        <f t="shared" ref="E69:E94" si="2">TRUNC(+D69*3.3058,-1)</f>
        <v>231140</v>
      </c>
    </row>
    <row r="70" spans="1:7" ht="16.5" customHeight="1" x14ac:dyDescent="0.3">
      <c r="A70" s="2">
        <v>2</v>
      </c>
      <c r="C70" s="38" t="s">
        <v>31</v>
      </c>
      <c r="D70" s="42">
        <f>TRUNC(3575,-1)</f>
        <v>3570</v>
      </c>
      <c r="E70" s="63">
        <f t="shared" si="2"/>
        <v>11800</v>
      </c>
    </row>
    <row r="71" spans="1:7" x14ac:dyDescent="0.3">
      <c r="A71" s="2">
        <v>3</v>
      </c>
      <c r="C71" s="38" t="s">
        <v>32</v>
      </c>
      <c r="D71" s="42">
        <f>TRUNC(37909,-1)</f>
        <v>37900</v>
      </c>
      <c r="E71" s="63">
        <f t="shared" si="2"/>
        <v>125280</v>
      </c>
    </row>
    <row r="72" spans="1:7" x14ac:dyDescent="0.3">
      <c r="A72" s="2">
        <v>4</v>
      </c>
      <c r="C72" s="38" t="s">
        <v>33</v>
      </c>
      <c r="D72" s="42">
        <v>13100</v>
      </c>
      <c r="E72" s="63">
        <f t="shared" si="2"/>
        <v>43300</v>
      </c>
    </row>
    <row r="73" spans="1:7" x14ac:dyDescent="0.3">
      <c r="A73" s="2">
        <v>5</v>
      </c>
      <c r="C73" s="38" t="s">
        <v>34</v>
      </c>
      <c r="D73" s="42">
        <v>11630</v>
      </c>
      <c r="E73" s="63">
        <f t="shared" si="2"/>
        <v>38440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TRUNC(3418,-1)</f>
        <v>3410</v>
      </c>
      <c r="E75" s="63">
        <f t="shared" si="2"/>
        <v>11270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TRUNC(12267,-1)</f>
        <v>12260</v>
      </c>
      <c r="E89" s="63">
        <f t="shared" si="2"/>
        <v>40520</v>
      </c>
    </row>
    <row r="90" spans="1:7" x14ac:dyDescent="0.3">
      <c r="A90" s="2">
        <v>22</v>
      </c>
      <c r="C90" s="38" t="s">
        <v>36</v>
      </c>
      <c r="D90" s="42">
        <f>TRUNC(3256,-1)</f>
        <v>3250</v>
      </c>
      <c r="E90" s="63">
        <f t="shared" si="2"/>
        <v>10740</v>
      </c>
    </row>
    <row r="91" spans="1:7" x14ac:dyDescent="0.3">
      <c r="A91" s="2">
        <v>23</v>
      </c>
      <c r="C91" s="38" t="s">
        <v>37</v>
      </c>
      <c r="D91" s="42">
        <f>TRUNC(72248,-1)</f>
        <v>72240</v>
      </c>
      <c r="E91" s="63">
        <f t="shared" si="2"/>
        <v>238810</v>
      </c>
    </row>
    <row r="92" spans="1:7" x14ac:dyDescent="0.3">
      <c r="A92" s="2">
        <v>24</v>
      </c>
      <c r="C92" s="38" t="s">
        <v>38</v>
      </c>
      <c r="D92" s="42">
        <f>TRUNC(615,-1)</f>
        <v>610</v>
      </c>
      <c r="E92" s="63">
        <f t="shared" si="2"/>
        <v>2010</v>
      </c>
    </row>
    <row r="93" spans="1:7" x14ac:dyDescent="0.3">
      <c r="A93" s="2">
        <v>25</v>
      </c>
      <c r="C93" s="38" t="s">
        <v>148</v>
      </c>
      <c r="D93" s="42">
        <f>TRUNC(313232,-1)</f>
        <v>313230</v>
      </c>
      <c r="E93" s="63">
        <f t="shared" si="2"/>
        <v>1035470</v>
      </c>
    </row>
    <row r="94" spans="1:7" ht="17.25" thickBot="1" x14ac:dyDescent="0.35">
      <c r="A94" s="2">
        <v>26</v>
      </c>
      <c r="C94" s="38" t="s">
        <v>47</v>
      </c>
      <c r="D94" s="43">
        <f>TRUNC(28190+6739+2307+28144,-1)</f>
        <v>65380</v>
      </c>
      <c r="E94" s="64">
        <f t="shared" si="2"/>
        <v>216130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606500</v>
      </c>
      <c r="E95" s="39">
        <f>SUM(E69:E94)</f>
        <v>2004910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TRUNC(55772,-1)</f>
        <v>55770</v>
      </c>
      <c r="E98" s="62">
        <f t="shared" ref="E98:E118" si="3">TRUNC(+D98*3.3058,-1)</f>
        <v>184360</v>
      </c>
    </row>
    <row r="99" spans="1:7" x14ac:dyDescent="0.3">
      <c r="A99" s="2">
        <v>2</v>
      </c>
      <c r="C99" s="38" t="s">
        <v>40</v>
      </c>
      <c r="D99" s="42">
        <f>TRUNC(15963,-1)</f>
        <v>15960</v>
      </c>
      <c r="E99" s="63">
        <f t="shared" si="3"/>
        <v>52760</v>
      </c>
    </row>
    <row r="100" spans="1:7" x14ac:dyDescent="0.3">
      <c r="A100" s="2">
        <v>3</v>
      </c>
      <c r="C100" s="38" t="s">
        <v>41</v>
      </c>
      <c r="D100" s="42">
        <f>TRUNC(31894,-1)</f>
        <v>31890</v>
      </c>
      <c r="E100" s="63">
        <f t="shared" si="3"/>
        <v>105420</v>
      </c>
    </row>
    <row r="101" spans="1:7" x14ac:dyDescent="0.3">
      <c r="A101" s="2">
        <v>4</v>
      </c>
      <c r="C101" s="38" t="s">
        <v>42</v>
      </c>
      <c r="D101" s="42">
        <f>TRUNC(833,-1)</f>
        <v>830</v>
      </c>
      <c r="E101" s="63">
        <f t="shared" si="3"/>
        <v>2740</v>
      </c>
    </row>
    <row r="102" spans="1:7" x14ac:dyDescent="0.3">
      <c r="A102" s="2">
        <v>5</v>
      </c>
      <c r="C102" s="38" t="s">
        <v>43</v>
      </c>
      <c r="D102" s="42">
        <f>TRUNC(21802,-1)</f>
        <v>21800</v>
      </c>
      <c r="E102" s="63">
        <f t="shared" si="3"/>
        <v>72060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TRUNC(4245,-1)</f>
        <v>4240</v>
      </c>
      <c r="E104" s="63">
        <f t="shared" si="3"/>
        <v>14010</v>
      </c>
    </row>
    <row r="105" spans="1:7" x14ac:dyDescent="0.3">
      <c r="A105" s="2">
        <v>8</v>
      </c>
      <c r="C105" s="38" t="s">
        <v>46</v>
      </c>
      <c r="D105" s="42">
        <f>TRUNC(10778,-1)</f>
        <v>10770</v>
      </c>
      <c r="E105" s="63">
        <f t="shared" si="3"/>
        <v>35600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TRUNC(4058,-1)</f>
        <v>4050</v>
      </c>
      <c r="E114" s="63">
        <f t="shared" si="3"/>
        <v>13380</v>
      </c>
      <c r="F114" s="2" t="s">
        <v>261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TRUNC(15283,-1)</f>
        <v>15280</v>
      </c>
      <c r="E116" s="63">
        <f t="shared" si="3"/>
        <v>50510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TRUNC(128985,-1)</f>
        <v>128980</v>
      </c>
      <c r="E117" s="63">
        <f t="shared" si="3"/>
        <v>426380</v>
      </c>
    </row>
    <row r="118" spans="1:7" ht="17.25" thickBot="1" x14ac:dyDescent="0.35">
      <c r="A118" s="2">
        <v>21</v>
      </c>
      <c r="C118" s="38" t="s">
        <v>47</v>
      </c>
      <c r="D118" s="43">
        <f>TRUNC(192,-1)</f>
        <v>190</v>
      </c>
      <c r="E118" s="64">
        <f t="shared" si="3"/>
        <v>620</v>
      </c>
    </row>
    <row r="119" spans="1:7" x14ac:dyDescent="0.3">
      <c r="A119" s="2">
        <v>22</v>
      </c>
      <c r="C119" s="27" t="s">
        <v>112</v>
      </c>
      <c r="D119" s="39">
        <f>SUM(D98:D118)</f>
        <v>289760</v>
      </c>
      <c r="E119" s="39">
        <f>SUM(E98:E118)</f>
        <v>957840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TRUNC(3223,-1)</f>
        <v>3220</v>
      </c>
      <c r="E122" s="62">
        <f t="shared" ref="E122:E132" si="4">TRUNC(+D122*3.3058,-1)</f>
        <v>10640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TRUNC(2128,-1)</f>
        <v>2120</v>
      </c>
      <c r="E124" s="63">
        <f t="shared" si="4"/>
        <v>7000</v>
      </c>
    </row>
    <row r="125" spans="1:7" x14ac:dyDescent="0.3">
      <c r="A125" s="2">
        <v>4</v>
      </c>
      <c r="C125" s="38" t="s">
        <v>138</v>
      </c>
      <c r="D125" s="42">
        <f>TRUNC(9721,-1)</f>
        <v>9720</v>
      </c>
      <c r="E125" s="63">
        <f t="shared" si="4"/>
        <v>32130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TRUNC(2849,-1)</f>
        <v>2840</v>
      </c>
      <c r="E127" s="63">
        <f t="shared" si="4"/>
        <v>9380</v>
      </c>
    </row>
    <row r="128" spans="1:7" x14ac:dyDescent="0.3">
      <c r="A128" s="2">
        <v>7</v>
      </c>
      <c r="C128" s="38" t="s">
        <v>46</v>
      </c>
      <c r="D128" s="42">
        <f>TRUNC(4743,-1)</f>
        <v>4740</v>
      </c>
      <c r="E128" s="63">
        <f t="shared" si="4"/>
        <v>15660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TRUNC(45109,-1)</f>
        <v>45100</v>
      </c>
      <c r="E130" s="63">
        <f t="shared" si="4"/>
        <v>149090</v>
      </c>
    </row>
    <row r="131" spans="1:7" x14ac:dyDescent="0.3">
      <c r="A131" s="2">
        <v>10</v>
      </c>
      <c r="C131" s="38" t="s">
        <v>148</v>
      </c>
      <c r="D131" s="42">
        <f>TRUNC(46411,-1)</f>
        <v>46410</v>
      </c>
      <c r="E131" s="63">
        <f t="shared" si="4"/>
        <v>153420</v>
      </c>
    </row>
    <row r="132" spans="1:7" ht="18" thickBot="1" x14ac:dyDescent="0.35">
      <c r="A132" s="2">
        <v>11</v>
      </c>
      <c r="C132" s="38" t="s">
        <v>47</v>
      </c>
      <c r="D132" s="43">
        <f>TRUNC(2326+133+118,-1)</f>
        <v>2570</v>
      </c>
      <c r="E132" s="64">
        <f t="shared" si="4"/>
        <v>8490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116720</v>
      </c>
      <c r="E133" s="39">
        <f>SUM(E122:E132)</f>
        <v>385810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TRUNC(2037+2003+1670+625,-1)</f>
        <v>6330</v>
      </c>
      <c r="E137" s="63">
        <f t="shared" si="5"/>
        <v>20920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f>TRUNC(10337,-1)</f>
        <v>10330</v>
      </c>
      <c r="E138" s="63">
        <f t="shared" si="5"/>
        <v>34140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160</v>
      </c>
      <c r="E140" s="63">
        <f t="shared" si="5"/>
        <v>520</v>
      </c>
    </row>
    <row r="141" spans="1:7" x14ac:dyDescent="0.3">
      <c r="A141" s="2">
        <v>6</v>
      </c>
      <c r="C141" s="38" t="s">
        <v>59</v>
      </c>
      <c r="D141" s="42">
        <f>TRUNC(26881,-1)</f>
        <v>26880</v>
      </c>
      <c r="E141" s="63">
        <f t="shared" si="5"/>
        <v>88850</v>
      </c>
    </row>
    <row r="142" spans="1:7" x14ac:dyDescent="0.3">
      <c r="A142" s="2">
        <v>7</v>
      </c>
      <c r="C142" s="38" t="s">
        <v>58</v>
      </c>
      <c r="D142" s="42">
        <f>TRUNC(3869,-1)</f>
        <v>3860</v>
      </c>
      <c r="E142" s="63">
        <f t="shared" si="5"/>
        <v>12760</v>
      </c>
    </row>
    <row r="143" spans="1:7" x14ac:dyDescent="0.3">
      <c r="A143" s="2">
        <v>8</v>
      </c>
      <c r="C143" s="38" t="s">
        <v>62</v>
      </c>
      <c r="D143" s="42">
        <f>TRUNC(4094,-1)</f>
        <v>4090</v>
      </c>
      <c r="E143" s="63">
        <f t="shared" si="5"/>
        <v>13520</v>
      </c>
    </row>
    <row r="144" spans="1:7" x14ac:dyDescent="0.3">
      <c r="A144" s="2">
        <v>9</v>
      </c>
      <c r="C144" s="38" t="s">
        <v>63</v>
      </c>
      <c r="D144" s="42">
        <f>TRUNC(13471,-1)</f>
        <v>13470</v>
      </c>
      <c r="E144" s="63">
        <f t="shared" si="5"/>
        <v>44520</v>
      </c>
    </row>
    <row r="145" spans="1:7" ht="17.25" thickBot="1" x14ac:dyDescent="0.35">
      <c r="A145" s="2">
        <v>10</v>
      </c>
      <c r="C145" s="38" t="s">
        <v>148</v>
      </c>
      <c r="D145" s="43">
        <f>TRUNC(10562,-1)</f>
        <v>10560</v>
      </c>
      <c r="E145" s="64">
        <f t="shared" si="5"/>
        <v>34900</v>
      </c>
    </row>
    <row r="146" spans="1:7" x14ac:dyDescent="0.3">
      <c r="A146" s="2">
        <v>11</v>
      </c>
      <c r="C146" s="27" t="s">
        <v>112</v>
      </c>
      <c r="D146" s="39">
        <f>SUM(D136:D145)</f>
        <v>75680</v>
      </c>
      <c r="E146" s="39">
        <f>SUM(E136:E145)</f>
        <v>250130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TRUNC(8169+1794,-1)</f>
        <v>9960</v>
      </c>
      <c r="E149" s="62">
        <f>TRUNC(+D149*3.3058,-1)</f>
        <v>32920</v>
      </c>
    </row>
    <row r="150" spans="1:7" x14ac:dyDescent="0.3">
      <c r="A150" s="2">
        <v>2</v>
      </c>
      <c r="C150" s="38" t="s">
        <v>49</v>
      </c>
      <c r="D150" s="42">
        <f>TRUNC(4709,-1)</f>
        <v>4700</v>
      </c>
      <c r="E150" s="63">
        <f>TRUNC(+D150*3.3058,-1)</f>
        <v>15530</v>
      </c>
    </row>
    <row r="151" spans="1:7" x14ac:dyDescent="0.3">
      <c r="A151" s="2">
        <v>3</v>
      </c>
      <c r="C151" s="38" t="s">
        <v>50</v>
      </c>
      <c r="D151" s="42">
        <f>TRUNC(1839,-1)</f>
        <v>1830</v>
      </c>
      <c r="E151" s="63">
        <f>TRUNC(+D151*3.3058,-1)</f>
        <v>6040</v>
      </c>
    </row>
    <row r="152" spans="1:7" x14ac:dyDescent="0.3">
      <c r="A152" s="2">
        <v>4</v>
      </c>
      <c r="C152" s="38" t="s">
        <v>47</v>
      </c>
      <c r="D152" s="42">
        <f>TRUNC(493+6318+3201,-1)</f>
        <v>10010</v>
      </c>
      <c r="E152" s="63">
        <f>TRUNC(+D152*3.3058,-1)</f>
        <v>33090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f>TRUNC(39411,-1)</f>
        <v>39410</v>
      </c>
      <c r="E153" s="64">
        <f>TRUNC(+D153*3.3058,-1)</f>
        <v>130280</v>
      </c>
    </row>
    <row r="154" spans="1:7" x14ac:dyDescent="0.3">
      <c r="A154" s="2">
        <v>6</v>
      </c>
      <c r="C154" s="27" t="s">
        <v>112</v>
      </c>
      <c r="D154" s="39">
        <f>SUM(D149:D153)</f>
        <v>65910</v>
      </c>
      <c r="E154" s="39">
        <f>SUM(E149:E153)</f>
        <v>217860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27980</v>
      </c>
      <c r="E157" s="62">
        <f>TRUNC(+D157*3.3058,-1)</f>
        <v>92490</v>
      </c>
    </row>
    <row r="158" spans="1:7" x14ac:dyDescent="0.3">
      <c r="A158" s="2">
        <v>2</v>
      </c>
      <c r="C158" s="38" t="s">
        <v>52</v>
      </c>
      <c r="D158" s="42">
        <f>TRUNC(3263,-1)</f>
        <v>3260</v>
      </c>
      <c r="E158" s="63">
        <f>TRUNC(+D158*3.3058,-1)</f>
        <v>10770</v>
      </c>
    </row>
    <row r="159" spans="1:7" x14ac:dyDescent="0.3">
      <c r="A159" s="2">
        <v>3</v>
      </c>
      <c r="C159" s="38" t="s">
        <v>47</v>
      </c>
      <c r="D159" s="42">
        <f>TRUNC(7792+12779,-1)</f>
        <v>20570</v>
      </c>
      <c r="E159" s="63">
        <f>TRUNC(+D159*3.3058,-1)</f>
        <v>68000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51810</v>
      </c>
      <c r="E161" s="39">
        <f>SUM(E157:E160)</f>
        <v>171260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2020-12-07T10:18:43Z</dcterms:modified>
</cp:coreProperties>
</file>