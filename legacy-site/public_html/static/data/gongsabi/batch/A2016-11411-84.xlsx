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45" i="4"/>
  <c r="E144" i="4"/>
  <c r="E138" i="4"/>
  <c r="E136" i="4"/>
  <c r="E129" i="4"/>
  <c r="E128" i="4"/>
  <c r="E127" i="4"/>
  <c r="E123" i="4"/>
  <c r="E116" i="4"/>
  <c r="E114" i="4"/>
  <c r="E113" i="4"/>
  <c r="E112" i="4"/>
  <c r="E111" i="4"/>
  <c r="E110" i="4"/>
  <c r="E109" i="4"/>
  <c r="E108" i="4"/>
  <c r="E107" i="4"/>
  <c r="E106" i="4"/>
  <c r="E105" i="4"/>
  <c r="E94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71" i="4"/>
  <c r="E70" i="4"/>
  <c r="E65" i="4"/>
  <c r="E64" i="4"/>
  <c r="E57" i="4"/>
  <c r="E56" i="4"/>
  <c r="E55" i="4"/>
  <c r="E54" i="4"/>
  <c r="E51" i="4"/>
  <c r="E47" i="4"/>
  <c r="E37" i="4"/>
  <c r="D158" i="4" l="1"/>
  <c r="E158" i="4" s="1"/>
  <c r="D157" i="4"/>
  <c r="E157" i="4" s="1"/>
  <c r="D153" i="4"/>
  <c r="E153" i="4" s="1"/>
  <c r="D151" i="4"/>
  <c r="E151" i="4" s="1"/>
  <c r="D150" i="4"/>
  <c r="E150" i="4" s="1"/>
  <c r="D143" i="4"/>
  <c r="E143" i="4" s="1"/>
  <c r="D142" i="4"/>
  <c r="E142" i="4" s="1"/>
  <c r="D141" i="4"/>
  <c r="E141" i="4" s="1"/>
  <c r="D140" i="4"/>
  <c r="E140" i="4" s="1"/>
  <c r="D139" i="4"/>
  <c r="E139" i="4" s="1"/>
  <c r="D131" i="4"/>
  <c r="E131" i="4" s="1"/>
  <c r="D130" i="4"/>
  <c r="E130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D93" i="4"/>
  <c r="E93" i="4" s="1"/>
  <c r="D92" i="4"/>
  <c r="E92" i="4" s="1"/>
  <c r="D91" i="4"/>
  <c r="E91" i="4" s="1"/>
  <c r="D89" i="4"/>
  <c r="E89" i="4" s="1"/>
  <c r="D76" i="4"/>
  <c r="E76" i="4" s="1"/>
  <c r="D75" i="4"/>
  <c r="E75" i="4" s="1"/>
  <c r="D73" i="4"/>
  <c r="E73" i="4" s="1"/>
  <c r="D72" i="4"/>
  <c r="E72" i="4" s="1"/>
  <c r="D69" i="4"/>
  <c r="E69" i="4" s="1"/>
  <c r="E95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9" i="4"/>
  <c r="E159" i="4" s="1"/>
  <c r="D152" i="4"/>
  <c r="E152" i="4" s="1"/>
  <c r="D149" i="4"/>
  <c r="E149" i="4" s="1"/>
  <c r="D137" i="4"/>
  <c r="E137" i="4" s="1"/>
  <c r="E146" i="4" s="1"/>
  <c r="D132" i="4"/>
  <c r="E132" i="4" s="1"/>
  <c r="D58" i="4"/>
  <c r="E58" i="4" s="1"/>
  <c r="E161" i="4" l="1"/>
  <c r="E119" i="4"/>
  <c r="E154" i="4"/>
  <c r="E133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<sst xmlns="http://schemas.openxmlformats.org/spreadsheetml/2006/main" count="394" uniqueCount="269">
  <si>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</si>
  <si>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</si>
  <si>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</si>
  <si>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</si>
  <si>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</si>
  <si>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</si>
  <si>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</si>
  <si>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</si>
  <si>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</si>
  <si>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</si>
  <si>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</si>
  <si>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</si>
  <si>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</si>
  <si>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</si>
  <si>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</si>
  <si>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</si>
  <si>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</si>
  <si>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</si>
  <si>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</si>
  <si>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</si>
  <si>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</si>
  <si>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</si>
  <si>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</si>
  <si>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</si>
  <si>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</si>
  <si>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</si>
  <si>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</si>
  <si>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</si>
  <si>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</si>
  <si>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</si>
  <si>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</si>
  <si>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</si>
  <si>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</si>
  <si>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</si>
  <si>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</si>
  <si>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</si>
  <si>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</si>
  <si>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</si>
  <si>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</si>
  <si>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</si>
  <si>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</si>
  <si>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</si>
  <si>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</si>
  <si>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</si>
  <si>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</si>
  <si>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</si>
  <si>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</si>
  <si>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</si>
  <si>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</si>
  <si>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</si>
  <si>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</si>
  <si>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</si>
  <si>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</si>
  <si>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</si>
  <si>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</si>
  <si>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</si>
  <si>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</si>
  <si>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</si>
  <si>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</si>
  <si>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</si>
  <si>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</si>
  <si>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</si>
  <si>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</si>
  <si>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</si>
  <si>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</si>
  <si>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</si>
  <si>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</si>
  <si>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</si>
  <si>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</si>
  <si>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</si>
  <si>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</si>
  <si>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</si>
  <si>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</si>
  <si>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</si>
  <si>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</si>
  <si>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</si>
  <si>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</si>
  <si>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</si>
  <si>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</si>
  <si>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</si>
  <si>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</si>
  <si>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</si>
  <si>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</si>
  <si>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</si>
  <si>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</si>
  <si>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</si>
  <si>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</si>
  <si>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</si>
  <si>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</si>
  <si>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</si>
  <si>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</si>
  <si>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</si>
  <si>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</si>
  <si>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</si>
  <si>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</si>
  <si>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</si>
  <si>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</si>
  <si>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</si>
  <si>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</si>
  <si>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</si>
  <si>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</si>
  <si>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</si>
  <si>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</si>
  <si>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</si>
  <si>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</si>
  <si>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</si>
  <si>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</si>
  <si>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</si>
  <si>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</si>
  <si>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</si>
  <si>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</si>
  <si>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</si>
  <si>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</si>
  <si>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</si>
  <si>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</si>
  <si>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</si>
  <si>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</si>
  <si>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</si>
  <si>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</si>
  <si>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</si>
  <si>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</si>
  <si>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</si>
  <si>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</si>
  <si>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</si>
  <si>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</si>
  <si>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</si>
  <si>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</si>
  <si>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</si>
  <si>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</si>
  <si>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</si>
  <si>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</si>
  <si>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</si>
  <si>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</si>
  <si>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</si>
  <si>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</si>
  <si>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</si>
  <si>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</si>
  <si>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</si>
  <si>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</si>
  <si>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</si>
  <si>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</si>
  <si>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</si>
  <si>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</si>
  <si>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</si>
  <si>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</si>
  <si>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</si>
  <si>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</si>
  <si>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</si>
  <si>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</si>
  <si>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</si>
  <si>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</si>
  <si>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</si>
  <si>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</si>
  <si>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</si>
  <si>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</si>
  <si>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</si>
  <si>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</si>
  <si>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</si>
  <si>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</si>
  <si>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</si>
  <si>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</si>
  <si>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</si>
  <si>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</si>
  <si>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</si>
  <si>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</si>
  <si>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</si>
  <si>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</si>
  <si>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</si>
  <si>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</si>
  <si>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</si>
  <si>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</si>
  <si>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</si>
  <si>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</si>
  <si>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</si>
  <si>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</si>
  <si>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</si>
  <si>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</si>
  <si>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</si>
  <si>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</si>
  <si>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</si>
  <si>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</si>
  <si>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</si>
  <si>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</si>
  <si>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</si>
  <si>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</si>
  <si>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</si>
  <si>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</si>
  <si>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</si>
  <si>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</si>
  <si>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</si>
  <si>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</si>
  <si>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</si>
  <si>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</si>
  <si>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</si>
  <si>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</si>
  <si>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</si>
  <si>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</si>
  <si>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</si>
  <si>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</si>
  <si>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</si>
  <si>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</si>
  <si>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</si>
  <si>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</si>
  <si>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</si>
  <si>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</si>
  <si>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</si>
  <si>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</si>
  <si>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</si>
  <si>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</si>
  <si>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</si>
  <si>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</si>
  <si>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</si>
  <si>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</si>
  <si>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</si>
  <si>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</si>
  <si>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</si>
  <si>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</si>
  <si>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</si>
  <si>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</si>
  <si>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</si>
  <si>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</si>
  <si>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</si>
  <si>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</si>
  <si>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</si>
  <si>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</si>
  <si>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</si>
  <si>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</si>
  <si>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</si>
  <si>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</si>
  <si>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</si>
  <si>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</si>
  <si>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</si>
  <si>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</si>
  <si>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</si>
  <si>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</si>
  <si>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</si>
  <si>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</si>
  <si>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</si>
  <si>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</si>
  <si>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</si>
  <si>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</si>
  <si>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</si>
  <si>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</si>
  <si>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</si>
  <si>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</si>
  <si>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</si>
  <si>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</si>
  <si>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</si>
  <si>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</si>
  <si>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</si>
  <si>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가칭 서남초등학교 교사 신축공사</t>
    <phoneticPr fontId="2" type="noConversion"/>
  </si>
  <si>
    <t>교육연구</t>
  </si>
  <si>
    <t>충청도</t>
  </si>
  <si>
    <t>창호및유리공사</t>
    <phoneticPr fontId="2" type="noConversion"/>
  </si>
  <si>
    <t>기초공사,골재비및운반비,작업부산물,기타공사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</si>
  <si>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</si>
  <si>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</si>
  <si>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</si>
  <si>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</si>
  <si>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사급자재비,기타공사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</si>
  <si>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</si>
  <si>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</si>
  <si>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 /평</t>
    <phoneticPr fontId="2" type="noConversion"/>
  </si>
  <si>
    <t>원/ m2</t>
  </si>
  <si>
    <t>원 /평</t>
  </si>
  <si>
    <t>바닥난방공사, 공조배관공사,기타공사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</si>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</sst>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12926.12</v>
      </c>
      <c r="D7" s="36">
        <f>+C7/3.3058</f>
        <v>3910.1337043983303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683590</v>
      </c>
      <c r="E25" s="59">
        <f t="shared" si="0"/>
        <v>2259810</v>
      </c>
    </row>
    <row r="26" spans="1:5" x14ac:dyDescent="0.3">
      <c r="B26" s="2">
        <v>3</v>
      </c>
      <c r="C26" s="35" t="s">
        <v>95</v>
      </c>
      <c r="D26" s="45">
        <f>+D66</f>
        <v>2760</v>
      </c>
      <c r="E26" s="59">
        <f t="shared" si="0"/>
        <v>9120</v>
      </c>
    </row>
    <row r="27" spans="1:5" x14ac:dyDescent="0.3">
      <c r="B27" s="2">
        <v>4</v>
      </c>
      <c r="C27" s="35" t="s">
        <v>96</v>
      </c>
      <c r="D27" s="45">
        <f>+D95</f>
        <v>166190</v>
      </c>
      <c r="E27" s="59">
        <f t="shared" si="0"/>
        <v>549390</v>
      </c>
    </row>
    <row r="28" spans="1:5" x14ac:dyDescent="0.3">
      <c r="B28" s="2">
        <v>5</v>
      </c>
      <c r="C28" s="35" t="s">
        <v>97</v>
      </c>
      <c r="D28" s="45">
        <f>+D119</f>
        <v>148660</v>
      </c>
      <c r="E28" s="59">
        <f t="shared" si="0"/>
        <v>491440</v>
      </c>
    </row>
    <row r="29" spans="1:5" x14ac:dyDescent="0.3">
      <c r="B29" s="2">
        <v>6</v>
      </c>
      <c r="C29" s="35" t="s">
        <v>98</v>
      </c>
      <c r="D29" s="45">
        <f>+D133</f>
        <v>58070</v>
      </c>
      <c r="E29" s="59">
        <f t="shared" si="0"/>
        <v>191960</v>
      </c>
    </row>
    <row r="30" spans="1:5" x14ac:dyDescent="0.3">
      <c r="B30" s="2">
        <v>7</v>
      </c>
      <c r="C30" s="35" t="s">
        <v>99</v>
      </c>
      <c r="D30" s="45">
        <f>+D146</f>
        <v>43180</v>
      </c>
      <c r="E30" s="59">
        <f t="shared" si="0"/>
        <v>142740</v>
      </c>
    </row>
    <row r="31" spans="1:5" x14ac:dyDescent="0.3">
      <c r="B31" s="2">
        <v>8</v>
      </c>
      <c r="C31" s="35" t="s">
        <v>100</v>
      </c>
      <c r="D31" s="45">
        <f>+D154</f>
        <v>56790</v>
      </c>
      <c r="E31" s="59">
        <f t="shared" si="0"/>
        <v>187730</v>
      </c>
    </row>
    <row r="32" spans="1:5" x14ac:dyDescent="0.3">
      <c r="B32" s="2">
        <v>9</v>
      </c>
      <c r="C32" s="35" t="s">
        <v>101</v>
      </c>
      <c r="D32" s="45">
        <f>+D161</f>
        <v>31090</v>
      </c>
      <c r="E32" s="59">
        <f t="shared" si="0"/>
        <v>102770</v>
      </c>
    </row>
    <row r="33" spans="1:7" x14ac:dyDescent="0.3">
      <c r="B33" s="2">
        <v>10</v>
      </c>
      <c r="C33" s="35" t="s">
        <v>154</v>
      </c>
      <c r="D33" s="53">
        <f>TRUNC(SUM(D24:D32)*0.275,-1)</f>
        <v>327340</v>
      </c>
      <c r="E33" s="60">
        <f t="shared" si="0"/>
        <v>1082120</v>
      </c>
    </row>
    <row r="34" spans="1:7" x14ac:dyDescent="0.3">
      <c r="C34" s="35" t="s">
        <v>112</v>
      </c>
      <c r="D34" s="44">
        <f>SUM(D24:D33)</f>
        <v>1517670</v>
      </c>
      <c r="E34" s="44">
        <f>SUM(E24:E33)</f>
        <v>5017080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TRUNC(43791,-1)</f>
        <v>43790</v>
      </c>
      <c r="E40" s="62">
        <f t="shared" ref="E40:E59" si="1">TRUNC(+D40*3.3058,-1)</f>
        <v>144760</v>
      </c>
    </row>
    <row r="41" spans="1:7" x14ac:dyDescent="0.3">
      <c r="A41" s="2">
        <v>2</v>
      </c>
      <c r="C41" s="38" t="s">
        <v>13</v>
      </c>
      <c r="D41" s="42">
        <f>TRUNC(130560,-1)</f>
        <v>130560</v>
      </c>
      <c r="E41" s="63">
        <f t="shared" si="1"/>
        <v>431600</v>
      </c>
    </row>
    <row r="42" spans="1:7" x14ac:dyDescent="0.3">
      <c r="A42" s="2">
        <v>3</v>
      </c>
      <c r="C42" s="38" t="s">
        <v>14</v>
      </c>
      <c r="D42" s="42">
        <f>TRUNC(4919,-1)</f>
        <v>4910</v>
      </c>
      <c r="E42" s="63">
        <f t="shared" si="1"/>
        <v>16230</v>
      </c>
    </row>
    <row r="43" spans="1:7" x14ac:dyDescent="0.3">
      <c r="A43" s="2">
        <v>4</v>
      </c>
      <c r="C43" s="38" t="s">
        <v>16</v>
      </c>
      <c r="D43" s="42">
        <f>TRUNC(29950,-1)</f>
        <v>29950</v>
      </c>
      <c r="E43" s="63">
        <f t="shared" si="1"/>
        <v>99000</v>
      </c>
    </row>
    <row r="44" spans="1:7" x14ac:dyDescent="0.3">
      <c r="A44" s="2">
        <v>5</v>
      </c>
      <c r="C44" s="38" t="s">
        <v>17</v>
      </c>
      <c r="D44" s="42">
        <f>TRUNC(22715,-1)</f>
        <v>22710</v>
      </c>
      <c r="E44" s="63">
        <f t="shared" si="1"/>
        <v>75070</v>
      </c>
    </row>
    <row r="45" spans="1:7" x14ac:dyDescent="0.3">
      <c r="A45" s="2">
        <v>6</v>
      </c>
      <c r="C45" s="38" t="s">
        <v>18</v>
      </c>
      <c r="D45" s="42">
        <f>TRUNC(11061,-1)</f>
        <v>11060</v>
      </c>
      <c r="E45" s="63">
        <f t="shared" si="1"/>
        <v>36560</v>
      </c>
    </row>
    <row r="46" spans="1:7" x14ac:dyDescent="0.3">
      <c r="A46" s="2">
        <v>7</v>
      </c>
      <c r="C46" s="38" t="s">
        <v>19</v>
      </c>
      <c r="D46" s="42">
        <f>TRUNC(28616,-1)</f>
        <v>28610</v>
      </c>
      <c r="E46" s="63">
        <f t="shared" si="1"/>
        <v>94570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TRUNC(29731,-1)</f>
        <v>29730</v>
      </c>
      <c r="E48" s="63">
        <f t="shared" si="1"/>
        <v>98280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TRUNC(18795,-1)</f>
        <v>18790</v>
      </c>
      <c r="E49" s="63">
        <f t="shared" si="1"/>
        <v>62110</v>
      </c>
    </row>
    <row r="50" spans="1:7" x14ac:dyDescent="0.3">
      <c r="A50" s="2">
        <v>11</v>
      </c>
      <c r="C50" s="38" t="s">
        <v>155</v>
      </c>
      <c r="D50" s="42">
        <f>TRUNC(48612,-1)</f>
        <v>48610</v>
      </c>
      <c r="E50" s="63">
        <f t="shared" si="1"/>
        <v>160690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TRUNC(9109,-1)</f>
        <v>9100</v>
      </c>
      <c r="E52" s="63">
        <f t="shared" si="1"/>
        <v>30080</v>
      </c>
    </row>
    <row r="53" spans="1:7" x14ac:dyDescent="0.3">
      <c r="A53" s="2">
        <v>14</v>
      </c>
      <c r="C53" s="38" t="s">
        <v>25</v>
      </c>
      <c r="D53" s="42">
        <f>TRUNC(9725,-1)</f>
        <v>9720</v>
      </c>
      <c r="E53" s="63">
        <f t="shared" si="1"/>
        <v>32130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TRUNC(24012+7301-432+7411,-1)</f>
        <v>38290</v>
      </c>
      <c r="E58" s="63">
        <f t="shared" si="1"/>
        <v>126570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TRUNC(257760,-1)</f>
        <v>257760</v>
      </c>
      <c r="E59" s="64">
        <f t="shared" si="1"/>
        <v>852100</v>
      </c>
    </row>
    <row r="60" spans="1:7" x14ac:dyDescent="0.3">
      <c r="A60" s="2">
        <v>21</v>
      </c>
      <c r="C60" s="27" t="s">
        <v>112</v>
      </c>
      <c r="D60" s="39">
        <f>SUM(D40:D59)</f>
        <v>683590</v>
      </c>
      <c r="E60" s="39">
        <f>SUM(E40:E59)</f>
        <v>2259750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TRUNC(2760,-1)</f>
        <v>2760</v>
      </c>
      <c r="E63" s="62">
        <f>TRUNC(+D63*3.3058,-1)</f>
        <v>9120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2760</v>
      </c>
      <c r="E66" s="65">
        <f>SUM(E63:E65)</f>
        <v>9120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TRUNC(6896,-1)</f>
        <v>6890</v>
      </c>
      <c r="E69" s="62">
        <f t="shared" ref="E69:E94" si="2">TRUNC(+D69*3.3058,-1)</f>
        <v>22770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TRUNC(3480,-1)</f>
        <v>3480</v>
      </c>
      <c r="E72" s="63">
        <f t="shared" si="2"/>
        <v>11500</v>
      </c>
    </row>
    <row r="73" spans="1:7" x14ac:dyDescent="0.3">
      <c r="A73" s="2">
        <v>5</v>
      </c>
      <c r="C73" s="38" t="s">
        <v>34</v>
      </c>
      <c r="D73" s="42">
        <f>TRUNC(11860,-1)</f>
        <v>11860</v>
      </c>
      <c r="E73" s="63">
        <f t="shared" si="2"/>
        <v>39200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TRUNC(475,-1)</f>
        <v>470</v>
      </c>
      <c r="E75" s="63">
        <f t="shared" si="2"/>
        <v>1550</v>
      </c>
    </row>
    <row r="76" spans="1:7" x14ac:dyDescent="0.3">
      <c r="A76" s="2">
        <v>8</v>
      </c>
      <c r="C76" s="38" t="s">
        <v>119</v>
      </c>
      <c r="D76" s="42">
        <f>TRUNC(29678,-1)</f>
        <v>29670</v>
      </c>
      <c r="E76" s="63">
        <f t="shared" si="2"/>
        <v>98080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TRUNC(7494,-1)</f>
        <v>7490</v>
      </c>
      <c r="E89" s="63">
        <f t="shared" si="2"/>
        <v>24760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TRUNC(6349,-1)</f>
        <v>6340</v>
      </c>
      <c r="E91" s="63">
        <f t="shared" si="2"/>
        <v>20950</v>
      </c>
    </row>
    <row r="92" spans="1:7" x14ac:dyDescent="0.3">
      <c r="A92" s="2">
        <v>24</v>
      </c>
      <c r="C92" s="38" t="s">
        <v>38</v>
      </c>
      <c r="D92" s="42">
        <f>TRUNC(7572,-1)</f>
        <v>7570</v>
      </c>
      <c r="E92" s="63">
        <f t="shared" si="2"/>
        <v>25020</v>
      </c>
    </row>
    <row r="93" spans="1:7" x14ac:dyDescent="0.3">
      <c r="A93" s="2">
        <v>25</v>
      </c>
      <c r="C93" s="38" t="s">
        <v>148</v>
      </c>
      <c r="D93" s="42">
        <f>TRUNC(85861,-1)</f>
        <v>85860</v>
      </c>
      <c r="E93" s="63">
        <f t="shared" si="2"/>
        <v>283830</v>
      </c>
    </row>
    <row r="94" spans="1:7" ht="17.25" thickBot="1" x14ac:dyDescent="0.35">
      <c r="A94" s="2">
        <v>26</v>
      </c>
      <c r="C94" s="38" t="s">
        <v>47</v>
      </c>
      <c r="D94" s="43">
        <f>TRUNC(2679+598+3290,-1)</f>
        <v>6560</v>
      </c>
      <c r="E94" s="64">
        <f t="shared" si="2"/>
        <v>21680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166190</v>
      </c>
      <c r="E95" s="39">
        <f>SUM(E69:E94)</f>
        <v>549340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TRUNC(20825,-1)</f>
        <v>20820</v>
      </c>
      <c r="E98" s="62">
        <f t="shared" ref="E98:E118" si="3">TRUNC(+D98*3.3058,-1)</f>
        <v>68820</v>
      </c>
    </row>
    <row r="99" spans="1:7" x14ac:dyDescent="0.3">
      <c r="A99" s="2">
        <v>2</v>
      </c>
      <c r="C99" s="38" t="s">
        <v>40</v>
      </c>
      <c r="D99" s="42">
        <f>TRUNC(5208,-1)</f>
        <v>5200</v>
      </c>
      <c r="E99" s="63">
        <f t="shared" si="3"/>
        <v>17190</v>
      </c>
    </row>
    <row r="100" spans="1:7" x14ac:dyDescent="0.3">
      <c r="A100" s="2">
        <v>3</v>
      </c>
      <c r="C100" s="38" t="s">
        <v>41</v>
      </c>
      <c r="D100" s="42">
        <f>TRUNC(29524,-1)</f>
        <v>29520</v>
      </c>
      <c r="E100" s="63">
        <f t="shared" si="3"/>
        <v>97580</v>
      </c>
    </row>
    <row r="101" spans="1:7" x14ac:dyDescent="0.3">
      <c r="A101" s="2">
        <v>4</v>
      </c>
      <c r="C101" s="38" t="s">
        <v>42</v>
      </c>
      <c r="D101" s="42">
        <f>TRUNC(1460,-1)</f>
        <v>1460</v>
      </c>
      <c r="E101" s="63">
        <f t="shared" si="3"/>
        <v>4820</v>
      </c>
    </row>
    <row r="102" spans="1:7" x14ac:dyDescent="0.3">
      <c r="A102" s="2">
        <v>5</v>
      </c>
      <c r="C102" s="38" t="s">
        <v>43</v>
      </c>
      <c r="D102" s="42">
        <f>TRUNC(17171,-1)</f>
        <v>17170</v>
      </c>
      <c r="E102" s="63">
        <f t="shared" si="3"/>
        <v>56760</v>
      </c>
    </row>
    <row r="103" spans="1:7" x14ac:dyDescent="0.3">
      <c r="A103" s="2">
        <v>6</v>
      </c>
      <c r="C103" s="38" t="s">
        <v>44</v>
      </c>
      <c r="D103" s="42">
        <f>TRUNC(6459,-1)</f>
        <v>6450</v>
      </c>
      <c r="E103" s="63">
        <f t="shared" si="3"/>
        <v>21320</v>
      </c>
    </row>
    <row r="104" spans="1:7" x14ac:dyDescent="0.3">
      <c r="A104" s="2">
        <v>7</v>
      </c>
      <c r="C104" s="38" t="s">
        <v>45</v>
      </c>
      <c r="D104" s="42">
        <f>TRUNC(3435,-1)</f>
        <v>3430</v>
      </c>
      <c r="E104" s="63">
        <f t="shared" si="3"/>
        <v>11330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TRUNC(5985,-1)</f>
        <v>5980</v>
      </c>
      <c r="E115" s="63">
        <f t="shared" si="3"/>
        <v>19760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TRUNC(55184,-1)</f>
        <v>55180</v>
      </c>
      <c r="E117" s="63">
        <f t="shared" si="3"/>
        <v>182410</v>
      </c>
    </row>
    <row r="118" spans="1:7" ht="17.25" thickBot="1" x14ac:dyDescent="0.35">
      <c r="A118" s="2">
        <v>21</v>
      </c>
      <c r="C118" s="38" t="s">
        <v>47</v>
      </c>
      <c r="D118" s="43">
        <f>TRUNC(3456,-1)</f>
        <v>3450</v>
      </c>
      <c r="E118" s="64">
        <f t="shared" si="3"/>
        <v>11400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148660</v>
      </c>
      <c r="E119" s="39">
        <f>SUM(E98:E118)</f>
        <v>491390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262</v>
      </c>
      <c r="G121" s="55"/>
    </row>
    <row r="122" spans="1:7" x14ac:dyDescent="0.3">
      <c r="A122" s="2">
        <v>1</v>
      </c>
      <c r="C122" s="38" t="s">
        <v>55</v>
      </c>
      <c r="D122" s="40">
        <f>TRUNC(3478,-1)</f>
        <v>3470</v>
      </c>
      <c r="E122" s="62">
        <f t="shared" ref="E122:E132" si="4">TRUNC(+D122*3.3058,-1)</f>
        <v>11470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TRUNC(580,-1)</f>
        <v>580</v>
      </c>
      <c r="E124" s="63">
        <f t="shared" si="4"/>
        <v>1910</v>
      </c>
    </row>
    <row r="125" spans="1:7" x14ac:dyDescent="0.3">
      <c r="A125" s="2">
        <v>4</v>
      </c>
      <c r="C125" s="38" t="s">
        <v>138</v>
      </c>
      <c r="D125" s="42">
        <f>TRUNC(7150,-1)</f>
        <v>7150</v>
      </c>
      <c r="E125" s="63">
        <f t="shared" si="4"/>
        <v>23630</v>
      </c>
    </row>
    <row r="126" spans="1:7" x14ac:dyDescent="0.3">
      <c r="A126" s="2">
        <v>5</v>
      </c>
      <c r="C126" s="38" t="s">
        <v>53</v>
      </c>
      <c r="D126" s="42">
        <f>TRUNC(3409,-1)</f>
        <v>3400</v>
      </c>
      <c r="E126" s="63">
        <f t="shared" si="4"/>
        <v>11230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TRUNC(21400,-1)</f>
        <v>21400</v>
      </c>
      <c r="E130" s="63">
        <f t="shared" si="4"/>
        <v>70740</v>
      </c>
    </row>
    <row r="131" spans="1:7" x14ac:dyDescent="0.3">
      <c r="A131" s="2">
        <v>10</v>
      </c>
      <c r="C131" s="38" t="s">
        <v>148</v>
      </c>
      <c r="D131" s="42">
        <f>TRUNC(19167,-1)</f>
        <v>19160</v>
      </c>
      <c r="E131" s="63">
        <f t="shared" si="4"/>
        <v>63330</v>
      </c>
    </row>
    <row r="132" spans="1:7" ht="18" thickBot="1" x14ac:dyDescent="0.35">
      <c r="A132" s="2">
        <v>11</v>
      </c>
      <c r="C132" s="38" t="s">
        <v>47</v>
      </c>
      <c r="D132" s="43">
        <f>TRUNC(833+2085,-1)</f>
        <v>2910</v>
      </c>
      <c r="E132" s="64">
        <f t="shared" si="4"/>
        <v>9610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58070</v>
      </c>
      <c r="E133" s="39">
        <f>SUM(E122:E132)</f>
        <v>191920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TRUNC(19306,-1)</f>
        <v>19300</v>
      </c>
      <c r="E137" s="63">
        <f t="shared" si="5"/>
        <v>63800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TRUNC(2148,-1)</f>
        <v>2140</v>
      </c>
      <c r="E139" s="63">
        <f t="shared" si="5"/>
        <v>7070</v>
      </c>
    </row>
    <row r="140" spans="1:7" x14ac:dyDescent="0.3">
      <c r="A140" s="2">
        <v>5</v>
      </c>
      <c r="C140" s="38" t="s">
        <v>57</v>
      </c>
      <c r="D140" s="42">
        <f>TRUNC(1259,-1)</f>
        <v>1250</v>
      </c>
      <c r="E140" s="63">
        <f t="shared" si="5"/>
        <v>4130</v>
      </c>
    </row>
    <row r="141" spans="1:7" x14ac:dyDescent="0.3">
      <c r="A141" s="2">
        <v>6</v>
      </c>
      <c r="C141" s="38" t="s">
        <v>59</v>
      </c>
      <c r="D141" s="42">
        <f>TRUNC(7678,-1)</f>
        <v>7670</v>
      </c>
      <c r="E141" s="63">
        <f t="shared" si="5"/>
        <v>25350</v>
      </c>
    </row>
    <row r="142" spans="1:7" x14ac:dyDescent="0.3">
      <c r="A142" s="2">
        <v>7</v>
      </c>
      <c r="C142" s="38" t="s">
        <v>58</v>
      </c>
      <c r="D142" s="42">
        <f>TRUNC(8485,-1)</f>
        <v>8480</v>
      </c>
      <c r="E142" s="63">
        <f t="shared" si="5"/>
        <v>28030</v>
      </c>
    </row>
    <row r="143" spans="1:7" x14ac:dyDescent="0.3">
      <c r="A143" s="2">
        <v>8</v>
      </c>
      <c r="C143" s="38" t="s">
        <v>62</v>
      </c>
      <c r="D143" s="42">
        <f>TRUNC(4342,-1)</f>
        <v>4340</v>
      </c>
      <c r="E143" s="63">
        <f t="shared" si="5"/>
        <v>14340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43180</v>
      </c>
      <c r="E146" s="39">
        <f>SUM(E136:E145)</f>
        <v>142720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TRUNC(5488+1262,-1)</f>
        <v>6750</v>
      </c>
      <c r="E149" s="62">
        <f>TRUNC(+D149*3.3058,-1)</f>
        <v>22310</v>
      </c>
    </row>
    <row r="150" spans="1:7" x14ac:dyDescent="0.3">
      <c r="A150" s="2">
        <v>2</v>
      </c>
      <c r="C150" s="38" t="s">
        <v>49</v>
      </c>
      <c r="D150" s="42">
        <f>TRUNC(5311,-1)</f>
        <v>5310</v>
      </c>
      <c r="E150" s="63">
        <f>TRUNC(+D150*3.3058,-1)</f>
        <v>17550</v>
      </c>
    </row>
    <row r="151" spans="1:7" x14ac:dyDescent="0.3">
      <c r="A151" s="2">
        <v>3</v>
      </c>
      <c r="C151" s="38" t="s">
        <v>50</v>
      </c>
      <c r="D151" s="42">
        <f>TRUNC(6814,-1)</f>
        <v>6810</v>
      </c>
      <c r="E151" s="63">
        <f>TRUNC(+D151*3.3058,-1)</f>
        <v>22510</v>
      </c>
    </row>
    <row r="152" spans="1:7" x14ac:dyDescent="0.3">
      <c r="A152" s="2">
        <v>4</v>
      </c>
      <c r="C152" s="38" t="s">
        <v>47</v>
      </c>
      <c r="D152" s="42">
        <f>TRUNC(9742+1657,-1)</f>
        <v>11390</v>
      </c>
      <c r="E152" s="63">
        <f>TRUNC(+D152*3.3058,-1)</f>
        <v>37650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TRUNC(26538,-1)</f>
        <v>26530</v>
      </c>
      <c r="E153" s="64">
        <f>TRUNC(+D153*3.3058,-1)</f>
        <v>87700</v>
      </c>
    </row>
    <row r="154" spans="1:7" x14ac:dyDescent="0.3">
      <c r="A154" s="2">
        <v>6</v>
      </c>
      <c r="C154" s="27" t="s">
        <v>112</v>
      </c>
      <c r="D154" s="39">
        <f>SUM(D149:D153)</f>
        <v>56790</v>
      </c>
      <c r="E154" s="39">
        <f>SUM(E149:E153)</f>
        <v>187720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TRUNC(20396,-1)</f>
        <v>20390</v>
      </c>
      <c r="E157" s="62">
        <f>TRUNC(+D157*3.3058,-1)</f>
        <v>67400</v>
      </c>
    </row>
    <row r="158" spans="1:7" x14ac:dyDescent="0.3">
      <c r="A158" s="2">
        <v>2</v>
      </c>
      <c r="C158" s="38" t="s">
        <v>52</v>
      </c>
      <c r="D158" s="42">
        <f>TRUNC(7877,-1)</f>
        <v>7870</v>
      </c>
      <c r="E158" s="63">
        <f>TRUNC(+D158*3.3058,-1)</f>
        <v>26010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TRUNC(2719+116,-1)</f>
        <v>2830</v>
      </c>
      <c r="E159" s="63">
        <f>TRUNC(+D159*3.3058,-1)</f>
        <v>9350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31090</v>
      </c>
      <c r="E161" s="39">
        <f>SUM(E157:E160)</f>
        <v>102760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2020-12-08T01:22:36Z</dcterms:modified>
</cp:coreProperties>
</file>