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5" i="4"/>
  <c r="D144" i="4"/>
  <c r="D140" i="4"/>
  <c r="D139" i="4"/>
  <c r="D137" i="4"/>
  <c r="D131" i="4"/>
  <c r="D130" i="4"/>
  <c r="D126" i="4"/>
  <c r="D125" i="4"/>
  <c r="D124" i="4"/>
  <c r="D122" i="4"/>
  <c r="D117" i="4"/>
  <c r="D116" i="4"/>
  <c r="D102" i="4"/>
  <c r="D100" i="4"/>
  <c r="D99" i="4"/>
  <c r="D98" i="4"/>
  <c r="D94" i="4"/>
  <c r="D93" i="4"/>
  <c r="D92" i="4"/>
  <c r="D91" i="4"/>
  <c r="D89" i="4"/>
  <c r="D73" i="4"/>
  <c r="D72" i="4"/>
  <c r="D71" i="4"/>
  <c r="D70" i="4"/>
  <c r="D63" i="4"/>
  <c r="D59" i="4"/>
  <c r="D58" i="4"/>
  <c r="D53" i="4"/>
  <c r="D52" i="4"/>
  <c r="D50" i="4"/>
  <c r="D49" i="4"/>
  <c r="D48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<sst xmlns="http://schemas.openxmlformats.org/spreadsheetml/2006/main" count="390" uniqueCount="264">
  <si>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</si>
  <si>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</si>
  <si>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</si>
  <si>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</si>
  <si>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</si>
  <si>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</si>
  <si>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</si>
  <si>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</si>
  <si>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</si>
  <si>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</si>
  <si>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</si>
  <si>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</si>
  <si>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</si>
  <si>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</si>
  <si>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</si>
  <si>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</si>
  <si>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</si>
  <si>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</si>
  <si>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</si>
  <si>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</si>
  <si>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</si>
  <si>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</si>
  <si>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</si>
  <si>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</si>
  <si>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</si>
  <si>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</si>
  <si>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</si>
  <si>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</si>
  <si>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</si>
  <si>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</si>
  <si>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</si>
  <si>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</si>
  <si>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</si>
  <si>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</si>
  <si>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</si>
  <si>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</si>
  <si>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</si>
  <si>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</si>
  <si>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</si>
  <si>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</si>
  <si>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</si>
  <si>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</si>
  <si>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</si>
  <si>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</si>
  <si>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</si>
  <si>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</si>
  <si>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</si>
  <si>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</si>
  <si>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</si>
  <si>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</si>
  <si>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</si>
  <si>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</si>
  <si>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</si>
  <si>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</si>
  <si>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</si>
  <si>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</si>
  <si>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</si>
  <si>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</si>
  <si>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</si>
  <si>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</si>
  <si>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</si>
  <si>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</si>
  <si>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</si>
  <si>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</si>
  <si>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</si>
  <si>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</si>
  <si>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</si>
  <si>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</si>
  <si>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</si>
  <si>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</si>
  <si>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</si>
  <si>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</si>
  <si>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</si>
  <si>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</si>
  <si>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</si>
  <si>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</si>
  <si>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</si>
  <si>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</si>
  <si>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</si>
  <si>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</si>
  <si>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</si>
  <si>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</si>
  <si>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</si>
  <si>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</si>
  <si>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</si>
  <si>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</si>
  <si>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</si>
  <si>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</si>
  <si>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</si>
  <si>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</si>
  <si>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</si>
  <si>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</si>
  <si>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</si>
  <si>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</si>
  <si>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</si>
  <si>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</si>
  <si>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</si>
  <si>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</si>
  <si>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</si>
  <si>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</si>
  <si>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</si>
  <si>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</si>
  <si>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</si>
  <si>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</si>
  <si>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</si>
  <si>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</si>
  <si>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</si>
  <si>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</si>
  <si>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</si>
  <si>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</si>
  <si>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</si>
  <si>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</si>
  <si>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</si>
  <si>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</si>
  <si>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</si>
  <si>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</si>
  <si>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</si>
  <si>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</si>
  <si>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</si>
  <si>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</si>
  <si>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</si>
  <si>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</si>
  <si>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</si>
  <si>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</si>
  <si>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</si>
  <si>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</si>
  <si>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</si>
  <si>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</si>
  <si>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</si>
  <si>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</si>
  <si>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</si>
  <si>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</si>
  <si>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</si>
  <si>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</si>
  <si>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</si>
  <si>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</si>
  <si>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</si>
  <si>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</si>
  <si>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</si>
  <si>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</si>
  <si>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</si>
  <si>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</si>
  <si>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</si>
  <si>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</si>
  <si>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</si>
  <si>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</si>
  <si>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</si>
  <si>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</si>
  <si>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</si>
  <si>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</si>
  <si>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</si>
  <si>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</si>
  <si>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</si>
  <si>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</si>
  <si>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</si>
  <si>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</si>
  <si>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</si>
  <si>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</si>
  <si>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</si>
  <si>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</si>
  <si>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</si>
  <si>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</si>
  <si>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</si>
  <si>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</si>
  <si>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</si>
  <si>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</si>
  <si>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</si>
  <si>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</si>
  <si>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</si>
  <si>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</si>
  <si>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</si>
  <si>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</si>
  <si>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</si>
  <si>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</si>
  <si>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</si>
  <si>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</si>
  <si>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</si>
  <si>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</si>
  <si>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</si>
  <si>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</si>
  <si>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</si>
  <si>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</si>
  <si>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</si>
  <si>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</si>
  <si>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</si>
  <si>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</si>
  <si>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</si>
  <si>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</si>
  <si>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</si>
  <si>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</si>
  <si>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</si>
  <si>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</si>
  <si>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</si>
  <si>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</si>
  <si>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</si>
  <si>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</si>
  <si>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</si>
  <si>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</si>
  <si>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</si>
  <si>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</si>
  <si>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</si>
  <si>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</si>
  <si>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</si>
  <si>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</si>
  <si>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</si>
  <si>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</si>
  <si>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</si>
  <si>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</si>
  <si>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</si>
  <si>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</si>
  <si>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</si>
  <si>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</si>
  <si>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</si>
  <si>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</si>
  <si>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</si>
  <si>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</si>
  <si>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</si>
  <si>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</si>
  <si>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</si>
  <si>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</si>
  <si>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</si>
  <si>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</si>
  <si>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</si>
  <si>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</si>
  <si>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</si>
  <si>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</si>
  <si>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</si>
  <si>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</si>
  <si>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</si>
  <si>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</si>
  <si>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</si>
  <si>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</si>
  <si>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</si>
  <si>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</si>
  <si>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</si>
  <si>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</si>
  <si>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</si>
  <si>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</si>
  <si>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</si>
  <si>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</si>
  <si>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</si>
  <si>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</si>
  <si>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</si>
  <si>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</si>
  <si>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</si>
  <si>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</si>
  <si>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</si>
  <si>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</si>
  <si>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</si>
  <si>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</si>
  <si>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</si>
  <si>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</si>
  <si>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</si>
  <si>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</si>
  <si>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사급자재비, 운반비, 기타공사</t>
    <phoneticPr fontId="2" type="noConversion"/>
  </si>
  <si>
    <t>교육연구</t>
  </si>
  <si>
    <t>삼척고 교실 개축공사</t>
    <phoneticPr fontId="2" type="noConversion"/>
  </si>
  <si>
    <t>강원도</t>
  </si>
  <si>
    <t>기초공사, 해체및철거공사, 골재비및운반비, 기타공사</t>
    <phoneticPr fontId="2" type="noConversion"/>
  </si>
  <si>
    <t>난방배관공사, 기타공사</t>
    <phoneticPr fontId="2" type="noConversion"/>
  </si>
  <si>
    <t>옥외소화배관공사,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</si>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</sst>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5265.5</v>
      </c>
      <c r="D7" s="36">
        <f>+C7/3.3058</f>
        <v>1592.8065823703794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1101530</v>
      </c>
      <c r="E25" s="59">
        <f t="shared" si="0"/>
        <v>3641430</v>
      </c>
    </row>
    <row r="26" spans="1:5" x14ac:dyDescent="0.3">
      <c r="B26" s="2">
        <v>3</v>
      </c>
      <c r="C26" s="35" t="s">
        <v>95</v>
      </c>
      <c r="D26" s="45">
        <f>+D66</f>
        <v>5950</v>
      </c>
      <c r="E26" s="59">
        <f t="shared" si="0"/>
        <v>19660</v>
      </c>
    </row>
    <row r="27" spans="1:5" x14ac:dyDescent="0.3">
      <c r="B27" s="2">
        <v>4</v>
      </c>
      <c r="C27" s="35" t="s">
        <v>96</v>
      </c>
      <c r="D27" s="45">
        <f>+D95</f>
        <v>114560</v>
      </c>
      <c r="E27" s="59">
        <f t="shared" si="0"/>
        <v>378710</v>
      </c>
    </row>
    <row r="28" spans="1:5" x14ac:dyDescent="0.3">
      <c r="B28" s="2">
        <v>5</v>
      </c>
      <c r="C28" s="35" t="s">
        <v>97</v>
      </c>
      <c r="D28" s="45">
        <f>+D119</f>
        <v>165720</v>
      </c>
      <c r="E28" s="59">
        <f t="shared" si="0"/>
        <v>547830</v>
      </c>
    </row>
    <row r="29" spans="1:5" x14ac:dyDescent="0.3">
      <c r="B29" s="2">
        <v>6</v>
      </c>
      <c r="C29" s="35" t="s">
        <v>98</v>
      </c>
      <c r="D29" s="45">
        <f>+D133</f>
        <v>63830</v>
      </c>
      <c r="E29" s="59">
        <f t="shared" si="0"/>
        <v>211000</v>
      </c>
    </row>
    <row r="30" spans="1:5" x14ac:dyDescent="0.3">
      <c r="B30" s="2">
        <v>7</v>
      </c>
      <c r="C30" s="35" t="s">
        <v>99</v>
      </c>
      <c r="D30" s="45">
        <f>+D146</f>
        <v>26620</v>
      </c>
      <c r="E30" s="59">
        <f t="shared" si="0"/>
        <v>88000</v>
      </c>
    </row>
    <row r="31" spans="1:5" x14ac:dyDescent="0.3">
      <c r="B31" s="2">
        <v>8</v>
      </c>
      <c r="C31" s="35" t="s">
        <v>100</v>
      </c>
      <c r="D31" s="45">
        <f>+D154</f>
        <v>35680</v>
      </c>
      <c r="E31" s="59">
        <f t="shared" si="0"/>
        <v>117950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416310</v>
      </c>
      <c r="E33" s="60">
        <f t="shared" si="0"/>
        <v>1376230</v>
      </c>
    </row>
    <row r="34" spans="1:7" x14ac:dyDescent="0.3">
      <c r="C34" s="35" t="s">
        <v>112</v>
      </c>
      <c r="D34" s="44">
        <f>SUM(D24:D33)</f>
        <v>1930200</v>
      </c>
      <c r="E34" s="44">
        <f>SUM(E24:E33)</f>
        <v>6380810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TRUNC(46743,-1)</f>
        <v>46740</v>
      </c>
      <c r="E40" s="62">
        <f t="shared" ref="E40:E59" si="1">TRUNC(+D40*3.3058,-1)</f>
        <v>154510</v>
      </c>
    </row>
    <row r="41" spans="1:7" x14ac:dyDescent="0.3">
      <c r="A41" s="2">
        <v>2</v>
      </c>
      <c r="C41" s="38" t="s">
        <v>13</v>
      </c>
      <c r="D41" s="42">
        <f>TRUNC(187094,-1)</f>
        <v>187090</v>
      </c>
      <c r="E41" s="63">
        <f t="shared" si="1"/>
        <v>618480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TRUNC(40418,-1)</f>
        <v>40410</v>
      </c>
      <c r="E43" s="63">
        <f t="shared" si="1"/>
        <v>133580</v>
      </c>
    </row>
    <row r="44" spans="1:7" x14ac:dyDescent="0.3">
      <c r="A44" s="2">
        <v>5</v>
      </c>
      <c r="C44" s="38" t="s">
        <v>17</v>
      </c>
      <c r="D44" s="42">
        <f>TRUNC(24977,-1)</f>
        <v>24970</v>
      </c>
      <c r="E44" s="63">
        <f t="shared" si="1"/>
        <v>82540</v>
      </c>
    </row>
    <row r="45" spans="1:7" x14ac:dyDescent="0.3">
      <c r="A45" s="2">
        <v>6</v>
      </c>
      <c r="C45" s="38" t="s">
        <v>18</v>
      </c>
      <c r="D45" s="42">
        <v>13360</v>
      </c>
      <c r="E45" s="63">
        <f t="shared" si="1"/>
        <v>44160</v>
      </c>
    </row>
    <row r="46" spans="1:7" x14ac:dyDescent="0.3">
      <c r="A46" s="2">
        <v>7</v>
      </c>
      <c r="C46" s="38" t="s">
        <v>19</v>
      </c>
      <c r="D46" s="42">
        <v>18820</v>
      </c>
      <c r="E46" s="63">
        <f t="shared" si="1"/>
        <v>62210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TRUNC(43063,-1)</f>
        <v>43060</v>
      </c>
      <c r="E48" s="63">
        <f t="shared" si="1"/>
        <v>142340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TRUNC(20601,-1)</f>
        <v>20600</v>
      </c>
      <c r="E49" s="63">
        <f t="shared" si="1"/>
        <v>68090</v>
      </c>
    </row>
    <row r="50" spans="1:7" x14ac:dyDescent="0.3">
      <c r="A50" s="2">
        <v>11</v>
      </c>
      <c r="C50" s="38" t="s">
        <v>156</v>
      </c>
      <c r="D50" s="42">
        <f>TRUNC(39024,-1)</f>
        <v>39020</v>
      </c>
      <c r="E50" s="63">
        <f t="shared" si="1"/>
        <v>128990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TRUNC(9564,-1)</f>
        <v>9560</v>
      </c>
      <c r="E52" s="63">
        <f t="shared" si="1"/>
        <v>31600</v>
      </c>
    </row>
    <row r="53" spans="1:7" x14ac:dyDescent="0.3">
      <c r="A53" s="2">
        <v>14</v>
      </c>
      <c r="C53" s="38" t="s">
        <v>25</v>
      </c>
      <c r="D53" s="42">
        <f>TRUNC(63647,-1)</f>
        <v>63640</v>
      </c>
      <c r="E53" s="63">
        <f t="shared" si="1"/>
        <v>210380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TRUNC(5910+42631+4615+10332,-1)</f>
        <v>63480</v>
      </c>
      <c r="E58" s="63">
        <f t="shared" si="1"/>
        <v>209850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TRUNC(530787,-1)</f>
        <v>530780</v>
      </c>
      <c r="E59" s="64">
        <f t="shared" si="1"/>
        <v>1754650</v>
      </c>
    </row>
    <row r="60" spans="1:7" x14ac:dyDescent="0.3">
      <c r="A60" s="2">
        <v>21</v>
      </c>
      <c r="C60" s="27" t="s">
        <v>112</v>
      </c>
      <c r="D60" s="39">
        <f>SUM(D40:D59)</f>
        <v>1101530</v>
      </c>
      <c r="E60" s="39">
        <f>SUM(E40:E59)</f>
        <v>3641380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TRUNC(5957,-1)</f>
        <v>5950</v>
      </c>
      <c r="E63" s="62">
        <f>TRUNC(+D63*3.3058,-1)</f>
        <v>19660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5950</v>
      </c>
      <c r="E66" s="65">
        <f>SUM(E63:E65)</f>
        <v>19660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6450</v>
      </c>
      <c r="E69" s="62">
        <f t="shared" ref="E69:E94" si="2">TRUNC(+D69*3.3058,-1)</f>
        <v>21320</v>
      </c>
    </row>
    <row r="70" spans="1:7" ht="16.5" customHeight="1" x14ac:dyDescent="0.3">
      <c r="A70" s="2">
        <v>2</v>
      </c>
      <c r="C70" s="38" t="s">
        <v>31</v>
      </c>
      <c r="D70" s="42">
        <f>TRUNC(1082,-1)</f>
        <v>1080</v>
      </c>
      <c r="E70" s="63">
        <f t="shared" si="2"/>
        <v>3570</v>
      </c>
    </row>
    <row r="71" spans="1:7" x14ac:dyDescent="0.3">
      <c r="A71" s="2">
        <v>3</v>
      </c>
      <c r="C71" s="38" t="s">
        <v>32</v>
      </c>
      <c r="D71" s="42">
        <f>TRUNC(5488,-1)</f>
        <v>5480</v>
      </c>
      <c r="E71" s="63">
        <f t="shared" si="2"/>
        <v>18110</v>
      </c>
    </row>
    <row r="72" spans="1:7" x14ac:dyDescent="0.3">
      <c r="A72" s="2">
        <v>4</v>
      </c>
      <c r="C72" s="38" t="s">
        <v>33</v>
      </c>
      <c r="D72" s="42">
        <f>TRUNC(6659,-1)</f>
        <v>6650</v>
      </c>
      <c r="E72" s="63">
        <f t="shared" si="2"/>
        <v>21980</v>
      </c>
    </row>
    <row r="73" spans="1:7" x14ac:dyDescent="0.3">
      <c r="A73" s="2">
        <v>5</v>
      </c>
      <c r="C73" s="38" t="s">
        <v>34</v>
      </c>
      <c r="D73" s="42">
        <f>TRUNC(9409,-1)</f>
        <v>9400</v>
      </c>
      <c r="E73" s="63">
        <f t="shared" si="2"/>
        <v>31070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TRUNC(5623,-1)</f>
        <v>5620</v>
      </c>
      <c r="E89" s="63">
        <f t="shared" si="2"/>
        <v>18570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TRUNC(1876,-1)</f>
        <v>1870</v>
      </c>
      <c r="E91" s="63">
        <f t="shared" si="2"/>
        <v>6180</v>
      </c>
    </row>
    <row r="92" spans="1:7" x14ac:dyDescent="0.3">
      <c r="A92" s="2">
        <v>24</v>
      </c>
      <c r="C92" s="38" t="s">
        <v>38</v>
      </c>
      <c r="D92" s="42">
        <f>TRUNC(10433,-1)</f>
        <v>10430</v>
      </c>
      <c r="E92" s="63">
        <f t="shared" si="2"/>
        <v>34470</v>
      </c>
    </row>
    <row r="93" spans="1:7" x14ac:dyDescent="0.3">
      <c r="A93" s="2">
        <v>25</v>
      </c>
      <c r="C93" s="38" t="s">
        <v>149</v>
      </c>
      <c r="D93" s="42">
        <f>TRUNC(65795,-1)</f>
        <v>65790</v>
      </c>
      <c r="E93" s="63">
        <f t="shared" si="2"/>
        <v>217480</v>
      </c>
    </row>
    <row r="94" spans="1:7" ht="17.25" thickBot="1" x14ac:dyDescent="0.35">
      <c r="A94" s="2">
        <v>26</v>
      </c>
      <c r="C94" s="38" t="s">
        <v>47</v>
      </c>
      <c r="D94" s="43">
        <f>TRUNC(141+1654,-1)</f>
        <v>1790</v>
      </c>
      <c r="E94" s="64">
        <f t="shared" si="2"/>
        <v>5910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114560</v>
      </c>
      <c r="E95" s="39">
        <f>SUM(E69:E94)</f>
        <v>378660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TRUNC(16506,-1)</f>
        <v>16500</v>
      </c>
      <c r="E98" s="62">
        <f t="shared" ref="E98:E118" si="3">TRUNC(+D98*3.3058,-1)</f>
        <v>54540</v>
      </c>
    </row>
    <row r="99" spans="1:7" x14ac:dyDescent="0.3">
      <c r="A99" s="2">
        <v>2</v>
      </c>
      <c r="C99" s="38" t="s">
        <v>40</v>
      </c>
      <c r="D99" s="42">
        <f>TRUNC(1715,-1)</f>
        <v>1710</v>
      </c>
      <c r="E99" s="63">
        <f t="shared" si="3"/>
        <v>5650</v>
      </c>
    </row>
    <row r="100" spans="1:7" x14ac:dyDescent="0.3">
      <c r="A100" s="2">
        <v>3</v>
      </c>
      <c r="C100" s="38" t="s">
        <v>41</v>
      </c>
      <c r="D100" s="42">
        <f>TRUNC(24451,-1)</f>
        <v>24450</v>
      </c>
      <c r="E100" s="63">
        <f t="shared" si="3"/>
        <v>80820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TRUNC(14783,-1)</f>
        <v>14780</v>
      </c>
      <c r="E102" s="63">
        <f t="shared" si="3"/>
        <v>48850</v>
      </c>
    </row>
    <row r="103" spans="1:7" x14ac:dyDescent="0.3">
      <c r="A103" s="2">
        <v>6</v>
      </c>
      <c r="C103" s="38" t="s">
        <v>44</v>
      </c>
      <c r="D103" s="42">
        <v>5820</v>
      </c>
      <c r="E103" s="63">
        <f t="shared" si="3"/>
        <v>19230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TRUNC(9331,-1)</f>
        <v>9330</v>
      </c>
      <c r="E116" s="63">
        <f t="shared" si="3"/>
        <v>30840</v>
      </c>
      <c r="F116" s="2" t="s">
        <v>252</v>
      </c>
    </row>
    <row r="117" spans="1:7" x14ac:dyDescent="0.3">
      <c r="A117" s="2">
        <v>20</v>
      </c>
      <c r="C117" s="38" t="s">
        <v>149</v>
      </c>
      <c r="D117" s="42">
        <f>TRUNC(93131,-1)</f>
        <v>93130</v>
      </c>
      <c r="E117" s="63">
        <f t="shared" si="3"/>
        <v>307860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165720</v>
      </c>
      <c r="E119" s="39">
        <f>SUM(E98:E118)</f>
        <v>547790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TRUNC(4606,-1)</f>
        <v>4600</v>
      </c>
      <c r="E122" s="62">
        <f t="shared" ref="E122:E132" si="4">TRUNC(+D122*3.3058,-1)</f>
        <v>15200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TRUNC(54,-1)</f>
        <v>50</v>
      </c>
      <c r="E124" s="63">
        <f t="shared" si="4"/>
        <v>160</v>
      </c>
    </row>
    <row r="125" spans="1:7" x14ac:dyDescent="0.3">
      <c r="A125" s="2">
        <v>4</v>
      </c>
      <c r="C125" s="38" t="s">
        <v>138</v>
      </c>
      <c r="D125" s="42">
        <f>TRUNC(8487,-1)</f>
        <v>8480</v>
      </c>
      <c r="E125" s="63">
        <f t="shared" si="4"/>
        <v>28030</v>
      </c>
    </row>
    <row r="126" spans="1:7" x14ac:dyDescent="0.3">
      <c r="A126" s="2">
        <v>5</v>
      </c>
      <c r="C126" s="38" t="s">
        <v>53</v>
      </c>
      <c r="D126" s="42">
        <f>TRUNC(3013,-1)</f>
        <v>3010</v>
      </c>
      <c r="E126" s="63">
        <f t="shared" si="4"/>
        <v>9950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TRUNC(23075,-1)</f>
        <v>23070</v>
      </c>
      <c r="E130" s="63">
        <f t="shared" si="4"/>
        <v>76260</v>
      </c>
    </row>
    <row r="131" spans="1:7" x14ac:dyDescent="0.3">
      <c r="A131" s="2">
        <v>10</v>
      </c>
      <c r="C131" s="38" t="s">
        <v>149</v>
      </c>
      <c r="D131" s="42">
        <f>TRUNC(24624,-1)</f>
        <v>24620</v>
      </c>
      <c r="E131" s="63">
        <f t="shared" si="4"/>
        <v>81380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63830</v>
      </c>
      <c r="E133" s="39">
        <f>SUM(E122:E132)</f>
        <v>210980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TRUNC(521+391,-1)</f>
        <v>910</v>
      </c>
      <c r="E137" s="63">
        <f t="shared" si="5"/>
        <v>3000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TRUNC(5898,-1)</f>
        <v>5890</v>
      </c>
      <c r="E139" s="63">
        <f t="shared" si="5"/>
        <v>19470</v>
      </c>
    </row>
    <row r="140" spans="1:7" x14ac:dyDescent="0.3">
      <c r="A140" s="2">
        <v>5</v>
      </c>
      <c r="C140" s="38" t="s">
        <v>57</v>
      </c>
      <c r="D140" s="42">
        <f>TRUNC(1596,-1)</f>
        <v>1590</v>
      </c>
      <c r="E140" s="63">
        <f t="shared" si="5"/>
        <v>5250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4720</v>
      </c>
      <c r="E142" s="63">
        <f t="shared" si="5"/>
        <v>15600</v>
      </c>
    </row>
    <row r="143" spans="1:7" x14ac:dyDescent="0.3">
      <c r="A143" s="2">
        <v>8</v>
      </c>
      <c r="C143" s="38" t="s">
        <v>62</v>
      </c>
      <c r="D143" s="42">
        <v>2670</v>
      </c>
      <c r="E143" s="63">
        <f t="shared" si="5"/>
        <v>8820</v>
      </c>
    </row>
    <row r="144" spans="1:7" x14ac:dyDescent="0.3">
      <c r="A144" s="2">
        <v>9</v>
      </c>
      <c r="C144" s="38" t="s">
        <v>63</v>
      </c>
      <c r="D144" s="42">
        <f>TRUNC(10123,-1)</f>
        <v>10120</v>
      </c>
      <c r="E144" s="63">
        <f t="shared" si="5"/>
        <v>33450</v>
      </c>
    </row>
    <row r="145" spans="1:7" ht="17.25" thickBot="1" x14ac:dyDescent="0.35">
      <c r="A145" s="2">
        <v>10</v>
      </c>
      <c r="C145" s="38" t="s">
        <v>149</v>
      </c>
      <c r="D145" s="43">
        <f>TRUNC(725,-1)</f>
        <v>720</v>
      </c>
      <c r="E145" s="64">
        <f t="shared" si="5"/>
        <v>2380</v>
      </c>
    </row>
    <row r="146" spans="1:7" x14ac:dyDescent="0.3">
      <c r="A146" s="2">
        <v>11</v>
      </c>
      <c r="C146" s="27" t="s">
        <v>112</v>
      </c>
      <c r="D146" s="39">
        <f>SUM(D136:D145)</f>
        <v>26620</v>
      </c>
      <c r="E146" s="39">
        <f>SUM(E136:E145)</f>
        <v>87970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TRUNC(4614+2078,-1)</f>
        <v>6690</v>
      </c>
      <c r="E149" s="62">
        <f>TRUNC(+D149*3.3058,-1)</f>
        <v>22110</v>
      </c>
    </row>
    <row r="150" spans="1:7" x14ac:dyDescent="0.3">
      <c r="A150" s="2">
        <v>2</v>
      </c>
      <c r="C150" s="38" t="s">
        <v>49</v>
      </c>
      <c r="D150" s="42">
        <f>TRUNC(7667,-1)</f>
        <v>7660</v>
      </c>
      <c r="E150" s="63">
        <f>TRUNC(+D150*3.3058,-1)</f>
        <v>25320</v>
      </c>
    </row>
    <row r="151" spans="1:7" x14ac:dyDescent="0.3">
      <c r="A151" s="2">
        <v>3</v>
      </c>
      <c r="C151" s="38" t="s">
        <v>50</v>
      </c>
      <c r="D151" s="42">
        <f>TRUNC(4212,-1)</f>
        <v>4210</v>
      </c>
      <c r="E151" s="63">
        <f>TRUNC(+D151*3.3058,-1)</f>
        <v>13910</v>
      </c>
    </row>
    <row r="152" spans="1:7" x14ac:dyDescent="0.3">
      <c r="A152" s="2">
        <v>4</v>
      </c>
      <c r="C152" s="38" t="s">
        <v>47</v>
      </c>
      <c r="D152" s="42">
        <f>TRUNC(9527+3141+4459,-1)</f>
        <v>17120</v>
      </c>
      <c r="E152" s="63">
        <f>TRUNC(+D152*3.3058,-1)</f>
        <v>56590</v>
      </c>
      <c r="F152" s="2" t="s">
        <v>254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35680</v>
      </c>
      <c r="E154" s="39">
        <f>SUM(E149:E153)</f>
        <v>117930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2020-12-08T01:24:18Z</dcterms:modified>
</cp:coreProperties>
</file>