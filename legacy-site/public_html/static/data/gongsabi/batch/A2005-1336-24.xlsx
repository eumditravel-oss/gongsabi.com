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2" i="4"/>
  <c r="E141" i="4"/>
  <c r="E140" i="4"/>
  <c r="E139" i="4"/>
  <c r="E138" i="4"/>
  <c r="E137" i="4"/>
  <c r="E129" i="4"/>
  <c r="E127" i="4"/>
  <c r="E126" i="4"/>
  <c r="E123" i="4"/>
  <c r="E117" i="4"/>
  <c r="E116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4" i="4"/>
  <c r="E57" i="4"/>
  <c r="E56" i="4"/>
  <c r="E54" i="4"/>
  <c r="D59" i="4" l="1"/>
  <c r="E59" i="4" s="1"/>
  <c r="D58" i="4"/>
  <c r="E58" i="4" s="1"/>
  <c r="D136" i="4" l="1"/>
  <c r="E136" i="4" s="1"/>
  <c r="D143" i="4"/>
  <c r="E143" i="4" s="1"/>
  <c r="D159" i="4" l="1"/>
  <c r="E159" i="4" s="1"/>
  <c r="D158" i="4"/>
  <c r="D157" i="4"/>
  <c r="E157" i="4" s="1"/>
  <c r="D152" i="4"/>
  <c r="E152" i="4" s="1"/>
  <c r="D150" i="4"/>
  <c r="E150" i="4" s="1"/>
  <c r="D149" i="4"/>
  <c r="E149" i="4" s="1"/>
  <c r="D145" i="4"/>
  <c r="E145" i="4" s="1"/>
  <c r="E146" i="4" s="1"/>
  <c r="D144" i="4"/>
  <c r="E144" i="4" s="1"/>
  <c r="D132" i="4"/>
  <c r="E132" i="4" s="1"/>
  <c r="D131" i="4"/>
  <c r="E131" i="4" s="1"/>
  <c r="D130" i="4"/>
  <c r="E130" i="4" s="1"/>
  <c r="D128" i="4"/>
  <c r="D125" i="4"/>
  <c r="E125" i="4" s="1"/>
  <c r="D124" i="4"/>
  <c r="E124" i="4" s="1"/>
  <c r="D122" i="4"/>
  <c r="E122" i="4" s="1"/>
  <c r="D118" i="4"/>
  <c r="E118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D98" i="4"/>
  <c r="E98" i="4" s="1"/>
  <c r="D94" i="4"/>
  <c r="E94" i="4" s="1"/>
  <c r="D93" i="4"/>
  <c r="E93" i="4" s="1"/>
  <c r="D90" i="4"/>
  <c r="E90" i="4" s="1"/>
  <c r="D72" i="4"/>
  <c r="E72" i="4" s="1"/>
  <c r="D71" i="4"/>
  <c r="E71" i="4" s="1"/>
  <c r="D70" i="4"/>
  <c r="D69" i="4"/>
  <c r="E69" i="4" s="1"/>
  <c r="D65" i="4"/>
  <c r="E65" i="4" s="1"/>
  <c r="D63" i="4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D7" i="4"/>
  <c r="D24" i="4" l="1"/>
  <c r="E24" i="4" s="1"/>
  <c r="E37" i="4"/>
  <c r="D66" i="4"/>
  <c r="D26" i="4" s="1"/>
  <c r="E26" i="4" s="1"/>
  <c r="E63" i="4"/>
  <c r="E66" i="4" s="1"/>
  <c r="E154" i="4"/>
  <c r="D60" i="4"/>
  <c r="D25" i="4" s="1"/>
  <c r="E25" i="4" s="1"/>
  <c r="E40" i="4"/>
  <c r="E60" i="4" s="1"/>
  <c r="D133" i="4"/>
  <c r="D29" i="4" s="1"/>
  <c r="E29" i="4" s="1"/>
  <c r="E128" i="4"/>
  <c r="E133" i="4" s="1"/>
  <c r="D161" i="4"/>
  <c r="D32" i="4" s="1"/>
  <c r="E32" i="4" s="1"/>
  <c r="E158" i="4"/>
  <c r="E161" i="4" s="1"/>
  <c r="D119" i="4"/>
  <c r="D28" i="4" s="1"/>
  <c r="E28" i="4" s="1"/>
  <c r="E99" i="4"/>
  <c r="E119" i="4" s="1"/>
  <c r="D95" i="4"/>
  <c r="D27" i="4" s="1"/>
  <c r="E27" i="4" s="1"/>
  <c r="E70" i="4"/>
  <c r="E95" i="4" s="1"/>
  <c r="D146" i="4"/>
  <c r="D30" i="4" s="1"/>
  <c r="E30" i="4" s="1"/>
  <c r="D154" i="4"/>
  <c r="D31" i="4" s="1"/>
  <c r="E31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<sst xmlns="http://schemas.openxmlformats.org/spreadsheetml/2006/main" count="390" uniqueCount="265">
  <si>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</si>
  <si>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</si>
  <si>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</si>
  <si>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</si>
  <si>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</si>
  <si>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</si>
  <si>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</si>
  <si>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</si>
  <si>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</si>
  <si>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</si>
  <si>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</si>
  <si>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</si>
  <si>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</si>
  <si>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</si>
  <si>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</si>
  <si>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</si>
  <si>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</si>
  <si>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</si>
  <si>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</si>
  <si>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</si>
  <si>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</si>
  <si>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</si>
  <si>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</si>
  <si>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</si>
  <si>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</si>
  <si>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</si>
  <si>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</si>
  <si>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</si>
  <si>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</si>
  <si>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</si>
  <si>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</si>
  <si>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</si>
  <si>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</si>
  <si>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</si>
  <si>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</si>
  <si>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</si>
  <si>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</si>
  <si>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</si>
  <si>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</si>
  <si>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</si>
  <si>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</si>
  <si>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</si>
  <si>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</si>
  <si>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</si>
  <si>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</si>
  <si>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</si>
  <si>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</si>
  <si>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</si>
  <si>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</si>
  <si>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</si>
  <si>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</si>
  <si>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</si>
  <si>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</si>
  <si>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</si>
  <si>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</si>
  <si>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</si>
  <si>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</si>
  <si>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</si>
  <si>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</si>
  <si>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</si>
  <si>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</si>
  <si>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</si>
  <si>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</si>
  <si>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</si>
  <si>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</si>
  <si>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</si>
  <si>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</si>
  <si>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</si>
  <si>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</si>
  <si>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</si>
  <si>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</si>
  <si>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</si>
  <si>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</si>
  <si>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</si>
  <si>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</si>
  <si>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</si>
  <si>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</si>
  <si>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</si>
  <si>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</si>
  <si>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</si>
  <si>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</si>
  <si>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</si>
  <si>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</si>
  <si>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</si>
  <si>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</si>
  <si>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</si>
  <si>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</si>
  <si>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</si>
  <si>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</si>
  <si>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</si>
  <si>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</si>
  <si>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</si>
  <si>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</si>
  <si>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</si>
  <si>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</si>
  <si>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</si>
  <si>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</si>
  <si>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</si>
  <si>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</si>
  <si>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</si>
  <si>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</si>
  <si>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</si>
  <si>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</si>
  <si>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</si>
  <si>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</si>
  <si>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</si>
  <si>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</si>
  <si>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</si>
  <si>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</si>
  <si>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</si>
  <si>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</si>
  <si>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</si>
  <si>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</si>
  <si>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</si>
  <si>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</si>
  <si>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</si>
  <si>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</si>
  <si>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</si>
  <si>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</si>
  <si>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</si>
  <si>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</si>
  <si>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</si>
  <si>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</si>
  <si>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</si>
  <si>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</si>
  <si>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</si>
  <si>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</si>
  <si>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</si>
  <si>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</si>
  <si>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</si>
  <si>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</si>
  <si>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</si>
  <si>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</si>
  <si>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</si>
  <si>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</si>
  <si>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</si>
  <si>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</si>
  <si>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</si>
  <si>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</si>
  <si>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</si>
  <si>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</si>
  <si>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</si>
  <si>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</si>
  <si>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</si>
  <si>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</si>
  <si>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</si>
  <si>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</si>
  <si>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</si>
  <si>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</si>
  <si>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</si>
  <si>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</si>
  <si>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</si>
  <si>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</si>
  <si>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</si>
  <si>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</si>
  <si>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</si>
  <si>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</si>
  <si>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</si>
  <si>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</si>
  <si>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</si>
  <si>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</si>
  <si>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</si>
  <si>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</si>
  <si>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</si>
  <si>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</si>
  <si>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</si>
  <si>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</si>
  <si>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</si>
  <si>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</si>
  <si>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</si>
  <si>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</si>
  <si>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</si>
  <si>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</si>
  <si>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</si>
  <si>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</si>
  <si>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</si>
  <si>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</si>
  <si>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</si>
  <si>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</si>
  <si>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</si>
  <si>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</si>
  <si>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</si>
  <si>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</si>
  <si>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</si>
  <si>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</si>
  <si>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</si>
  <si>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</si>
  <si>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</si>
  <si>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</si>
  <si>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</si>
  <si>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</si>
  <si>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</si>
  <si>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</si>
  <si>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</si>
  <si>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</si>
  <si>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</si>
  <si>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</si>
  <si>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</si>
  <si>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</si>
  <si>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</si>
  <si>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</si>
  <si>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</si>
  <si>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</si>
  <si>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</si>
  <si>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</si>
  <si>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</si>
  <si>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</si>
  <si>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</si>
  <si>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</si>
  <si>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</si>
  <si>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</si>
  <si>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</si>
  <si>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</si>
  <si>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</si>
  <si>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</si>
  <si>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</si>
  <si>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</si>
  <si>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</si>
  <si>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</si>
  <si>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</si>
  <si>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</si>
  <si>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</si>
  <si>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</si>
  <si>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</si>
  <si>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</si>
  <si>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</si>
  <si>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</si>
  <si>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</si>
  <si>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</si>
  <si>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</si>
  <si>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</si>
  <si>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</si>
  <si>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</si>
  <si>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</si>
  <si>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</si>
  <si>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</si>
  <si>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</si>
  <si>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</si>
  <si>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</si>
  <si>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</si>
  <si>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</si>
  <si>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</si>
  <si>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</si>
  <si>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</si>
  <si>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</si>
  <si>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</si>
  <si>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</si>
  <si>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</si>
  <si>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건설폐기물처리비,골재비,운반비,잡공사,지정공사</t>
    <phoneticPr fontId="2" type="noConversion"/>
  </si>
  <si>
    <t>본관동,시험동,특수시험동,태양열급탕공사</t>
    <phoneticPr fontId="2" type="noConversion"/>
  </si>
  <si>
    <t>옥외보안등 설비공사</t>
  </si>
  <si>
    <t>대회의실 무대 조명설비 공사,대체에너지 설비공사,가설사무소 설치공사 (6개월)</t>
    <phoneticPr fontId="2" type="noConversion"/>
  </si>
  <si>
    <t>대회의실 A/V 설비공사</t>
  </si>
  <si>
    <t>기계 소화배관공사</t>
    <phoneticPr fontId="2" type="noConversion"/>
  </si>
  <si>
    <t>우수공사,오수공사</t>
    <phoneticPr fontId="2" type="noConversion"/>
  </si>
  <si>
    <t>철거공사,부대공사</t>
    <phoneticPr fontId="2" type="noConversion"/>
  </si>
  <si>
    <t>기반시설공사,운반비</t>
    <phoneticPr fontId="2" type="noConversion"/>
  </si>
  <si>
    <t>00지방중소기업청 청사 신축공사</t>
  </si>
  <si>
    <t>대구시</t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</si>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</sst>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0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8155</v>
      </c>
      <c r="D7" s="36">
        <f>+C7/3.3058</f>
        <v>2466.8763990562043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ht="15.75" customHeight="1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10730</v>
      </c>
      <c r="E24" s="59">
        <f t="shared" ref="E24:E33" si="0">TRUNC(+D24*3.3058,-1)</f>
        <v>35470</v>
      </c>
    </row>
    <row r="25" spans="1:5" x14ac:dyDescent="0.3">
      <c r="B25" s="2">
        <v>2</v>
      </c>
      <c r="C25" s="35" t="s">
        <v>111</v>
      </c>
      <c r="D25" s="45">
        <f>+D60</f>
        <v>600730</v>
      </c>
      <c r="E25" s="60">
        <f t="shared" si="0"/>
        <v>1985890</v>
      </c>
    </row>
    <row r="26" spans="1:5" x14ac:dyDescent="0.3">
      <c r="B26" s="2">
        <v>3</v>
      </c>
      <c r="C26" s="35" t="s">
        <v>95</v>
      </c>
      <c r="D26" s="45">
        <f>+D66</f>
        <v>10260</v>
      </c>
      <c r="E26" s="60">
        <f t="shared" si="0"/>
        <v>33910</v>
      </c>
    </row>
    <row r="27" spans="1:5" x14ac:dyDescent="0.3">
      <c r="B27" s="2">
        <v>4</v>
      </c>
      <c r="C27" s="35" t="s">
        <v>96</v>
      </c>
      <c r="D27" s="45">
        <f>+D95</f>
        <v>137190</v>
      </c>
      <c r="E27" s="60">
        <f t="shared" si="0"/>
        <v>453520</v>
      </c>
    </row>
    <row r="28" spans="1:5" x14ac:dyDescent="0.3">
      <c r="B28" s="2">
        <v>5</v>
      </c>
      <c r="C28" s="35" t="s">
        <v>97</v>
      </c>
      <c r="D28" s="45">
        <f>+D119</f>
        <v>67870</v>
      </c>
      <c r="E28" s="60">
        <f t="shared" si="0"/>
        <v>224360</v>
      </c>
    </row>
    <row r="29" spans="1:5" x14ac:dyDescent="0.3">
      <c r="B29" s="2">
        <v>6</v>
      </c>
      <c r="C29" s="35" t="s">
        <v>98</v>
      </c>
      <c r="D29" s="45">
        <f>+D133</f>
        <v>48340</v>
      </c>
      <c r="E29" s="60">
        <f t="shared" si="0"/>
        <v>159800</v>
      </c>
    </row>
    <row r="30" spans="1:5" x14ac:dyDescent="0.3">
      <c r="B30" s="2">
        <v>7</v>
      </c>
      <c r="C30" s="35" t="s">
        <v>99</v>
      </c>
      <c r="D30" s="45">
        <f>+D146</f>
        <v>100970</v>
      </c>
      <c r="E30" s="60">
        <f t="shared" si="0"/>
        <v>333780</v>
      </c>
    </row>
    <row r="31" spans="1:5" x14ac:dyDescent="0.3">
      <c r="B31" s="2">
        <v>8</v>
      </c>
      <c r="C31" s="35" t="s">
        <v>100</v>
      </c>
      <c r="D31" s="45">
        <f>+D154</f>
        <v>10920</v>
      </c>
      <c r="E31" s="60">
        <f t="shared" si="0"/>
        <v>36090</v>
      </c>
    </row>
    <row r="32" spans="1:5" x14ac:dyDescent="0.3">
      <c r="B32" s="2">
        <v>9</v>
      </c>
      <c r="C32" s="35" t="s">
        <v>101</v>
      </c>
      <c r="D32" s="45">
        <f>+D161</f>
        <v>30820</v>
      </c>
      <c r="E32" s="60">
        <f t="shared" si="0"/>
        <v>101880</v>
      </c>
    </row>
    <row r="33" spans="1:7" x14ac:dyDescent="0.3">
      <c r="B33" s="2">
        <v>10</v>
      </c>
      <c r="C33" s="35" t="s">
        <v>154</v>
      </c>
      <c r="D33" s="53">
        <f>TRUNC(SUM(D24:D32)*0.275,-1)</f>
        <v>279900</v>
      </c>
      <c r="E33" s="61">
        <f t="shared" si="0"/>
        <v>925290</v>
      </c>
    </row>
    <row r="34" spans="1:7" x14ac:dyDescent="0.3">
      <c r="C34" s="35" t="s">
        <v>112</v>
      </c>
      <c r="D34" s="44">
        <f>SUM(D24:D33)</f>
        <v>1297730</v>
      </c>
      <c r="E34" s="44">
        <f>SUM(E24:E33)</f>
        <v>4289990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259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f>TRUNC(10734.2641324341,-1)</f>
        <v>10730</v>
      </c>
      <c r="E37" s="62">
        <f>TRUNC(+D37*3.3058,-1)</f>
        <v>35470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TRUNC(33503.3526670754,-1)</f>
        <v>33500</v>
      </c>
      <c r="E40" s="63">
        <f t="shared" ref="E40:E59" si="1">TRUNC(+D40*3.3058,-1)</f>
        <v>110740</v>
      </c>
    </row>
    <row r="41" spans="1:7" x14ac:dyDescent="0.3">
      <c r="A41" s="2">
        <v>2</v>
      </c>
      <c r="C41" s="38" t="s">
        <v>13</v>
      </c>
      <c r="D41" s="42">
        <f>TRUNC(92216.6158185162,-1)</f>
        <v>92210</v>
      </c>
      <c r="E41" s="64">
        <f t="shared" si="1"/>
        <v>304820</v>
      </c>
    </row>
    <row r="42" spans="1:7" x14ac:dyDescent="0.3">
      <c r="A42" s="2">
        <v>3</v>
      </c>
      <c r="C42" s="38" t="s">
        <v>14</v>
      </c>
      <c r="D42" s="42">
        <f>TRUNC(35260.4331085224,-1)</f>
        <v>35260</v>
      </c>
      <c r="E42" s="64">
        <f t="shared" si="1"/>
        <v>116560</v>
      </c>
    </row>
    <row r="43" spans="1:7" x14ac:dyDescent="0.3">
      <c r="A43" s="2">
        <v>4</v>
      </c>
      <c r="C43" s="38" t="s">
        <v>16</v>
      </c>
      <c r="D43" s="42">
        <f>TRUNC(72308.780502759,-1)</f>
        <v>72300</v>
      </c>
      <c r="E43" s="64">
        <f t="shared" si="1"/>
        <v>239000</v>
      </c>
    </row>
    <row r="44" spans="1:7" x14ac:dyDescent="0.3">
      <c r="A44" s="2">
        <v>5</v>
      </c>
      <c r="C44" s="38" t="s">
        <v>17</v>
      </c>
      <c r="D44" s="42">
        <f>TRUNC(25603.7142857143,-1)</f>
        <v>25600</v>
      </c>
      <c r="E44" s="64">
        <f t="shared" si="1"/>
        <v>84620</v>
      </c>
    </row>
    <row r="45" spans="1:7" x14ac:dyDescent="0.3">
      <c r="A45" s="2">
        <v>6</v>
      </c>
      <c r="C45" s="38" t="s">
        <v>18</v>
      </c>
      <c r="D45" s="42">
        <f>TRUNC(2632.29025137952,-1)</f>
        <v>2630</v>
      </c>
      <c r="E45" s="64">
        <f t="shared" si="1"/>
        <v>8690</v>
      </c>
    </row>
    <row r="46" spans="1:7" x14ac:dyDescent="0.3">
      <c r="A46" s="2">
        <v>7</v>
      </c>
      <c r="C46" s="38" t="s">
        <v>19</v>
      </c>
      <c r="D46" s="42">
        <f>TRUNC(20102.6529736358,-1)</f>
        <v>20100</v>
      </c>
      <c r="E46" s="64">
        <f t="shared" si="1"/>
        <v>66440</v>
      </c>
    </row>
    <row r="47" spans="1:7" x14ac:dyDescent="0.3">
      <c r="A47" s="2">
        <v>8</v>
      </c>
      <c r="C47" s="38" t="s">
        <v>20</v>
      </c>
      <c r="D47" s="42">
        <f>TRUNC(4265.96762722256,-1)</f>
        <v>4260</v>
      </c>
      <c r="E47" s="64">
        <f t="shared" si="1"/>
        <v>14080</v>
      </c>
    </row>
    <row r="48" spans="1:7" x14ac:dyDescent="0.3">
      <c r="A48" s="2">
        <v>9</v>
      </c>
      <c r="C48" s="38" t="s">
        <v>21</v>
      </c>
      <c r="D48" s="42">
        <f>TRUNC(51504.8481912937,-1)</f>
        <v>51500</v>
      </c>
      <c r="E48" s="64">
        <f t="shared" si="1"/>
        <v>170240</v>
      </c>
    </row>
    <row r="49" spans="1:7" x14ac:dyDescent="0.3">
      <c r="A49" s="2">
        <v>10</v>
      </c>
      <c r="C49" s="38" t="s">
        <v>22</v>
      </c>
      <c r="D49" s="42">
        <f>TRUNC(13851.0852237891,-1)</f>
        <v>13850</v>
      </c>
      <c r="E49" s="64">
        <f t="shared" si="1"/>
        <v>45780</v>
      </c>
    </row>
    <row r="50" spans="1:7" x14ac:dyDescent="0.3">
      <c r="A50" s="2">
        <v>11</v>
      </c>
      <c r="C50" s="38" t="s">
        <v>155</v>
      </c>
      <c r="D50" s="42">
        <f>TRUNC(34952.5591661557,-1)</f>
        <v>34950</v>
      </c>
      <c r="E50" s="64">
        <f t="shared" si="1"/>
        <v>115530</v>
      </c>
    </row>
    <row r="51" spans="1:7" x14ac:dyDescent="0.3">
      <c r="A51" s="2">
        <v>12</v>
      </c>
      <c r="C51" s="38" t="s">
        <v>23</v>
      </c>
      <c r="D51" s="42">
        <f>TRUNC(10783.625015328,-1)</f>
        <v>10780</v>
      </c>
      <c r="E51" s="64">
        <f t="shared" si="1"/>
        <v>35630</v>
      </c>
    </row>
    <row r="52" spans="1:7" x14ac:dyDescent="0.3">
      <c r="A52" s="2">
        <v>13</v>
      </c>
      <c r="C52" s="38" t="s">
        <v>24</v>
      </c>
      <c r="D52" s="42">
        <f>TRUNC(4541.01005518087,-1)</f>
        <v>4540</v>
      </c>
      <c r="E52" s="64">
        <f t="shared" si="1"/>
        <v>15000</v>
      </c>
    </row>
    <row r="53" spans="1:7" x14ac:dyDescent="0.3">
      <c r="A53" s="2">
        <v>14</v>
      </c>
      <c r="C53" s="38" t="s">
        <v>25</v>
      </c>
      <c r="D53" s="42">
        <f>TRUNC(55304.3329245861,-1)</f>
        <v>55300</v>
      </c>
      <c r="E53" s="64">
        <f t="shared" si="1"/>
        <v>182810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TRUNC(8215.98712446352,-1)</f>
        <v>8210</v>
      </c>
      <c r="E55" s="64">
        <f t="shared" si="1"/>
        <v>27140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TRUNC(1463.5110974862+968.044144696505+2145.83519313305+13182.186756591,-1)</f>
        <v>17750</v>
      </c>
      <c r="E58" s="64">
        <f t="shared" si="1"/>
        <v>58670</v>
      </c>
      <c r="F58" s="2" t="s">
        <v>248</v>
      </c>
    </row>
    <row r="59" spans="1:7" ht="17.25" thickBot="1" x14ac:dyDescent="0.35">
      <c r="A59" s="2">
        <v>20</v>
      </c>
      <c r="C59" s="38" t="s">
        <v>148</v>
      </c>
      <c r="D59" s="43">
        <f>TRUNC(117996.689147762,-1)</f>
        <v>117990</v>
      </c>
      <c r="E59" s="65">
        <f t="shared" si="1"/>
        <v>390050</v>
      </c>
    </row>
    <row r="60" spans="1:7" x14ac:dyDescent="0.3">
      <c r="A60" s="2">
        <v>21</v>
      </c>
      <c r="C60" s="27" t="s">
        <v>112</v>
      </c>
      <c r="D60" s="39">
        <f>SUM(D40:D59)</f>
        <v>600730</v>
      </c>
      <c r="E60" s="39">
        <f>SUM(E40:E59)</f>
        <v>1985800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259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TRUNC(1426.16223175966,-1)</f>
        <v>1420</v>
      </c>
      <c r="E63" s="63">
        <f>TRUNC(+D63*3.3058,-1)</f>
        <v>4690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TRUNC(8845.30962599632,-1)</f>
        <v>8840</v>
      </c>
      <c r="E65" s="65">
        <f>TRUNC(+D65*3.3058,-1)</f>
        <v>29220</v>
      </c>
    </row>
    <row r="66" spans="1:7" x14ac:dyDescent="0.3">
      <c r="A66" s="2">
        <v>4</v>
      </c>
      <c r="C66" s="27" t="s">
        <v>112</v>
      </c>
      <c r="D66" s="58">
        <f>SUM(D63:D65)</f>
        <v>10260</v>
      </c>
      <c r="E66" s="58">
        <f>SUM(E63:E65)</f>
        <v>33910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259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TRUNC(17505.2115266708,-1)</f>
        <v>17500</v>
      </c>
      <c r="E69" s="63">
        <f>TRUNC(+D69*3.3058,-1)</f>
        <v>57850</v>
      </c>
    </row>
    <row r="70" spans="1:7" ht="16.5" customHeight="1" x14ac:dyDescent="0.3">
      <c r="A70" s="2">
        <v>2</v>
      </c>
      <c r="C70" s="38" t="s">
        <v>31</v>
      </c>
      <c r="D70" s="42">
        <f>TRUNC(872.71612507664,-1)</f>
        <v>870</v>
      </c>
      <c r="E70" s="64">
        <f>TRUNC(+D70*3.3058,-1)</f>
        <v>2870</v>
      </c>
    </row>
    <row r="71" spans="1:7" x14ac:dyDescent="0.3">
      <c r="A71" s="2">
        <v>3</v>
      </c>
      <c r="C71" s="38" t="s">
        <v>32</v>
      </c>
      <c r="D71" s="42">
        <f>TRUNC(11957.0815450644,-1)</f>
        <v>11950</v>
      </c>
      <c r="E71" s="64">
        <f t="shared" ref="E71:E73" si="2">TRUNC(+D71*3.3058,-1)</f>
        <v>39500</v>
      </c>
    </row>
    <row r="72" spans="1:7" x14ac:dyDescent="0.3">
      <c r="A72" s="2">
        <v>4</v>
      </c>
      <c r="C72" s="38" t="s">
        <v>33</v>
      </c>
      <c r="D72" s="42">
        <f>TRUNC(7437.15511955855,-1)</f>
        <v>7430</v>
      </c>
      <c r="E72" s="64">
        <f t="shared" si="2"/>
        <v>24560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TRUNC(2099.08031882281,-1)</f>
        <v>2090</v>
      </c>
      <c r="E90" s="64">
        <f>TRUNC(+D90*3.3058,-1)</f>
        <v>6900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TRUNC(34974.2489270386,-1)</f>
        <v>34970</v>
      </c>
      <c r="E93" s="64">
        <f>TRUNC(+D93*3.3058,-1)</f>
        <v>115600</v>
      </c>
    </row>
    <row r="94" spans="1:7" ht="17.25" thickBot="1" x14ac:dyDescent="0.35">
      <c r="A94" s="2">
        <v>26</v>
      </c>
      <c r="C94" s="38" t="s">
        <v>47</v>
      </c>
      <c r="D94" s="43">
        <f>TRUNC(42310.2391171061+14577.8050275904+97.9767014101778+5394.11404046597,-1)</f>
        <v>62380</v>
      </c>
      <c r="E94" s="65">
        <f>TRUNC(+D94*3.3058,-1)</f>
        <v>206210</v>
      </c>
      <c r="F94" s="2" t="s">
        <v>249</v>
      </c>
    </row>
    <row r="95" spans="1:7" x14ac:dyDescent="0.3">
      <c r="A95" s="2">
        <v>27</v>
      </c>
      <c r="C95" s="27" t="s">
        <v>112</v>
      </c>
      <c r="D95" s="39">
        <f>SUM(D69:D94)</f>
        <v>137190</v>
      </c>
      <c r="E95" s="39">
        <f>SUM(E69:E94)</f>
        <v>453490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259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TRUNC(19028.5863887186,-1)</f>
        <v>19020</v>
      </c>
      <c r="E98" s="63">
        <f t="shared" ref="E98:E118" si="4">TRUNC(+D98*3.3058,-1)</f>
        <v>62870</v>
      </c>
    </row>
    <row r="99" spans="1:7" x14ac:dyDescent="0.3">
      <c r="A99" s="2">
        <v>2</v>
      </c>
      <c r="C99" s="38" t="s">
        <v>40</v>
      </c>
      <c r="D99" s="42">
        <f>TRUNC(5301.85861434703,-1)</f>
        <v>5300</v>
      </c>
      <c r="E99" s="64">
        <f t="shared" si="4"/>
        <v>17520</v>
      </c>
    </row>
    <row r="100" spans="1:7" x14ac:dyDescent="0.3">
      <c r="A100" s="2">
        <v>3</v>
      </c>
      <c r="C100" s="38" t="s">
        <v>41</v>
      </c>
      <c r="D100" s="42">
        <f>TRUNC(14483.1253218884,-1)</f>
        <v>14480</v>
      </c>
      <c r="E100" s="64">
        <f t="shared" si="4"/>
        <v>47860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TRUNC(6547.13157572042,-1)</f>
        <v>6540</v>
      </c>
      <c r="E102" s="64">
        <f t="shared" si="4"/>
        <v>21610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TRUNC(1731.78503985285,-1)</f>
        <v>1730</v>
      </c>
      <c r="E104" s="64">
        <f t="shared" si="4"/>
        <v>5710</v>
      </c>
    </row>
    <row r="105" spans="1:7" x14ac:dyDescent="0.3">
      <c r="A105" s="2">
        <v>8</v>
      </c>
      <c r="C105" s="38" t="s">
        <v>46</v>
      </c>
      <c r="D105" s="42">
        <f>TRUNC(3455.84696505212,-1)</f>
        <v>3450</v>
      </c>
      <c r="E105" s="64">
        <f t="shared" si="4"/>
        <v>11400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TRUNC(1936.6555487431,-1)</f>
        <v>1930</v>
      </c>
      <c r="E114" s="64">
        <f t="shared" si="4"/>
        <v>6380</v>
      </c>
      <c r="F114" s="2" t="s">
        <v>250</v>
      </c>
    </row>
    <row r="115" spans="1:7" x14ac:dyDescent="0.3">
      <c r="A115" s="2">
        <v>18</v>
      </c>
      <c r="C115" s="38" t="s">
        <v>116</v>
      </c>
      <c r="D115" s="42">
        <f>TRUNC(8618.43114653587,-1)</f>
        <v>8610</v>
      </c>
      <c r="E115" s="64">
        <f t="shared" si="4"/>
        <v>28460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TRUNC(6161.70889025138+576.562477007971+73.9717964438994,-1)</f>
        <v>6810</v>
      </c>
      <c r="E118" s="65">
        <f t="shared" si="4"/>
        <v>22510</v>
      </c>
      <c r="F118" s="2" t="s">
        <v>251</v>
      </c>
    </row>
    <row r="119" spans="1:7" x14ac:dyDescent="0.3">
      <c r="A119" s="2">
        <v>22</v>
      </c>
      <c r="C119" s="27" t="s">
        <v>112</v>
      </c>
      <c r="D119" s="39">
        <f>SUM(D98:D118)</f>
        <v>67870</v>
      </c>
      <c r="E119" s="39">
        <f>SUM(E98:E118)</f>
        <v>224320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259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TRUNC(2151.90239117106,-1)</f>
        <v>2150</v>
      </c>
      <c r="E122" s="63">
        <f t="shared" ref="E122:E132" si="5">TRUNC(+D122*3.3058,-1)</f>
        <v>7100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TRUNC(959.083384426732,-1)</f>
        <v>950</v>
      </c>
      <c r="E124" s="64">
        <f t="shared" si="5"/>
        <v>3140</v>
      </c>
      <c r="F124" s="2" t="s">
        <v>252</v>
      </c>
    </row>
    <row r="125" spans="1:7" x14ac:dyDescent="0.3">
      <c r="A125" s="2">
        <v>4</v>
      </c>
      <c r="C125" s="38" t="s">
        <v>138</v>
      </c>
      <c r="D125" s="42">
        <f>TRUNC(4989.58651134273,-1)</f>
        <v>4980</v>
      </c>
      <c r="E125" s="64">
        <f t="shared" si="5"/>
        <v>16460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TRUNC(4021.64389944819,-1)</f>
        <v>4020</v>
      </c>
      <c r="E128" s="64">
        <f t="shared" si="5"/>
        <v>13280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TRUNC(21151.9012875535,-1)</f>
        <v>21150</v>
      </c>
      <c r="E130" s="64">
        <f t="shared" si="5"/>
        <v>69910</v>
      </c>
    </row>
    <row r="131" spans="1:7" x14ac:dyDescent="0.3">
      <c r="A131" s="2">
        <v>10</v>
      </c>
      <c r="C131" s="38" t="s">
        <v>148</v>
      </c>
      <c r="D131" s="42">
        <f>TRUNC(11606.3764561619,-1)</f>
        <v>11600</v>
      </c>
      <c r="E131" s="64">
        <f t="shared" si="5"/>
        <v>38340</v>
      </c>
    </row>
    <row r="132" spans="1:7" ht="17.25" thickBot="1" x14ac:dyDescent="0.35">
      <c r="A132" s="2">
        <v>11</v>
      </c>
      <c r="C132" s="38" t="s">
        <v>47</v>
      </c>
      <c r="D132" s="43">
        <f>TRUNC(469.071857755978+3024.64745554874,-1)</f>
        <v>3490</v>
      </c>
      <c r="E132" s="65">
        <f t="shared" si="5"/>
        <v>11530</v>
      </c>
    </row>
    <row r="133" spans="1:7" x14ac:dyDescent="0.3">
      <c r="A133" s="2">
        <v>12</v>
      </c>
      <c r="C133" s="27" t="s">
        <v>112</v>
      </c>
      <c r="D133" s="39">
        <f>SUM(D122:D132)</f>
        <v>48340</v>
      </c>
      <c r="E133" s="39">
        <f>SUM(E122:E132)</f>
        <v>159760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f>TRUNC(8816.4316370325,-1)</f>
        <v>8810</v>
      </c>
      <c r="E136" s="63">
        <f t="shared" ref="E136:E145" si="6">TRUNC(+D136*3.3058,-1)</f>
        <v>29120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TRUNC(1707.35095033722,-1)</f>
        <v>1700</v>
      </c>
      <c r="E143" s="64">
        <f t="shared" si="6"/>
        <v>5610</v>
      </c>
    </row>
    <row r="144" spans="1:7" x14ac:dyDescent="0.3">
      <c r="A144" s="2">
        <v>9</v>
      </c>
      <c r="C144" s="38" t="s">
        <v>63</v>
      </c>
      <c r="D144" s="42">
        <f>TRUNC(6333.02084610668,-1)</f>
        <v>6330</v>
      </c>
      <c r="E144" s="64">
        <f t="shared" si="6"/>
        <v>20920</v>
      </c>
    </row>
    <row r="145" spans="1:7" ht="17.25" thickBot="1" x14ac:dyDescent="0.35">
      <c r="A145" s="2">
        <v>10</v>
      </c>
      <c r="C145" s="38" t="s">
        <v>148</v>
      </c>
      <c r="D145" s="43">
        <f>TRUNC(12512.5689760883+71627.2225628449,-1)</f>
        <v>84130</v>
      </c>
      <c r="E145" s="65">
        <f t="shared" si="6"/>
        <v>278110</v>
      </c>
    </row>
    <row r="146" spans="1:7" x14ac:dyDescent="0.3">
      <c r="A146" s="2">
        <v>11</v>
      </c>
      <c r="C146" s="27" t="s">
        <v>112</v>
      </c>
      <c r="D146" s="39">
        <f>SUM(D136:D145)</f>
        <v>100970</v>
      </c>
      <c r="E146" s="39">
        <f>SUM(E136:E145)</f>
        <v>333760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TRUNC(4255.33194359289+712.987001839362,-1)</f>
        <v>4960</v>
      </c>
      <c r="E149" s="63">
        <f>TRUNC(+D149*3.3058,-1)</f>
        <v>16390</v>
      </c>
      <c r="F149" s="2" t="s">
        <v>254</v>
      </c>
    </row>
    <row r="150" spans="1:7" x14ac:dyDescent="0.3">
      <c r="A150" s="2">
        <v>2</v>
      </c>
      <c r="C150" s="38" t="s">
        <v>49</v>
      </c>
      <c r="D150" s="42">
        <f>TRUNC(5707.32887798896,-1)</f>
        <v>5700</v>
      </c>
      <c r="E150" s="64">
        <f>TRUNC(+D150*3.3058,-1)</f>
        <v>18840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TRUNC(69.504475781729+193.337461679951,-1)</f>
        <v>260</v>
      </c>
      <c r="E152" s="64">
        <f>TRUNC(+D152*3.3058,-1)</f>
        <v>850</v>
      </c>
      <c r="F152" s="57" t="s">
        <v>255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10920</v>
      </c>
      <c r="E154" s="39">
        <f>SUM(E149:E153)</f>
        <v>36080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TRUNC(9786.4256284488,-1)</f>
        <v>9780</v>
      </c>
      <c r="E157" s="63">
        <f>TRUNC(+D157*3.3058,-1)</f>
        <v>32330</v>
      </c>
    </row>
    <row r="158" spans="1:7" x14ac:dyDescent="0.3">
      <c r="A158" s="2">
        <v>2</v>
      </c>
      <c r="C158" s="38" t="s">
        <v>52</v>
      </c>
      <c r="D158" s="42">
        <f>TRUNC(12162.6913549969,-1)</f>
        <v>12160</v>
      </c>
      <c r="E158" s="64">
        <f>TRUNC(+D158*3.3058,-1)</f>
        <v>40190</v>
      </c>
    </row>
    <row r="159" spans="1:7" x14ac:dyDescent="0.3">
      <c r="A159" s="2">
        <v>3</v>
      </c>
      <c r="C159" s="38" t="s">
        <v>47</v>
      </c>
      <c r="D159" s="42">
        <f>TRUNC(8864.41814837523+24.7123237277744,-1)</f>
        <v>8880</v>
      </c>
      <c r="E159" s="64">
        <f>TRUNC(+D159*3.3058,-1)</f>
        <v>29350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30820</v>
      </c>
      <c r="E161" s="39">
        <f>SUM(E157:E160)</f>
        <v>101870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2020-12-07T09:02:06Z</dcterms:modified>
</cp:coreProperties>
</file>