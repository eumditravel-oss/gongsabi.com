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3" i="4"/>
  <c r="E145" i="4"/>
  <c r="E141" i="4"/>
  <c r="E140" i="4"/>
  <c r="E139" i="4"/>
  <c r="E138" i="4"/>
  <c r="E136" i="4"/>
  <c r="E129" i="4"/>
  <c r="E123" i="4"/>
  <c r="E115" i="4"/>
  <c r="E114" i="4"/>
  <c r="E113" i="4"/>
  <c r="E112" i="4"/>
  <c r="E111" i="4"/>
  <c r="E110" i="4"/>
  <c r="E109" i="4"/>
  <c r="E108" i="4"/>
  <c r="E107" i="4"/>
  <c r="E106" i="4"/>
  <c r="E104" i="4"/>
  <c r="E103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2" i="4"/>
  <c r="E70" i="4"/>
  <c r="E65" i="4"/>
  <c r="E64" i="4"/>
  <c r="E63" i="4"/>
  <c r="E66" i="4" s="1"/>
  <c r="E57" i="4"/>
  <c r="E56" i="4"/>
  <c r="E55" i="4"/>
  <c r="E54" i="4"/>
  <c r="E51" i="4"/>
  <c r="E47" i="4"/>
  <c r="E43" i="4"/>
  <c r="E42" i="4"/>
  <c r="E37" i="4"/>
  <c r="D159" i="4" l="1"/>
  <c r="E159" i="4" s="1"/>
  <c r="D157" i="4"/>
  <c r="E157" i="4" s="1"/>
  <c r="E161" i="4" s="1"/>
  <c r="D152" i="4"/>
  <c r="E152" i="4" s="1"/>
  <c r="D151" i="4"/>
  <c r="E151" i="4" s="1"/>
  <c r="D150" i="4"/>
  <c r="E150" i="4" s="1"/>
  <c r="D149" i="4"/>
  <c r="E149" i="4" s="1"/>
  <c r="D144" i="4"/>
  <c r="E144" i="4" s="1"/>
  <c r="D143" i="4"/>
  <c r="E143" i="4" s="1"/>
  <c r="D142" i="4"/>
  <c r="E142" i="4" s="1"/>
  <c r="D137" i="4"/>
  <c r="E137" i="4" s="1"/>
  <c r="E146" i="4" s="1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6" i="4"/>
  <c r="E116" i="4" s="1"/>
  <c r="D105" i="4"/>
  <c r="E105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4" i="4"/>
  <c r="E94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1" i="4"/>
  <c r="E71" i="4" s="1"/>
  <c r="D69" i="4"/>
  <c r="E69" i="4" s="1"/>
  <c r="D58" i="4"/>
  <c r="E58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1" i="4"/>
  <c r="E41" i="4" s="1"/>
  <c r="D40" i="4"/>
  <c r="E40" i="4" s="1"/>
  <c r="E154" i="4" l="1"/>
  <c r="E60" i="4"/>
  <c r="E95" i="4"/>
  <c r="E133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<sst xmlns="http://schemas.openxmlformats.org/spreadsheetml/2006/main" count="397" uniqueCount="268">
  <si>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</si>
  <si>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</si>
  <si>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</si>
  <si>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</si>
  <si>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</si>
  <si>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</si>
  <si>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</si>
  <si>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</si>
  <si>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</si>
  <si>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</si>
  <si>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</si>
  <si>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</si>
  <si>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</si>
  <si>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</si>
  <si>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</si>
  <si>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</si>
  <si>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</si>
  <si>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</si>
  <si>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</si>
  <si>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</si>
  <si>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</si>
  <si>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</si>
  <si>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</si>
  <si>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</si>
  <si>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</si>
  <si>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</si>
  <si>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</si>
  <si>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</si>
  <si>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</si>
  <si>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</si>
  <si>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</si>
  <si>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</si>
  <si>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</si>
  <si>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</si>
  <si>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</si>
  <si>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</si>
  <si>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</si>
  <si>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</si>
  <si>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</si>
  <si>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</si>
  <si>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</si>
  <si>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</si>
  <si>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</si>
  <si>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</si>
  <si>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</si>
  <si>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</si>
  <si>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</si>
  <si>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</si>
  <si>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</si>
  <si>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</si>
  <si>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</si>
  <si>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</si>
  <si>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</si>
  <si>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</si>
  <si>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</si>
  <si>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</si>
  <si>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</si>
  <si>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</si>
  <si>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</si>
  <si>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</si>
  <si>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</si>
  <si>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</si>
  <si>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</si>
  <si>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</si>
  <si>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</si>
  <si>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</si>
  <si>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</si>
  <si>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</si>
  <si>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</si>
  <si>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</si>
  <si>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</si>
  <si>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</si>
  <si>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</si>
  <si>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</si>
  <si>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</si>
  <si>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</si>
  <si>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</si>
  <si>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</si>
  <si>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</si>
  <si>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</si>
  <si>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</si>
  <si>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</si>
  <si>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</si>
  <si>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</si>
  <si>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</si>
  <si>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</si>
  <si>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</si>
  <si>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</si>
  <si>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</si>
  <si>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</si>
  <si>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</si>
  <si>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</si>
  <si>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</si>
  <si>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</si>
  <si>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</si>
  <si>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</si>
  <si>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</si>
  <si>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</si>
  <si>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</si>
  <si>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</si>
  <si>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</si>
  <si>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</si>
  <si>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</si>
  <si>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</si>
  <si>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</si>
  <si>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</si>
  <si>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</si>
  <si>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</si>
  <si>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</si>
  <si>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</si>
  <si>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</si>
  <si>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</si>
  <si>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</si>
  <si>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</si>
  <si>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</si>
  <si>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</si>
  <si>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</si>
  <si>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</si>
  <si>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</si>
  <si>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</si>
  <si>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</si>
  <si>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</si>
  <si>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</si>
  <si>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</si>
  <si>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</si>
  <si>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</si>
  <si>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</si>
  <si>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</si>
  <si>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</si>
  <si>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</si>
  <si>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</si>
  <si>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</si>
  <si>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</si>
  <si>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</si>
  <si>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</si>
  <si>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</si>
  <si>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</si>
  <si>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</si>
  <si>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</si>
  <si>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</si>
  <si>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</si>
  <si>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</si>
  <si>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</si>
  <si>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</si>
  <si>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</si>
  <si>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</si>
  <si>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</si>
  <si>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</si>
  <si>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</si>
  <si>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</si>
  <si>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</si>
  <si>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</si>
  <si>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</si>
  <si>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</si>
  <si>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</si>
  <si>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</si>
  <si>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</si>
  <si>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</si>
  <si>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</si>
  <si>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</si>
  <si>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</si>
  <si>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</si>
  <si>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</si>
  <si>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</si>
  <si>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</si>
  <si>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</si>
  <si>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</si>
  <si>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</si>
  <si>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</si>
  <si>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</si>
  <si>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</si>
  <si>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</si>
  <si>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</si>
  <si>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</si>
  <si>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</si>
  <si>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</si>
  <si>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</si>
  <si>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</si>
  <si>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</si>
  <si>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</si>
  <si>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</si>
  <si>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</si>
  <si>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</si>
  <si>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</si>
  <si>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</si>
  <si>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</si>
  <si>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</si>
  <si>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</si>
  <si>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</si>
  <si>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</si>
  <si>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</si>
  <si>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</si>
  <si>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</si>
  <si>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</si>
  <si>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</si>
  <si>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</si>
  <si>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</si>
  <si>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</si>
  <si>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</si>
  <si>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</si>
  <si>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</si>
  <si>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</si>
  <si>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</si>
  <si>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</si>
  <si>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</si>
  <si>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</si>
  <si>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</si>
  <si>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</si>
  <si>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</si>
  <si>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</si>
  <si>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</si>
  <si>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</si>
  <si>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</si>
  <si>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</si>
  <si>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</si>
  <si>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</si>
  <si>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</si>
  <si>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</si>
  <si>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</si>
  <si>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</si>
  <si>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</si>
  <si>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</si>
  <si>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</si>
  <si>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</si>
  <si>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</si>
  <si>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</si>
  <si>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</si>
  <si>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</si>
  <si>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</si>
  <si>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</si>
  <si>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</si>
  <si>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</si>
  <si>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</si>
  <si>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</si>
  <si>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</si>
  <si>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</si>
  <si>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</si>
  <si>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</si>
  <si>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</si>
  <si>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</si>
  <si>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</si>
  <si>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</si>
  <si>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</si>
  <si>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</si>
  <si>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</si>
  <si>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</si>
  <si>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</si>
  <si>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</si>
  <si>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</si>
  <si>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</si>
  <si>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</si>
  <si>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작업부산물,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</si>
  <si>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</si>
  <si>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</si>
  <si>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</si>
  <si>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</si>
  <si>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토목 사급자재비, 운반비, 기타공사</t>
    <phoneticPr fontId="2" type="noConversion"/>
  </si>
  <si>
    <t>교육연구</t>
  </si>
  <si>
    <t>전기인입 및 수변전 설비공사</t>
    <phoneticPr fontId="2" type="noConversion"/>
  </si>
  <si>
    <t>노후화학동 증축공사</t>
    <phoneticPr fontId="2" type="noConversion"/>
  </si>
  <si>
    <t>대전시</t>
  </si>
  <si>
    <t>공조배관공사,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</si>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</sst>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31" sqref="C3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4409.7700000000004</v>
      </c>
      <c r="D7" s="36">
        <f>+C7/3.3058</f>
        <v>1333.9494222276001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1192140</v>
      </c>
      <c r="E25" s="58">
        <f t="shared" si="0"/>
        <v>3940970</v>
      </c>
    </row>
    <row r="26" spans="1:5" x14ac:dyDescent="0.3">
      <c r="B26" s="2">
        <v>3</v>
      </c>
      <c r="C26" s="35" t="s">
        <v>95</v>
      </c>
      <c r="D26" s="45">
        <f>+D66</f>
        <v>33770</v>
      </c>
      <c r="E26" s="58">
        <f t="shared" si="0"/>
        <v>111630</v>
      </c>
    </row>
    <row r="27" spans="1:5" x14ac:dyDescent="0.3">
      <c r="B27" s="2">
        <v>4</v>
      </c>
      <c r="C27" s="35" t="s">
        <v>96</v>
      </c>
      <c r="D27" s="45">
        <f>+D95</f>
        <v>258570</v>
      </c>
      <c r="E27" s="58">
        <f t="shared" si="0"/>
        <v>854780</v>
      </c>
    </row>
    <row r="28" spans="1:5" x14ac:dyDescent="0.3">
      <c r="B28" s="2">
        <v>5</v>
      </c>
      <c r="C28" s="35" t="s">
        <v>97</v>
      </c>
      <c r="D28" s="45">
        <f>+D119</f>
        <v>484340</v>
      </c>
      <c r="E28" s="58">
        <f t="shared" si="0"/>
        <v>1601130</v>
      </c>
    </row>
    <row r="29" spans="1:5" x14ac:dyDescent="0.3">
      <c r="B29" s="2">
        <v>6</v>
      </c>
      <c r="C29" s="35" t="s">
        <v>98</v>
      </c>
      <c r="D29" s="45">
        <f>+D133</f>
        <v>74850</v>
      </c>
      <c r="E29" s="58">
        <f t="shared" si="0"/>
        <v>247430</v>
      </c>
    </row>
    <row r="30" spans="1:5" x14ac:dyDescent="0.3">
      <c r="B30" s="2">
        <v>7</v>
      </c>
      <c r="C30" s="35" t="s">
        <v>99</v>
      </c>
      <c r="D30" s="45">
        <f>+D146</f>
        <v>31240</v>
      </c>
      <c r="E30" s="58">
        <f t="shared" si="0"/>
        <v>103270</v>
      </c>
    </row>
    <row r="31" spans="1:5" x14ac:dyDescent="0.3">
      <c r="B31" s="2">
        <v>8</v>
      </c>
      <c r="C31" s="35" t="s">
        <v>100</v>
      </c>
      <c r="D31" s="45">
        <f>+D154</f>
        <v>39350</v>
      </c>
      <c r="E31" s="58">
        <f t="shared" si="0"/>
        <v>130080</v>
      </c>
    </row>
    <row r="32" spans="1:5" x14ac:dyDescent="0.3">
      <c r="B32" s="2">
        <v>9</v>
      </c>
      <c r="C32" s="35" t="s">
        <v>101</v>
      </c>
      <c r="D32" s="45">
        <f>+D161</f>
        <v>12400</v>
      </c>
      <c r="E32" s="58">
        <f t="shared" si="0"/>
        <v>40990</v>
      </c>
    </row>
    <row r="33" spans="1:7" x14ac:dyDescent="0.3">
      <c r="B33" s="2">
        <v>10</v>
      </c>
      <c r="C33" s="35" t="s">
        <v>154</v>
      </c>
      <c r="D33" s="53">
        <f>TRUNC(SUM(D24:D32)*0.275,-1)</f>
        <v>584830</v>
      </c>
      <c r="E33" s="59">
        <f t="shared" si="0"/>
        <v>1933330</v>
      </c>
    </row>
    <row r="34" spans="1:7" x14ac:dyDescent="0.3">
      <c r="C34" s="35" t="s">
        <v>112</v>
      </c>
      <c r="D34" s="44">
        <f>SUM(D24:D33)</f>
        <v>2711490</v>
      </c>
      <c r="E34" s="44">
        <f>SUM(E24:E33)</f>
        <v>8963610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263</v>
      </c>
      <c r="E39" s="66" t="s">
        <v>264</v>
      </c>
      <c r="G39" s="67"/>
    </row>
    <row r="40" spans="1:7" x14ac:dyDescent="0.3">
      <c r="A40" s="2">
        <v>1</v>
      </c>
      <c r="C40" s="38" t="s">
        <v>15</v>
      </c>
      <c r="D40" s="40">
        <f>TRUNC(46716,-1)</f>
        <v>46710</v>
      </c>
      <c r="E40" s="61">
        <f t="shared" ref="E40:E59" si="1">TRUNC(+D40*3.3058,-1)</f>
        <v>154410</v>
      </c>
    </row>
    <row r="41" spans="1:7" x14ac:dyDescent="0.3">
      <c r="A41" s="2">
        <v>2</v>
      </c>
      <c r="C41" s="38" t="s">
        <v>13</v>
      </c>
      <c r="D41" s="42">
        <f>TRUNC(184229,-1)</f>
        <v>184220</v>
      </c>
      <c r="E41" s="62">
        <f t="shared" si="1"/>
        <v>608990</v>
      </c>
    </row>
    <row r="42" spans="1:7" x14ac:dyDescent="0.3">
      <c r="A42" s="2">
        <v>3</v>
      </c>
      <c r="C42" s="38" t="s">
        <v>14</v>
      </c>
      <c r="D42" s="42">
        <v>4640</v>
      </c>
      <c r="E42" s="62">
        <f t="shared" si="1"/>
        <v>15330</v>
      </c>
    </row>
    <row r="43" spans="1:7" x14ac:dyDescent="0.3">
      <c r="A43" s="2">
        <v>4</v>
      </c>
      <c r="C43" s="38" t="s">
        <v>16</v>
      </c>
      <c r="D43" s="42">
        <v>4550</v>
      </c>
      <c r="E43" s="62">
        <f t="shared" si="1"/>
        <v>15040</v>
      </c>
    </row>
    <row r="44" spans="1:7" x14ac:dyDescent="0.3">
      <c r="A44" s="2">
        <v>5</v>
      </c>
      <c r="C44" s="38" t="s">
        <v>17</v>
      </c>
      <c r="D44" s="42">
        <f>TRUNC(58349,-1)</f>
        <v>58340</v>
      </c>
      <c r="E44" s="62">
        <f t="shared" si="1"/>
        <v>192860</v>
      </c>
    </row>
    <row r="45" spans="1:7" x14ac:dyDescent="0.3">
      <c r="A45" s="2">
        <v>6</v>
      </c>
      <c r="C45" s="38" t="s">
        <v>18</v>
      </c>
      <c r="D45" s="42">
        <f>TRUNC(372,-1)</f>
        <v>370</v>
      </c>
      <c r="E45" s="62">
        <f t="shared" si="1"/>
        <v>1220</v>
      </c>
    </row>
    <row r="46" spans="1:7" x14ac:dyDescent="0.3">
      <c r="A46" s="2">
        <v>7</v>
      </c>
      <c r="C46" s="38" t="s">
        <v>19</v>
      </c>
      <c r="D46" s="42">
        <f>TRUNC(64877,-1)</f>
        <v>64870</v>
      </c>
      <c r="E46" s="62">
        <f t="shared" si="1"/>
        <v>214440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TRUNC(52052,-1)</f>
        <v>52050</v>
      </c>
      <c r="E48" s="62">
        <f t="shared" si="1"/>
        <v>172060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TRUNC(7604,-1)</f>
        <v>7600</v>
      </c>
      <c r="E49" s="62">
        <f t="shared" si="1"/>
        <v>25120</v>
      </c>
    </row>
    <row r="50" spans="1:7" x14ac:dyDescent="0.3">
      <c r="A50" s="2">
        <v>11</v>
      </c>
      <c r="C50" s="38" t="s">
        <v>155</v>
      </c>
      <c r="D50" s="42">
        <f>TRUNC(52719,-1)</f>
        <v>52710</v>
      </c>
      <c r="E50" s="62">
        <f t="shared" si="1"/>
        <v>174240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TRUNC(16979,-1)</f>
        <v>16970</v>
      </c>
      <c r="E52" s="62">
        <f t="shared" si="1"/>
        <v>56090</v>
      </c>
    </row>
    <row r="53" spans="1:7" x14ac:dyDescent="0.3">
      <c r="A53" s="2">
        <v>14</v>
      </c>
      <c r="C53" s="38" t="s">
        <v>25</v>
      </c>
      <c r="D53" s="42">
        <f>TRUNC(186207,-1)</f>
        <v>186200</v>
      </c>
      <c r="E53" s="62">
        <f t="shared" si="1"/>
        <v>615530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TRUNC(7810+4467-735+22527,-1)</f>
        <v>34060</v>
      </c>
      <c r="E58" s="62">
        <f t="shared" si="1"/>
        <v>112590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TRUNC(478852,-1)</f>
        <v>478850</v>
      </c>
      <c r="E59" s="63">
        <f t="shared" si="1"/>
        <v>1582980</v>
      </c>
    </row>
    <row r="60" spans="1:7" x14ac:dyDescent="0.3">
      <c r="A60" s="2">
        <v>21</v>
      </c>
      <c r="C60" s="27" t="s">
        <v>112</v>
      </c>
      <c r="D60" s="39">
        <f>SUM(D40:D59)</f>
        <v>1192140</v>
      </c>
      <c r="E60" s="39">
        <f>SUM(E40:E59)</f>
        <v>3940900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22320</v>
      </c>
      <c r="E63" s="61">
        <f>TRUNC(+D63*3.3058,-1)</f>
        <v>73780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11450</v>
      </c>
      <c r="E65" s="63">
        <f>TRUNC(+D65*3.3058,-1)</f>
        <v>37850</v>
      </c>
    </row>
    <row r="66" spans="1:7" x14ac:dyDescent="0.3">
      <c r="A66" s="2">
        <v>4</v>
      </c>
      <c r="C66" s="27" t="s">
        <v>112</v>
      </c>
      <c r="D66" s="39">
        <f>SUM(D63:D65)</f>
        <v>33770</v>
      </c>
      <c r="E66" s="64">
        <f>SUM(E63:E65)</f>
        <v>111630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TRUNC(9059,-1)</f>
        <v>9050</v>
      </c>
      <c r="E69" s="61">
        <f t="shared" ref="E69:E94" si="2">TRUNC(+D69*3.3058,-1)</f>
        <v>29910</v>
      </c>
    </row>
    <row r="70" spans="1:7" ht="16.5" customHeight="1" x14ac:dyDescent="0.3">
      <c r="A70" s="2">
        <v>2</v>
      </c>
      <c r="C70" s="38" t="s">
        <v>31</v>
      </c>
      <c r="D70" s="42">
        <v>1830</v>
      </c>
      <c r="E70" s="62">
        <f t="shared" si="2"/>
        <v>6040</v>
      </c>
    </row>
    <row r="71" spans="1:7" x14ac:dyDescent="0.3">
      <c r="A71" s="2">
        <v>3</v>
      </c>
      <c r="C71" s="38" t="s">
        <v>32</v>
      </c>
      <c r="D71" s="42">
        <f>TRUNC(78074,-1)</f>
        <v>78070</v>
      </c>
      <c r="E71" s="62">
        <f t="shared" si="2"/>
        <v>258080</v>
      </c>
    </row>
    <row r="72" spans="1:7" x14ac:dyDescent="0.3">
      <c r="A72" s="2">
        <v>4</v>
      </c>
      <c r="C72" s="38" t="s">
        <v>33</v>
      </c>
      <c r="D72" s="42">
        <v>2100</v>
      </c>
      <c r="E72" s="62">
        <f t="shared" si="2"/>
        <v>6940</v>
      </c>
    </row>
    <row r="73" spans="1:7" x14ac:dyDescent="0.3">
      <c r="A73" s="2">
        <v>5</v>
      </c>
      <c r="C73" s="38" t="s">
        <v>34</v>
      </c>
      <c r="D73" s="42">
        <f>TRUNC(9038,-1)</f>
        <v>9030</v>
      </c>
      <c r="E73" s="62">
        <f t="shared" si="2"/>
        <v>29850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TRUNC(4377,-1)</f>
        <v>4370</v>
      </c>
      <c r="E75" s="62">
        <f t="shared" si="2"/>
        <v>14440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TRUNC(7087,-1)</f>
        <v>7080</v>
      </c>
      <c r="E89" s="62">
        <f t="shared" si="2"/>
        <v>23400</v>
      </c>
    </row>
    <row r="90" spans="1:7" x14ac:dyDescent="0.3">
      <c r="A90" s="2">
        <v>22</v>
      </c>
      <c r="C90" s="38" t="s">
        <v>36</v>
      </c>
      <c r="D90" s="42">
        <f>TRUNC(3737,-1)</f>
        <v>3730</v>
      </c>
      <c r="E90" s="62">
        <f t="shared" si="2"/>
        <v>12330</v>
      </c>
    </row>
    <row r="91" spans="1:7" x14ac:dyDescent="0.3">
      <c r="A91" s="2">
        <v>23</v>
      </c>
      <c r="C91" s="38" t="s">
        <v>37</v>
      </c>
      <c r="D91" s="42">
        <f>TRUNC(97617,-1)</f>
        <v>97610</v>
      </c>
      <c r="E91" s="62">
        <f t="shared" si="2"/>
        <v>322670</v>
      </c>
    </row>
    <row r="92" spans="1:7" x14ac:dyDescent="0.3">
      <c r="A92" s="2">
        <v>24</v>
      </c>
      <c r="C92" s="38" t="s">
        <v>38</v>
      </c>
      <c r="D92" s="42">
        <f>TRUNC(5325,-1)</f>
        <v>5320</v>
      </c>
      <c r="E92" s="62">
        <f t="shared" si="2"/>
        <v>17580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TRUNC(33781+6601,-1)</f>
        <v>40380</v>
      </c>
      <c r="E94" s="63">
        <f t="shared" si="2"/>
        <v>133480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258570</v>
      </c>
      <c r="E95" s="39">
        <f>SUM(E69:E94)</f>
        <v>854720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TRUNC(35553,-1)</f>
        <v>35550</v>
      </c>
      <c r="E98" s="61">
        <f t="shared" ref="E98:E118" si="3">TRUNC(+D98*3.3058,-1)</f>
        <v>117520</v>
      </c>
    </row>
    <row r="99" spans="1:7" x14ac:dyDescent="0.3">
      <c r="A99" s="2">
        <v>2</v>
      </c>
      <c r="C99" s="38" t="s">
        <v>40</v>
      </c>
      <c r="D99" s="42">
        <f>TRUNC(20334,-1)</f>
        <v>20330</v>
      </c>
      <c r="E99" s="62">
        <f t="shared" si="3"/>
        <v>67200</v>
      </c>
    </row>
    <row r="100" spans="1:7" x14ac:dyDescent="0.3">
      <c r="A100" s="2">
        <v>3</v>
      </c>
      <c r="C100" s="38" t="s">
        <v>41</v>
      </c>
      <c r="D100" s="42">
        <f>TRUNC(27464,-1)</f>
        <v>27460</v>
      </c>
      <c r="E100" s="62">
        <f t="shared" si="3"/>
        <v>90770</v>
      </c>
    </row>
    <row r="101" spans="1:7" x14ac:dyDescent="0.3">
      <c r="A101" s="2">
        <v>4</v>
      </c>
      <c r="C101" s="38" t="s">
        <v>42</v>
      </c>
      <c r="D101" s="42">
        <f>TRUNC(3175,-1)</f>
        <v>3170</v>
      </c>
      <c r="E101" s="62">
        <f t="shared" si="3"/>
        <v>10470</v>
      </c>
    </row>
    <row r="102" spans="1:7" x14ac:dyDescent="0.3">
      <c r="A102" s="2">
        <v>5</v>
      </c>
      <c r="C102" s="38" t="s">
        <v>43</v>
      </c>
      <c r="D102" s="42">
        <f>TRUNC(24101,-1)</f>
        <v>24100</v>
      </c>
      <c r="E102" s="62">
        <f t="shared" si="3"/>
        <v>79660</v>
      </c>
    </row>
    <row r="103" spans="1:7" x14ac:dyDescent="0.3">
      <c r="A103" s="2">
        <v>6</v>
      </c>
      <c r="C103" s="38" t="s">
        <v>44</v>
      </c>
      <c r="D103" s="42">
        <v>4260</v>
      </c>
      <c r="E103" s="62">
        <f t="shared" si="3"/>
        <v>14080</v>
      </c>
    </row>
    <row r="104" spans="1:7" x14ac:dyDescent="0.3">
      <c r="A104" s="2">
        <v>7</v>
      </c>
      <c r="C104" s="38" t="s">
        <v>45</v>
      </c>
      <c r="D104" s="42">
        <v>28980</v>
      </c>
      <c r="E104" s="62">
        <f t="shared" si="3"/>
        <v>95800</v>
      </c>
    </row>
    <row r="105" spans="1:7" x14ac:dyDescent="0.3">
      <c r="A105" s="2">
        <v>8</v>
      </c>
      <c r="C105" s="38" t="s">
        <v>46</v>
      </c>
      <c r="D105" s="42">
        <f>TRUNC(10785,-1)</f>
        <v>10780</v>
      </c>
      <c r="E105" s="62">
        <f t="shared" si="3"/>
        <v>35630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TRUNC(27205,-1)</f>
        <v>27200</v>
      </c>
      <c r="E116" s="62">
        <f t="shared" si="3"/>
        <v>89910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TRUNC(266452,-1)</f>
        <v>266450</v>
      </c>
      <c r="E117" s="62">
        <f t="shared" si="3"/>
        <v>880830</v>
      </c>
    </row>
    <row r="118" spans="1:7" ht="17.25" thickBot="1" x14ac:dyDescent="0.35">
      <c r="A118" s="2">
        <v>21</v>
      </c>
      <c r="C118" s="38" t="s">
        <v>47</v>
      </c>
      <c r="D118" s="43">
        <f>TRUNC(36064,-1)</f>
        <v>36060</v>
      </c>
      <c r="E118" s="63">
        <f t="shared" si="3"/>
        <v>119200</v>
      </c>
    </row>
    <row r="119" spans="1:7" x14ac:dyDescent="0.3">
      <c r="A119" s="2">
        <v>22</v>
      </c>
      <c r="C119" s="27" t="s">
        <v>112</v>
      </c>
      <c r="D119" s="39">
        <f>SUM(D98:D118)</f>
        <v>484340</v>
      </c>
      <c r="E119" s="39">
        <f>SUM(E98:E118)</f>
        <v>1601070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TRUNC(1551,-1)</f>
        <v>1550</v>
      </c>
      <c r="E122" s="61">
        <f t="shared" ref="E122:E132" si="4">TRUNC(+D122*3.3058,-1)</f>
        <v>5120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TRUNC(775,-1)</f>
        <v>770</v>
      </c>
      <c r="E124" s="62">
        <f t="shared" si="4"/>
        <v>2540</v>
      </c>
    </row>
    <row r="125" spans="1:7" x14ac:dyDescent="0.3">
      <c r="A125" s="2">
        <v>4</v>
      </c>
      <c r="C125" s="38" t="s">
        <v>138</v>
      </c>
      <c r="D125" s="42">
        <f>TRUNC(8278,-1)</f>
        <v>8270</v>
      </c>
      <c r="E125" s="62">
        <f t="shared" si="4"/>
        <v>27330</v>
      </c>
    </row>
    <row r="126" spans="1:7" x14ac:dyDescent="0.3">
      <c r="A126" s="2">
        <v>5</v>
      </c>
      <c r="C126" s="38" t="s">
        <v>53</v>
      </c>
      <c r="D126" s="42">
        <f>TRUNC(2055,-1)</f>
        <v>2050</v>
      </c>
      <c r="E126" s="62">
        <f t="shared" si="4"/>
        <v>6770</v>
      </c>
    </row>
    <row r="127" spans="1:7" x14ac:dyDescent="0.3">
      <c r="A127" s="2">
        <v>6</v>
      </c>
      <c r="C127" s="38" t="s">
        <v>56</v>
      </c>
      <c r="D127" s="42">
        <f>TRUNC(3527,-1)</f>
        <v>3520</v>
      </c>
      <c r="E127" s="62">
        <f t="shared" si="4"/>
        <v>11630</v>
      </c>
    </row>
    <row r="128" spans="1:7" x14ac:dyDescent="0.3">
      <c r="A128" s="2">
        <v>7</v>
      </c>
      <c r="C128" s="38" t="s">
        <v>46</v>
      </c>
      <c r="D128" s="42">
        <f>TRUNC(5567,-1)</f>
        <v>5560</v>
      </c>
      <c r="E128" s="62">
        <f t="shared" si="4"/>
        <v>18380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TRUNC(28123,-1)</f>
        <v>28120</v>
      </c>
      <c r="E130" s="62">
        <f t="shared" si="4"/>
        <v>92950</v>
      </c>
    </row>
    <row r="131" spans="1:7" x14ac:dyDescent="0.3">
      <c r="A131" s="2">
        <v>10</v>
      </c>
      <c r="C131" s="38" t="s">
        <v>148</v>
      </c>
      <c r="D131" s="42">
        <f>TRUNC(19788,-1)</f>
        <v>19780</v>
      </c>
      <c r="E131" s="62">
        <f t="shared" si="4"/>
        <v>65380</v>
      </c>
    </row>
    <row r="132" spans="1:7" ht="17.25" thickBot="1" x14ac:dyDescent="0.35">
      <c r="A132" s="2">
        <v>11</v>
      </c>
      <c r="C132" s="38" t="s">
        <v>47</v>
      </c>
      <c r="D132" s="43">
        <f>TRUNC(1314+3920,-1)</f>
        <v>5230</v>
      </c>
      <c r="E132" s="63">
        <f t="shared" si="4"/>
        <v>17280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74850</v>
      </c>
      <c r="E133" s="39">
        <f>SUM(E122:E132)</f>
        <v>247380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TRUNC(1697,-1)</f>
        <v>1690</v>
      </c>
      <c r="E137" s="62">
        <f t="shared" si="5"/>
        <v>5580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910</v>
      </c>
      <c r="E140" s="62">
        <f t="shared" si="5"/>
        <v>3000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TRUNC(4244,-1)</f>
        <v>4240</v>
      </c>
      <c r="E142" s="62">
        <f t="shared" si="5"/>
        <v>14010</v>
      </c>
    </row>
    <row r="143" spans="1:7" x14ac:dyDescent="0.3">
      <c r="A143" s="2">
        <v>8</v>
      </c>
      <c r="C143" s="38" t="s">
        <v>62</v>
      </c>
      <c r="D143" s="42">
        <f>TRUNC(5028,-1)</f>
        <v>5020</v>
      </c>
      <c r="E143" s="62">
        <f t="shared" si="5"/>
        <v>16590</v>
      </c>
    </row>
    <row r="144" spans="1:7" x14ac:dyDescent="0.3">
      <c r="A144" s="2">
        <v>9</v>
      </c>
      <c r="C144" s="38" t="s">
        <v>63</v>
      </c>
      <c r="D144" s="42">
        <f>TRUNC(19384,-1)</f>
        <v>19380</v>
      </c>
      <c r="E144" s="62">
        <f t="shared" si="5"/>
        <v>64060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31240</v>
      </c>
      <c r="E146" s="39">
        <f>SUM(E136:E145)</f>
        <v>103240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TRUNC(9865+2077,-1)</f>
        <v>11940</v>
      </c>
      <c r="E149" s="61">
        <f>TRUNC(+D149*3.3058,-1)</f>
        <v>39470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TRUNC(7849,-1)</f>
        <v>7840</v>
      </c>
      <c r="E150" s="62">
        <f>TRUNC(+D150*3.3058,-1)</f>
        <v>25910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f>TRUNC(13016,-1)</f>
        <v>13010</v>
      </c>
      <c r="E151" s="62">
        <f>TRUNC(+D151*3.3058,-1)</f>
        <v>43000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TRUNC(6205+298+63,-1)</f>
        <v>6560</v>
      </c>
      <c r="E152" s="62">
        <f>TRUNC(+D152*3.3058,-1)</f>
        <v>21680</v>
      </c>
      <c r="F152" s="2" t="s">
        <v>256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3">
        <f>TRUNC(+D153*3.3058,-1)</f>
        <v>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39350</v>
      </c>
      <c r="E154" s="39">
        <f>SUM(E149:E153)</f>
        <v>130060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TRUNC(4454,-1)</f>
        <v>4450</v>
      </c>
      <c r="E157" s="61">
        <f>TRUNC(+D157*3.3058,-1)</f>
        <v>14710</v>
      </c>
    </row>
    <row r="158" spans="1:7" x14ac:dyDescent="0.3">
      <c r="A158" s="2">
        <v>2</v>
      </c>
      <c r="C158" s="38" t="s">
        <v>52</v>
      </c>
      <c r="D158" s="42">
        <v>350</v>
      </c>
      <c r="E158" s="62">
        <f>TRUNC(+D158*3.3058,-1)</f>
        <v>1150</v>
      </c>
    </row>
    <row r="159" spans="1:7" x14ac:dyDescent="0.3">
      <c r="A159" s="2">
        <v>3</v>
      </c>
      <c r="C159" s="38" t="s">
        <v>47</v>
      </c>
      <c r="D159" s="42">
        <f>TRUNC(5547+2059,-1)</f>
        <v>7600</v>
      </c>
      <c r="E159" s="62">
        <f>TRUNC(+D159*3.3058,-1)</f>
        <v>25120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12400</v>
      </c>
      <c r="E161" s="39">
        <f>SUM(E157:E160)</f>
        <v>40980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2020-12-07T09:57:12Z</dcterms:modified>
</cp:coreProperties>
</file>