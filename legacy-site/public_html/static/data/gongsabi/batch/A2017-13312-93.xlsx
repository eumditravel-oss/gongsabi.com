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6" i="4" l="1"/>
  <c r="D159" i="4"/>
  <c r="D158" i="4"/>
  <c r="D157" i="4"/>
  <c r="D152" i="4"/>
  <c r="D150" i="4"/>
  <c r="D149" i="4"/>
  <c r="D144" i="4"/>
  <c r="D143" i="4"/>
  <c r="D141" i="4"/>
  <c r="D140" i="4"/>
  <c r="D137" i="4"/>
  <c r="D132" i="4"/>
  <c r="D130" i="4"/>
  <c r="D128" i="4"/>
  <c r="D126" i="4"/>
  <c r="D125" i="4"/>
  <c r="D124" i="4"/>
  <c r="D122" i="4"/>
  <c r="D117" i="4"/>
  <c r="D114" i="4"/>
  <c r="D105" i="4"/>
  <c r="D103" i="4"/>
  <c r="D102" i="4"/>
  <c r="D101" i="4"/>
  <c r="D100" i="4"/>
  <c r="D99" i="4"/>
  <c r="D98" i="4"/>
  <c r="D94" i="4"/>
  <c r="D92" i="4"/>
  <c r="D89" i="4"/>
  <c r="D73" i="4"/>
  <c r="D72" i="4"/>
  <c r="D70" i="4"/>
  <c r="D69" i="4"/>
  <c r="D65" i="4"/>
  <c r="D63" i="4"/>
  <c r="D59" i="4"/>
  <c r="D58" i="4"/>
  <c r="D53" i="4"/>
  <c r="D52" i="4"/>
  <c r="D50" i="4"/>
  <c r="D49" i="4"/>
  <c r="D44" i="4"/>
  <c r="D43" i="4"/>
  <c r="D4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<sst xmlns="http://schemas.openxmlformats.org/spreadsheetml/2006/main" count="393" uniqueCount="269">
  <si>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</si>
  <si>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</si>
  <si>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</si>
  <si>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</si>
  <si>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</si>
  <si>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</si>
  <si>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</si>
  <si>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</si>
  <si>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</si>
  <si>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</si>
  <si>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</si>
  <si>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</si>
  <si>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</si>
  <si>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</si>
  <si>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</si>
  <si>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</si>
  <si>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</si>
  <si>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</si>
  <si>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</si>
  <si>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</si>
  <si>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</si>
  <si>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</si>
  <si>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</si>
  <si>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</si>
  <si>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</si>
  <si>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</si>
  <si>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</si>
  <si>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</si>
  <si>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</si>
  <si>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</si>
  <si>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</si>
  <si>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</si>
  <si>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</si>
  <si>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</si>
  <si>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</si>
  <si>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</si>
  <si>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</si>
  <si>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</si>
  <si>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</si>
  <si>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</si>
  <si>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</si>
  <si>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</si>
  <si>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</si>
  <si>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</si>
  <si>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</si>
  <si>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</si>
  <si>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</si>
  <si>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</si>
  <si>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</si>
  <si>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</si>
  <si>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</si>
  <si>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</si>
  <si>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</si>
  <si>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</si>
  <si>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</si>
  <si>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</si>
  <si>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</si>
  <si>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</si>
  <si>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</si>
  <si>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</si>
  <si>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</si>
  <si>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</si>
  <si>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</si>
  <si>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</si>
  <si>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</si>
  <si>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</si>
  <si>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</si>
  <si>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</si>
  <si>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</si>
  <si>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</si>
  <si>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</si>
  <si>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</si>
  <si>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</si>
  <si>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</si>
  <si>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</si>
  <si>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</si>
  <si>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</si>
  <si>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</si>
  <si>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</si>
  <si>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</si>
  <si>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</si>
  <si>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</si>
  <si>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</si>
  <si>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</si>
  <si>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</si>
  <si>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</si>
  <si>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</si>
  <si>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</si>
  <si>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</si>
  <si>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</si>
  <si>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</si>
  <si>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</si>
  <si>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</si>
  <si>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</si>
  <si>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</si>
  <si>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</si>
  <si>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</si>
  <si>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</si>
  <si>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</si>
  <si>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</si>
  <si>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</si>
  <si>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</si>
  <si>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</si>
  <si>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</si>
  <si>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</si>
  <si>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</si>
  <si>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</si>
  <si>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</si>
  <si>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</si>
  <si>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</si>
  <si>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</si>
  <si>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</si>
  <si>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</si>
  <si>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</si>
  <si>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</si>
  <si>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</si>
  <si>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</si>
  <si>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</si>
  <si>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</si>
  <si>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</si>
  <si>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</si>
  <si>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</si>
  <si>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</si>
  <si>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</si>
  <si>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</si>
  <si>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</si>
  <si>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</si>
  <si>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</si>
  <si>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</si>
  <si>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</si>
  <si>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</si>
  <si>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</si>
  <si>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</si>
  <si>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</si>
  <si>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</si>
  <si>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</si>
  <si>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</si>
  <si>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</si>
  <si>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</si>
  <si>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</si>
  <si>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</si>
  <si>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</si>
  <si>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</si>
  <si>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</si>
  <si>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</si>
  <si>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</si>
  <si>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</si>
  <si>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</si>
  <si>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</si>
  <si>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</si>
  <si>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</si>
  <si>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</si>
  <si>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</si>
  <si>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</si>
  <si>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</si>
  <si>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</si>
  <si>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</si>
  <si>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</si>
  <si>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</si>
  <si>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</si>
  <si>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</si>
  <si>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</si>
  <si>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</si>
  <si>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</si>
  <si>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</si>
  <si>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</si>
  <si>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</si>
  <si>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</si>
  <si>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</si>
  <si>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</si>
  <si>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</si>
  <si>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</si>
  <si>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</si>
  <si>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</si>
  <si>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</si>
  <si>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</si>
  <si>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</si>
  <si>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</si>
  <si>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</si>
  <si>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</si>
  <si>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</si>
  <si>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</si>
  <si>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</si>
  <si>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</si>
  <si>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</si>
  <si>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</si>
  <si>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</si>
  <si>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</si>
  <si>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</si>
  <si>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</si>
  <si>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</si>
  <si>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</si>
  <si>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</si>
  <si>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</si>
  <si>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</si>
  <si>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</si>
  <si>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</si>
  <si>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</si>
  <si>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</si>
  <si>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</si>
  <si>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</si>
  <si>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</si>
  <si>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</si>
  <si>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</si>
  <si>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</si>
  <si>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</si>
  <si>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</si>
  <si>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</si>
  <si>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</si>
  <si>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</si>
  <si>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</si>
  <si>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</si>
  <si>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</si>
  <si>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</si>
  <si>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</si>
  <si>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</si>
  <si>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</si>
  <si>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</si>
  <si>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</si>
  <si>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</si>
  <si>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</si>
  <si>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</si>
  <si>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</si>
  <si>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</si>
  <si>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</si>
  <si>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</si>
  <si>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</si>
  <si>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</si>
  <si>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</si>
  <si>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</si>
  <si>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</si>
  <si>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</si>
  <si>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</si>
  <si>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</si>
  <si>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</si>
  <si>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</si>
  <si>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</si>
  <si>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</si>
  <si>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</si>
  <si>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</si>
  <si>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</si>
  <si>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</si>
  <si>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</si>
  <si>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</si>
  <si>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</si>
  <si>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</si>
  <si>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</si>
  <si>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</si>
  <si>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</si>
  <si>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</si>
  <si>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</si>
  <si>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</si>
  <si>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</si>
  <si>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</si>
  <si>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 xml:space="preserve"> 사급자재비, 운반비, 기타공사</t>
    <phoneticPr fontId="2" type="noConversion"/>
  </si>
  <si>
    <t>포장공사, 기타공사</t>
    <phoneticPr fontId="2" type="noConversion"/>
  </si>
  <si>
    <t>업무</t>
  </si>
  <si>
    <t xml:space="preserve"> 마산세무서 청사신축공사</t>
    <phoneticPr fontId="2" type="noConversion"/>
  </si>
  <si>
    <t>경상도</t>
  </si>
  <si>
    <t>기초공사, 해체및철거공사, 골재비및운반비, 기타공사</t>
    <phoneticPr fontId="2" type="noConversion"/>
  </si>
  <si>
    <t>공조배관공사, 우수처리시설공사, 바닥난방공사, 기타공사</t>
    <phoneticPr fontId="2" type="noConversion"/>
  </si>
  <si>
    <t>CCTV설비공사, 주차관제설비공사, 기타공사</t>
    <phoneticPr fontId="2" type="noConversion"/>
  </si>
  <si>
    <t>옥외소화배관공사, 무선통신보조설비공사,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</si>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</sst>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9360.74</v>
      </c>
      <c r="D7" s="36">
        <f>+C7/3.3058</f>
        <v>2831.611107750015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984540</v>
      </c>
      <c r="E25" s="59">
        <f t="shared" si="0"/>
        <v>3254690</v>
      </c>
    </row>
    <row r="26" spans="1:5" x14ac:dyDescent="0.3">
      <c r="B26" s="2">
        <v>3</v>
      </c>
      <c r="C26" s="35" t="s">
        <v>95</v>
      </c>
      <c r="D26" s="45">
        <f>+D66</f>
        <v>76800</v>
      </c>
      <c r="E26" s="59">
        <f t="shared" si="0"/>
        <v>253880</v>
      </c>
    </row>
    <row r="27" spans="1:5" x14ac:dyDescent="0.3">
      <c r="B27" s="2">
        <v>4</v>
      </c>
      <c r="C27" s="35" t="s">
        <v>96</v>
      </c>
      <c r="D27" s="45">
        <f>+D95</f>
        <v>60230</v>
      </c>
      <c r="E27" s="59">
        <f t="shared" si="0"/>
        <v>199100</v>
      </c>
    </row>
    <row r="28" spans="1:5" x14ac:dyDescent="0.3">
      <c r="B28" s="2">
        <v>5</v>
      </c>
      <c r="C28" s="35" t="s">
        <v>97</v>
      </c>
      <c r="D28" s="45">
        <f>+D119</f>
        <v>165500</v>
      </c>
      <c r="E28" s="59">
        <f t="shared" si="0"/>
        <v>547100</v>
      </c>
    </row>
    <row r="29" spans="1:5" x14ac:dyDescent="0.3">
      <c r="B29" s="2">
        <v>6</v>
      </c>
      <c r="C29" s="35" t="s">
        <v>98</v>
      </c>
      <c r="D29" s="45">
        <f>+D133</f>
        <v>117710</v>
      </c>
      <c r="E29" s="59">
        <f t="shared" si="0"/>
        <v>389120</v>
      </c>
    </row>
    <row r="30" spans="1:5" x14ac:dyDescent="0.3">
      <c r="B30" s="2">
        <v>7</v>
      </c>
      <c r="C30" s="35" t="s">
        <v>99</v>
      </c>
      <c r="D30" s="45">
        <f>+D146</f>
        <v>35700</v>
      </c>
      <c r="E30" s="59">
        <f t="shared" si="0"/>
        <v>118010</v>
      </c>
    </row>
    <row r="31" spans="1:5" x14ac:dyDescent="0.3">
      <c r="B31" s="2">
        <v>8</v>
      </c>
      <c r="C31" s="35" t="s">
        <v>100</v>
      </c>
      <c r="D31" s="45">
        <f>+D154</f>
        <v>13330</v>
      </c>
      <c r="E31" s="59">
        <f t="shared" si="0"/>
        <v>44060</v>
      </c>
    </row>
    <row r="32" spans="1:5" x14ac:dyDescent="0.3">
      <c r="B32" s="2">
        <v>9</v>
      </c>
      <c r="C32" s="35" t="s">
        <v>101</v>
      </c>
      <c r="D32" s="45">
        <f>+D161</f>
        <v>32340</v>
      </c>
      <c r="E32" s="59">
        <f t="shared" si="0"/>
        <v>106900</v>
      </c>
    </row>
    <row r="33" spans="1:7" x14ac:dyDescent="0.3">
      <c r="B33" s="2">
        <v>10</v>
      </c>
      <c r="C33" s="35" t="s">
        <v>154</v>
      </c>
      <c r="D33" s="53">
        <f>TRUNC(SUM(D24:D32)*0.275,-1)</f>
        <v>408690</v>
      </c>
      <c r="E33" s="60">
        <f t="shared" si="0"/>
        <v>1351040</v>
      </c>
    </row>
    <row r="34" spans="1:7" x14ac:dyDescent="0.3">
      <c r="C34" s="35" t="s">
        <v>112</v>
      </c>
      <c r="D34" s="44">
        <f>SUM(D24:D33)</f>
        <v>1894840</v>
      </c>
      <c r="E34" s="44">
        <f>SUM(E24:E33)</f>
        <v>6263900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v>70950</v>
      </c>
      <c r="E40" s="62">
        <f t="shared" ref="E40:E59" si="1">TRUNC(+D40*3.3058,-1)</f>
        <v>234540</v>
      </c>
    </row>
    <row r="41" spans="1:7" x14ac:dyDescent="0.3">
      <c r="A41" s="2">
        <v>2</v>
      </c>
      <c r="C41" s="38" t="s">
        <v>13</v>
      </c>
      <c r="D41" s="42">
        <f>TRUNC(133869,-1)</f>
        <v>133860</v>
      </c>
      <c r="E41" s="63">
        <f t="shared" si="1"/>
        <v>442510</v>
      </c>
    </row>
    <row r="42" spans="1:7" x14ac:dyDescent="0.3">
      <c r="A42" s="2">
        <v>3</v>
      </c>
      <c r="C42" s="38" t="s">
        <v>14</v>
      </c>
      <c r="D42" s="42">
        <v>3490</v>
      </c>
      <c r="E42" s="63">
        <f t="shared" si="1"/>
        <v>11530</v>
      </c>
    </row>
    <row r="43" spans="1:7" x14ac:dyDescent="0.3">
      <c r="A43" s="2">
        <v>4</v>
      </c>
      <c r="C43" s="38" t="s">
        <v>16</v>
      </c>
      <c r="D43" s="42">
        <f>TRUNC(18226,-1)</f>
        <v>18220</v>
      </c>
      <c r="E43" s="63">
        <f t="shared" si="1"/>
        <v>60230</v>
      </c>
    </row>
    <row r="44" spans="1:7" x14ac:dyDescent="0.3">
      <c r="A44" s="2">
        <v>5</v>
      </c>
      <c r="C44" s="38" t="s">
        <v>17</v>
      </c>
      <c r="D44" s="42">
        <f>TRUNC(45971,-1)</f>
        <v>45970</v>
      </c>
      <c r="E44" s="63">
        <f t="shared" si="1"/>
        <v>151960</v>
      </c>
    </row>
    <row r="45" spans="1:7" x14ac:dyDescent="0.3">
      <c r="A45" s="2">
        <v>6</v>
      </c>
      <c r="C45" s="38" t="s">
        <v>18</v>
      </c>
      <c r="D45" s="42">
        <v>8160</v>
      </c>
      <c r="E45" s="63">
        <f t="shared" si="1"/>
        <v>26970</v>
      </c>
    </row>
    <row r="46" spans="1:7" x14ac:dyDescent="0.3">
      <c r="A46" s="2">
        <v>7</v>
      </c>
      <c r="C46" s="38" t="s">
        <v>19</v>
      </c>
      <c r="D46" s="42">
        <v>67400</v>
      </c>
      <c r="E46" s="63">
        <f t="shared" si="1"/>
        <v>222810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35180</v>
      </c>
      <c r="E48" s="63">
        <f t="shared" si="1"/>
        <v>116290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TRUNC(11375,-1)</f>
        <v>11370</v>
      </c>
      <c r="E49" s="63">
        <f t="shared" si="1"/>
        <v>37580</v>
      </c>
    </row>
    <row r="50" spans="1:7" x14ac:dyDescent="0.3">
      <c r="A50" s="2">
        <v>11</v>
      </c>
      <c r="C50" s="38" t="s">
        <v>155</v>
      </c>
      <c r="D50" s="42">
        <f>TRUNC(32264,-1)</f>
        <v>32260</v>
      </c>
      <c r="E50" s="63">
        <f t="shared" si="1"/>
        <v>106640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TRUNC(17504,-1)</f>
        <v>17500</v>
      </c>
      <c r="E52" s="63">
        <f t="shared" si="1"/>
        <v>57850</v>
      </c>
    </row>
    <row r="53" spans="1:7" x14ac:dyDescent="0.3">
      <c r="A53" s="2">
        <v>14</v>
      </c>
      <c r="C53" s="38" t="s">
        <v>25</v>
      </c>
      <c r="D53" s="42">
        <f>TRUNC(62483,-1)</f>
        <v>62480</v>
      </c>
      <c r="E53" s="63">
        <f t="shared" si="1"/>
        <v>206540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TRUNC(41566+14448+5352+65990,-1)</f>
        <v>127350</v>
      </c>
      <c r="E58" s="63">
        <f t="shared" si="1"/>
        <v>420990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TRUNC(350353,-1)</f>
        <v>350350</v>
      </c>
      <c r="E59" s="64">
        <f t="shared" si="1"/>
        <v>1158180</v>
      </c>
    </row>
    <row r="60" spans="1:7" x14ac:dyDescent="0.3">
      <c r="A60" s="2">
        <v>21</v>
      </c>
      <c r="C60" s="27" t="s">
        <v>112</v>
      </c>
      <c r="D60" s="39">
        <f>SUM(D40:D59)</f>
        <v>984540</v>
      </c>
      <c r="E60" s="39">
        <f>SUM(E40:E59)</f>
        <v>3254620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TRUNC(15296,-1)</f>
        <v>15290</v>
      </c>
      <c r="E63" s="62">
        <f>TRUNC(+D63*3.3058,-1)</f>
        <v>50540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TRUNC(61515,-1)</f>
        <v>61510</v>
      </c>
      <c r="E65" s="64">
        <f>TRUNC(+D65*3.3058,-1)</f>
        <v>203330</v>
      </c>
    </row>
    <row r="66" spans="1:7" x14ac:dyDescent="0.3">
      <c r="A66" s="2">
        <v>4</v>
      </c>
      <c r="C66" s="27" t="s">
        <v>112</v>
      </c>
      <c r="D66" s="39">
        <f>SUM(D63:D65)</f>
        <v>76800</v>
      </c>
      <c r="E66" s="65">
        <f>SUM(E63:E65)</f>
        <v>253870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TRUNC(6345,-1)</f>
        <v>6340</v>
      </c>
      <c r="E69" s="62">
        <f t="shared" ref="E69:E94" si="2">TRUNC(+D69*3.3058,-1)</f>
        <v>20950</v>
      </c>
    </row>
    <row r="70" spans="1:7" ht="16.5" customHeight="1" x14ac:dyDescent="0.3">
      <c r="A70" s="2">
        <v>2</v>
      </c>
      <c r="C70" s="38" t="s">
        <v>31</v>
      </c>
      <c r="D70" s="42">
        <f>TRUNC(2099,-1)</f>
        <v>2090</v>
      </c>
      <c r="E70" s="63">
        <f t="shared" si="2"/>
        <v>6900</v>
      </c>
    </row>
    <row r="71" spans="1:7" x14ac:dyDescent="0.3">
      <c r="A71" s="2">
        <v>3</v>
      </c>
      <c r="C71" s="38" t="s">
        <v>32</v>
      </c>
      <c r="D71" s="42">
        <v>3300</v>
      </c>
      <c r="E71" s="63">
        <f t="shared" si="2"/>
        <v>10900</v>
      </c>
    </row>
    <row r="72" spans="1:7" x14ac:dyDescent="0.3">
      <c r="A72" s="2">
        <v>4</v>
      </c>
      <c r="C72" s="38" t="s">
        <v>33</v>
      </c>
      <c r="D72" s="42">
        <f>TRUNC(3915,-1)</f>
        <v>3910</v>
      </c>
      <c r="E72" s="63">
        <f t="shared" si="2"/>
        <v>12920</v>
      </c>
    </row>
    <row r="73" spans="1:7" x14ac:dyDescent="0.3">
      <c r="A73" s="2">
        <v>5</v>
      </c>
      <c r="C73" s="38" t="s">
        <v>34</v>
      </c>
      <c r="D73" s="42">
        <f>TRUNC(5584,-1)</f>
        <v>5580</v>
      </c>
      <c r="E73" s="63">
        <f t="shared" si="2"/>
        <v>18440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TRUNC(5691,-1)</f>
        <v>5690</v>
      </c>
      <c r="E89" s="63">
        <f t="shared" si="2"/>
        <v>18810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TRUNC(4918,-1)</f>
        <v>4910</v>
      </c>
      <c r="E92" s="63">
        <f t="shared" si="2"/>
        <v>16230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TRUNC(6234+3032+595+18552,-1)</f>
        <v>28410</v>
      </c>
      <c r="E94" s="64">
        <f t="shared" si="2"/>
        <v>93910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60230</v>
      </c>
      <c r="E95" s="39">
        <f>SUM(E69:E94)</f>
        <v>199060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TRUNC(5916,-1)</f>
        <v>5910</v>
      </c>
      <c r="E98" s="62">
        <f t="shared" ref="E98:E118" si="3">TRUNC(+D98*3.3058,-1)</f>
        <v>19530</v>
      </c>
    </row>
    <row r="99" spans="1:7" x14ac:dyDescent="0.3">
      <c r="A99" s="2">
        <v>2</v>
      </c>
      <c r="C99" s="38" t="s">
        <v>40</v>
      </c>
      <c r="D99" s="42">
        <f>TRUNC(1748,-1)</f>
        <v>1740</v>
      </c>
      <c r="E99" s="63">
        <f t="shared" si="3"/>
        <v>5750</v>
      </c>
    </row>
    <row r="100" spans="1:7" x14ac:dyDescent="0.3">
      <c r="A100" s="2">
        <v>3</v>
      </c>
      <c r="C100" s="38" t="s">
        <v>41</v>
      </c>
      <c r="D100" s="42">
        <f>TRUNC(21545,-1)</f>
        <v>21540</v>
      </c>
      <c r="E100" s="63">
        <f t="shared" si="3"/>
        <v>71200</v>
      </c>
    </row>
    <row r="101" spans="1:7" x14ac:dyDescent="0.3">
      <c r="A101" s="2">
        <v>4</v>
      </c>
      <c r="C101" s="38" t="s">
        <v>42</v>
      </c>
      <c r="D101" s="42">
        <f>TRUNC(2319,-1)</f>
        <v>2310</v>
      </c>
      <c r="E101" s="63">
        <f t="shared" si="3"/>
        <v>7630</v>
      </c>
    </row>
    <row r="102" spans="1:7" x14ac:dyDescent="0.3">
      <c r="A102" s="2">
        <v>5</v>
      </c>
      <c r="C102" s="38" t="s">
        <v>43</v>
      </c>
      <c r="D102" s="42">
        <f>TRUNC(13616,-1)</f>
        <v>13610</v>
      </c>
      <c r="E102" s="63">
        <f t="shared" si="3"/>
        <v>44990</v>
      </c>
    </row>
    <row r="103" spans="1:7" x14ac:dyDescent="0.3">
      <c r="A103" s="2">
        <v>6</v>
      </c>
      <c r="C103" s="38" t="s">
        <v>44</v>
      </c>
      <c r="D103" s="42">
        <f>TRUNC(4483,-1)</f>
        <v>4480</v>
      </c>
      <c r="E103" s="63">
        <f t="shared" si="3"/>
        <v>14800</v>
      </c>
    </row>
    <row r="104" spans="1:7" x14ac:dyDescent="0.3">
      <c r="A104" s="2">
        <v>7</v>
      </c>
      <c r="C104" s="38" t="s">
        <v>45</v>
      </c>
      <c r="D104" s="42">
        <v>2220</v>
      </c>
      <c r="E104" s="63">
        <f t="shared" si="3"/>
        <v>7330</v>
      </c>
    </row>
    <row r="105" spans="1:7" x14ac:dyDescent="0.3">
      <c r="A105" s="2">
        <v>8</v>
      </c>
      <c r="C105" s="38" t="s">
        <v>46</v>
      </c>
      <c r="D105" s="42">
        <f>TRUNC(2964,-1)</f>
        <v>2960</v>
      </c>
      <c r="E105" s="63">
        <f t="shared" si="3"/>
        <v>9780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TRUNC(4094,-1)</f>
        <v>4090</v>
      </c>
      <c r="E114" s="63">
        <f t="shared" si="3"/>
        <v>13520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TRUNC(2882,-1)</f>
        <v>2880</v>
      </c>
      <c r="E116" s="63">
        <f t="shared" si="3"/>
        <v>9520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TRUNC(102272,-1)</f>
        <v>102270</v>
      </c>
      <c r="E117" s="63">
        <f t="shared" si="3"/>
        <v>338080</v>
      </c>
    </row>
    <row r="118" spans="1:7" ht="17.25" thickBot="1" x14ac:dyDescent="0.35">
      <c r="A118" s="2">
        <v>21</v>
      </c>
      <c r="C118" s="38" t="s">
        <v>47</v>
      </c>
      <c r="D118" s="43">
        <v>1490</v>
      </c>
      <c r="E118" s="64">
        <f t="shared" si="3"/>
        <v>4920</v>
      </c>
    </row>
    <row r="119" spans="1:7" x14ac:dyDescent="0.3">
      <c r="A119" s="2">
        <v>22</v>
      </c>
      <c r="C119" s="27" t="s">
        <v>112</v>
      </c>
      <c r="D119" s="39">
        <f>SUM(D98:D118)</f>
        <v>165500</v>
      </c>
      <c r="E119" s="39">
        <f>SUM(E98:E118)</f>
        <v>547050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TRUNC(2679,-1)</f>
        <v>2670</v>
      </c>
      <c r="E122" s="62">
        <f t="shared" ref="E122:E132" si="4">TRUNC(+D122*3.3058,-1)</f>
        <v>8820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TRUNC(841,-1)</f>
        <v>840</v>
      </c>
      <c r="E124" s="63">
        <f t="shared" si="4"/>
        <v>2770</v>
      </c>
    </row>
    <row r="125" spans="1:7" x14ac:dyDescent="0.3">
      <c r="A125" s="2">
        <v>4</v>
      </c>
      <c r="C125" s="38" t="s">
        <v>138</v>
      </c>
      <c r="D125" s="42">
        <f>TRUNC(4713,-1)</f>
        <v>4710</v>
      </c>
      <c r="E125" s="63">
        <f t="shared" si="4"/>
        <v>15570</v>
      </c>
    </row>
    <row r="126" spans="1:7" x14ac:dyDescent="0.3">
      <c r="A126" s="2">
        <v>5</v>
      </c>
      <c r="C126" s="38" t="s">
        <v>53</v>
      </c>
      <c r="D126" s="42">
        <f>TRUNC(742,-1)</f>
        <v>740</v>
      </c>
      <c r="E126" s="63">
        <f t="shared" si="4"/>
        <v>2440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TRUNC(9258,-1)</f>
        <v>9250</v>
      </c>
      <c r="E128" s="63">
        <f t="shared" si="4"/>
        <v>30570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TRUNC(70823,-1)</f>
        <v>70820</v>
      </c>
      <c r="E130" s="63">
        <f t="shared" si="4"/>
        <v>234110</v>
      </c>
    </row>
    <row r="131" spans="1:7" x14ac:dyDescent="0.3">
      <c r="A131" s="2">
        <v>10</v>
      </c>
      <c r="C131" s="38" t="s">
        <v>148</v>
      </c>
      <c r="D131" s="42">
        <v>27040</v>
      </c>
      <c r="E131" s="63">
        <f t="shared" si="4"/>
        <v>89380</v>
      </c>
    </row>
    <row r="132" spans="1:7" ht="18" thickBot="1" x14ac:dyDescent="0.35">
      <c r="A132" s="2">
        <v>11</v>
      </c>
      <c r="C132" s="38" t="s">
        <v>47</v>
      </c>
      <c r="D132" s="43">
        <f>TRUNC(670+362+617,-1)</f>
        <v>1640</v>
      </c>
      <c r="E132" s="64">
        <f t="shared" si="4"/>
        <v>5420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117710</v>
      </c>
      <c r="E133" s="39">
        <f>SUM(E122:E132)</f>
        <v>389080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TRUNC(452+1226+8883,-1)</f>
        <v>10560</v>
      </c>
      <c r="E137" s="63">
        <f t="shared" si="5"/>
        <v>34900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TRUNC(1471,-1)</f>
        <v>1470</v>
      </c>
      <c r="E140" s="63">
        <f t="shared" si="5"/>
        <v>4850</v>
      </c>
    </row>
    <row r="141" spans="1:7" x14ac:dyDescent="0.3">
      <c r="A141" s="2">
        <v>6</v>
      </c>
      <c r="C141" s="38" t="s">
        <v>59</v>
      </c>
      <c r="D141" s="42">
        <f>TRUNC(4901,-1)</f>
        <v>4900</v>
      </c>
      <c r="E141" s="63">
        <f t="shared" si="5"/>
        <v>16190</v>
      </c>
    </row>
    <row r="142" spans="1:7" x14ac:dyDescent="0.3">
      <c r="A142" s="2">
        <v>7</v>
      </c>
      <c r="C142" s="38" t="s">
        <v>58</v>
      </c>
      <c r="D142" s="42">
        <v>6970</v>
      </c>
      <c r="E142" s="63">
        <f t="shared" si="5"/>
        <v>23040</v>
      </c>
    </row>
    <row r="143" spans="1:7" x14ac:dyDescent="0.3">
      <c r="A143" s="2">
        <v>8</v>
      </c>
      <c r="C143" s="38" t="s">
        <v>62</v>
      </c>
      <c r="D143" s="42">
        <f>TRUNC(2516,-1)</f>
        <v>2510</v>
      </c>
      <c r="E143" s="63">
        <f t="shared" si="5"/>
        <v>8290</v>
      </c>
    </row>
    <row r="144" spans="1:7" x14ac:dyDescent="0.3">
      <c r="A144" s="2">
        <v>9</v>
      </c>
      <c r="C144" s="38" t="s">
        <v>63</v>
      </c>
      <c r="D144" s="42">
        <f>TRUNC(9299,-1)</f>
        <v>9290</v>
      </c>
      <c r="E144" s="63">
        <f t="shared" si="5"/>
        <v>30710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35700</v>
      </c>
      <c r="E146" s="39">
        <f>SUM(E136:E145)</f>
        <v>117980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TRUNC(4495,-1)</f>
        <v>4490</v>
      </c>
      <c r="E149" s="62">
        <f>TRUNC(+D149*3.3058,-1)</f>
        <v>14840</v>
      </c>
    </row>
    <row r="150" spans="1:7" x14ac:dyDescent="0.3">
      <c r="A150" s="2">
        <v>2</v>
      </c>
      <c r="C150" s="38" t="s">
        <v>49</v>
      </c>
      <c r="D150" s="42">
        <f>TRUNC(1037,-1)</f>
        <v>1030</v>
      </c>
      <c r="E150" s="63">
        <f>TRUNC(+D150*3.3058,-1)</f>
        <v>3400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TRUNC(4977+215+2624,-1)</f>
        <v>7810</v>
      </c>
      <c r="E152" s="63">
        <f>TRUNC(+D152*3.3058,-1)</f>
        <v>25810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13330</v>
      </c>
      <c r="E154" s="39">
        <f>SUM(E149:E153)</f>
        <v>44050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TRUNC(14991,-1)</f>
        <v>14990</v>
      </c>
      <c r="E157" s="62">
        <f>TRUNC(+D157*3.3058,-1)</f>
        <v>49550</v>
      </c>
    </row>
    <row r="158" spans="1:7" x14ac:dyDescent="0.3">
      <c r="A158" s="2">
        <v>2</v>
      </c>
      <c r="C158" s="38" t="s">
        <v>52</v>
      </c>
      <c r="D158" s="42">
        <f>TRUNC(10705,-1)</f>
        <v>10700</v>
      </c>
      <c r="E158" s="63">
        <f>TRUNC(+D158*3.3058,-1)</f>
        <v>35370</v>
      </c>
    </row>
    <row r="159" spans="1:7" x14ac:dyDescent="0.3">
      <c r="A159" s="2">
        <v>3</v>
      </c>
      <c r="C159" s="38" t="s">
        <v>47</v>
      </c>
      <c r="D159" s="42">
        <f>TRUNC(6624+32,-1)</f>
        <v>6650</v>
      </c>
      <c r="E159" s="63">
        <f>TRUNC(+D159*3.3058,-1)</f>
        <v>21980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32340</v>
      </c>
      <c r="E161" s="39">
        <f>SUM(E157:E160)</f>
        <v>106900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2020-12-08T02:08:07Z</dcterms:modified>
</cp:coreProperties>
</file>