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8" i="4"/>
  <c r="D125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89" i="4"/>
  <c r="D76" i="4"/>
  <c r="D72" i="4"/>
  <c r="D69" i="4"/>
  <c r="D63" i="4"/>
  <c r="D40" i="4"/>
  <c r="D59" i="4"/>
  <c r="D58" i="4"/>
  <c r="D53" i="4"/>
  <c r="D52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<sst xmlns="http://schemas.openxmlformats.org/spreadsheetml/2006/main" count="391" uniqueCount="267">
  <si>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</si>
  <si>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</si>
  <si>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</si>
  <si>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</si>
  <si>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</si>
  <si>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</si>
  <si>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</si>
  <si>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</si>
  <si>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</si>
  <si>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</si>
  <si>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</si>
  <si>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</si>
  <si>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</si>
  <si>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</si>
  <si>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</si>
  <si>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</si>
  <si>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</si>
  <si>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</si>
  <si>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</si>
  <si>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</si>
  <si>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</si>
  <si>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</si>
  <si>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</si>
  <si>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</si>
  <si>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</si>
  <si>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</si>
  <si>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</si>
  <si>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</si>
  <si>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</si>
  <si>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</si>
  <si>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</si>
  <si>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</si>
  <si>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</si>
  <si>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</si>
  <si>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</si>
  <si>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</si>
  <si>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</si>
  <si>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</si>
  <si>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</si>
  <si>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</si>
  <si>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</si>
  <si>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</si>
  <si>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</si>
  <si>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</si>
  <si>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</si>
  <si>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</si>
  <si>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</si>
  <si>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</si>
  <si>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</si>
  <si>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</si>
  <si>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</si>
  <si>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</si>
  <si>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</si>
  <si>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</si>
  <si>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</si>
  <si>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</si>
  <si>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</si>
  <si>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</si>
  <si>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</si>
  <si>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</si>
  <si>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</si>
  <si>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</si>
  <si>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</si>
  <si>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</si>
  <si>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</si>
  <si>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</si>
  <si>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</si>
  <si>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</si>
  <si>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</si>
  <si>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</si>
  <si>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</si>
  <si>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</si>
  <si>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</si>
  <si>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</si>
  <si>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</si>
  <si>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</si>
  <si>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</si>
  <si>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</si>
  <si>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</si>
  <si>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</si>
  <si>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</si>
  <si>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</si>
  <si>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</si>
  <si>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</si>
  <si>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</si>
  <si>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</si>
  <si>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</si>
  <si>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</si>
  <si>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</si>
  <si>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</si>
  <si>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</si>
  <si>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</si>
  <si>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</si>
  <si>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</si>
  <si>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</si>
  <si>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</si>
  <si>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</si>
  <si>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</si>
  <si>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</si>
  <si>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</si>
  <si>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</si>
  <si>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</si>
  <si>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</si>
  <si>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</si>
  <si>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</si>
  <si>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</si>
  <si>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</si>
  <si>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</si>
  <si>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</si>
  <si>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</si>
  <si>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</si>
  <si>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</si>
  <si>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</si>
  <si>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</si>
  <si>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</si>
  <si>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</si>
  <si>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</si>
  <si>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</si>
  <si>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</si>
  <si>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</si>
  <si>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</si>
  <si>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</si>
  <si>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</si>
  <si>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</si>
  <si>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</si>
  <si>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</si>
  <si>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</si>
  <si>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</si>
  <si>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</si>
  <si>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</si>
  <si>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</si>
  <si>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</si>
  <si>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</si>
  <si>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</si>
  <si>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</si>
  <si>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</si>
  <si>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</si>
  <si>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</si>
  <si>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</si>
  <si>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</si>
  <si>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</si>
  <si>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</si>
  <si>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</si>
  <si>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</si>
  <si>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</si>
  <si>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</si>
  <si>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</si>
  <si>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</si>
  <si>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</si>
  <si>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</si>
  <si>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</si>
  <si>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</si>
  <si>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</si>
  <si>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</si>
  <si>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</si>
  <si>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</si>
  <si>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</si>
  <si>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</si>
  <si>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</si>
  <si>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</si>
  <si>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</si>
  <si>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</si>
  <si>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</si>
  <si>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</si>
  <si>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</si>
  <si>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</si>
  <si>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</si>
  <si>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</si>
  <si>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</si>
  <si>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</si>
  <si>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</si>
  <si>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</si>
  <si>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</si>
  <si>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</si>
  <si>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</si>
  <si>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</si>
  <si>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</si>
  <si>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</si>
  <si>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</si>
  <si>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</si>
  <si>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</si>
  <si>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</si>
  <si>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</si>
  <si>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</si>
  <si>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</si>
  <si>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</si>
  <si>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</si>
  <si>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</si>
  <si>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</si>
  <si>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</si>
  <si>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</si>
  <si>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</si>
  <si>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</si>
  <si>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</si>
  <si>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</si>
  <si>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</si>
  <si>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</si>
  <si>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</si>
  <si>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</si>
  <si>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</si>
  <si>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</si>
  <si>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</si>
  <si>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</si>
  <si>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</si>
  <si>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</si>
  <si>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</si>
  <si>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</si>
  <si>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</si>
  <si>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</si>
  <si>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</si>
  <si>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</si>
  <si>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</si>
  <si>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</si>
  <si>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</si>
  <si>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</si>
  <si>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</si>
  <si>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</si>
  <si>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</si>
  <si>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</si>
  <si>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</si>
  <si>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</si>
  <si>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</si>
  <si>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</si>
  <si>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</si>
  <si>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</si>
  <si>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</si>
  <si>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</si>
  <si>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</si>
  <si>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</si>
  <si>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</si>
  <si>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</si>
  <si>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</si>
  <si>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</si>
  <si>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</si>
  <si>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</si>
  <si>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</si>
  <si>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</si>
  <si>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</si>
  <si>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</si>
  <si>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</si>
  <si>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</si>
  <si>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</si>
  <si>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</si>
  <si>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</si>
  <si>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</si>
  <si>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</si>
  <si>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</si>
  <si>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</si>
  <si>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</si>
  <si>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</si>
  <si>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</si>
  <si>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</si>
  <si>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</si>
  <si>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</si>
  <si>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</si>
  <si>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</si>
  <si>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</si>
  <si>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</si>
  <si>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가득유·초등학교 신축공사</t>
    <phoneticPr fontId="2" type="noConversion"/>
  </si>
  <si>
    <t>세종시</t>
  </si>
  <si>
    <t>기초공사, 골재비및운반비, 작업부산물, 기타공사</t>
    <phoneticPr fontId="2" type="noConversion"/>
  </si>
  <si>
    <t>공조배관공사,기타공사</t>
    <phoneticPr fontId="2" type="noConversion"/>
  </si>
  <si>
    <t>CCTV설비공사</t>
    <phoneticPr fontId="2" type="noConversion"/>
  </si>
  <si>
    <t>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</si>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</sst>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16510.45</v>
      </c>
      <c r="D7" s="36">
        <f>+C7/3.3058</f>
        <v>4994.3886502510741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782350</v>
      </c>
      <c r="E25" s="59">
        <f t="shared" si="0"/>
        <v>2586290</v>
      </c>
    </row>
    <row r="26" spans="1:5" x14ac:dyDescent="0.3">
      <c r="B26" s="2">
        <v>3</v>
      </c>
      <c r="C26" s="35" t="s">
        <v>95</v>
      </c>
      <c r="D26" s="45">
        <f>+D66</f>
        <v>8420</v>
      </c>
      <c r="E26" s="59">
        <f t="shared" si="0"/>
        <v>27830</v>
      </c>
    </row>
    <row r="27" spans="1:5" x14ac:dyDescent="0.3">
      <c r="B27" s="2">
        <v>4</v>
      </c>
      <c r="C27" s="35" t="s">
        <v>96</v>
      </c>
      <c r="D27" s="45">
        <f>+D95</f>
        <v>197870</v>
      </c>
      <c r="E27" s="59">
        <f t="shared" si="0"/>
        <v>654110</v>
      </c>
    </row>
    <row r="28" spans="1:5" x14ac:dyDescent="0.3">
      <c r="B28" s="2">
        <v>5</v>
      </c>
      <c r="C28" s="35" t="s">
        <v>97</v>
      </c>
      <c r="D28" s="45">
        <f>+D119</f>
        <v>150920</v>
      </c>
      <c r="E28" s="59">
        <f t="shared" si="0"/>
        <v>498910</v>
      </c>
    </row>
    <row r="29" spans="1:5" x14ac:dyDescent="0.3">
      <c r="B29" s="2">
        <v>6</v>
      </c>
      <c r="C29" s="35" t="s">
        <v>98</v>
      </c>
      <c r="D29" s="45">
        <f>+D133</f>
        <v>41340</v>
      </c>
      <c r="E29" s="59">
        <f t="shared" si="0"/>
        <v>136660</v>
      </c>
    </row>
    <row r="30" spans="1:5" x14ac:dyDescent="0.3">
      <c r="B30" s="2">
        <v>7</v>
      </c>
      <c r="C30" s="35" t="s">
        <v>99</v>
      </c>
      <c r="D30" s="45">
        <f>+D146</f>
        <v>40060</v>
      </c>
      <c r="E30" s="59">
        <f t="shared" si="0"/>
        <v>132430</v>
      </c>
    </row>
    <row r="31" spans="1:5" x14ac:dyDescent="0.3">
      <c r="B31" s="2">
        <v>8</v>
      </c>
      <c r="C31" s="35" t="s">
        <v>100</v>
      </c>
      <c r="D31" s="45">
        <f>+D154</f>
        <v>28540</v>
      </c>
      <c r="E31" s="59">
        <f t="shared" si="0"/>
        <v>94340</v>
      </c>
    </row>
    <row r="32" spans="1:5" x14ac:dyDescent="0.3">
      <c r="B32" s="2">
        <v>9</v>
      </c>
      <c r="C32" s="35" t="s">
        <v>101</v>
      </c>
      <c r="D32" s="45">
        <f>+D161</f>
        <v>16420</v>
      </c>
      <c r="E32" s="59">
        <f t="shared" si="0"/>
        <v>54280</v>
      </c>
    </row>
    <row r="33" spans="1:7" x14ac:dyDescent="0.3">
      <c r="B33" s="2">
        <v>10</v>
      </c>
      <c r="C33" s="35" t="s">
        <v>154</v>
      </c>
      <c r="D33" s="53">
        <f>TRUNC(SUM(D24:D32)*0.275,-1)</f>
        <v>348120</v>
      </c>
      <c r="E33" s="60">
        <f t="shared" si="0"/>
        <v>1150810</v>
      </c>
    </row>
    <row r="34" spans="1:7" x14ac:dyDescent="0.3">
      <c r="C34" s="35" t="s">
        <v>112</v>
      </c>
      <c r="D34" s="44">
        <f>SUM(D24:D33)</f>
        <v>1614040</v>
      </c>
      <c r="E34" s="44">
        <f>SUM(E24:E33)</f>
        <v>5335660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TRUNC(46342,-1)</f>
        <v>46340</v>
      </c>
      <c r="E40" s="62">
        <f t="shared" ref="E40:E59" si="1">TRUNC(+D40*3.3058,-1)</f>
        <v>153190</v>
      </c>
    </row>
    <row r="41" spans="1:7" x14ac:dyDescent="0.3">
      <c r="A41" s="2">
        <v>2</v>
      </c>
      <c r="C41" s="38" t="s">
        <v>13</v>
      </c>
      <c r="D41" s="42">
        <f>TRUNC(131701,-1)</f>
        <v>131700</v>
      </c>
      <c r="E41" s="63">
        <f t="shared" si="1"/>
        <v>435370</v>
      </c>
    </row>
    <row r="42" spans="1:7" x14ac:dyDescent="0.3">
      <c r="A42" s="2">
        <v>3</v>
      </c>
      <c r="C42" s="38" t="s">
        <v>14</v>
      </c>
      <c r="D42" s="42">
        <f>TRUNC(11501,-1)</f>
        <v>11500</v>
      </c>
      <c r="E42" s="63">
        <f t="shared" si="1"/>
        <v>38010</v>
      </c>
    </row>
    <row r="43" spans="1:7" x14ac:dyDescent="0.3">
      <c r="A43" s="2">
        <v>4</v>
      </c>
      <c r="C43" s="38" t="s">
        <v>16</v>
      </c>
      <c r="D43" s="42">
        <f>TRUNC(27632,-1)</f>
        <v>27630</v>
      </c>
      <c r="E43" s="63">
        <f t="shared" si="1"/>
        <v>91330</v>
      </c>
    </row>
    <row r="44" spans="1:7" x14ac:dyDescent="0.3">
      <c r="A44" s="2">
        <v>5</v>
      </c>
      <c r="C44" s="38" t="s">
        <v>17</v>
      </c>
      <c r="D44" s="42">
        <f>TRUNC(24138,-1)</f>
        <v>24130</v>
      </c>
      <c r="E44" s="63">
        <f t="shared" si="1"/>
        <v>79760</v>
      </c>
    </row>
    <row r="45" spans="1:7" x14ac:dyDescent="0.3">
      <c r="A45" s="2">
        <v>6</v>
      </c>
      <c r="C45" s="38" t="s">
        <v>18</v>
      </c>
      <c r="D45" s="42">
        <f>TRUNC(8599,-1)</f>
        <v>8590</v>
      </c>
      <c r="E45" s="63">
        <f t="shared" si="1"/>
        <v>28390</v>
      </c>
    </row>
    <row r="46" spans="1:7" x14ac:dyDescent="0.3">
      <c r="A46" s="2">
        <v>7</v>
      </c>
      <c r="C46" s="38" t="s">
        <v>19</v>
      </c>
      <c r="D46" s="42">
        <f>TRUNC(39601,-1)</f>
        <v>39600</v>
      </c>
      <c r="E46" s="63">
        <f t="shared" si="1"/>
        <v>130900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TRUNC(59797,-1)</f>
        <v>59790</v>
      </c>
      <c r="E48" s="63">
        <f t="shared" si="1"/>
        <v>197650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TRUNC(19877,-1)</f>
        <v>19870</v>
      </c>
      <c r="E49" s="63">
        <f t="shared" si="1"/>
        <v>65680</v>
      </c>
    </row>
    <row r="50" spans="1:7" x14ac:dyDescent="0.3">
      <c r="A50" s="2">
        <v>11</v>
      </c>
      <c r="C50" s="38" t="s">
        <v>155</v>
      </c>
      <c r="D50" s="42">
        <v>32120</v>
      </c>
      <c r="E50" s="63">
        <f t="shared" si="1"/>
        <v>106180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TRUNC(7871,-1)</f>
        <v>7870</v>
      </c>
      <c r="E52" s="63">
        <f t="shared" si="1"/>
        <v>26010</v>
      </c>
    </row>
    <row r="53" spans="1:7" x14ac:dyDescent="0.3">
      <c r="A53" s="2">
        <v>14</v>
      </c>
      <c r="C53" s="38" t="s">
        <v>25</v>
      </c>
      <c r="D53" s="42">
        <f>TRUNC(56396,-1)</f>
        <v>56390</v>
      </c>
      <c r="E53" s="63">
        <f t="shared" si="1"/>
        <v>186410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TRUNC(13395+5833-573+9163,-1)</f>
        <v>27810</v>
      </c>
      <c r="E58" s="63">
        <f t="shared" si="1"/>
        <v>91930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TRUNC(289017,-1)</f>
        <v>289010</v>
      </c>
      <c r="E59" s="64">
        <f t="shared" si="1"/>
        <v>955400</v>
      </c>
    </row>
    <row r="60" spans="1:7" x14ac:dyDescent="0.3">
      <c r="A60" s="2">
        <v>21</v>
      </c>
      <c r="C60" s="27" t="s">
        <v>112</v>
      </c>
      <c r="D60" s="39">
        <f>SUM(D40:D59)</f>
        <v>782350</v>
      </c>
      <c r="E60" s="39">
        <f>SUM(E40:E59)</f>
        <v>2586210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TRUNC(8421,-1)</f>
        <v>8420</v>
      </c>
      <c r="E63" s="62">
        <f>TRUNC(+D63*3.3058,-1)</f>
        <v>27830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8420</v>
      </c>
      <c r="E66" s="65">
        <f>SUM(E63:E65)</f>
        <v>27830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TRUNC(7108,-1)</f>
        <v>7100</v>
      </c>
      <c r="E69" s="62">
        <f t="shared" ref="E69:E94" si="2">TRUNC(+D69*3.3058,-1)</f>
        <v>23470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TRUNC(3816,-1)</f>
        <v>3810</v>
      </c>
      <c r="E72" s="63">
        <f t="shared" si="2"/>
        <v>12590</v>
      </c>
    </row>
    <row r="73" spans="1:7" x14ac:dyDescent="0.3">
      <c r="A73" s="2">
        <v>5</v>
      </c>
      <c r="C73" s="38" t="s">
        <v>34</v>
      </c>
      <c r="D73" s="42">
        <v>17470</v>
      </c>
      <c r="E73" s="63">
        <f t="shared" si="2"/>
        <v>57750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TRUNC(27606,-1)</f>
        <v>27600</v>
      </c>
      <c r="E76" s="63">
        <f t="shared" si="2"/>
        <v>91240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TRUNC(7477,-1)</f>
        <v>7470</v>
      </c>
      <c r="E89" s="63">
        <f t="shared" si="2"/>
        <v>24690</v>
      </c>
    </row>
    <row r="90" spans="1:7" x14ac:dyDescent="0.3">
      <c r="A90" s="2">
        <v>22</v>
      </c>
      <c r="C90" s="38" t="s">
        <v>36</v>
      </c>
      <c r="D90" s="42">
        <f>TRUNC(574,-1)</f>
        <v>570</v>
      </c>
      <c r="E90" s="63">
        <f t="shared" si="2"/>
        <v>1880</v>
      </c>
    </row>
    <row r="91" spans="1:7" x14ac:dyDescent="0.3">
      <c r="A91" s="2">
        <v>23</v>
      </c>
      <c r="C91" s="38" t="s">
        <v>37</v>
      </c>
      <c r="D91" s="42">
        <f>TRUNC(5098,-1)</f>
        <v>5090</v>
      </c>
      <c r="E91" s="63">
        <f t="shared" si="2"/>
        <v>16820</v>
      </c>
    </row>
    <row r="92" spans="1:7" x14ac:dyDescent="0.3">
      <c r="A92" s="2">
        <v>24</v>
      </c>
      <c r="C92" s="38" t="s">
        <v>38</v>
      </c>
      <c r="D92" s="42">
        <f>TRUNC(9195,-1)</f>
        <v>9190</v>
      </c>
      <c r="E92" s="63">
        <f t="shared" si="2"/>
        <v>30380</v>
      </c>
    </row>
    <row r="93" spans="1:7" x14ac:dyDescent="0.3">
      <c r="A93" s="2">
        <v>25</v>
      </c>
      <c r="C93" s="38" t="s">
        <v>148</v>
      </c>
      <c r="D93" s="42">
        <f>TRUNC(106782,-1)</f>
        <v>106780</v>
      </c>
      <c r="E93" s="63">
        <f t="shared" si="2"/>
        <v>352990</v>
      </c>
    </row>
    <row r="94" spans="1:7" ht="17.25" thickBot="1" x14ac:dyDescent="0.35">
      <c r="A94" s="2">
        <v>26</v>
      </c>
      <c r="C94" s="38" t="s">
        <v>47</v>
      </c>
      <c r="D94" s="43">
        <f>TRUNC(975+11821,-1)</f>
        <v>12790</v>
      </c>
      <c r="E94" s="64">
        <f t="shared" si="2"/>
        <v>42280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197870</v>
      </c>
      <c r="E95" s="39">
        <f>SUM(E69:E94)</f>
        <v>654090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TRUNC(9343,-1)</f>
        <v>9340</v>
      </c>
      <c r="E98" s="62">
        <f t="shared" ref="E98:E118" si="3">TRUNC(+D98*3.3058,-1)</f>
        <v>30870</v>
      </c>
    </row>
    <row r="99" spans="1:7" x14ac:dyDescent="0.3">
      <c r="A99" s="2">
        <v>2</v>
      </c>
      <c r="C99" s="38" t="s">
        <v>40</v>
      </c>
      <c r="D99" s="42">
        <f>TRUNC(1535,-1)</f>
        <v>1530</v>
      </c>
      <c r="E99" s="63">
        <f t="shared" si="3"/>
        <v>5050</v>
      </c>
    </row>
    <row r="100" spans="1:7" x14ac:dyDescent="0.3">
      <c r="A100" s="2">
        <v>3</v>
      </c>
      <c r="C100" s="38" t="s">
        <v>41</v>
      </c>
      <c r="D100" s="42">
        <f>TRUNC(19799,-1)</f>
        <v>19790</v>
      </c>
      <c r="E100" s="63">
        <f t="shared" si="3"/>
        <v>65420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TRUNC(21684,-1)</f>
        <v>21680</v>
      </c>
      <c r="E102" s="63">
        <f t="shared" si="3"/>
        <v>71660</v>
      </c>
    </row>
    <row r="103" spans="1:7" x14ac:dyDescent="0.3">
      <c r="A103" s="2">
        <v>6</v>
      </c>
      <c r="C103" s="38" t="s">
        <v>44</v>
      </c>
      <c r="D103" s="42">
        <f>TRUNC(7245,-1)</f>
        <v>7240</v>
      </c>
      <c r="E103" s="63">
        <f t="shared" si="3"/>
        <v>23930</v>
      </c>
    </row>
    <row r="104" spans="1:7" x14ac:dyDescent="0.3">
      <c r="A104" s="2">
        <v>7</v>
      </c>
      <c r="C104" s="38" t="s">
        <v>45</v>
      </c>
      <c r="D104" s="42">
        <f>TRUNC(3926,-1)</f>
        <v>3920</v>
      </c>
      <c r="E104" s="63">
        <f t="shared" si="3"/>
        <v>12950</v>
      </c>
    </row>
    <row r="105" spans="1:7" x14ac:dyDescent="0.3">
      <c r="A105" s="2">
        <v>8</v>
      </c>
      <c r="C105" s="38" t="s">
        <v>46</v>
      </c>
      <c r="D105" s="42">
        <f>TRUNC(5211,-1)</f>
        <v>5210</v>
      </c>
      <c r="E105" s="63">
        <f t="shared" si="3"/>
        <v>17220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TRUNC(3402,-1)</f>
        <v>3400</v>
      </c>
      <c r="E114" s="63">
        <f t="shared" si="3"/>
        <v>11230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TRUNC(4255,-1)</f>
        <v>4250</v>
      </c>
      <c r="E116" s="63">
        <f t="shared" si="3"/>
        <v>14040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TRUNC(70952,-1)</f>
        <v>70950</v>
      </c>
      <c r="E117" s="63">
        <f t="shared" si="3"/>
        <v>234540</v>
      </c>
    </row>
    <row r="118" spans="1:7" ht="17.25" thickBot="1" x14ac:dyDescent="0.35">
      <c r="A118" s="2">
        <v>21</v>
      </c>
      <c r="C118" s="38" t="s">
        <v>47</v>
      </c>
      <c r="D118" s="43">
        <f>TRUNC(3611,-1)</f>
        <v>3610</v>
      </c>
      <c r="E118" s="64">
        <f t="shared" si="3"/>
        <v>11930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150920</v>
      </c>
      <c r="E119" s="39">
        <f>SUM(E98:E118)</f>
        <v>498840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TRUNC(2943,-1)</f>
        <v>2940</v>
      </c>
      <c r="E122" s="62">
        <f t="shared" ref="E122:E132" si="4">TRUNC(+D122*3.3058,-1)</f>
        <v>9710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TRUNC(6757,-1)</f>
        <v>6750</v>
      </c>
      <c r="E125" s="63">
        <f t="shared" si="4"/>
        <v>22310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TRUNC(3834,-1)</f>
        <v>3830</v>
      </c>
      <c r="E128" s="63">
        <f t="shared" si="4"/>
        <v>12660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TRUNC(10482,-1)</f>
        <v>10480</v>
      </c>
      <c r="E130" s="63">
        <f t="shared" si="4"/>
        <v>34640</v>
      </c>
    </row>
    <row r="131" spans="1:7" x14ac:dyDescent="0.3">
      <c r="A131" s="2">
        <v>10</v>
      </c>
      <c r="C131" s="38" t="s">
        <v>148</v>
      </c>
      <c r="D131" s="42">
        <f>TRUNC(15439,-1)</f>
        <v>15430</v>
      </c>
      <c r="E131" s="63">
        <f t="shared" si="4"/>
        <v>51000</v>
      </c>
    </row>
    <row r="132" spans="1:7" ht="18" thickBot="1" x14ac:dyDescent="0.35">
      <c r="A132" s="2">
        <v>11</v>
      </c>
      <c r="C132" s="38" t="s">
        <v>47</v>
      </c>
      <c r="D132" s="43">
        <f>TRUNC(1915,-1)</f>
        <v>1910</v>
      </c>
      <c r="E132" s="64">
        <f t="shared" si="4"/>
        <v>6310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41340</v>
      </c>
      <c r="E133" s="39">
        <f>SUM(E122:E132)</f>
        <v>136630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TRUNC(7264,-1)</f>
        <v>7260</v>
      </c>
      <c r="E137" s="63">
        <f t="shared" si="5"/>
        <v>24000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TRUNC(2702,-1)</f>
        <v>2700</v>
      </c>
      <c r="E140" s="63">
        <f t="shared" si="5"/>
        <v>8920</v>
      </c>
    </row>
    <row r="141" spans="1:7" x14ac:dyDescent="0.3">
      <c r="A141" s="2">
        <v>6</v>
      </c>
      <c r="C141" s="38" t="s">
        <v>59</v>
      </c>
      <c r="D141" s="42">
        <v>15790</v>
      </c>
      <c r="E141" s="63">
        <f t="shared" si="5"/>
        <v>52190</v>
      </c>
    </row>
    <row r="142" spans="1:7" x14ac:dyDescent="0.3">
      <c r="A142" s="2">
        <v>7</v>
      </c>
      <c r="C142" s="38" t="s">
        <v>58</v>
      </c>
      <c r="D142" s="42">
        <f>TRUNC(5836,-1)</f>
        <v>5830</v>
      </c>
      <c r="E142" s="63">
        <f t="shared" si="5"/>
        <v>19270</v>
      </c>
    </row>
    <row r="143" spans="1:7" x14ac:dyDescent="0.3">
      <c r="A143" s="2">
        <v>8</v>
      </c>
      <c r="C143" s="38" t="s">
        <v>62</v>
      </c>
      <c r="D143" s="42">
        <f>TRUNC(3618,-1)</f>
        <v>3610</v>
      </c>
      <c r="E143" s="63">
        <f t="shared" si="5"/>
        <v>11930</v>
      </c>
    </row>
    <row r="144" spans="1:7" x14ac:dyDescent="0.3">
      <c r="A144" s="2">
        <v>9</v>
      </c>
      <c r="C144" s="38" t="s">
        <v>63</v>
      </c>
      <c r="D144" s="42">
        <f>TRUNC(4879,-1)</f>
        <v>4870</v>
      </c>
      <c r="E144" s="63">
        <f t="shared" si="5"/>
        <v>16090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40060</v>
      </c>
      <c r="E146" s="39">
        <f>SUM(E136:E145)</f>
        <v>132400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TRUNC(5961+2017,-1)</f>
        <v>7970</v>
      </c>
      <c r="E149" s="62">
        <f>TRUNC(+D149*3.3058,-1)</f>
        <v>26340</v>
      </c>
    </row>
    <row r="150" spans="1:7" x14ac:dyDescent="0.3">
      <c r="A150" s="2">
        <v>2</v>
      </c>
      <c r="C150" s="38" t="s">
        <v>49</v>
      </c>
      <c r="D150" s="42">
        <f>TRUNC(10911,-1)</f>
        <v>10910</v>
      </c>
      <c r="E150" s="63">
        <f>TRUNC(+D150*3.3058,-1)</f>
        <v>36060</v>
      </c>
    </row>
    <row r="151" spans="1:7" x14ac:dyDescent="0.3">
      <c r="A151" s="2">
        <v>3</v>
      </c>
      <c r="C151" s="38" t="s">
        <v>50</v>
      </c>
      <c r="D151" s="42">
        <f>TRUNC(1941,-1)</f>
        <v>1940</v>
      </c>
      <c r="E151" s="63">
        <f>TRUNC(+D151*3.3058,-1)</f>
        <v>6410</v>
      </c>
    </row>
    <row r="152" spans="1:7" x14ac:dyDescent="0.3">
      <c r="A152" s="2">
        <v>4</v>
      </c>
      <c r="C152" s="38" t="s">
        <v>47</v>
      </c>
      <c r="D152" s="42">
        <f>TRUNC(5991+9+1723,-1)</f>
        <v>7720</v>
      </c>
      <c r="E152" s="63">
        <f>TRUNC(+D152*3.3058,-1)</f>
        <v>25520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28540</v>
      </c>
      <c r="E154" s="39">
        <f>SUM(E149:E153)</f>
        <v>94330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TRUNC(14366,-1)</f>
        <v>14360</v>
      </c>
      <c r="E157" s="62">
        <f>TRUNC(+D157*3.3058,-1)</f>
        <v>47470</v>
      </c>
    </row>
    <row r="158" spans="1:7" x14ac:dyDescent="0.3">
      <c r="A158" s="2">
        <v>2</v>
      </c>
      <c r="C158" s="38" t="s">
        <v>52</v>
      </c>
      <c r="D158" s="42">
        <f>TRUNC(2023,-1)</f>
        <v>2020</v>
      </c>
      <c r="E158" s="63">
        <f>TRUNC(+D158*3.3058,-1)</f>
        <v>6670</v>
      </c>
    </row>
    <row r="159" spans="1:7" x14ac:dyDescent="0.3">
      <c r="A159" s="2">
        <v>3</v>
      </c>
      <c r="C159" s="38" t="s">
        <v>47</v>
      </c>
      <c r="D159" s="42">
        <v>40</v>
      </c>
      <c r="E159" s="63">
        <f>TRUNC(+D159*3.3058,-1)</f>
        <v>130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16420</v>
      </c>
      <c r="E161" s="39">
        <f>SUM(E157:E160)</f>
        <v>54270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2020-12-07T10:03:32Z</dcterms:modified>
</cp:coreProperties>
</file>