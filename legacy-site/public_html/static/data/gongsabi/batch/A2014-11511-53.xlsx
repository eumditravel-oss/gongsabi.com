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84" i="4"/>
  <c r="D64" i="4"/>
  <c r="D58" i="4"/>
  <c r="D37" i="4" l="1"/>
  <c r="D128" i="4"/>
  <c r="D125" i="4"/>
  <c r="D132" i="4"/>
  <c r="D122" i="4"/>
  <c r="D123" i="4"/>
  <c r="D116" i="4"/>
  <c r="D118" i="4"/>
  <c r="D101" i="4"/>
  <c r="D108" i="4"/>
  <c r="D104" i="4"/>
  <c r="D105" i="4"/>
  <c r="D103" i="4"/>
  <c r="D100" i="4"/>
  <c r="D102" i="4"/>
  <c r="D99" i="4"/>
  <c r="D76" i="4" l="1"/>
  <c r="D83" i="4"/>
  <c r="D91" i="4"/>
  <c r="D87" i="4"/>
  <c r="D69" i="4"/>
  <c r="D81" i="4"/>
  <c r="D89" i="4"/>
  <c r="D73" i="4"/>
  <c r="D92" i="4"/>
  <c r="D72" i="4"/>
  <c r="D85" i="4"/>
  <c r="D55" i="4"/>
  <c r="D53" i="4"/>
  <c r="D52" i="4"/>
  <c r="D50" i="4"/>
  <c r="D49" i="4"/>
  <c r="D48" i="4"/>
  <c r="D47" i="4"/>
  <c r="D46" i="4"/>
  <c r="D45" i="4"/>
  <c r="D44" i="4"/>
  <c r="D43" i="4"/>
  <c r="D42" i="4"/>
  <c r="D41" i="4"/>
  <c r="D40" i="4"/>
  <c r="D137" i="4"/>
  <c r="D136" i="4"/>
  <c r="D159" i="4"/>
  <c r="D152" i="4"/>
  <c r="D131" i="4"/>
  <c r="D117" i="4"/>
  <c r="D93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95" i="4"/>
  <c r="E60" i="4"/>
  <c r="E146" i="4"/>
  <c r="E154" i="4"/>
  <c r="E119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<sst xmlns="http://schemas.openxmlformats.org/spreadsheetml/2006/main" count="400" uniqueCount="275">
  <si>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</si>
  <si>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</si>
  <si>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</si>
  <si>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</si>
  <si>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</si>
  <si>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</si>
  <si>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</si>
  <si>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</si>
  <si>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</si>
  <si>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</si>
  <si>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</si>
  <si>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</si>
  <si>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</si>
  <si>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</si>
  <si>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</si>
  <si>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</si>
  <si>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</si>
  <si>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</si>
  <si>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</si>
  <si>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</si>
  <si>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</si>
  <si>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</si>
  <si>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</si>
  <si>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</si>
  <si>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</si>
  <si>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</si>
  <si>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</si>
  <si>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</si>
  <si>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</si>
  <si>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</si>
  <si>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</si>
  <si>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</si>
  <si>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</si>
  <si>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</si>
  <si>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</si>
  <si>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</si>
  <si>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</si>
  <si>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</si>
  <si>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</si>
  <si>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</si>
  <si>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</si>
  <si>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</si>
  <si>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</si>
  <si>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</si>
  <si>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</si>
  <si>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</si>
  <si>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</si>
  <si>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</si>
  <si>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</si>
  <si>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</si>
  <si>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</si>
  <si>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</si>
  <si>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</si>
  <si>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</si>
  <si>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</si>
  <si>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</si>
  <si>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</si>
  <si>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</si>
  <si>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</si>
  <si>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</si>
  <si>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</si>
  <si>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</si>
  <si>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</si>
  <si>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</si>
  <si>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</si>
  <si>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</si>
  <si>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</si>
  <si>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</si>
  <si>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</si>
  <si>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</si>
  <si>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</si>
  <si>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</si>
  <si>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</si>
  <si>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</si>
  <si>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</si>
  <si>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</si>
  <si>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</si>
  <si>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</si>
  <si>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</si>
  <si>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</si>
  <si>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</si>
  <si>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</si>
  <si>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</si>
  <si>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</si>
  <si>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</si>
  <si>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</si>
  <si>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</si>
  <si>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</si>
  <si>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</si>
  <si>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</si>
  <si>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</si>
  <si>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</si>
  <si>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</si>
  <si>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</si>
  <si>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</si>
  <si>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</si>
  <si>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</si>
  <si>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</si>
  <si>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</si>
  <si>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</si>
  <si>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</si>
  <si>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</si>
  <si>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</si>
  <si>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</si>
  <si>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</si>
  <si>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</si>
  <si>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</si>
  <si>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</si>
  <si>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</si>
  <si>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</si>
  <si>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</si>
  <si>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</si>
  <si>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</si>
  <si>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</si>
  <si>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</si>
  <si>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</si>
  <si>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</si>
  <si>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</si>
  <si>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</si>
  <si>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</si>
  <si>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</si>
  <si>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</si>
  <si>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</si>
  <si>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</si>
  <si>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</si>
  <si>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</si>
  <si>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</si>
  <si>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</si>
  <si>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</si>
  <si>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</si>
  <si>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</si>
  <si>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</si>
  <si>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</si>
  <si>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</si>
  <si>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</si>
  <si>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</si>
  <si>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</si>
  <si>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</si>
  <si>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</si>
  <si>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</si>
  <si>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</si>
  <si>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</si>
  <si>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</si>
  <si>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</si>
  <si>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</si>
  <si>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</si>
  <si>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</si>
  <si>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</si>
  <si>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</si>
  <si>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</si>
  <si>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</si>
  <si>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</si>
  <si>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</si>
  <si>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</si>
  <si>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</si>
  <si>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</si>
  <si>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</si>
  <si>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</si>
  <si>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</si>
  <si>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</si>
  <si>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</si>
  <si>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</si>
  <si>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</si>
  <si>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</si>
  <si>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</si>
  <si>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</si>
  <si>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</si>
  <si>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</si>
  <si>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</si>
  <si>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</si>
  <si>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</si>
  <si>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</si>
  <si>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</si>
  <si>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</si>
  <si>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</si>
  <si>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</si>
  <si>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</si>
  <si>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</si>
  <si>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</si>
  <si>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</si>
  <si>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</si>
  <si>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</si>
  <si>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</si>
  <si>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</si>
  <si>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</si>
  <si>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</si>
  <si>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</si>
  <si>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</si>
  <si>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</si>
  <si>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</si>
  <si>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</si>
  <si>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</si>
  <si>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</si>
  <si>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</si>
  <si>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</si>
  <si>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</si>
  <si>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</si>
  <si>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</si>
  <si>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</si>
  <si>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</si>
  <si>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</si>
  <si>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</si>
  <si>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</si>
  <si>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</si>
  <si>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</si>
  <si>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</si>
  <si>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</si>
  <si>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</si>
  <si>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</si>
  <si>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</si>
  <si>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</si>
  <si>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</si>
  <si>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</si>
  <si>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</si>
  <si>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</si>
  <si>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</si>
  <si>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</si>
  <si>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</si>
  <si>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</si>
  <si>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</si>
  <si>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</si>
  <si>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</si>
  <si>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</si>
  <si>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</si>
  <si>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</si>
  <si>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</si>
  <si>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</si>
  <si>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</si>
  <si>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</si>
  <si>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</si>
  <si>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</si>
  <si>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</si>
  <si>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</si>
  <si>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</si>
  <si>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</si>
  <si>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</si>
  <si>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</si>
  <si>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</si>
  <si>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</si>
  <si>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</si>
  <si>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</si>
  <si>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</si>
  <si>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</si>
  <si>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</si>
  <si>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</si>
  <si>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</si>
  <si>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</si>
  <si>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</si>
  <si>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00고등학교 이전 신축공사</t>
    <phoneticPr fontId="2" type="noConversion"/>
  </si>
  <si>
    <t>교육연구</t>
  </si>
  <si>
    <t>충청도</t>
  </si>
  <si>
    <t>기계 소화설비공사</t>
    <phoneticPr fontId="2" type="noConversion"/>
  </si>
  <si>
    <t>전기 소방공사</t>
    <phoneticPr fontId="2" type="noConversion"/>
  </si>
  <si>
    <t>부대토목공사</t>
    <phoneticPr fontId="2" type="noConversion"/>
  </si>
  <si>
    <t>부대조경공사</t>
    <phoneticPr fontId="2" type="noConversion"/>
  </si>
  <si>
    <t>창호및유리공사</t>
    <phoneticPr fontId="2" type="noConversion"/>
  </si>
  <si>
    <t>급수급탕배관공사,입상급수급탕배관공사</t>
    <phoneticPr fontId="2" type="noConversion"/>
  </si>
  <si>
    <t>오배수배관공사,입상오배수배관공사</t>
    <phoneticPr fontId="2" type="noConversion"/>
  </si>
  <si>
    <t>특고인입및수변전설비공사</t>
    <phoneticPr fontId="2" type="noConversion"/>
  </si>
  <si>
    <t>기계실동력설비공사,주방동력설비공사</t>
    <phoneticPr fontId="2" type="noConversion"/>
  </si>
  <si>
    <t>간선및분전반설비공사,외등설비공사,자동커텐설비공사,오토레벨멀티박스설비공사,태양광설비공사</t>
    <phoneticPr fontId="2" type="noConversion"/>
  </si>
  <si>
    <t>환기설비공사</t>
    <phoneticPr fontId="2" type="noConversion"/>
  </si>
  <si>
    <t>냉난방설비공사,바닥난방설비공사</t>
    <phoneticPr fontId="2" type="noConversion"/>
  </si>
  <si>
    <t>강당조명설비공사</t>
    <phoneticPr fontId="2" type="noConversion"/>
  </si>
  <si>
    <t>전화및LAN설비공사</t>
    <phoneticPr fontId="2" type="noConversion"/>
  </si>
  <si>
    <t>CCTV설비공사,DID및빔프로젝트,주차관제설비공사</t>
    <phoneticPr fontId="2" type="noConversion"/>
  </si>
  <si>
    <t>방송설비공사,강당-시청각실-방송실 방송 설비공사</t>
    <phoneticPr fontId="2" type="noConversion"/>
  </si>
  <si>
    <t>토및지정공사,품질관리비,기타공사,골재비,부대공사,운반비,작업부산물</t>
    <phoneticPr fontId="2" type="noConversion"/>
  </si>
  <si>
    <t>냉난방및공기순환기부대공사</t>
    <phoneticPr fontId="2" type="noConversion"/>
  </si>
  <si>
    <t>가스미터기함제작설치공사,난방배관공사,쓰레기이송설비공사,옥외가스배관공사,옥외위생배관공사,주방기구설치공사,환기배관공사,배수배관공사 ,바닥난방설비공사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</si>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</sst>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272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21182</v>
      </c>
      <c r="D7" s="36">
        <f>+C7/3.3058</f>
        <v>6407.526166132252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273</v>
      </c>
    </row>
    <row r="19" spans="1:5" x14ac:dyDescent="0.3">
      <c r="A19" s="2">
        <v>9</v>
      </c>
      <c r="B19" s="2" t="s">
        <v>274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1950</v>
      </c>
      <c r="E24" s="58">
        <f t="shared" ref="E24:E33" si="0">TRUNC(+D24*3.3058,-1)</f>
        <v>6440</v>
      </c>
    </row>
    <row r="25" spans="1:5" x14ac:dyDescent="0.3">
      <c r="B25" s="2">
        <v>2</v>
      </c>
      <c r="C25" s="35" t="s">
        <v>111</v>
      </c>
      <c r="D25" s="45">
        <f>+D60</f>
        <v>758170</v>
      </c>
      <c r="E25" s="59">
        <f t="shared" si="0"/>
        <v>2506350</v>
      </c>
    </row>
    <row r="26" spans="1:5" x14ac:dyDescent="0.3">
      <c r="B26" s="2">
        <v>3</v>
      </c>
      <c r="C26" s="35" t="s">
        <v>95</v>
      </c>
      <c r="D26" s="45">
        <f>+D66</f>
        <v>3810</v>
      </c>
      <c r="E26" s="59">
        <f t="shared" si="0"/>
        <v>12590</v>
      </c>
    </row>
    <row r="27" spans="1:5" x14ac:dyDescent="0.3">
      <c r="B27" s="2">
        <v>4</v>
      </c>
      <c r="C27" s="35" t="s">
        <v>96</v>
      </c>
      <c r="D27" s="45">
        <f>+D95</f>
        <v>193790</v>
      </c>
      <c r="E27" s="59">
        <f t="shared" si="0"/>
        <v>640630</v>
      </c>
    </row>
    <row r="28" spans="1:5" x14ac:dyDescent="0.3">
      <c r="B28" s="2">
        <v>5</v>
      </c>
      <c r="C28" s="35" t="s">
        <v>97</v>
      </c>
      <c r="D28" s="45">
        <f>+D119</f>
        <v>95560</v>
      </c>
      <c r="E28" s="59">
        <f t="shared" si="0"/>
        <v>315900</v>
      </c>
    </row>
    <row r="29" spans="1:5" x14ac:dyDescent="0.3">
      <c r="B29" s="2">
        <v>6</v>
      </c>
      <c r="C29" s="35" t="s">
        <v>98</v>
      </c>
      <c r="D29" s="45">
        <f>+D133</f>
        <v>31180</v>
      </c>
      <c r="E29" s="59">
        <f t="shared" si="0"/>
        <v>103070</v>
      </c>
    </row>
    <row r="30" spans="1:5" x14ac:dyDescent="0.3">
      <c r="B30" s="2">
        <v>7</v>
      </c>
      <c r="C30" s="35" t="s">
        <v>99</v>
      </c>
      <c r="D30" s="45">
        <f>+D146</f>
        <v>42190</v>
      </c>
      <c r="E30" s="59">
        <f t="shared" si="0"/>
        <v>139470</v>
      </c>
    </row>
    <row r="31" spans="1:5" x14ac:dyDescent="0.3">
      <c r="B31" s="2">
        <v>8</v>
      </c>
      <c r="C31" s="35" t="s">
        <v>100</v>
      </c>
      <c r="D31" s="45">
        <f>+D154</f>
        <v>40940</v>
      </c>
      <c r="E31" s="59">
        <f t="shared" si="0"/>
        <v>135330</v>
      </c>
    </row>
    <row r="32" spans="1:5" x14ac:dyDescent="0.3">
      <c r="B32" s="2">
        <v>9</v>
      </c>
      <c r="C32" s="35" t="s">
        <v>101</v>
      </c>
      <c r="D32" s="45">
        <f>+D161</f>
        <v>25710</v>
      </c>
      <c r="E32" s="59">
        <f t="shared" si="0"/>
        <v>84990</v>
      </c>
    </row>
    <row r="33" spans="1:7" x14ac:dyDescent="0.3">
      <c r="B33" s="2">
        <v>10</v>
      </c>
      <c r="C33" s="35" t="s">
        <v>154</v>
      </c>
      <c r="D33" s="53">
        <f>TRUNC(SUM(D24:D32)*0.275,-1)</f>
        <v>328150</v>
      </c>
      <c r="E33" s="60">
        <f t="shared" si="0"/>
        <v>1084790</v>
      </c>
    </row>
    <row r="34" spans="1:7" x14ac:dyDescent="0.3">
      <c r="C34" s="35" t="s">
        <v>112</v>
      </c>
      <c r="D34" s="44">
        <f>SUM(D24:D33)</f>
        <v>1521450</v>
      </c>
      <c r="E34" s="44">
        <f>SUM(E24:E33)</f>
        <v>5029560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TRUNC(1952,-1)</f>
        <v>1950</v>
      </c>
      <c r="E37" s="61">
        <f>TRUNC(+D37*3.3058,-1)</f>
        <v>6440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270</v>
      </c>
      <c r="E39" s="67" t="s">
        <v>271</v>
      </c>
      <c r="G39" s="68"/>
    </row>
    <row r="40" spans="1:7" x14ac:dyDescent="0.3">
      <c r="A40" s="2">
        <v>1</v>
      </c>
      <c r="C40" s="38" t="s">
        <v>15</v>
      </c>
      <c r="D40" s="40">
        <f>TRUNC(19519,-1)</f>
        <v>19510</v>
      </c>
      <c r="E40" s="62">
        <f t="shared" ref="E40:E59" si="1">TRUNC(+D40*3.3058,-1)</f>
        <v>64490</v>
      </c>
    </row>
    <row r="41" spans="1:7" x14ac:dyDescent="0.3">
      <c r="A41" s="2">
        <v>2</v>
      </c>
      <c r="C41" s="38" t="s">
        <v>13</v>
      </c>
      <c r="D41" s="42">
        <f>TRUNC(96027,-1)</f>
        <v>96020</v>
      </c>
      <c r="E41" s="63">
        <f t="shared" si="1"/>
        <v>317420</v>
      </c>
    </row>
    <row r="42" spans="1:7" x14ac:dyDescent="0.3">
      <c r="A42" s="2">
        <v>3</v>
      </c>
      <c r="C42" s="38" t="s">
        <v>14</v>
      </c>
      <c r="D42" s="42">
        <f>TRUNC(8193,-1)</f>
        <v>8190</v>
      </c>
      <c r="E42" s="63">
        <f t="shared" si="1"/>
        <v>27070</v>
      </c>
    </row>
    <row r="43" spans="1:7" x14ac:dyDescent="0.3">
      <c r="A43" s="2">
        <v>4</v>
      </c>
      <c r="C43" s="38" t="s">
        <v>16</v>
      </c>
      <c r="D43" s="42">
        <f>TRUNC(26892,-1)</f>
        <v>26890</v>
      </c>
      <c r="E43" s="63">
        <f t="shared" si="1"/>
        <v>88890</v>
      </c>
    </row>
    <row r="44" spans="1:7" x14ac:dyDescent="0.3">
      <c r="A44" s="2">
        <v>5</v>
      </c>
      <c r="C44" s="38" t="s">
        <v>17</v>
      </c>
      <c r="D44" s="42">
        <f>TRUNC(26670,-1)</f>
        <v>26670</v>
      </c>
      <c r="E44" s="63">
        <f t="shared" si="1"/>
        <v>88160</v>
      </c>
    </row>
    <row r="45" spans="1:7" x14ac:dyDescent="0.3">
      <c r="A45" s="2">
        <v>6</v>
      </c>
      <c r="C45" s="38" t="s">
        <v>18</v>
      </c>
      <c r="D45" s="42">
        <f>TRUNC(8497,-1)</f>
        <v>8490</v>
      </c>
      <c r="E45" s="63">
        <f t="shared" si="1"/>
        <v>28060</v>
      </c>
    </row>
    <row r="46" spans="1:7" x14ac:dyDescent="0.3">
      <c r="A46" s="2">
        <v>7</v>
      </c>
      <c r="C46" s="38" t="s">
        <v>19</v>
      </c>
      <c r="D46" s="42">
        <f>TRUNC(32907,-1)</f>
        <v>32900</v>
      </c>
      <c r="E46" s="63">
        <f t="shared" si="1"/>
        <v>108760</v>
      </c>
    </row>
    <row r="47" spans="1:7" x14ac:dyDescent="0.3">
      <c r="A47" s="2">
        <v>8</v>
      </c>
      <c r="C47" s="38" t="s">
        <v>20</v>
      </c>
      <c r="D47" s="42">
        <f>TRUNC(25660,-1)</f>
        <v>25660</v>
      </c>
      <c r="E47" s="63">
        <f t="shared" si="1"/>
        <v>84820</v>
      </c>
    </row>
    <row r="48" spans="1:7" x14ac:dyDescent="0.3">
      <c r="A48" s="2">
        <v>9</v>
      </c>
      <c r="C48" s="38" t="s">
        <v>21</v>
      </c>
      <c r="D48" s="42">
        <f>TRUNC(33810,-1)</f>
        <v>33810</v>
      </c>
      <c r="E48" s="63">
        <f t="shared" si="1"/>
        <v>111760</v>
      </c>
    </row>
    <row r="49" spans="1:7" x14ac:dyDescent="0.3">
      <c r="A49" s="2">
        <v>10</v>
      </c>
      <c r="C49" s="38" t="s">
        <v>22</v>
      </c>
      <c r="D49" s="42">
        <f>TRUNC(17237,-1)</f>
        <v>17230</v>
      </c>
      <c r="E49" s="63">
        <f t="shared" si="1"/>
        <v>56950</v>
      </c>
    </row>
    <row r="50" spans="1:7" x14ac:dyDescent="0.3">
      <c r="A50" s="2">
        <v>11</v>
      </c>
      <c r="C50" s="38" t="s">
        <v>155</v>
      </c>
      <c r="D50" s="42">
        <f>TRUNC(35997,-1)</f>
        <v>35990</v>
      </c>
      <c r="E50" s="63">
        <f t="shared" si="1"/>
        <v>118970</v>
      </c>
      <c r="F50" s="2" t="s">
        <v>255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TRUNC(10021,-1)</f>
        <v>10020</v>
      </c>
      <c r="E52" s="63">
        <f t="shared" si="1"/>
        <v>33120</v>
      </c>
    </row>
    <row r="53" spans="1:7" x14ac:dyDescent="0.3">
      <c r="A53" s="2">
        <v>14</v>
      </c>
      <c r="C53" s="38" t="s">
        <v>25</v>
      </c>
      <c r="D53" s="42">
        <f>TRUNC(63282,-1)</f>
        <v>63280</v>
      </c>
      <c r="E53" s="63">
        <f t="shared" si="1"/>
        <v>209190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TRUNC(1410,-1)</f>
        <v>1410</v>
      </c>
      <c r="E55" s="63">
        <f t="shared" si="1"/>
        <v>4660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TRUNC(46+463+57044+18897+669+9679-780,-1)</f>
        <v>86010</v>
      </c>
      <c r="E58" s="63">
        <f t="shared" si="1"/>
        <v>284330</v>
      </c>
      <c r="F58" s="2" t="s">
        <v>267</v>
      </c>
    </row>
    <row r="59" spans="1:7" ht="17.25" thickBot="1" x14ac:dyDescent="0.35">
      <c r="A59" s="2">
        <v>20</v>
      </c>
      <c r="C59" s="38" t="s">
        <v>148</v>
      </c>
      <c r="D59" s="43">
        <f>TRUNC(266097,-1)</f>
        <v>266090</v>
      </c>
      <c r="E59" s="64">
        <f t="shared" si="1"/>
        <v>879640</v>
      </c>
    </row>
    <row r="60" spans="1:7" x14ac:dyDescent="0.3">
      <c r="A60" s="2">
        <v>21</v>
      </c>
      <c r="C60" s="27" t="s">
        <v>112</v>
      </c>
      <c r="D60" s="39">
        <f>SUM(D40:D59)</f>
        <v>758170</v>
      </c>
      <c r="E60" s="39">
        <f>SUM(E40:E59)</f>
        <v>2506290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f>TRUNC(3819,-1)</f>
        <v>3810</v>
      </c>
      <c r="E64" s="63">
        <f>TRUNC(+D64*3.3058,-1)</f>
        <v>12590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3810</v>
      </c>
      <c r="E66" s="65">
        <f>SUM(E63:E65)</f>
        <v>12590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TRUNC(9492,-1)</f>
        <v>9490</v>
      </c>
      <c r="E69" s="62">
        <f t="shared" ref="E69:E94" si="2">TRUNC(+D69*3.3058,-1)</f>
        <v>31370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TRUNC(317,-1)</f>
        <v>310</v>
      </c>
      <c r="E72" s="63">
        <f t="shared" si="2"/>
        <v>1020</v>
      </c>
    </row>
    <row r="73" spans="1:7" x14ac:dyDescent="0.3">
      <c r="A73" s="2">
        <v>5</v>
      </c>
      <c r="C73" s="38" t="s">
        <v>34</v>
      </c>
      <c r="D73" s="42">
        <f>TRUNC(11354+692,-1)</f>
        <v>12040</v>
      </c>
      <c r="E73" s="63">
        <f t="shared" si="2"/>
        <v>39800</v>
      </c>
      <c r="F73" s="2" t="s">
        <v>256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TRUNC(24208,-1)</f>
        <v>24200</v>
      </c>
      <c r="E76" s="63">
        <f t="shared" si="2"/>
        <v>80000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TRUNC(7319,-1)</f>
        <v>7310</v>
      </c>
      <c r="E81" s="63">
        <f t="shared" si="2"/>
        <v>24160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f>TRUNC(1249,-1)</f>
        <v>1240</v>
      </c>
      <c r="E83" s="63">
        <f t="shared" si="2"/>
        <v>4090</v>
      </c>
    </row>
    <row r="84" spans="1:7" x14ac:dyDescent="0.3">
      <c r="A84" s="2">
        <v>16</v>
      </c>
      <c r="C84" s="38" t="s">
        <v>122</v>
      </c>
      <c r="D84" s="42">
        <f>TRUNC(530,-1)</f>
        <v>530</v>
      </c>
      <c r="E84" s="63">
        <f t="shared" si="2"/>
        <v>1750</v>
      </c>
      <c r="F84" s="2" t="s">
        <v>268</v>
      </c>
    </row>
    <row r="85" spans="1:7" x14ac:dyDescent="0.3">
      <c r="A85" s="2">
        <v>17</v>
      </c>
      <c r="C85" s="38" t="s">
        <v>123</v>
      </c>
      <c r="D85" s="42">
        <f>TRUNC(1026,-1)</f>
        <v>1020</v>
      </c>
      <c r="E85" s="63">
        <f t="shared" si="2"/>
        <v>3370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f>TRUNC(571,-1)</f>
        <v>570</v>
      </c>
      <c r="E87" s="63">
        <f t="shared" si="2"/>
        <v>1880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TRUNC(5993+446,-1)</f>
        <v>6430</v>
      </c>
      <c r="E89" s="63">
        <f t="shared" si="2"/>
        <v>21250</v>
      </c>
      <c r="F89" s="2" t="s">
        <v>257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TRUNC(891,-1)</f>
        <v>890</v>
      </c>
      <c r="E91" s="63">
        <f t="shared" si="2"/>
        <v>2940</v>
      </c>
    </row>
    <row r="92" spans="1:7" x14ac:dyDescent="0.3">
      <c r="A92" s="2">
        <v>24</v>
      </c>
      <c r="C92" s="38" t="s">
        <v>38</v>
      </c>
      <c r="D92" s="42">
        <f>TRUNC(9632,-1)</f>
        <v>9630</v>
      </c>
      <c r="E92" s="63">
        <f t="shared" si="2"/>
        <v>31830</v>
      </c>
    </row>
    <row r="93" spans="1:7" x14ac:dyDescent="0.3">
      <c r="A93" s="2">
        <v>25</v>
      </c>
      <c r="C93" s="38" t="s">
        <v>148</v>
      </c>
      <c r="D93" s="42">
        <f>TRUNC(102766,-1)</f>
        <v>102760</v>
      </c>
      <c r="E93" s="63">
        <f t="shared" si="2"/>
        <v>339700</v>
      </c>
    </row>
    <row r="94" spans="1:7" ht="17.25" thickBot="1" x14ac:dyDescent="0.35">
      <c r="A94" s="2">
        <v>26</v>
      </c>
      <c r="C94" s="38" t="s">
        <v>47</v>
      </c>
      <c r="D94" s="43">
        <f>TRUNC(486+3386+7188+130+954+1183+1143+2378+358+165,-1)</f>
        <v>17370</v>
      </c>
      <c r="E94" s="64">
        <f t="shared" si="2"/>
        <v>57420</v>
      </c>
      <c r="F94" s="2" t="s">
        <v>269</v>
      </c>
    </row>
    <row r="95" spans="1:7" x14ac:dyDescent="0.3">
      <c r="A95" s="2">
        <v>27</v>
      </c>
      <c r="C95" s="27" t="s">
        <v>112</v>
      </c>
      <c r="D95" s="39">
        <f>SUM(D69:D94)</f>
        <v>193790</v>
      </c>
      <c r="E95" s="39">
        <f>SUM(E69:E94)</f>
        <v>640580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f>TRUNC(1289+795,-1)</f>
        <v>2080</v>
      </c>
      <c r="E99" s="63">
        <f t="shared" si="3"/>
        <v>6870</v>
      </c>
      <c r="F99" s="2" t="s">
        <v>259</v>
      </c>
    </row>
    <row r="100" spans="1:7" x14ac:dyDescent="0.3">
      <c r="A100" s="2">
        <v>3</v>
      </c>
      <c r="C100" s="38" t="s">
        <v>41</v>
      </c>
      <c r="D100" s="42">
        <f>TRUNC(16054,-1)</f>
        <v>16050</v>
      </c>
      <c r="E100" s="63">
        <f t="shared" si="3"/>
        <v>53050</v>
      </c>
    </row>
    <row r="101" spans="1:7" x14ac:dyDescent="0.3">
      <c r="A101" s="2">
        <v>4</v>
      </c>
      <c r="C101" s="38" t="s">
        <v>42</v>
      </c>
      <c r="D101" s="42">
        <f>TRUNC(684,-1)</f>
        <v>680</v>
      </c>
      <c r="E101" s="63">
        <f t="shared" si="3"/>
        <v>2240</v>
      </c>
      <c r="F101" s="2" t="s">
        <v>263</v>
      </c>
    </row>
    <row r="102" spans="1:7" x14ac:dyDescent="0.3">
      <c r="A102" s="2">
        <v>5</v>
      </c>
      <c r="C102" s="38" t="s">
        <v>43</v>
      </c>
      <c r="D102" s="42">
        <f>TRUNC(10911,-1)</f>
        <v>10910</v>
      </c>
      <c r="E102" s="63">
        <f t="shared" si="3"/>
        <v>36060</v>
      </c>
    </row>
    <row r="103" spans="1:7" x14ac:dyDescent="0.3">
      <c r="A103" s="2">
        <v>6</v>
      </c>
      <c r="C103" s="38" t="s">
        <v>44</v>
      </c>
      <c r="D103" s="42">
        <f>TRUNC(935,-1)</f>
        <v>930</v>
      </c>
      <c r="E103" s="63">
        <f t="shared" si="3"/>
        <v>3070</v>
      </c>
      <c r="F103" s="2" t="s">
        <v>261</v>
      </c>
    </row>
    <row r="104" spans="1:7" x14ac:dyDescent="0.3">
      <c r="A104" s="2">
        <v>7</v>
      </c>
      <c r="C104" s="38" t="s">
        <v>45</v>
      </c>
      <c r="D104" s="42">
        <f>TRUNC(2640,-1)</f>
        <v>2640</v>
      </c>
      <c r="E104" s="63">
        <f t="shared" si="3"/>
        <v>8720</v>
      </c>
    </row>
    <row r="105" spans="1:7" x14ac:dyDescent="0.3">
      <c r="A105" s="2">
        <v>8</v>
      </c>
      <c r="C105" s="38" t="s">
        <v>46</v>
      </c>
      <c r="D105" s="42">
        <f>TRUNC(4024,-1)</f>
        <v>4020</v>
      </c>
      <c r="E105" s="63">
        <f t="shared" si="3"/>
        <v>13280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TRUNC(2348+131,-1)</f>
        <v>2470</v>
      </c>
      <c r="E108" s="63">
        <f t="shared" si="3"/>
        <v>8160</v>
      </c>
      <c r="F108" s="2" t="s">
        <v>262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TRUNC(1587,-1)</f>
        <v>1580</v>
      </c>
      <c r="E116" s="63">
        <f t="shared" si="3"/>
        <v>5220</v>
      </c>
      <c r="F116" s="2" t="s">
        <v>258</v>
      </c>
    </row>
    <row r="117" spans="1:7" x14ac:dyDescent="0.3">
      <c r="A117" s="2">
        <v>20</v>
      </c>
      <c r="C117" s="38" t="s">
        <v>148</v>
      </c>
      <c r="D117" s="42">
        <f>TRUNC(45147,-1)</f>
        <v>45140</v>
      </c>
      <c r="E117" s="63">
        <f t="shared" si="3"/>
        <v>149220</v>
      </c>
    </row>
    <row r="118" spans="1:7" ht="17.25" thickBot="1" x14ac:dyDescent="0.35">
      <c r="A118" s="2">
        <v>21</v>
      </c>
      <c r="C118" s="38" t="s">
        <v>47</v>
      </c>
      <c r="D118" s="43">
        <f>TRUNC(5304+1925+1330+298+208,-1)</f>
        <v>9060</v>
      </c>
      <c r="E118" s="64">
        <f t="shared" si="3"/>
        <v>29950</v>
      </c>
      <c r="F118" s="2" t="s">
        <v>260</v>
      </c>
    </row>
    <row r="119" spans="1:7" x14ac:dyDescent="0.3">
      <c r="A119" s="2">
        <v>22</v>
      </c>
      <c r="C119" s="27" t="s">
        <v>112</v>
      </c>
      <c r="D119" s="39">
        <f>SUM(D98:D118)</f>
        <v>95560</v>
      </c>
      <c r="E119" s="39">
        <f>SUM(E98:E118)</f>
        <v>315840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TRUNC(1476,-1)</f>
        <v>1470</v>
      </c>
      <c r="E122" s="62">
        <f t="shared" ref="E122:E132" si="4">TRUNC(+D122*3.3058,-1)</f>
        <v>4850</v>
      </c>
    </row>
    <row r="123" spans="1:7" x14ac:dyDescent="0.3">
      <c r="A123" s="2">
        <v>2</v>
      </c>
      <c r="C123" s="38" t="s">
        <v>124</v>
      </c>
      <c r="D123" s="42">
        <f>TRUNC(1476,-1)</f>
        <v>1470</v>
      </c>
      <c r="E123" s="63">
        <f t="shared" si="4"/>
        <v>4850</v>
      </c>
      <c r="F123" s="2" t="s">
        <v>264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TRUNC(3397+231,-1)</f>
        <v>3620</v>
      </c>
      <c r="E125" s="63">
        <f t="shared" si="4"/>
        <v>11960</v>
      </c>
      <c r="F125" s="2" t="s">
        <v>266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TRUNC(3225,-1)</f>
        <v>3220</v>
      </c>
      <c r="E128" s="63">
        <f t="shared" si="4"/>
        <v>10640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TRUNC(19134,-1)</f>
        <v>19130</v>
      </c>
      <c r="E131" s="63">
        <f t="shared" si="4"/>
        <v>63230</v>
      </c>
    </row>
    <row r="132" spans="1:7" ht="18" thickBot="1" x14ac:dyDescent="0.35">
      <c r="A132" s="2">
        <v>11</v>
      </c>
      <c r="C132" s="38" t="s">
        <v>47</v>
      </c>
      <c r="D132" s="43">
        <f>TRUNC(546+1361+370,-1)</f>
        <v>2270</v>
      </c>
      <c r="E132" s="64">
        <f t="shared" si="4"/>
        <v>7500</v>
      </c>
      <c r="F132" s="54" t="s">
        <v>265</v>
      </c>
    </row>
    <row r="133" spans="1:7" x14ac:dyDescent="0.3">
      <c r="A133" s="2">
        <v>12</v>
      </c>
      <c r="C133" s="27" t="s">
        <v>112</v>
      </c>
      <c r="D133" s="39">
        <f>SUM(D122:D132)</f>
        <v>31180</v>
      </c>
      <c r="E133" s="39">
        <f>SUM(E122:E132)</f>
        <v>103030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TRUNC(29620,-1)</f>
        <v>29620</v>
      </c>
      <c r="E136" s="62">
        <f t="shared" ref="E136:E145" si="5">TRUNC(+D136*3.3058,-1)</f>
        <v>97910</v>
      </c>
      <c r="F136" s="2" t="s">
        <v>251</v>
      </c>
    </row>
    <row r="137" spans="1:7" x14ac:dyDescent="0.3">
      <c r="A137" s="2">
        <v>2</v>
      </c>
      <c r="C137" s="38" t="s">
        <v>47</v>
      </c>
      <c r="D137" s="42">
        <f>TRUNC(12571,-1)</f>
        <v>12570</v>
      </c>
      <c r="E137" s="63">
        <f t="shared" si="5"/>
        <v>41550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42190</v>
      </c>
      <c r="E146" s="39">
        <f>SUM(E136:E145)</f>
        <v>139460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TRUNC(40949,-1)</f>
        <v>40940</v>
      </c>
      <c r="E152" s="63">
        <f>TRUNC(+D152*3.3058,-1)</f>
        <v>135330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40940</v>
      </c>
      <c r="E154" s="39">
        <f>SUM(E149:E153)</f>
        <v>135330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TRUNC(25711,-1)</f>
        <v>25710</v>
      </c>
      <c r="E159" s="63">
        <f>TRUNC(+D159*3.3058,-1)</f>
        <v>84990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6" x14ac:dyDescent="0.3">
      <c r="A161" s="2">
        <v>5</v>
      </c>
      <c r="C161" s="27" t="s">
        <v>112</v>
      </c>
      <c r="D161" s="39">
        <f>SUM(D157:D160)</f>
        <v>25710</v>
      </c>
      <c r="E161" s="39">
        <f t="shared" ref="E161" si="6">SUM(E157:E160)</f>
        <v>84990</v>
      </c>
      <c r="F161" s="39"/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2020-12-07T09:50:00Z</dcterms:modified>
</cp:coreProperties>
</file>