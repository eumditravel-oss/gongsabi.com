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0" i="4"/>
  <c r="D149" i="4"/>
  <c r="D144" i="4"/>
  <c r="D143" i="4"/>
  <c r="D132" i="4"/>
  <c r="D131" i="4"/>
  <c r="D130" i="4"/>
  <c r="D128" i="4"/>
  <c r="D127" i="4"/>
  <c r="D125" i="4"/>
  <c r="D118" i="4"/>
  <c r="D117" i="4"/>
  <c r="D116" i="4"/>
  <c r="D114" i="4"/>
  <c r="D105" i="4"/>
  <c r="D104" i="4"/>
  <c r="D103" i="4"/>
  <c r="D102" i="4"/>
  <c r="D100" i="4"/>
  <c r="D98" i="4"/>
  <c r="D94" i="4"/>
  <c r="D92" i="4"/>
  <c r="D91" i="4"/>
  <c r="D89" i="4"/>
  <c r="D73" i="4"/>
  <c r="D69" i="4"/>
  <c r="D63" i="4"/>
  <c r="D59" i="4"/>
  <c r="D58" i="4"/>
  <c r="D53" i="4"/>
  <c r="D52" i="4"/>
  <c r="D50" i="4"/>
  <c r="D49" i="4"/>
  <c r="D48" i="4"/>
  <c r="D46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<sst xmlns="http://schemas.openxmlformats.org/spreadsheetml/2006/main" count="390" uniqueCount="265">
  <si>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</si>
  <si>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</si>
  <si>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</si>
  <si>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</si>
  <si>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</si>
  <si>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</si>
  <si>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</si>
  <si>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</si>
  <si>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</si>
  <si>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</si>
  <si>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</si>
  <si>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</si>
  <si>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</si>
  <si>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</si>
  <si>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</si>
  <si>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</si>
  <si>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</si>
  <si>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</si>
  <si>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</si>
  <si>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</si>
  <si>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</si>
  <si>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</si>
  <si>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</si>
  <si>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</si>
  <si>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</si>
  <si>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</si>
  <si>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</si>
  <si>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</si>
  <si>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</si>
  <si>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</si>
  <si>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</si>
  <si>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</si>
  <si>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</si>
  <si>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</si>
  <si>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</si>
  <si>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</si>
  <si>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</si>
  <si>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</si>
  <si>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</si>
  <si>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</si>
  <si>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</si>
  <si>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</si>
  <si>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</si>
  <si>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</si>
  <si>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</si>
  <si>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</si>
  <si>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</si>
  <si>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</si>
  <si>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</si>
  <si>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</si>
  <si>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</si>
  <si>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</si>
  <si>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</si>
  <si>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</si>
  <si>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</si>
  <si>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</si>
  <si>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</si>
  <si>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</si>
  <si>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</si>
  <si>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</si>
  <si>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</si>
  <si>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</si>
  <si>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</si>
  <si>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</si>
  <si>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</si>
  <si>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</si>
  <si>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</si>
  <si>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</si>
  <si>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</si>
  <si>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</si>
  <si>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</si>
  <si>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</si>
  <si>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</si>
  <si>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</si>
  <si>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</si>
  <si>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</si>
  <si>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</si>
  <si>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</si>
  <si>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</si>
  <si>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</si>
  <si>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</si>
  <si>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</si>
  <si>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</si>
  <si>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</si>
  <si>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</si>
  <si>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</si>
  <si>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</si>
  <si>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</si>
  <si>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</si>
  <si>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</si>
  <si>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</si>
  <si>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</si>
  <si>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</si>
  <si>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</si>
  <si>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</si>
  <si>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</si>
  <si>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</si>
  <si>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</si>
  <si>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</si>
  <si>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</si>
  <si>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</si>
  <si>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</si>
  <si>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</si>
  <si>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</si>
  <si>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</si>
  <si>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</si>
  <si>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</si>
  <si>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</si>
  <si>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</si>
  <si>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</si>
  <si>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</si>
  <si>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</si>
  <si>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</si>
  <si>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</si>
  <si>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</si>
  <si>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</si>
  <si>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</si>
  <si>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</si>
  <si>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</si>
  <si>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</si>
  <si>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</si>
  <si>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</si>
  <si>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</si>
  <si>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</si>
  <si>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</si>
  <si>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</si>
  <si>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</si>
  <si>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</si>
  <si>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</si>
  <si>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</si>
  <si>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</si>
  <si>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</si>
  <si>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</si>
  <si>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</si>
  <si>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</si>
  <si>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</si>
  <si>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</si>
  <si>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</si>
  <si>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</si>
  <si>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</si>
  <si>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</si>
  <si>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</si>
  <si>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</si>
  <si>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</si>
  <si>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</si>
  <si>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</si>
  <si>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</si>
  <si>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</si>
  <si>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</si>
  <si>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</si>
  <si>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</si>
  <si>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</si>
  <si>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</si>
  <si>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</si>
  <si>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</si>
  <si>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</si>
  <si>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</si>
  <si>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</si>
  <si>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</si>
  <si>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</si>
  <si>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</si>
  <si>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</si>
  <si>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</si>
  <si>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</si>
  <si>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</si>
  <si>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</si>
  <si>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</si>
  <si>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</si>
  <si>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</si>
  <si>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</si>
  <si>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</si>
  <si>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</si>
  <si>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</si>
  <si>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</si>
  <si>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</si>
  <si>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</si>
  <si>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</si>
  <si>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</si>
  <si>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</si>
  <si>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</si>
  <si>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</si>
  <si>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</si>
  <si>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</si>
  <si>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</si>
  <si>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</si>
  <si>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</si>
  <si>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</si>
  <si>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</si>
  <si>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</si>
  <si>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</si>
  <si>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</si>
  <si>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</si>
  <si>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</si>
  <si>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</si>
  <si>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</si>
  <si>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</si>
  <si>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</si>
  <si>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</si>
  <si>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</si>
  <si>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</si>
  <si>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</si>
  <si>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</si>
  <si>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</si>
  <si>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</si>
  <si>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</si>
  <si>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</si>
  <si>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</si>
  <si>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</si>
  <si>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</si>
  <si>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</si>
  <si>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</si>
  <si>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</si>
  <si>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</si>
  <si>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</si>
  <si>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</si>
  <si>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</si>
  <si>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</si>
  <si>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</si>
  <si>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</si>
  <si>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</si>
  <si>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</si>
  <si>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</si>
  <si>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</si>
  <si>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</si>
  <si>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</si>
  <si>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</si>
  <si>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</si>
  <si>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</si>
  <si>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</si>
  <si>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</si>
  <si>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</si>
  <si>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</si>
  <si>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</si>
  <si>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</si>
  <si>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</si>
  <si>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</si>
  <si>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</si>
  <si>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</si>
  <si>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</si>
  <si>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</si>
  <si>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</si>
  <si>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</si>
  <si>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</si>
  <si>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</si>
  <si>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</si>
  <si>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</si>
  <si>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</si>
  <si>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</si>
  <si>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부산대학교한방병원 공용원외탕전실 건축(토목,조경,기계설비 포함) 공사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</si>
  <si>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</si>
  <si>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</si>
  <si>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</si>
  <si>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</t>
    <phoneticPr fontId="2" type="noConversion"/>
  </si>
  <si>
    <t>바닥난방공사</t>
    <phoneticPr fontId="2" type="noConversion"/>
  </si>
  <si>
    <t xml:space="preserve"> 전기인입 및 수변전 설비공사</t>
    <phoneticPr fontId="2" type="noConversion"/>
  </si>
  <si>
    <t>옥외보안등설비공사</t>
    <phoneticPr fontId="2" type="noConversion"/>
  </si>
  <si>
    <t>CCTV설비공사</t>
    <phoneticPr fontId="2" type="noConversion"/>
  </si>
  <si>
    <t>운반비</t>
    <phoneticPr fontId="2" type="noConversion"/>
  </si>
  <si>
    <t>포장공사</t>
    <phoneticPr fontId="2" type="noConversion"/>
  </si>
  <si>
    <t>교육연구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</si>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</sst>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1747.63</v>
      </c>
      <c r="D7" s="36">
        <f>+C7/3.3058</f>
        <v>528.65569604936775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988720</v>
      </c>
      <c r="E25" s="59">
        <f t="shared" si="0"/>
        <v>3268510</v>
      </c>
    </row>
    <row r="26" spans="1:5" x14ac:dyDescent="0.3">
      <c r="B26" s="2">
        <v>3</v>
      </c>
      <c r="C26" s="35" t="s">
        <v>95</v>
      </c>
      <c r="D26" s="45">
        <f>+D66</f>
        <v>2910</v>
      </c>
      <c r="E26" s="59">
        <f t="shared" si="0"/>
        <v>9610</v>
      </c>
    </row>
    <row r="27" spans="1:5" x14ac:dyDescent="0.3">
      <c r="B27" s="2">
        <v>4</v>
      </c>
      <c r="C27" s="35" t="s">
        <v>96</v>
      </c>
      <c r="D27" s="45">
        <f>+D95</f>
        <v>341520</v>
      </c>
      <c r="E27" s="59">
        <f t="shared" si="0"/>
        <v>1128990</v>
      </c>
    </row>
    <row r="28" spans="1:5" x14ac:dyDescent="0.3">
      <c r="B28" s="2">
        <v>5</v>
      </c>
      <c r="C28" s="35" t="s">
        <v>97</v>
      </c>
      <c r="D28" s="45">
        <f>+D119</f>
        <v>356000</v>
      </c>
      <c r="E28" s="59">
        <f t="shared" si="0"/>
        <v>1176860</v>
      </c>
    </row>
    <row r="29" spans="1:5" x14ac:dyDescent="0.3">
      <c r="B29" s="2">
        <v>6</v>
      </c>
      <c r="C29" s="35" t="s">
        <v>98</v>
      </c>
      <c r="D29" s="45">
        <f>+D133</f>
        <v>132490</v>
      </c>
      <c r="E29" s="59">
        <f t="shared" si="0"/>
        <v>437980</v>
      </c>
    </row>
    <row r="30" spans="1:5" x14ac:dyDescent="0.3">
      <c r="B30" s="2">
        <v>7</v>
      </c>
      <c r="C30" s="35" t="s">
        <v>99</v>
      </c>
      <c r="D30" s="45">
        <f>+D146</f>
        <v>39600</v>
      </c>
      <c r="E30" s="59">
        <f t="shared" si="0"/>
        <v>130900</v>
      </c>
    </row>
    <row r="31" spans="1:5" x14ac:dyDescent="0.3">
      <c r="B31" s="2">
        <v>8</v>
      </c>
      <c r="C31" s="35" t="s">
        <v>100</v>
      </c>
      <c r="D31" s="45">
        <f>+D154</f>
        <v>38890</v>
      </c>
      <c r="E31" s="59">
        <f t="shared" si="0"/>
        <v>128560</v>
      </c>
    </row>
    <row r="32" spans="1:5" x14ac:dyDescent="0.3">
      <c r="B32" s="2">
        <v>9</v>
      </c>
      <c r="C32" s="35" t="s">
        <v>101</v>
      </c>
      <c r="D32" s="45">
        <f>+D161</f>
        <v>31590</v>
      </c>
      <c r="E32" s="59">
        <f t="shared" si="0"/>
        <v>104430</v>
      </c>
    </row>
    <row r="33" spans="1:7" x14ac:dyDescent="0.3">
      <c r="B33" s="2">
        <v>10</v>
      </c>
      <c r="C33" s="35" t="s">
        <v>154</v>
      </c>
      <c r="D33" s="53">
        <f>TRUNC(SUM(D24:D32)*0.275,-1)</f>
        <v>531220</v>
      </c>
      <c r="E33" s="60">
        <f t="shared" si="0"/>
        <v>1756100</v>
      </c>
    </row>
    <row r="34" spans="1:7" x14ac:dyDescent="0.3">
      <c r="C34" s="35" t="s">
        <v>112</v>
      </c>
      <c r="D34" s="44">
        <f>SUM(D24:D33)</f>
        <v>2462940</v>
      </c>
      <c r="E34" s="44">
        <f>SUM(E24:E33)</f>
        <v>8141940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TRUNC(73055,-1)</f>
        <v>73050</v>
      </c>
      <c r="E40" s="62">
        <f t="shared" ref="E40:E59" si="1">TRUNC(+D40*3.3058,-1)</f>
        <v>241480</v>
      </c>
    </row>
    <row r="41" spans="1:7" x14ac:dyDescent="0.3">
      <c r="A41" s="2">
        <v>2</v>
      </c>
      <c r="C41" s="38" t="s">
        <v>13</v>
      </c>
      <c r="D41" s="42">
        <f>TRUNC(234431,-1)</f>
        <v>234430</v>
      </c>
      <c r="E41" s="63">
        <f t="shared" si="1"/>
        <v>774970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TRUNC(13975,-1)</f>
        <v>13970</v>
      </c>
      <c r="E43" s="63">
        <f t="shared" si="1"/>
        <v>46180</v>
      </c>
    </row>
    <row r="44" spans="1:7" x14ac:dyDescent="0.3">
      <c r="A44" s="2">
        <v>5</v>
      </c>
      <c r="C44" s="38" t="s">
        <v>17</v>
      </c>
      <c r="D44" s="42">
        <v>47240</v>
      </c>
      <c r="E44" s="63">
        <f t="shared" si="1"/>
        <v>156160</v>
      </c>
    </row>
    <row r="45" spans="1:7" x14ac:dyDescent="0.3">
      <c r="A45" s="2">
        <v>6</v>
      </c>
      <c r="C45" s="38" t="s">
        <v>18</v>
      </c>
      <c r="D45" s="42">
        <v>10780</v>
      </c>
      <c r="E45" s="63">
        <f t="shared" si="1"/>
        <v>35630</v>
      </c>
    </row>
    <row r="46" spans="1:7" x14ac:dyDescent="0.3">
      <c r="A46" s="2">
        <v>7</v>
      </c>
      <c r="C46" s="38" t="s">
        <v>19</v>
      </c>
      <c r="D46" s="42">
        <f>TRUNC(2764,-1)</f>
        <v>2760</v>
      </c>
      <c r="E46" s="63">
        <f t="shared" si="1"/>
        <v>9120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TRUNC(54292,-1)</f>
        <v>54290</v>
      </c>
      <c r="E48" s="63">
        <f t="shared" si="1"/>
        <v>179470</v>
      </c>
    </row>
    <row r="49" spans="1:7" x14ac:dyDescent="0.3">
      <c r="A49" s="2">
        <v>10</v>
      </c>
      <c r="C49" s="38" t="s">
        <v>22</v>
      </c>
      <c r="D49" s="42">
        <f>TRUNC(28146,-1)</f>
        <v>28140</v>
      </c>
      <c r="E49" s="63">
        <f t="shared" si="1"/>
        <v>93020</v>
      </c>
    </row>
    <row r="50" spans="1:7" x14ac:dyDescent="0.3">
      <c r="A50" s="2">
        <v>11</v>
      </c>
      <c r="C50" s="38" t="s">
        <v>155</v>
      </c>
      <c r="D50" s="42">
        <f>TRUNC(32675,-1)</f>
        <v>32670</v>
      </c>
      <c r="E50" s="63">
        <f t="shared" si="1"/>
        <v>108000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TRUNC(39458,-1)</f>
        <v>39450</v>
      </c>
      <c r="E52" s="63">
        <f t="shared" si="1"/>
        <v>130410</v>
      </c>
    </row>
    <row r="53" spans="1:7" x14ac:dyDescent="0.3">
      <c r="A53" s="2">
        <v>14</v>
      </c>
      <c r="C53" s="38" t="s">
        <v>25</v>
      </c>
      <c r="D53" s="42">
        <f>TRUNC(73782,-1)</f>
        <v>73780</v>
      </c>
      <c r="E53" s="63">
        <f t="shared" si="1"/>
        <v>243900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TRUNC(118935+10812,-1)</f>
        <v>129740</v>
      </c>
      <c r="E58" s="63">
        <f t="shared" si="1"/>
        <v>428890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TRUNC(248428,-1)</f>
        <v>248420</v>
      </c>
      <c r="E59" s="64">
        <f t="shared" si="1"/>
        <v>821220</v>
      </c>
    </row>
    <row r="60" spans="1:7" x14ac:dyDescent="0.3">
      <c r="A60" s="2">
        <v>21</v>
      </c>
      <c r="C60" s="27" t="s">
        <v>112</v>
      </c>
      <c r="D60" s="39">
        <f>SUM(D40:D59)</f>
        <v>988720</v>
      </c>
      <c r="E60" s="39">
        <f>SUM(E40:E59)</f>
        <v>3268450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TRUNC(2917,-1)</f>
        <v>2910</v>
      </c>
      <c r="E63" s="62">
        <f>TRUNC(+D63*3.3058,-1)</f>
        <v>9610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2910</v>
      </c>
      <c r="E66" s="65">
        <f>SUM(E63:E65)</f>
        <v>9610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TRUNC(10641,-1)</f>
        <v>10640</v>
      </c>
      <c r="E69" s="62">
        <f t="shared" ref="E69:E94" si="2">TRUNC(+D69*3.3058,-1)</f>
        <v>35170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20000</v>
      </c>
      <c r="E72" s="63">
        <f t="shared" si="2"/>
        <v>66110</v>
      </c>
    </row>
    <row r="73" spans="1:7" x14ac:dyDescent="0.3">
      <c r="A73" s="2">
        <v>5</v>
      </c>
      <c r="C73" s="38" t="s">
        <v>34</v>
      </c>
      <c r="D73" s="42">
        <f>TRUNC(25752,-1)</f>
        <v>25750</v>
      </c>
      <c r="E73" s="63">
        <f t="shared" si="2"/>
        <v>85120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650</v>
      </c>
      <c r="E75" s="63">
        <f t="shared" si="2"/>
        <v>2140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TRUNC(7768,-1)</f>
        <v>7760</v>
      </c>
      <c r="E89" s="63">
        <f t="shared" si="2"/>
        <v>25650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TRUNC(20604,-1)</f>
        <v>20600</v>
      </c>
      <c r="E91" s="63">
        <f t="shared" si="2"/>
        <v>68090</v>
      </c>
    </row>
    <row r="92" spans="1:7" x14ac:dyDescent="0.3">
      <c r="A92" s="2">
        <v>24</v>
      </c>
      <c r="C92" s="38" t="s">
        <v>38</v>
      </c>
      <c r="D92" s="42">
        <f>TRUNC(5858,-1)</f>
        <v>5850</v>
      </c>
      <c r="E92" s="63">
        <f t="shared" si="2"/>
        <v>19330</v>
      </c>
    </row>
    <row r="93" spans="1:7" x14ac:dyDescent="0.3">
      <c r="A93" s="2">
        <v>25</v>
      </c>
      <c r="C93" s="38" t="s">
        <v>148</v>
      </c>
      <c r="D93" s="42">
        <v>249830</v>
      </c>
      <c r="E93" s="63">
        <f t="shared" si="2"/>
        <v>825880</v>
      </c>
    </row>
    <row r="94" spans="1:7" ht="17.25" thickBot="1" x14ac:dyDescent="0.35">
      <c r="A94" s="2">
        <v>26</v>
      </c>
      <c r="C94" s="38" t="s">
        <v>47</v>
      </c>
      <c r="D94" s="43">
        <f>TRUNC(447,-1)</f>
        <v>440</v>
      </c>
      <c r="E94" s="64">
        <f t="shared" si="2"/>
        <v>1450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341520</v>
      </c>
      <c r="E95" s="39">
        <f>SUM(E69:E94)</f>
        <v>1128940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TRUNC(22953,-1)</f>
        <v>22950</v>
      </c>
      <c r="E98" s="62">
        <f t="shared" ref="E98:E118" si="3">TRUNC(+D98*3.3058,-1)</f>
        <v>75860</v>
      </c>
    </row>
    <row r="99" spans="1:7" x14ac:dyDescent="0.3">
      <c r="A99" s="2">
        <v>2</v>
      </c>
      <c r="C99" s="38" t="s">
        <v>40</v>
      </c>
      <c r="D99" s="42">
        <v>37330</v>
      </c>
      <c r="E99" s="63">
        <f t="shared" si="3"/>
        <v>123400</v>
      </c>
    </row>
    <row r="100" spans="1:7" x14ac:dyDescent="0.3">
      <c r="A100" s="2">
        <v>3</v>
      </c>
      <c r="C100" s="38" t="s">
        <v>41</v>
      </c>
      <c r="D100" s="42">
        <f>TRUNC(40715,-1)</f>
        <v>40710</v>
      </c>
      <c r="E100" s="63">
        <f t="shared" si="3"/>
        <v>134570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TRUNC(26631,-1)</f>
        <v>26630</v>
      </c>
      <c r="E102" s="63">
        <f t="shared" si="3"/>
        <v>88030</v>
      </c>
    </row>
    <row r="103" spans="1:7" x14ac:dyDescent="0.3">
      <c r="A103" s="2">
        <v>6</v>
      </c>
      <c r="C103" s="38" t="s">
        <v>44</v>
      </c>
      <c r="D103" s="42">
        <f>TRUNC(5334,-1)</f>
        <v>5330</v>
      </c>
      <c r="E103" s="63">
        <f t="shared" si="3"/>
        <v>17610</v>
      </c>
    </row>
    <row r="104" spans="1:7" x14ac:dyDescent="0.3">
      <c r="A104" s="2">
        <v>7</v>
      </c>
      <c r="C104" s="38" t="s">
        <v>45</v>
      </c>
      <c r="D104" s="42">
        <f>TRUNC(1657,-1)</f>
        <v>1650</v>
      </c>
      <c r="E104" s="63">
        <f t="shared" si="3"/>
        <v>5450</v>
      </c>
    </row>
    <row r="105" spans="1:7" x14ac:dyDescent="0.3">
      <c r="A105" s="2">
        <v>8</v>
      </c>
      <c r="C105" s="38" t="s">
        <v>46</v>
      </c>
      <c r="D105" s="42">
        <f>TRUNC(13946,-1)</f>
        <v>13940</v>
      </c>
      <c r="E105" s="63">
        <f t="shared" si="3"/>
        <v>46080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TRUNC(5311,-1)</f>
        <v>5310</v>
      </c>
      <c r="E114" s="63">
        <f t="shared" si="3"/>
        <v>17550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TRUNC(19525,-1)</f>
        <v>19520</v>
      </c>
      <c r="E116" s="63">
        <f t="shared" si="3"/>
        <v>64520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TRUNC(176339,-1)</f>
        <v>176330</v>
      </c>
      <c r="E117" s="63">
        <f t="shared" si="3"/>
        <v>582910</v>
      </c>
    </row>
    <row r="118" spans="1:7" ht="17.25" thickBot="1" x14ac:dyDescent="0.35">
      <c r="A118" s="2">
        <v>21</v>
      </c>
      <c r="C118" s="38" t="s">
        <v>47</v>
      </c>
      <c r="D118" s="43">
        <f>TRUNC(6306,-1)</f>
        <v>6300</v>
      </c>
      <c r="E118" s="64">
        <f t="shared" si="3"/>
        <v>20820</v>
      </c>
    </row>
    <row r="119" spans="1:7" x14ac:dyDescent="0.3">
      <c r="A119" s="2">
        <v>22</v>
      </c>
      <c r="C119" s="27" t="s">
        <v>112</v>
      </c>
      <c r="D119" s="39">
        <f>SUM(D98:D118)</f>
        <v>356000</v>
      </c>
      <c r="E119" s="39">
        <f>SUM(E98:E118)</f>
        <v>1176800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TRUNC(11913,-1)</f>
        <v>11910</v>
      </c>
      <c r="E125" s="63">
        <f t="shared" si="4"/>
        <v>39370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TRUNC(19584,-1)</f>
        <v>19580</v>
      </c>
      <c r="E127" s="63">
        <f t="shared" si="4"/>
        <v>64720</v>
      </c>
    </row>
    <row r="128" spans="1:7" x14ac:dyDescent="0.3">
      <c r="A128" s="2">
        <v>7</v>
      </c>
      <c r="C128" s="38" t="s">
        <v>46</v>
      </c>
      <c r="D128" s="42">
        <f>TRUNC(8671,-1)</f>
        <v>8670</v>
      </c>
      <c r="E128" s="63">
        <f t="shared" si="4"/>
        <v>28660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TRUNC(22747,-1)</f>
        <v>22740</v>
      </c>
      <c r="E130" s="63">
        <f t="shared" si="4"/>
        <v>75170</v>
      </c>
    </row>
    <row r="131" spans="1:7" x14ac:dyDescent="0.3">
      <c r="A131" s="2">
        <v>10</v>
      </c>
      <c r="C131" s="38" t="s">
        <v>148</v>
      </c>
      <c r="D131" s="42">
        <f>TRUNC(60851,-1)</f>
        <v>60850</v>
      </c>
      <c r="E131" s="63">
        <f t="shared" si="4"/>
        <v>201150</v>
      </c>
    </row>
    <row r="132" spans="1:7" ht="18" thickBot="1" x14ac:dyDescent="0.35">
      <c r="A132" s="2">
        <v>11</v>
      </c>
      <c r="C132" s="38" t="s">
        <v>47</v>
      </c>
      <c r="D132" s="43">
        <f>TRUNC(8742,-1)</f>
        <v>8740</v>
      </c>
      <c r="E132" s="64">
        <f t="shared" si="4"/>
        <v>28890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132490</v>
      </c>
      <c r="E133" s="39">
        <f>SUM(E122:E132)</f>
        <v>437960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TRUNC(11865,-1)</f>
        <v>11860</v>
      </c>
      <c r="E143" s="63">
        <f t="shared" si="5"/>
        <v>39200</v>
      </c>
    </row>
    <row r="144" spans="1:7" x14ac:dyDescent="0.3">
      <c r="A144" s="2">
        <v>9</v>
      </c>
      <c r="C144" s="38" t="s">
        <v>63</v>
      </c>
      <c r="D144" s="42">
        <f>TRUNC(27744,-1)</f>
        <v>27740</v>
      </c>
      <c r="E144" s="63">
        <f t="shared" si="5"/>
        <v>91700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39600</v>
      </c>
      <c r="E146" s="39">
        <f>SUM(E136:E145)</f>
        <v>130900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TRUNC(30074,-1)</f>
        <v>30070</v>
      </c>
      <c r="E149" s="62">
        <f>TRUNC(+D149*3.3058,-1)</f>
        <v>99400</v>
      </c>
    </row>
    <row r="150" spans="1:7" x14ac:dyDescent="0.3">
      <c r="A150" s="2">
        <v>2</v>
      </c>
      <c r="C150" s="38" t="s">
        <v>49</v>
      </c>
      <c r="D150" s="42">
        <f>TRUNC(6868,-1)</f>
        <v>6860</v>
      </c>
      <c r="E150" s="63">
        <f>TRUNC(+D150*3.3058,-1)</f>
        <v>22670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TRUNC(225,-1)</f>
        <v>220</v>
      </c>
      <c r="E152" s="63">
        <f>TRUNC(+D152*3.3058,-1)</f>
        <v>720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TRUNC(1744,-1)</f>
        <v>1740</v>
      </c>
      <c r="E153" s="64">
        <f>TRUNC(+D153*3.3058,-1)</f>
        <v>5750</v>
      </c>
    </row>
    <row r="154" spans="1:7" x14ac:dyDescent="0.3">
      <c r="A154" s="2">
        <v>6</v>
      </c>
      <c r="C154" s="27" t="s">
        <v>112</v>
      </c>
      <c r="D154" s="39">
        <f>SUM(D149:D153)</f>
        <v>38890</v>
      </c>
      <c r="E154" s="39">
        <f>SUM(E149:E153)</f>
        <v>128540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TRUNC(14283,-1)</f>
        <v>14280</v>
      </c>
      <c r="E157" s="62">
        <f>TRUNC(+D157*3.3058,-1)</f>
        <v>47200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TRUNC(3608,-1)</f>
        <v>3600</v>
      </c>
      <c r="E159" s="63">
        <f>TRUNC(+D159*3.3058,-1)</f>
        <v>11900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f>TRUNC(13716,-1)</f>
        <v>13710</v>
      </c>
      <c r="E160" s="64">
        <f>TRUNC(+D160*3.3058,-1)</f>
        <v>45320</v>
      </c>
    </row>
    <row r="161" spans="1:5" x14ac:dyDescent="0.3">
      <c r="A161" s="2">
        <v>5</v>
      </c>
      <c r="C161" s="27" t="s">
        <v>112</v>
      </c>
      <c r="D161" s="39">
        <f>SUM(D157:D160)</f>
        <v>31590</v>
      </c>
      <c r="E161" s="39">
        <f>SUM(E157:E160)</f>
        <v>104420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2020-12-08T02:32:58Z</dcterms:modified>
</cp:coreProperties>
</file>