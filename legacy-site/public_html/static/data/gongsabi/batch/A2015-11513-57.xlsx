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1" i="4"/>
  <c r="E145" i="4"/>
  <c r="E139" i="4"/>
  <c r="E136" i="4"/>
  <c r="E131" i="4"/>
  <c r="E129" i="4"/>
  <c r="E127" i="4"/>
  <c r="E126" i="4"/>
  <c r="E123" i="4"/>
  <c r="E117" i="4"/>
  <c r="E115" i="4"/>
  <c r="E113" i="4"/>
  <c r="E112" i="4"/>
  <c r="E111" i="4"/>
  <c r="E110" i="4"/>
  <c r="E109" i="4"/>
  <c r="E108" i="4"/>
  <c r="E107" i="4"/>
  <c r="E106" i="4"/>
  <c r="E104" i="4"/>
  <c r="E93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65" i="4"/>
  <c r="E64" i="4"/>
  <c r="E57" i="4"/>
  <c r="E56" i="4"/>
  <c r="E55" i="4"/>
  <c r="E54" i="4"/>
  <c r="E52" i="4"/>
  <c r="E51" i="4"/>
  <c r="E47" i="4"/>
  <c r="E40" i="4"/>
  <c r="E37" i="4"/>
  <c r="D159" i="4" l="1"/>
  <c r="E159" i="4" s="1"/>
  <c r="D158" i="4"/>
  <c r="E158" i="4" s="1"/>
  <c r="D157" i="4"/>
  <c r="E157" i="4" s="1"/>
  <c r="E161" i="4" s="1"/>
  <c r="D152" i="4"/>
  <c r="E152" i="4" s="1"/>
  <c r="D150" i="4"/>
  <c r="E150" i="4" s="1"/>
  <c r="D149" i="4"/>
  <c r="E149" i="4" s="1"/>
  <c r="E154" i="4" s="1"/>
  <c r="D144" i="4"/>
  <c r="E144" i="4" s="1"/>
  <c r="D143" i="4"/>
  <c r="E143" i="4" s="1"/>
  <c r="D142" i="4"/>
  <c r="E142" i="4" s="1"/>
  <c r="D141" i="4"/>
  <c r="E141" i="4" s="1"/>
  <c r="D140" i="4"/>
  <c r="E140" i="4" s="1"/>
  <c r="D138" i="4"/>
  <c r="E138" i="4" s="1"/>
  <c r="D137" i="4"/>
  <c r="E137" i="4" s="1"/>
  <c r="D132" i="4"/>
  <c r="E132" i="4" s="1"/>
  <c r="D130" i="4"/>
  <c r="E130" i="4" s="1"/>
  <c r="D128" i="4"/>
  <c r="E128" i="4" s="1"/>
  <c r="D125" i="4"/>
  <c r="E125" i="4" s="1"/>
  <c r="D124" i="4"/>
  <c r="E124" i="4" s="1"/>
  <c r="D122" i="4"/>
  <c r="E122" i="4" s="1"/>
  <c r="D118" i="4"/>
  <c r="E118" i="4" s="1"/>
  <c r="D116" i="4"/>
  <c r="E116" i="4" s="1"/>
  <c r="D114" i="4"/>
  <c r="E114" i="4" s="1"/>
  <c r="D105" i="4"/>
  <c r="E105" i="4" s="1"/>
  <c r="D103" i="4"/>
  <c r="E103" i="4" s="1"/>
  <c r="D102" i="4"/>
  <c r="E102" i="4" s="1"/>
  <c r="D101" i="4"/>
  <c r="E101" i="4" s="1"/>
  <c r="D100" i="4"/>
  <c r="E100" i="4" s="1"/>
  <c r="D99" i="4"/>
  <c r="E99" i="4" s="1"/>
  <c r="D98" i="4"/>
  <c r="E98" i="4" s="1"/>
  <c r="D94" i="4"/>
  <c r="E94" i="4" s="1"/>
  <c r="D92" i="4"/>
  <c r="E92" i="4" s="1"/>
  <c r="D91" i="4"/>
  <c r="E91" i="4" s="1"/>
  <c r="D90" i="4"/>
  <c r="E90" i="4" s="1"/>
  <c r="D89" i="4"/>
  <c r="E89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E69" i="4" s="1"/>
  <c r="D63" i="4"/>
  <c r="E63" i="4" s="1"/>
  <c r="E66" i="4" s="1"/>
  <c r="D59" i="4"/>
  <c r="E59" i="4" s="1"/>
  <c r="D58" i="4"/>
  <c r="E58" i="4" s="1"/>
  <c r="D53" i="4"/>
  <c r="E53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E60" i="4" s="1"/>
  <c r="D42" i="4"/>
  <c r="E42" i="4" s="1"/>
  <c r="D41" i="4"/>
  <c r="E41" i="4" s="1"/>
  <c r="E146" i="4" l="1"/>
  <c r="E133" i="4"/>
  <c r="E95" i="4"/>
  <c r="E119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<sst xmlns="http://schemas.openxmlformats.org/spreadsheetml/2006/main" count="398" uniqueCount="269">
  <si>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</si>
  <si>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</si>
  <si>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</si>
  <si>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</si>
  <si>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</si>
  <si>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</si>
  <si>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</si>
  <si>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</si>
  <si>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</si>
  <si>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</si>
  <si>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</si>
  <si>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</si>
  <si>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</si>
  <si>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</si>
  <si>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</si>
  <si>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</si>
  <si>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</si>
  <si>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</si>
  <si>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</si>
  <si>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</si>
  <si>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</si>
  <si>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</si>
  <si>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</si>
  <si>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</si>
  <si>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</si>
  <si>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</si>
  <si>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</si>
  <si>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</si>
  <si>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</si>
  <si>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</si>
  <si>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</si>
  <si>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</si>
  <si>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</si>
  <si>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</si>
  <si>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</si>
  <si>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</si>
  <si>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</si>
  <si>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</si>
  <si>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</si>
  <si>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</si>
  <si>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</si>
  <si>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</si>
  <si>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</si>
  <si>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</si>
  <si>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</si>
  <si>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</si>
  <si>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</si>
  <si>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</si>
  <si>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</si>
  <si>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</si>
  <si>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</si>
  <si>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</si>
  <si>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</si>
  <si>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</si>
  <si>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</si>
  <si>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</si>
  <si>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</si>
  <si>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</si>
  <si>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</si>
  <si>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</si>
  <si>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</si>
  <si>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</si>
  <si>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</si>
  <si>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</si>
  <si>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</si>
  <si>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</si>
  <si>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</si>
  <si>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</si>
  <si>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</si>
  <si>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</si>
  <si>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</si>
  <si>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</si>
  <si>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</si>
  <si>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</si>
  <si>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</si>
  <si>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</si>
  <si>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</si>
  <si>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</si>
  <si>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</si>
  <si>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</si>
  <si>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</si>
  <si>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</si>
  <si>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</si>
  <si>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</si>
  <si>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</si>
  <si>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</si>
  <si>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</si>
  <si>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</si>
  <si>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</si>
  <si>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</si>
  <si>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</si>
  <si>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</si>
  <si>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</si>
  <si>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</si>
  <si>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</si>
  <si>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</si>
  <si>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</si>
  <si>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</si>
  <si>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</si>
  <si>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</si>
  <si>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</si>
  <si>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</si>
  <si>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</si>
  <si>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</si>
  <si>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</si>
  <si>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</si>
  <si>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</si>
  <si>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</si>
  <si>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</si>
  <si>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</si>
  <si>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</si>
  <si>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</si>
  <si>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</si>
  <si>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</si>
  <si>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</si>
  <si>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</si>
  <si>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</si>
  <si>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</si>
  <si>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</si>
  <si>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</si>
  <si>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</si>
  <si>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</si>
  <si>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</si>
  <si>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</si>
  <si>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</si>
  <si>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</si>
  <si>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</si>
  <si>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</si>
  <si>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</si>
  <si>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</si>
  <si>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</si>
  <si>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</si>
  <si>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</si>
  <si>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</si>
  <si>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</si>
  <si>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</si>
  <si>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</si>
  <si>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</si>
  <si>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</si>
  <si>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</si>
  <si>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</si>
  <si>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</si>
  <si>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</si>
  <si>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</si>
  <si>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</si>
  <si>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</si>
  <si>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</si>
  <si>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</si>
  <si>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</si>
  <si>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</si>
  <si>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</si>
  <si>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</si>
  <si>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</si>
  <si>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</si>
  <si>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</si>
  <si>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</si>
  <si>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</si>
  <si>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</si>
  <si>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</si>
  <si>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</si>
  <si>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</si>
  <si>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</si>
  <si>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</si>
  <si>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</si>
  <si>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</si>
  <si>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</si>
  <si>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</si>
  <si>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</si>
  <si>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</si>
  <si>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</si>
  <si>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</si>
  <si>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</si>
  <si>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</si>
  <si>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</si>
  <si>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</si>
  <si>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</si>
  <si>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</si>
  <si>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</si>
  <si>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</si>
  <si>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</si>
  <si>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</si>
  <si>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</si>
  <si>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</si>
  <si>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</si>
  <si>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</si>
  <si>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</si>
  <si>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</si>
  <si>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</si>
  <si>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</si>
  <si>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</si>
  <si>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</si>
  <si>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</si>
  <si>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</si>
  <si>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</si>
  <si>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</si>
  <si>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</si>
  <si>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</si>
  <si>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</si>
  <si>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</si>
  <si>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</si>
  <si>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</si>
  <si>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</si>
  <si>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</si>
  <si>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</si>
  <si>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</si>
  <si>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</si>
  <si>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</si>
  <si>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</si>
  <si>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</si>
  <si>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</si>
  <si>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</si>
  <si>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</si>
  <si>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</si>
  <si>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</si>
  <si>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</si>
  <si>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</si>
  <si>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</si>
  <si>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</si>
  <si>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</si>
  <si>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</si>
  <si>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</si>
  <si>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</si>
  <si>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</si>
  <si>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</si>
  <si>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</si>
  <si>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</si>
  <si>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</si>
  <si>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</si>
  <si>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</si>
  <si>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</si>
  <si>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</si>
  <si>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</si>
  <si>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</si>
  <si>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</si>
  <si>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</si>
  <si>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</si>
  <si>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</si>
  <si>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</si>
  <si>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</si>
  <si>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</si>
  <si>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</si>
  <si>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</si>
  <si>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</si>
  <si>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</si>
  <si>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</si>
  <si>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</si>
  <si>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</si>
  <si>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</si>
  <si>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</si>
  <si>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</si>
  <si>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옥외보안등설비공사</t>
    <phoneticPr fontId="2" type="noConversion"/>
  </si>
  <si>
    <t>CATV 및 TV 설비공사</t>
    <phoneticPr fontId="2" type="noConversion"/>
  </si>
  <si>
    <t>교육연구</t>
  </si>
  <si>
    <t>전기인입 및 수변전 설비공사</t>
    <phoneticPr fontId="2" type="noConversion"/>
  </si>
  <si>
    <t xml:space="preserve"> R&amp;D 콤플렉스 건립공사</t>
    <phoneticPr fontId="2" type="noConversion"/>
  </si>
  <si>
    <t>전라도</t>
  </si>
  <si>
    <t>기초공사,골재비및운반비, 기타공사</t>
    <phoneticPr fontId="2" type="noConversion"/>
  </si>
  <si>
    <t>공조배관공사, 난방배관공사, 우수처리시설공사, 기타공사</t>
    <phoneticPr fontId="2" type="noConversion"/>
  </si>
  <si>
    <t>원격검침 설비공사, 기타공사</t>
    <phoneticPr fontId="2" type="noConversion"/>
  </si>
  <si>
    <t>CCTV설비공사,주차관제설비공사, 기타공사</t>
    <phoneticPr fontId="2" type="noConversion"/>
  </si>
  <si>
    <t>옥외소화배관공사, 펌프실배관공사, 기타공사</t>
    <phoneticPr fontId="2" type="noConversion"/>
  </si>
  <si>
    <t>토목 상수도공사, 운반비, 기타공사</t>
    <phoneticPr fontId="2" type="noConversion"/>
  </si>
  <si>
    <t>포장공사, 기타공사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</si>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</sst>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252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22556.47</v>
      </c>
      <c r="D7" s="36">
        <f>+C7/3.3058</f>
        <v>6823.3014701433849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263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1504810</v>
      </c>
      <c r="E25" s="58">
        <f t="shared" si="0"/>
        <v>4974600</v>
      </c>
    </row>
    <row r="26" spans="1:5" x14ac:dyDescent="0.3">
      <c r="B26" s="2">
        <v>3</v>
      </c>
      <c r="C26" s="35" t="s">
        <v>95</v>
      </c>
      <c r="D26" s="45">
        <f>+D66</f>
        <v>45410</v>
      </c>
      <c r="E26" s="58">
        <f t="shared" si="0"/>
        <v>150110</v>
      </c>
    </row>
    <row r="27" spans="1:5" x14ac:dyDescent="0.3">
      <c r="B27" s="2">
        <v>4</v>
      </c>
      <c r="C27" s="35" t="s">
        <v>96</v>
      </c>
      <c r="D27" s="45">
        <f>+D95</f>
        <v>223770</v>
      </c>
      <c r="E27" s="58">
        <f t="shared" si="0"/>
        <v>739730</v>
      </c>
    </row>
    <row r="28" spans="1:5" x14ac:dyDescent="0.3">
      <c r="B28" s="2">
        <v>5</v>
      </c>
      <c r="C28" s="35" t="s">
        <v>97</v>
      </c>
      <c r="D28" s="45">
        <f>+D119</f>
        <v>185090</v>
      </c>
      <c r="E28" s="58">
        <f t="shared" si="0"/>
        <v>611870</v>
      </c>
    </row>
    <row r="29" spans="1:5" x14ac:dyDescent="0.3">
      <c r="B29" s="2">
        <v>6</v>
      </c>
      <c r="C29" s="35" t="s">
        <v>98</v>
      </c>
      <c r="D29" s="45">
        <f>+D133</f>
        <v>44900</v>
      </c>
      <c r="E29" s="58">
        <f t="shared" si="0"/>
        <v>148430</v>
      </c>
    </row>
    <row r="30" spans="1:5" x14ac:dyDescent="0.3">
      <c r="B30" s="2">
        <v>7</v>
      </c>
      <c r="C30" s="35" t="s">
        <v>99</v>
      </c>
      <c r="D30" s="45">
        <f>+D146</f>
        <v>52310</v>
      </c>
      <c r="E30" s="58">
        <f t="shared" si="0"/>
        <v>172920</v>
      </c>
    </row>
    <row r="31" spans="1:5" x14ac:dyDescent="0.3">
      <c r="B31" s="2">
        <v>8</v>
      </c>
      <c r="C31" s="35" t="s">
        <v>100</v>
      </c>
      <c r="D31" s="45">
        <f>+D154</f>
        <v>49080</v>
      </c>
      <c r="E31" s="58">
        <f t="shared" si="0"/>
        <v>162240</v>
      </c>
    </row>
    <row r="32" spans="1:5" x14ac:dyDescent="0.3">
      <c r="B32" s="2">
        <v>9</v>
      </c>
      <c r="C32" s="35" t="s">
        <v>101</v>
      </c>
      <c r="D32" s="45">
        <f>+D161</f>
        <v>105090</v>
      </c>
      <c r="E32" s="58">
        <f t="shared" si="0"/>
        <v>347400</v>
      </c>
    </row>
    <row r="33" spans="1:7" x14ac:dyDescent="0.3">
      <c r="B33" s="2">
        <v>10</v>
      </c>
      <c r="C33" s="35" t="s">
        <v>153</v>
      </c>
      <c r="D33" s="53">
        <f>TRUNC(SUM(D24:D32)*0.275,-1)</f>
        <v>607870</v>
      </c>
      <c r="E33" s="59">
        <f t="shared" si="0"/>
        <v>2009490</v>
      </c>
    </row>
    <row r="34" spans="1:7" x14ac:dyDescent="0.3">
      <c r="C34" s="35" t="s">
        <v>112</v>
      </c>
      <c r="D34" s="44">
        <f>SUM(D24:D33)</f>
        <v>2818330</v>
      </c>
      <c r="E34" s="44">
        <f>SUM(E24:E33)</f>
        <v>9316790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234</v>
      </c>
      <c r="E36" s="56" t="s">
        <v>263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241</v>
      </c>
      <c r="D39" s="66" t="s">
        <v>264</v>
      </c>
      <c r="E39" s="66" t="s">
        <v>265</v>
      </c>
      <c r="G39" s="67"/>
    </row>
    <row r="40" spans="1:7" x14ac:dyDescent="0.3">
      <c r="A40" s="2">
        <v>1</v>
      </c>
      <c r="C40" s="38" t="s">
        <v>15</v>
      </c>
      <c r="D40" s="40">
        <v>74600</v>
      </c>
      <c r="E40" s="61">
        <f t="shared" ref="E40:E59" si="1">TRUNC(+D40*3.3058,-1)</f>
        <v>246610</v>
      </c>
    </row>
    <row r="41" spans="1:7" x14ac:dyDescent="0.3">
      <c r="A41" s="2">
        <v>2</v>
      </c>
      <c r="C41" s="38" t="s">
        <v>13</v>
      </c>
      <c r="D41" s="42">
        <f>TRUNC(182314,-1)</f>
        <v>182310</v>
      </c>
      <c r="E41" s="62">
        <f t="shared" si="1"/>
        <v>602680</v>
      </c>
    </row>
    <row r="42" spans="1:7" x14ac:dyDescent="0.3">
      <c r="A42" s="2">
        <v>3</v>
      </c>
      <c r="C42" s="38" t="s">
        <v>14</v>
      </c>
      <c r="D42" s="42">
        <f>TRUNC(87412,-1)</f>
        <v>87410</v>
      </c>
      <c r="E42" s="62">
        <f t="shared" si="1"/>
        <v>288950</v>
      </c>
    </row>
    <row r="43" spans="1:7" x14ac:dyDescent="0.3">
      <c r="A43" s="2">
        <v>4</v>
      </c>
      <c r="C43" s="38" t="s">
        <v>16</v>
      </c>
      <c r="D43" s="42">
        <f>TRUNC(26121,-1)</f>
        <v>26120</v>
      </c>
      <c r="E43" s="62">
        <f t="shared" si="1"/>
        <v>86340</v>
      </c>
    </row>
    <row r="44" spans="1:7" x14ac:dyDescent="0.3">
      <c r="A44" s="2">
        <v>5</v>
      </c>
      <c r="C44" s="38" t="s">
        <v>17</v>
      </c>
      <c r="D44" s="42">
        <f>TRUNC(31332,-1)</f>
        <v>31330</v>
      </c>
      <c r="E44" s="62">
        <f t="shared" si="1"/>
        <v>103570</v>
      </c>
    </row>
    <row r="45" spans="1:7" x14ac:dyDescent="0.3">
      <c r="A45" s="2">
        <v>6</v>
      </c>
      <c r="C45" s="38" t="s">
        <v>18</v>
      </c>
      <c r="D45" s="42">
        <f>TRUNC(10864,-1)</f>
        <v>10860</v>
      </c>
      <c r="E45" s="62">
        <f t="shared" si="1"/>
        <v>35900</v>
      </c>
    </row>
    <row r="46" spans="1:7" x14ac:dyDescent="0.3">
      <c r="A46" s="2">
        <v>7</v>
      </c>
      <c r="C46" s="38" t="s">
        <v>19</v>
      </c>
      <c r="D46" s="42">
        <f>TRUNC(30665,-1)</f>
        <v>30660</v>
      </c>
      <c r="E46" s="62">
        <f t="shared" si="1"/>
        <v>101350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f>TRUNC(69794,-1)</f>
        <v>69790</v>
      </c>
      <c r="E48" s="62">
        <f t="shared" si="1"/>
        <v>230710</v>
      </c>
      <c r="F48" s="2" t="s">
        <v>247</v>
      </c>
    </row>
    <row r="49" spans="1:7" x14ac:dyDescent="0.3">
      <c r="A49" s="2">
        <v>10</v>
      </c>
      <c r="C49" s="38" t="s">
        <v>22</v>
      </c>
      <c r="D49" s="42">
        <f>TRUNC(16691,-1)</f>
        <v>16690</v>
      </c>
      <c r="E49" s="62">
        <f t="shared" si="1"/>
        <v>55170</v>
      </c>
    </row>
    <row r="50" spans="1:7" x14ac:dyDescent="0.3">
      <c r="A50" s="2">
        <v>11</v>
      </c>
      <c r="C50" s="38" t="s">
        <v>154</v>
      </c>
      <c r="D50" s="42">
        <f>TRUNC(69685,-1)</f>
        <v>69680</v>
      </c>
      <c r="E50" s="62">
        <f t="shared" si="1"/>
        <v>230340</v>
      </c>
      <c r="F50" s="2" t="s">
        <v>248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v>12060</v>
      </c>
      <c r="E52" s="62">
        <f t="shared" si="1"/>
        <v>39860</v>
      </c>
    </row>
    <row r="53" spans="1:7" x14ac:dyDescent="0.3">
      <c r="A53" s="2">
        <v>14</v>
      </c>
      <c r="C53" s="38" t="s">
        <v>25</v>
      </c>
      <c r="D53" s="42">
        <f>TRUNC(136897,-1)</f>
        <v>136890</v>
      </c>
      <c r="E53" s="62">
        <f t="shared" si="1"/>
        <v>452530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TRUNC(3354+5572+31010,-1)</f>
        <v>39930</v>
      </c>
      <c r="E58" s="62">
        <f t="shared" si="1"/>
        <v>132000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f>TRUNC(716488,-1)</f>
        <v>716480</v>
      </c>
      <c r="E59" s="63">
        <f t="shared" si="1"/>
        <v>2368530</v>
      </c>
    </row>
    <row r="60" spans="1:7" x14ac:dyDescent="0.3">
      <c r="A60" s="2">
        <v>21</v>
      </c>
      <c r="C60" s="27" t="s">
        <v>112</v>
      </c>
      <c r="D60" s="39">
        <f>SUM(D40:D59)</f>
        <v>1504810</v>
      </c>
      <c r="E60" s="39">
        <f>SUM(E40:E59)</f>
        <v>4974540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236</v>
      </c>
      <c r="E62" s="56" t="s">
        <v>263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TRUNC(45415,-1)</f>
        <v>45410</v>
      </c>
      <c r="E63" s="61">
        <f>TRUNC(+D63*3.3058,-1)</f>
        <v>150110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3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45410</v>
      </c>
      <c r="E66" s="64">
        <f>SUM(E63:E65)</f>
        <v>150110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234</v>
      </c>
      <c r="E68" s="56" t="s">
        <v>263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TRUNC(26602,-1)</f>
        <v>26600</v>
      </c>
      <c r="E69" s="61">
        <f t="shared" ref="E69:E94" si="2">TRUNC(+D69*3.3058,-1)</f>
        <v>87930</v>
      </c>
    </row>
    <row r="70" spans="1:7" ht="16.5" customHeight="1" x14ac:dyDescent="0.3">
      <c r="A70" s="2">
        <v>2</v>
      </c>
      <c r="C70" s="38" t="s">
        <v>31</v>
      </c>
      <c r="D70" s="42">
        <f>TRUNC(2413,-1)</f>
        <v>2410</v>
      </c>
      <c r="E70" s="62">
        <f t="shared" si="2"/>
        <v>7960</v>
      </c>
    </row>
    <row r="71" spans="1:7" x14ac:dyDescent="0.3">
      <c r="A71" s="2">
        <v>3</v>
      </c>
      <c r="C71" s="38" t="s">
        <v>32</v>
      </c>
      <c r="D71" s="42">
        <f>TRUNC(15492,-1)</f>
        <v>15490</v>
      </c>
      <c r="E71" s="62">
        <f t="shared" si="2"/>
        <v>51200</v>
      </c>
    </row>
    <row r="72" spans="1:7" x14ac:dyDescent="0.3">
      <c r="A72" s="2">
        <v>4</v>
      </c>
      <c r="C72" s="38" t="s">
        <v>33</v>
      </c>
      <c r="D72" s="42">
        <f>TRUNC(9791-1)</f>
        <v>9790</v>
      </c>
      <c r="E72" s="62">
        <f t="shared" si="2"/>
        <v>32360</v>
      </c>
    </row>
    <row r="73" spans="1:7" x14ac:dyDescent="0.3">
      <c r="A73" s="2">
        <v>5</v>
      </c>
      <c r="C73" s="38" t="s">
        <v>34</v>
      </c>
      <c r="D73" s="42">
        <f>TRUNC(11189,-1)</f>
        <v>11180</v>
      </c>
      <c r="E73" s="62">
        <f t="shared" si="2"/>
        <v>36950</v>
      </c>
    </row>
    <row r="74" spans="1:7" x14ac:dyDescent="0.3">
      <c r="A74" s="2">
        <v>6</v>
      </c>
      <c r="C74" s="38" t="s">
        <v>175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TRUNC(4765,-1)</f>
        <v>4760</v>
      </c>
      <c r="E75" s="62">
        <f t="shared" si="2"/>
        <v>15730</v>
      </c>
    </row>
    <row r="76" spans="1:7" x14ac:dyDescent="0.3">
      <c r="A76" s="2">
        <v>8</v>
      </c>
      <c r="C76" s="38" t="s">
        <v>119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TRUNC(15236,-1)</f>
        <v>15230</v>
      </c>
      <c r="E89" s="62">
        <f t="shared" si="2"/>
        <v>50340</v>
      </c>
    </row>
    <row r="90" spans="1:7" x14ac:dyDescent="0.3">
      <c r="A90" s="2">
        <v>22</v>
      </c>
      <c r="C90" s="38" t="s">
        <v>36</v>
      </c>
      <c r="D90" s="42">
        <f>TRUNC(1763,-1)</f>
        <v>1760</v>
      </c>
      <c r="E90" s="62">
        <f t="shared" si="2"/>
        <v>5810</v>
      </c>
    </row>
    <row r="91" spans="1:7" x14ac:dyDescent="0.3">
      <c r="A91" s="2">
        <v>23</v>
      </c>
      <c r="C91" s="38" t="s">
        <v>37</v>
      </c>
      <c r="D91" s="42">
        <f>TRUNC(49277,-1)</f>
        <v>49270</v>
      </c>
      <c r="E91" s="62">
        <f t="shared" si="2"/>
        <v>162870</v>
      </c>
    </row>
    <row r="92" spans="1:7" x14ac:dyDescent="0.3">
      <c r="A92" s="2">
        <v>24</v>
      </c>
      <c r="C92" s="38" t="s">
        <v>38</v>
      </c>
      <c r="D92" s="42">
        <f>TRUNC(6581,-1)</f>
        <v>6580</v>
      </c>
      <c r="E92" s="62">
        <f t="shared" si="2"/>
        <v>21750</v>
      </c>
    </row>
    <row r="93" spans="1:7" x14ac:dyDescent="0.3">
      <c r="A93" s="2">
        <v>25</v>
      </c>
      <c r="C93" s="38" t="s">
        <v>148</v>
      </c>
      <c r="D93" s="42">
        <v>0</v>
      </c>
      <c r="E93" s="62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TRUNC(20595+3672+10098+46341,-1)</f>
        <v>80700</v>
      </c>
      <c r="E94" s="63">
        <f t="shared" si="2"/>
        <v>266770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223770</v>
      </c>
      <c r="E95" s="39">
        <f>SUM(E69:E94)</f>
        <v>739670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234</v>
      </c>
      <c r="E97" s="56" t="s">
        <v>263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TRUNC(45687,-1)</f>
        <v>45680</v>
      </c>
      <c r="E98" s="61">
        <f t="shared" ref="E98:E118" si="3">TRUNC(+D98*3.3058,-1)</f>
        <v>151000</v>
      </c>
    </row>
    <row r="99" spans="1:7" x14ac:dyDescent="0.3">
      <c r="A99" s="2">
        <v>2</v>
      </c>
      <c r="C99" s="38" t="s">
        <v>40</v>
      </c>
      <c r="D99" s="42">
        <f>TRUNC(13337,-1)</f>
        <v>13330</v>
      </c>
      <c r="E99" s="62">
        <f t="shared" si="3"/>
        <v>44060</v>
      </c>
    </row>
    <row r="100" spans="1:7" x14ac:dyDescent="0.3">
      <c r="A100" s="2">
        <v>3</v>
      </c>
      <c r="C100" s="38" t="s">
        <v>41</v>
      </c>
      <c r="D100" s="42">
        <f>TRUNC(30494,-1)</f>
        <v>30490</v>
      </c>
      <c r="E100" s="62">
        <f t="shared" si="3"/>
        <v>100790</v>
      </c>
    </row>
    <row r="101" spans="1:7" x14ac:dyDescent="0.3">
      <c r="A101" s="2">
        <v>4</v>
      </c>
      <c r="C101" s="38" t="s">
        <v>42</v>
      </c>
      <c r="D101" s="42">
        <f>TRUNC(1676,-1)</f>
        <v>1670</v>
      </c>
      <c r="E101" s="62">
        <f t="shared" si="3"/>
        <v>5520</v>
      </c>
    </row>
    <row r="102" spans="1:7" x14ac:dyDescent="0.3">
      <c r="A102" s="2">
        <v>5</v>
      </c>
      <c r="C102" s="38" t="s">
        <v>43</v>
      </c>
      <c r="D102" s="42">
        <f>TRUNC(13865,-1)</f>
        <v>13860</v>
      </c>
      <c r="E102" s="62">
        <f t="shared" si="3"/>
        <v>45810</v>
      </c>
    </row>
    <row r="103" spans="1:7" x14ac:dyDescent="0.3">
      <c r="A103" s="2">
        <v>6</v>
      </c>
      <c r="C103" s="38" t="s">
        <v>44</v>
      </c>
      <c r="D103" s="42">
        <f>TRUNC(1847,-1)</f>
        <v>1840</v>
      </c>
      <c r="E103" s="62">
        <f t="shared" si="3"/>
        <v>6080</v>
      </c>
    </row>
    <row r="104" spans="1:7" x14ac:dyDescent="0.3">
      <c r="A104" s="2">
        <v>7</v>
      </c>
      <c r="C104" s="38" t="s">
        <v>45</v>
      </c>
      <c r="D104" s="42">
        <v>4540</v>
      </c>
      <c r="E104" s="62">
        <f t="shared" si="3"/>
        <v>15000</v>
      </c>
    </row>
    <row r="105" spans="1:7" x14ac:dyDescent="0.3">
      <c r="A105" s="2">
        <v>8</v>
      </c>
      <c r="C105" s="38" t="s">
        <v>46</v>
      </c>
      <c r="D105" s="42">
        <f>TRUNC(12068,-1)</f>
        <v>12060</v>
      </c>
      <c r="E105" s="62">
        <f t="shared" si="3"/>
        <v>39860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TRUNC(1236,-1)</f>
        <v>1230</v>
      </c>
      <c r="E114" s="62">
        <f t="shared" si="3"/>
        <v>4060</v>
      </c>
      <c r="F114" s="2" t="s">
        <v>250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TRUNC(10409,-1)</f>
        <v>10400</v>
      </c>
      <c r="E116" s="62">
        <f t="shared" si="3"/>
        <v>34380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v>0</v>
      </c>
      <c r="E117" s="62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TRUNC(291+49702,-1)</f>
        <v>49990</v>
      </c>
      <c r="E118" s="63">
        <f t="shared" si="3"/>
        <v>165250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185090</v>
      </c>
      <c r="E119" s="39">
        <f>SUM(E98:E118)</f>
        <v>611810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234</v>
      </c>
      <c r="E121" s="56" t="s">
        <v>263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TRUNC(4429,-1)</f>
        <v>4420</v>
      </c>
      <c r="E122" s="61">
        <f t="shared" ref="E122:E132" si="4">TRUNC(+D122*3.3058,-1)</f>
        <v>14610</v>
      </c>
      <c r="F122" s="2" t="s">
        <v>251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TRUNC(2761,-1)</f>
        <v>2760</v>
      </c>
      <c r="E124" s="62">
        <f t="shared" si="4"/>
        <v>9120</v>
      </c>
    </row>
    <row r="125" spans="1:7" x14ac:dyDescent="0.3">
      <c r="A125" s="2">
        <v>4</v>
      </c>
      <c r="C125" s="38" t="s">
        <v>138</v>
      </c>
      <c r="D125" s="42">
        <f>TRUNC(5498,-1)</f>
        <v>5490</v>
      </c>
      <c r="E125" s="62">
        <f t="shared" si="4"/>
        <v>18140</v>
      </c>
    </row>
    <row r="126" spans="1:7" x14ac:dyDescent="0.3">
      <c r="A126" s="2">
        <v>5</v>
      </c>
      <c r="C126" s="38" t="s">
        <v>53</v>
      </c>
      <c r="D126" s="42">
        <v>0</v>
      </c>
      <c r="E126" s="62">
        <f t="shared" si="4"/>
        <v>0</v>
      </c>
    </row>
    <row r="127" spans="1:7" x14ac:dyDescent="0.3">
      <c r="A127" s="2">
        <v>6</v>
      </c>
      <c r="C127" s="38" t="s">
        <v>56</v>
      </c>
      <c r="D127" s="42">
        <v>3830</v>
      </c>
      <c r="E127" s="62">
        <f t="shared" si="4"/>
        <v>12660</v>
      </c>
    </row>
    <row r="128" spans="1:7" x14ac:dyDescent="0.3">
      <c r="A128" s="2">
        <v>7</v>
      </c>
      <c r="C128" s="38" t="s">
        <v>46</v>
      </c>
      <c r="D128" s="42">
        <f>TRUNC(3801,-1)</f>
        <v>3800</v>
      </c>
      <c r="E128" s="62">
        <f t="shared" si="4"/>
        <v>12560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TRUNC(20251,-1)</f>
        <v>20250</v>
      </c>
      <c r="E130" s="62">
        <f t="shared" si="4"/>
        <v>66940</v>
      </c>
    </row>
    <row r="131" spans="1:7" x14ac:dyDescent="0.3">
      <c r="A131" s="2">
        <v>10</v>
      </c>
      <c r="C131" s="38" t="s">
        <v>148</v>
      </c>
      <c r="D131" s="42">
        <v>0</v>
      </c>
      <c r="E131" s="62">
        <f t="shared" si="4"/>
        <v>0</v>
      </c>
    </row>
    <row r="132" spans="1:7" ht="17.25" thickBot="1" x14ac:dyDescent="0.35">
      <c r="A132" s="2">
        <v>11</v>
      </c>
      <c r="C132" s="38" t="s">
        <v>47</v>
      </c>
      <c r="D132" s="43">
        <f>TRUNC(2072+317+1963,-1)</f>
        <v>4350</v>
      </c>
      <c r="E132" s="63">
        <f t="shared" si="4"/>
        <v>14380</v>
      </c>
      <c r="F132" s="2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44900</v>
      </c>
      <c r="E133" s="39">
        <f>SUM(E122:E132)</f>
        <v>148410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234</v>
      </c>
      <c r="E135" s="56" t="s">
        <v>263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TRUNC(856+2204+53,-1)</f>
        <v>3110</v>
      </c>
      <c r="E137" s="62">
        <f t="shared" si="5"/>
        <v>10280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f>TRUNC(5923,-1)</f>
        <v>5920</v>
      </c>
      <c r="E138" s="62">
        <f t="shared" si="5"/>
        <v>19570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TRUNC(4574,-1)</f>
        <v>4570</v>
      </c>
      <c r="E140" s="62">
        <f t="shared" si="5"/>
        <v>15100</v>
      </c>
    </row>
    <row r="141" spans="1:7" x14ac:dyDescent="0.3">
      <c r="A141" s="2">
        <v>6</v>
      </c>
      <c r="C141" s="38" t="s">
        <v>59</v>
      </c>
      <c r="D141" s="42">
        <f>TRUNC(13863,-1)</f>
        <v>13860</v>
      </c>
      <c r="E141" s="62">
        <f t="shared" si="5"/>
        <v>45810</v>
      </c>
    </row>
    <row r="142" spans="1:7" x14ac:dyDescent="0.3">
      <c r="A142" s="2">
        <v>7</v>
      </c>
      <c r="C142" s="38" t="s">
        <v>58</v>
      </c>
      <c r="D142" s="42">
        <f>TRUNC(5788,-1)</f>
        <v>5780</v>
      </c>
      <c r="E142" s="62">
        <f t="shared" si="5"/>
        <v>19100</v>
      </c>
    </row>
    <row r="143" spans="1:7" x14ac:dyDescent="0.3">
      <c r="A143" s="2">
        <v>8</v>
      </c>
      <c r="C143" s="38" t="s">
        <v>62</v>
      </c>
      <c r="D143" s="42">
        <f>TRUNC(3198,-1)</f>
        <v>3190</v>
      </c>
      <c r="E143" s="62">
        <f t="shared" si="5"/>
        <v>10540</v>
      </c>
    </row>
    <row r="144" spans="1:7" x14ac:dyDescent="0.3">
      <c r="A144" s="2">
        <v>9</v>
      </c>
      <c r="C144" s="38" t="s">
        <v>63</v>
      </c>
      <c r="D144" s="42">
        <f>TRUNC(15886,-1)</f>
        <v>15880</v>
      </c>
      <c r="E144" s="62">
        <f t="shared" si="5"/>
        <v>52490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52310</v>
      </c>
      <c r="E146" s="39">
        <f>SUM(E136:E145)</f>
        <v>172890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234</v>
      </c>
      <c r="E148" s="56" t="s">
        <v>263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TRUNC(16946+2283,-1)</f>
        <v>19220</v>
      </c>
      <c r="E149" s="61">
        <f>TRUNC(+D149*3.3058,-1)</f>
        <v>63530</v>
      </c>
      <c r="F149" s="2" t="s">
        <v>231</v>
      </c>
    </row>
    <row r="150" spans="1:7" x14ac:dyDescent="0.3">
      <c r="A150" s="2">
        <v>2</v>
      </c>
      <c r="C150" s="38" t="s">
        <v>49</v>
      </c>
      <c r="D150" s="42">
        <f>TRUNC(3064,-1)</f>
        <v>3060</v>
      </c>
      <c r="E150" s="62">
        <f>TRUNC(+D150*3.3058,-1)</f>
        <v>10110</v>
      </c>
      <c r="F150" s="2" t="s">
        <v>231</v>
      </c>
    </row>
    <row r="151" spans="1:7" x14ac:dyDescent="0.3">
      <c r="A151" s="2">
        <v>3</v>
      </c>
      <c r="C151" s="38" t="s">
        <v>50</v>
      </c>
      <c r="D151" s="42">
        <v>17000</v>
      </c>
      <c r="E151" s="62">
        <f>TRUNC(+D151*3.3058,-1)</f>
        <v>56190</v>
      </c>
      <c r="F151" s="2" t="s">
        <v>231</v>
      </c>
    </row>
    <row r="152" spans="1:7" x14ac:dyDescent="0.3">
      <c r="A152" s="2">
        <v>4</v>
      </c>
      <c r="C152" s="38" t="s">
        <v>47</v>
      </c>
      <c r="D152" s="42">
        <f>TRUNC(912+8259+635,-1)</f>
        <v>9800</v>
      </c>
      <c r="E152" s="62">
        <f>TRUNC(+D152*3.3058,-1)</f>
        <v>32390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3">
        <f>TRUNC(+D153*3.3058,-1)</f>
        <v>0</v>
      </c>
      <c r="F153" s="2" t="s">
        <v>231</v>
      </c>
    </row>
    <row r="154" spans="1:7" x14ac:dyDescent="0.3">
      <c r="A154" s="2">
        <v>6</v>
      </c>
      <c r="C154" s="27" t="s">
        <v>112</v>
      </c>
      <c r="D154" s="39">
        <f>SUM(D149:D153)</f>
        <v>49080</v>
      </c>
      <c r="E154" s="39">
        <f>SUM(E149:E153)</f>
        <v>162220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234</v>
      </c>
      <c r="E156" s="56" t="s">
        <v>263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TRUNC(60024,-1)</f>
        <v>60020</v>
      </c>
      <c r="E157" s="61">
        <f>TRUNC(+D157*3.3058,-1)</f>
        <v>198410</v>
      </c>
    </row>
    <row r="158" spans="1:7" x14ac:dyDescent="0.3">
      <c r="A158" s="2">
        <v>2</v>
      </c>
      <c r="C158" s="38" t="s">
        <v>52</v>
      </c>
      <c r="D158" s="42">
        <f>TRUNC(32883,-1)</f>
        <v>32880</v>
      </c>
      <c r="E158" s="62">
        <f>TRUNC(+D158*3.3058,-1)</f>
        <v>108690</v>
      </c>
    </row>
    <row r="159" spans="1:7" x14ac:dyDescent="0.3">
      <c r="A159" s="2">
        <v>3</v>
      </c>
      <c r="C159" s="38" t="s">
        <v>47</v>
      </c>
      <c r="D159" s="42">
        <f>TRUNC(7622+4574,-1)</f>
        <v>12190</v>
      </c>
      <c r="E159" s="62">
        <f>TRUNC(+D159*3.3058,-1)</f>
        <v>40290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105090</v>
      </c>
      <c r="E161" s="39">
        <f>SUM(E157:E160)</f>
        <v>347390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2020-12-07T10:12:36Z</dcterms:modified>
</cp:coreProperties>
</file>