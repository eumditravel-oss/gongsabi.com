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52" i="4"/>
  <c r="D151" i="4"/>
  <c r="D150" i="4"/>
  <c r="D149" i="4"/>
  <c r="D137" i="4"/>
  <c r="D144" i="4"/>
  <c r="D143" i="4"/>
  <c r="D139" i="4"/>
  <c r="D142" i="4"/>
  <c r="D140" i="4"/>
  <c r="D128" i="4"/>
  <c r="D132" i="4"/>
  <c r="D125" i="4"/>
  <c r="D122" i="4"/>
  <c r="D130" i="4"/>
  <c r="D118" i="4"/>
  <c r="D105" i="4"/>
  <c r="D104" i="4"/>
  <c r="D103" i="4"/>
  <c r="D102" i="4"/>
  <c r="D101" i="4"/>
  <c r="D100" i="4"/>
  <c r="D99" i="4"/>
  <c r="D98" i="4"/>
  <c r="D114" i="4"/>
  <c r="D116" i="4"/>
  <c r="D94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<sst xmlns="http://schemas.openxmlformats.org/spreadsheetml/2006/main" count="393" uniqueCount="268">
  <si>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</si>
  <si>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</si>
  <si>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</si>
  <si>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</si>
  <si>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</si>
  <si>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</si>
  <si>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</si>
  <si>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</si>
  <si>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</si>
  <si>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</si>
  <si>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</si>
  <si>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</si>
  <si>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</si>
  <si>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</si>
  <si>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</si>
  <si>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</si>
  <si>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</si>
  <si>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</si>
  <si>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</si>
  <si>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</si>
  <si>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</si>
  <si>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</si>
  <si>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</si>
  <si>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</si>
  <si>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</si>
  <si>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</si>
  <si>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</si>
  <si>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</si>
  <si>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</si>
  <si>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</si>
  <si>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</si>
  <si>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</si>
  <si>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</si>
  <si>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</si>
  <si>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</si>
  <si>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</si>
  <si>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</si>
  <si>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</si>
  <si>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</si>
  <si>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</si>
  <si>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</si>
  <si>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</si>
  <si>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</si>
  <si>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</si>
  <si>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</si>
  <si>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</si>
  <si>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</si>
  <si>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</si>
  <si>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</si>
  <si>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</si>
  <si>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</si>
  <si>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</si>
  <si>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</si>
  <si>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</si>
  <si>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</si>
  <si>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</si>
  <si>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</si>
  <si>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</si>
  <si>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</si>
  <si>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</si>
  <si>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</si>
  <si>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</si>
  <si>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</si>
  <si>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</si>
  <si>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</si>
  <si>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</si>
  <si>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</si>
  <si>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</si>
  <si>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</si>
  <si>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</si>
  <si>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</si>
  <si>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</si>
  <si>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</si>
  <si>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</si>
  <si>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</si>
  <si>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</si>
  <si>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</si>
  <si>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</si>
  <si>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</si>
  <si>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</si>
  <si>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</si>
  <si>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</si>
  <si>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</si>
  <si>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</si>
  <si>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</si>
  <si>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</si>
  <si>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</si>
  <si>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</si>
  <si>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</si>
  <si>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</si>
  <si>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</si>
  <si>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</si>
  <si>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</si>
  <si>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</si>
  <si>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</si>
  <si>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</si>
  <si>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</si>
  <si>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</si>
  <si>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</si>
  <si>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</si>
  <si>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</si>
  <si>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</si>
  <si>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</si>
  <si>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</si>
  <si>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</si>
  <si>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</si>
  <si>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</si>
  <si>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</si>
  <si>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</si>
  <si>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</si>
  <si>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</si>
  <si>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</si>
  <si>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</si>
  <si>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</si>
  <si>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</si>
  <si>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</si>
  <si>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</si>
  <si>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</si>
  <si>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</si>
  <si>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</si>
  <si>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</si>
  <si>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</si>
  <si>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</si>
  <si>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</si>
  <si>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</si>
  <si>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</si>
  <si>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</si>
  <si>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</si>
  <si>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</si>
  <si>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</si>
  <si>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</si>
  <si>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</si>
  <si>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</si>
  <si>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</si>
  <si>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</si>
  <si>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</si>
  <si>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</si>
  <si>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</si>
  <si>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</si>
  <si>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</si>
  <si>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</si>
  <si>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</si>
  <si>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</si>
  <si>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</si>
  <si>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</si>
  <si>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</si>
  <si>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</si>
  <si>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</si>
  <si>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</si>
  <si>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</si>
  <si>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</si>
  <si>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</si>
  <si>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</si>
  <si>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</si>
  <si>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</si>
  <si>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</si>
  <si>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</si>
  <si>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</si>
  <si>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</si>
  <si>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</si>
  <si>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</si>
  <si>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</si>
  <si>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</si>
  <si>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</si>
  <si>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</si>
  <si>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</si>
  <si>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</si>
  <si>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</si>
  <si>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</si>
  <si>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</si>
  <si>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</si>
  <si>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</si>
  <si>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</si>
  <si>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</si>
  <si>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</si>
  <si>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</si>
  <si>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</si>
  <si>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</si>
  <si>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</si>
  <si>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</si>
  <si>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</si>
  <si>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</si>
  <si>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</si>
  <si>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</si>
  <si>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</si>
  <si>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</si>
  <si>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</si>
  <si>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</si>
  <si>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</si>
  <si>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</si>
  <si>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</si>
  <si>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</si>
  <si>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</si>
  <si>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</si>
  <si>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</si>
  <si>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</si>
  <si>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</si>
  <si>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</si>
  <si>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</si>
  <si>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</si>
  <si>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</si>
  <si>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</si>
  <si>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</si>
  <si>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</si>
  <si>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</si>
  <si>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</si>
  <si>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</si>
  <si>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</si>
  <si>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</si>
  <si>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</si>
  <si>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</si>
  <si>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</si>
  <si>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</si>
  <si>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</si>
  <si>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</si>
  <si>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</si>
  <si>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</si>
  <si>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</si>
  <si>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</si>
  <si>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</si>
  <si>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</si>
  <si>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</si>
  <si>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</si>
  <si>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</si>
  <si>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</si>
  <si>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</si>
  <si>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</si>
  <si>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</si>
  <si>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</si>
  <si>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</si>
  <si>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</si>
  <si>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</si>
  <si>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</si>
  <si>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</si>
  <si>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</si>
  <si>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</si>
  <si>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</si>
  <si>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</si>
  <si>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</si>
  <si>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</si>
  <si>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</si>
  <si>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</si>
  <si>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</si>
  <si>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</si>
  <si>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</si>
  <si>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</si>
  <si>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</si>
  <si>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</si>
  <si>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한약제제 생산시설(GMP) 구축 공사[건축/토목/기계]</t>
    <phoneticPr fontId="2" type="noConversion"/>
  </si>
  <si>
    <t>기타</t>
  </si>
  <si>
    <t>대구시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</si>
  <si>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</si>
  <si>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</si>
  <si>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</si>
  <si>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기초공사,골재비및운반비,작업부산물,기타공사</t>
    <phoneticPr fontId="2" type="noConversion"/>
  </si>
  <si>
    <t>기타공사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</si>
  <si>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</si>
  <si>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</si>
  <si>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</si>
  <si>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</si>
  <si>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</si>
  <si>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</si>
  <si>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펌프실배관공사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</si>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</sst>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3164</v>
      </c>
      <c r="D7" s="36">
        <f>+C7/3.3058</f>
        <v>957.10569302438137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847370</v>
      </c>
      <c r="E25" s="59">
        <f t="shared" si="0"/>
        <v>2801230</v>
      </c>
    </row>
    <row r="26" spans="1:5" x14ac:dyDescent="0.3">
      <c r="B26" s="2">
        <v>3</v>
      </c>
      <c r="C26" s="35" t="s">
        <v>95</v>
      </c>
      <c r="D26" s="45">
        <f>+D66</f>
        <v>8440</v>
      </c>
      <c r="E26" s="59">
        <f t="shared" si="0"/>
        <v>27900</v>
      </c>
    </row>
    <row r="27" spans="1:5" x14ac:dyDescent="0.3">
      <c r="B27" s="2">
        <v>4</v>
      </c>
      <c r="C27" s="35" t="s">
        <v>96</v>
      </c>
      <c r="D27" s="45">
        <f>+D95</f>
        <v>533580</v>
      </c>
      <c r="E27" s="59">
        <f t="shared" si="0"/>
        <v>1763900</v>
      </c>
    </row>
    <row r="28" spans="1:5" x14ac:dyDescent="0.3">
      <c r="B28" s="2">
        <v>5</v>
      </c>
      <c r="C28" s="35" t="s">
        <v>97</v>
      </c>
      <c r="D28" s="45">
        <f>+D119</f>
        <v>316760</v>
      </c>
      <c r="E28" s="59">
        <f t="shared" si="0"/>
        <v>1047140</v>
      </c>
    </row>
    <row r="29" spans="1:5" x14ac:dyDescent="0.3">
      <c r="B29" s="2">
        <v>6</v>
      </c>
      <c r="C29" s="35" t="s">
        <v>98</v>
      </c>
      <c r="D29" s="45">
        <f>+D133</f>
        <v>32670</v>
      </c>
      <c r="E29" s="59">
        <f t="shared" si="0"/>
        <v>108000</v>
      </c>
    </row>
    <row r="30" spans="1:5" x14ac:dyDescent="0.3">
      <c r="B30" s="2">
        <v>7</v>
      </c>
      <c r="C30" s="35" t="s">
        <v>99</v>
      </c>
      <c r="D30" s="45">
        <f>+D146</f>
        <v>48360</v>
      </c>
      <c r="E30" s="59">
        <f t="shared" si="0"/>
        <v>159860</v>
      </c>
    </row>
    <row r="31" spans="1:5" x14ac:dyDescent="0.3">
      <c r="B31" s="2">
        <v>8</v>
      </c>
      <c r="C31" s="35" t="s">
        <v>100</v>
      </c>
      <c r="D31" s="45">
        <f>+D154</f>
        <v>39830</v>
      </c>
      <c r="E31" s="59">
        <f t="shared" si="0"/>
        <v>131670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502420</v>
      </c>
      <c r="E33" s="60">
        <f t="shared" si="0"/>
        <v>1660900</v>
      </c>
    </row>
    <row r="34" spans="1:7" x14ac:dyDescent="0.3">
      <c r="C34" s="35" t="s">
        <v>112</v>
      </c>
      <c r="D34" s="44">
        <f>SUM(D24:D33)</f>
        <v>2329430</v>
      </c>
      <c r="E34" s="44">
        <f>SUM(E24:E33)</f>
        <v>7700600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TRUNC(72874,-1)</f>
        <v>72870</v>
      </c>
      <c r="E40" s="62">
        <f t="shared" ref="E40:E59" si="1">TRUNC(+D40*3.3058,-1)</f>
        <v>240890</v>
      </c>
    </row>
    <row r="41" spans="1:7" x14ac:dyDescent="0.3">
      <c r="A41" s="2">
        <v>2</v>
      </c>
      <c r="C41" s="38" t="s">
        <v>13</v>
      </c>
      <c r="D41" s="42">
        <f>TRUNC(139246,-1)</f>
        <v>139240</v>
      </c>
      <c r="E41" s="63">
        <f t="shared" si="1"/>
        <v>460290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TRUNC(5883,-1)</f>
        <v>5880</v>
      </c>
      <c r="E43" s="63">
        <f t="shared" si="1"/>
        <v>19430</v>
      </c>
    </row>
    <row r="44" spans="1:7" x14ac:dyDescent="0.3">
      <c r="A44" s="2">
        <v>5</v>
      </c>
      <c r="C44" s="38" t="s">
        <v>17</v>
      </c>
      <c r="D44" s="42">
        <f>TRUNC(20896,-1)</f>
        <v>20890</v>
      </c>
      <c r="E44" s="63">
        <f t="shared" si="1"/>
        <v>69050</v>
      </c>
    </row>
    <row r="45" spans="1:7" x14ac:dyDescent="0.3">
      <c r="A45" s="2">
        <v>6</v>
      </c>
      <c r="C45" s="38" t="s">
        <v>18</v>
      </c>
      <c r="D45" s="42">
        <f>TRUNC(3673,-1)</f>
        <v>3670</v>
      </c>
      <c r="E45" s="63">
        <f t="shared" si="1"/>
        <v>12130</v>
      </c>
    </row>
    <row r="46" spans="1:7" x14ac:dyDescent="0.3">
      <c r="A46" s="2">
        <v>7</v>
      </c>
      <c r="C46" s="38" t="s">
        <v>19</v>
      </c>
      <c r="D46" s="42">
        <f>TRUNC(12738,-1)</f>
        <v>12730</v>
      </c>
      <c r="E46" s="63">
        <f t="shared" si="1"/>
        <v>42080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TRUNC(15901,-1)</f>
        <v>15900</v>
      </c>
      <c r="E48" s="63">
        <f t="shared" si="1"/>
        <v>52560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TRUNC(7061,-1)</f>
        <v>7060</v>
      </c>
      <c r="E49" s="63">
        <f t="shared" si="1"/>
        <v>23330</v>
      </c>
    </row>
    <row r="50" spans="1:7" x14ac:dyDescent="0.3">
      <c r="A50" s="2">
        <v>11</v>
      </c>
      <c r="C50" s="38" t="s">
        <v>155</v>
      </c>
      <c r="D50" s="42">
        <f>TRUNC(32780,-1)</f>
        <v>32780</v>
      </c>
      <c r="E50" s="63">
        <f t="shared" si="1"/>
        <v>108360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TRUNC(23659,-1)</f>
        <v>23650</v>
      </c>
      <c r="E52" s="63">
        <f t="shared" si="1"/>
        <v>78180</v>
      </c>
    </row>
    <row r="53" spans="1:7" x14ac:dyDescent="0.3">
      <c r="A53" s="2">
        <v>14</v>
      </c>
      <c r="C53" s="38" t="s">
        <v>25</v>
      </c>
      <c r="D53" s="42">
        <f>TRUNC(72168,-1)</f>
        <v>72160</v>
      </c>
      <c r="E53" s="63">
        <f t="shared" si="1"/>
        <v>238540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TRUNC(677+2382-575+13376,-1)</f>
        <v>15860</v>
      </c>
      <c r="E58" s="63">
        <f t="shared" si="1"/>
        <v>52420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TRUNC(424688,-1)</f>
        <v>424680</v>
      </c>
      <c r="E59" s="64">
        <f t="shared" si="1"/>
        <v>1403900</v>
      </c>
    </row>
    <row r="60" spans="1:7" x14ac:dyDescent="0.3">
      <c r="A60" s="2">
        <v>21</v>
      </c>
      <c r="C60" s="27" t="s">
        <v>112</v>
      </c>
      <c r="D60" s="39">
        <f>SUM(D40:D59)</f>
        <v>847370</v>
      </c>
      <c r="E60" s="39">
        <f>SUM(E40:E59)</f>
        <v>2801160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TRUNC(8440,-1)</f>
        <v>8440</v>
      </c>
      <c r="E63" s="62">
        <f>TRUNC(+D63*3.3058,-1)</f>
        <v>27900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8440</v>
      </c>
      <c r="E66" s="65">
        <f>SUM(E63:E65)</f>
        <v>27900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TRUNC(68061,-1)</f>
        <v>68060</v>
      </c>
      <c r="E69" s="62">
        <f t="shared" ref="E69:E94" si="2">TRUNC(+D69*3.3058,-1)</f>
        <v>224990</v>
      </c>
    </row>
    <row r="70" spans="1:7" ht="16.5" customHeight="1" x14ac:dyDescent="0.3">
      <c r="A70" s="2">
        <v>2</v>
      </c>
      <c r="C70" s="38" t="s">
        <v>31</v>
      </c>
      <c r="D70" s="42">
        <f>TRUNC(554,-1)</f>
        <v>550</v>
      </c>
      <c r="E70" s="63">
        <f t="shared" si="2"/>
        <v>1810</v>
      </c>
    </row>
    <row r="71" spans="1:7" x14ac:dyDescent="0.3">
      <c r="A71" s="2">
        <v>3</v>
      </c>
      <c r="C71" s="38" t="s">
        <v>32</v>
      </c>
      <c r="D71" s="42">
        <f>TRUNC(12648,-1)</f>
        <v>12640</v>
      </c>
      <c r="E71" s="63">
        <f t="shared" si="2"/>
        <v>41780</v>
      </c>
    </row>
    <row r="72" spans="1:7" x14ac:dyDescent="0.3">
      <c r="A72" s="2">
        <v>4</v>
      </c>
      <c r="C72" s="38" t="s">
        <v>33</v>
      </c>
      <c r="D72" s="42">
        <f>TRUNC(17397,-1)</f>
        <v>17390</v>
      </c>
      <c r="E72" s="63">
        <f t="shared" si="2"/>
        <v>57480</v>
      </c>
    </row>
    <row r="73" spans="1:7" x14ac:dyDescent="0.3">
      <c r="A73" s="2">
        <v>5</v>
      </c>
      <c r="C73" s="38" t="s">
        <v>34</v>
      </c>
      <c r="D73" s="42">
        <f>TRUNC(25001,-1)</f>
        <v>25000</v>
      </c>
      <c r="E73" s="63">
        <f t="shared" si="2"/>
        <v>82640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TRUNC(17348,-1)</f>
        <v>17340</v>
      </c>
      <c r="E89" s="63">
        <f t="shared" si="2"/>
        <v>57320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TRUNC(1057,-1)</f>
        <v>1050</v>
      </c>
      <c r="E91" s="63">
        <f t="shared" si="2"/>
        <v>3470</v>
      </c>
    </row>
    <row r="92" spans="1:7" x14ac:dyDescent="0.3">
      <c r="A92" s="2">
        <v>24</v>
      </c>
      <c r="C92" s="38" t="s">
        <v>38</v>
      </c>
      <c r="D92" s="42">
        <f>TRUNC(3544,-1)</f>
        <v>3540</v>
      </c>
      <c r="E92" s="63">
        <f t="shared" si="2"/>
        <v>11700</v>
      </c>
    </row>
    <row r="93" spans="1:7" x14ac:dyDescent="0.3">
      <c r="A93" s="2">
        <v>25</v>
      </c>
      <c r="C93" s="38" t="s">
        <v>148</v>
      </c>
      <c r="D93" s="42">
        <f>TRUNC(380120,-1)</f>
        <v>380120</v>
      </c>
      <c r="E93" s="63">
        <f t="shared" si="2"/>
        <v>1256600</v>
      </c>
    </row>
    <row r="94" spans="1:7" ht="17.25" thickBot="1" x14ac:dyDescent="0.35">
      <c r="A94" s="2">
        <v>26</v>
      </c>
      <c r="C94" s="38" t="s">
        <v>47</v>
      </c>
      <c r="D94" s="43">
        <f>TRUNC(7897,-1)</f>
        <v>7890</v>
      </c>
      <c r="E94" s="64">
        <f t="shared" si="2"/>
        <v>26080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533580</v>
      </c>
      <c r="E95" s="39">
        <f>SUM(E69:E94)</f>
        <v>1763870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TRUNC(20628,-1)</f>
        <v>20620</v>
      </c>
      <c r="E98" s="62">
        <f t="shared" ref="E98:E118" si="3">TRUNC(+D98*3.3058,-1)</f>
        <v>68160</v>
      </c>
    </row>
    <row r="99" spans="1:7" x14ac:dyDescent="0.3">
      <c r="A99" s="2">
        <v>2</v>
      </c>
      <c r="C99" s="38" t="s">
        <v>40</v>
      </c>
      <c r="D99" s="42">
        <f>TRUNC(26654,-1)</f>
        <v>26650</v>
      </c>
      <c r="E99" s="63">
        <f t="shared" si="3"/>
        <v>88090</v>
      </c>
    </row>
    <row r="100" spans="1:7" x14ac:dyDescent="0.3">
      <c r="A100" s="2">
        <v>3</v>
      </c>
      <c r="C100" s="38" t="s">
        <v>41</v>
      </c>
      <c r="D100" s="42">
        <f>TRUNC(42477,-1)</f>
        <v>42470</v>
      </c>
      <c r="E100" s="63">
        <f t="shared" si="3"/>
        <v>140390</v>
      </c>
    </row>
    <row r="101" spans="1:7" x14ac:dyDescent="0.3">
      <c r="A101" s="2">
        <v>4</v>
      </c>
      <c r="C101" s="38" t="s">
        <v>42</v>
      </c>
      <c r="D101" s="42">
        <f>TRUNC(1552,-1)</f>
        <v>1550</v>
      </c>
      <c r="E101" s="63">
        <f t="shared" si="3"/>
        <v>5120</v>
      </c>
    </row>
    <row r="102" spans="1:7" x14ac:dyDescent="0.3">
      <c r="A102" s="2">
        <v>5</v>
      </c>
      <c r="C102" s="38" t="s">
        <v>43</v>
      </c>
      <c r="D102" s="42">
        <f>TRUNC(20013,-1)</f>
        <v>20010</v>
      </c>
      <c r="E102" s="63">
        <f t="shared" si="3"/>
        <v>66140</v>
      </c>
    </row>
    <row r="103" spans="1:7" x14ac:dyDescent="0.3">
      <c r="A103" s="2">
        <v>6</v>
      </c>
      <c r="C103" s="38" t="s">
        <v>44</v>
      </c>
      <c r="D103" s="42">
        <f>TRUNC(5088,-1)</f>
        <v>5080</v>
      </c>
      <c r="E103" s="63">
        <f t="shared" si="3"/>
        <v>16790</v>
      </c>
    </row>
    <row r="104" spans="1:7" x14ac:dyDescent="0.3">
      <c r="A104" s="2">
        <v>7</v>
      </c>
      <c r="C104" s="38" t="s">
        <v>45</v>
      </c>
      <c r="D104" s="42">
        <f>TRUNC(485,-1)</f>
        <v>480</v>
      </c>
      <c r="E104" s="63">
        <f t="shared" si="3"/>
        <v>1580</v>
      </c>
    </row>
    <row r="105" spans="1:7" x14ac:dyDescent="0.3">
      <c r="A105" s="2">
        <v>8</v>
      </c>
      <c r="C105" s="38" t="s">
        <v>46</v>
      </c>
      <c r="D105" s="42">
        <f>TRUNC(19243,-1)</f>
        <v>19240</v>
      </c>
      <c r="E105" s="63">
        <f t="shared" si="3"/>
        <v>63600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TRUNC(3160,-1)</f>
        <v>3160</v>
      </c>
      <c r="E114" s="63">
        <f t="shared" si="3"/>
        <v>10440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TRUNC(7857,-1)</f>
        <v>7850</v>
      </c>
      <c r="E116" s="63">
        <f t="shared" si="3"/>
        <v>25950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TRUNC(161893,-1)</f>
        <v>161890</v>
      </c>
      <c r="E117" s="63">
        <f t="shared" si="3"/>
        <v>535170</v>
      </c>
    </row>
    <row r="118" spans="1:7" ht="17.25" thickBot="1" x14ac:dyDescent="0.35">
      <c r="A118" s="2">
        <v>21</v>
      </c>
      <c r="C118" s="38" t="s">
        <v>47</v>
      </c>
      <c r="D118" s="43">
        <f>TRUNC(5655+2109,-1)</f>
        <v>7760</v>
      </c>
      <c r="E118" s="64">
        <f t="shared" si="3"/>
        <v>25650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316760</v>
      </c>
      <c r="E119" s="39">
        <f>SUM(E98:E118)</f>
        <v>1047080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TRUNC(1493,-1)</f>
        <v>1490</v>
      </c>
      <c r="E122" s="62">
        <f t="shared" ref="E122:E132" si="4">TRUNC(+D122*3.3058,-1)</f>
        <v>4920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TRUNC(6949,-1)</f>
        <v>6940</v>
      </c>
      <c r="E125" s="63">
        <f t="shared" si="4"/>
        <v>22940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TRUNC(4348,-1)</f>
        <v>4340</v>
      </c>
      <c r="E128" s="63">
        <f t="shared" si="4"/>
        <v>14340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TRUNC(14401,-1)</f>
        <v>14400</v>
      </c>
      <c r="E130" s="63">
        <f t="shared" si="4"/>
        <v>47600</v>
      </c>
    </row>
    <row r="131" spans="1:7" x14ac:dyDescent="0.3">
      <c r="A131" s="2">
        <v>10</v>
      </c>
      <c r="C131" s="38" t="s">
        <v>148</v>
      </c>
      <c r="D131" s="42">
        <f>TRUNC(3915,-1)</f>
        <v>3910</v>
      </c>
      <c r="E131" s="63">
        <f t="shared" si="4"/>
        <v>12920</v>
      </c>
    </row>
    <row r="132" spans="1:7" ht="18" thickBot="1" x14ac:dyDescent="0.35">
      <c r="A132" s="2">
        <v>11</v>
      </c>
      <c r="C132" s="38" t="s">
        <v>47</v>
      </c>
      <c r="D132" s="43">
        <f>TRUNC(1596,-1)</f>
        <v>1590</v>
      </c>
      <c r="E132" s="64">
        <f t="shared" si="4"/>
        <v>5250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32670</v>
      </c>
      <c r="E133" s="39">
        <f>SUM(E122:E132)</f>
        <v>107970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TRUNC(3497,-1)</f>
        <v>3490</v>
      </c>
      <c r="E137" s="63">
        <f t="shared" si="5"/>
        <v>11530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TRUNC(838,-1)</f>
        <v>830</v>
      </c>
      <c r="E139" s="63">
        <f t="shared" si="5"/>
        <v>2740</v>
      </c>
    </row>
    <row r="140" spans="1:7" x14ac:dyDescent="0.3">
      <c r="A140" s="2">
        <v>5</v>
      </c>
      <c r="C140" s="38" t="s">
        <v>57</v>
      </c>
      <c r="D140" s="42">
        <f>TRUNC(2217,-1)</f>
        <v>2210</v>
      </c>
      <c r="E140" s="63">
        <f t="shared" si="5"/>
        <v>7300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TRUNC(5183,-1)</f>
        <v>5180</v>
      </c>
      <c r="E142" s="63">
        <f t="shared" si="5"/>
        <v>17120</v>
      </c>
    </row>
    <row r="143" spans="1:7" x14ac:dyDescent="0.3">
      <c r="A143" s="2">
        <v>8</v>
      </c>
      <c r="C143" s="38" t="s">
        <v>62</v>
      </c>
      <c r="D143" s="42">
        <f>TRUNC(10538,-1)</f>
        <v>10530</v>
      </c>
      <c r="E143" s="63">
        <f t="shared" si="5"/>
        <v>34810</v>
      </c>
    </row>
    <row r="144" spans="1:7" x14ac:dyDescent="0.3">
      <c r="A144" s="2">
        <v>9</v>
      </c>
      <c r="C144" s="38" t="s">
        <v>63</v>
      </c>
      <c r="D144" s="42">
        <f>TRUNC(26125,-1)</f>
        <v>26120</v>
      </c>
      <c r="E144" s="63">
        <f t="shared" si="5"/>
        <v>86340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48360</v>
      </c>
      <c r="E146" s="39">
        <f>SUM(E136:E145)</f>
        <v>159840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TRUNC(7858+674,-1)</f>
        <v>8530</v>
      </c>
      <c r="E149" s="62">
        <f>TRUNC(+D149*3.3058,-1)</f>
        <v>28190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TRUNC(4013,-1)</f>
        <v>4010</v>
      </c>
      <c r="E150" s="63">
        <f>TRUNC(+D150*3.3058,-1)</f>
        <v>13250</v>
      </c>
    </row>
    <row r="151" spans="1:7" x14ac:dyDescent="0.3">
      <c r="A151" s="2">
        <v>3</v>
      </c>
      <c r="C151" s="38" t="s">
        <v>50</v>
      </c>
      <c r="D151" s="42">
        <f>TRUNC(5755,-1)</f>
        <v>5750</v>
      </c>
      <c r="E151" s="63">
        <f>TRUNC(+D151*3.3058,-1)</f>
        <v>19000</v>
      </c>
    </row>
    <row r="152" spans="1:7" x14ac:dyDescent="0.3">
      <c r="A152" s="2">
        <v>4</v>
      </c>
      <c r="C152" s="38" t="s">
        <v>47</v>
      </c>
      <c r="D152" s="42">
        <f>TRUNC(19484+561,-1)</f>
        <v>20040</v>
      </c>
      <c r="E152" s="63">
        <f>TRUNC(+D152*3.3058,-1)</f>
        <v>66240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TRUNC(1505,-1)</f>
        <v>1500</v>
      </c>
      <c r="E153" s="64">
        <f>TRUNC(+D153*3.3058,-1)</f>
        <v>4950</v>
      </c>
    </row>
    <row r="154" spans="1:7" x14ac:dyDescent="0.3">
      <c r="A154" s="2">
        <v>6</v>
      </c>
      <c r="C154" s="27" t="s">
        <v>112</v>
      </c>
      <c r="D154" s="39">
        <f>SUM(D149:D153)</f>
        <v>39830</v>
      </c>
      <c r="E154" s="39">
        <f>SUM(E149:E153)</f>
        <v>131630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2020-12-08T02:35:40Z</dcterms:modified>
</cp:coreProperties>
</file>