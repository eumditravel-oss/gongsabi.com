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5" i="4"/>
  <c r="D124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2" i="4"/>
  <c r="D91" i="4"/>
  <c r="D90" i="4"/>
  <c r="D89" i="4"/>
  <c r="D73" i="4"/>
  <c r="D72" i="4"/>
  <c r="D71" i="4"/>
  <c r="D70" i="4"/>
  <c r="D69" i="4"/>
  <c r="D58" i="4"/>
  <c r="D65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<sst xmlns="http://schemas.openxmlformats.org/spreadsheetml/2006/main" count="390" uniqueCount="265">
  <si>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</si>
  <si>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</si>
  <si>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</si>
  <si>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</si>
  <si>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</si>
  <si>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</si>
  <si>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</si>
  <si>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</si>
  <si>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</si>
  <si>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</si>
  <si>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</si>
  <si>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</si>
  <si>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</si>
  <si>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</si>
  <si>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</si>
  <si>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</si>
  <si>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</si>
  <si>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</si>
  <si>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</si>
  <si>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</si>
  <si>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</si>
  <si>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</si>
  <si>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</si>
  <si>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</si>
  <si>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</si>
  <si>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</si>
  <si>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</si>
  <si>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</si>
  <si>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</si>
  <si>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</si>
  <si>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</si>
  <si>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</si>
  <si>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</si>
  <si>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</si>
  <si>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</si>
  <si>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</si>
  <si>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</si>
  <si>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</si>
  <si>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</si>
  <si>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</si>
  <si>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</si>
  <si>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</si>
  <si>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</si>
  <si>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</si>
  <si>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</si>
  <si>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</si>
  <si>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</si>
  <si>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</si>
  <si>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</si>
  <si>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</si>
  <si>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</si>
  <si>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</si>
  <si>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</si>
  <si>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</si>
  <si>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</si>
  <si>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</si>
  <si>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</si>
  <si>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</si>
  <si>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</si>
  <si>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</si>
  <si>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</si>
  <si>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</si>
  <si>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</si>
  <si>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</si>
  <si>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</si>
  <si>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</si>
  <si>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</si>
  <si>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</si>
  <si>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</si>
  <si>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</si>
  <si>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</si>
  <si>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</si>
  <si>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</si>
  <si>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</si>
  <si>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</si>
  <si>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</si>
  <si>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</si>
  <si>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</si>
  <si>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</si>
  <si>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</si>
  <si>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</si>
  <si>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</si>
  <si>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</si>
  <si>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</si>
  <si>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</si>
  <si>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</si>
  <si>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</si>
  <si>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</si>
  <si>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</si>
  <si>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</si>
  <si>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</si>
  <si>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</si>
  <si>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</si>
  <si>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</si>
  <si>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</si>
  <si>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</si>
  <si>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</si>
  <si>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</si>
  <si>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</si>
  <si>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</si>
  <si>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</si>
  <si>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</si>
  <si>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</si>
  <si>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</si>
  <si>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</si>
  <si>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</si>
  <si>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</si>
  <si>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</si>
  <si>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</si>
  <si>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</si>
  <si>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</si>
  <si>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</si>
  <si>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</si>
  <si>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</si>
  <si>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</si>
  <si>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</si>
  <si>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</si>
  <si>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</si>
  <si>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</si>
  <si>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</si>
  <si>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</si>
  <si>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</si>
  <si>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</si>
  <si>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</si>
  <si>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</si>
  <si>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</si>
  <si>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</si>
  <si>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</si>
  <si>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</si>
  <si>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</si>
  <si>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</si>
  <si>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</si>
  <si>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</si>
  <si>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</si>
  <si>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</si>
  <si>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</si>
  <si>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</si>
  <si>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</si>
  <si>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</si>
  <si>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</si>
  <si>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</si>
  <si>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</si>
  <si>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</si>
  <si>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</si>
  <si>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</si>
  <si>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</si>
  <si>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</si>
  <si>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</si>
  <si>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</si>
  <si>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</si>
  <si>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</si>
  <si>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</si>
  <si>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</si>
  <si>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</si>
  <si>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</si>
  <si>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</si>
  <si>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</si>
  <si>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</si>
  <si>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</si>
  <si>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</si>
  <si>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</si>
  <si>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</si>
  <si>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</si>
  <si>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</si>
  <si>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</si>
  <si>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</si>
  <si>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</si>
  <si>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</si>
  <si>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</si>
  <si>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</si>
  <si>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</si>
  <si>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</si>
  <si>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</si>
  <si>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</si>
  <si>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</si>
  <si>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</si>
  <si>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</si>
  <si>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</si>
  <si>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</si>
  <si>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</si>
  <si>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</si>
  <si>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</si>
  <si>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</si>
  <si>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</si>
  <si>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</si>
  <si>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</si>
  <si>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</si>
  <si>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</si>
  <si>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</si>
  <si>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</si>
  <si>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</si>
  <si>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</si>
  <si>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</si>
  <si>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</si>
  <si>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</si>
  <si>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</si>
  <si>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</si>
  <si>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</si>
  <si>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</si>
  <si>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</si>
  <si>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</si>
  <si>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</si>
  <si>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</si>
  <si>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</si>
  <si>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</si>
  <si>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</si>
  <si>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</si>
  <si>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</si>
  <si>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</si>
  <si>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</si>
  <si>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</si>
  <si>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</si>
  <si>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</si>
  <si>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</si>
  <si>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</si>
  <si>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</si>
  <si>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</si>
  <si>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</si>
  <si>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</si>
  <si>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</si>
  <si>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</si>
  <si>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</si>
  <si>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</si>
  <si>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</si>
  <si>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</si>
  <si>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</si>
  <si>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</si>
  <si>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</si>
  <si>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</si>
  <si>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</si>
  <si>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</si>
  <si>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</si>
  <si>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</si>
  <si>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</si>
  <si>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</si>
  <si>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</si>
  <si>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</si>
  <si>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</si>
  <si>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</si>
  <si>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</si>
  <si>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</si>
  <si>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</si>
  <si>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</si>
  <si>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</si>
  <si>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</si>
  <si>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</si>
  <si>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</si>
  <si>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</si>
  <si>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</si>
  <si>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한국주택금융공사 연구교육센터 건립공사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</si>
  <si>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</si>
  <si>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</si>
  <si>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</si>
  <si>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 작업부산물, 기타공사</t>
    <phoneticPr fontId="2" type="noConversion"/>
  </si>
  <si>
    <t>난방배관공사, 바닥난방공사,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</si>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</sst>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10140.76</v>
      </c>
      <c r="D7" s="36">
        <f>+C7/3.3058</f>
        <v>3067.566095952568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1670440</v>
      </c>
      <c r="E25" s="59">
        <f t="shared" si="0"/>
        <v>5522140</v>
      </c>
    </row>
    <row r="26" spans="1:5" x14ac:dyDescent="0.3">
      <c r="B26" s="2">
        <v>3</v>
      </c>
      <c r="C26" s="35" t="s">
        <v>95</v>
      </c>
      <c r="D26" s="45">
        <f>+D66</f>
        <v>203690</v>
      </c>
      <c r="E26" s="59">
        <f t="shared" si="0"/>
        <v>673350</v>
      </c>
    </row>
    <row r="27" spans="1:5" x14ac:dyDescent="0.3">
      <c r="B27" s="2">
        <v>4</v>
      </c>
      <c r="C27" s="35" t="s">
        <v>96</v>
      </c>
      <c r="D27" s="45">
        <f>+D95</f>
        <v>193890</v>
      </c>
      <c r="E27" s="59">
        <f t="shared" si="0"/>
        <v>640960</v>
      </c>
    </row>
    <row r="28" spans="1:5" x14ac:dyDescent="0.3">
      <c r="B28" s="2">
        <v>5</v>
      </c>
      <c r="C28" s="35" t="s">
        <v>97</v>
      </c>
      <c r="D28" s="45">
        <f>+D119</f>
        <v>360470</v>
      </c>
      <c r="E28" s="59">
        <f t="shared" si="0"/>
        <v>1191640</v>
      </c>
    </row>
    <row r="29" spans="1:5" x14ac:dyDescent="0.3">
      <c r="B29" s="2">
        <v>6</v>
      </c>
      <c r="C29" s="35" t="s">
        <v>98</v>
      </c>
      <c r="D29" s="45">
        <f>+D133</f>
        <v>263810</v>
      </c>
      <c r="E29" s="59">
        <f t="shared" si="0"/>
        <v>872100</v>
      </c>
    </row>
    <row r="30" spans="1:5" x14ac:dyDescent="0.3">
      <c r="B30" s="2">
        <v>7</v>
      </c>
      <c r="C30" s="35" t="s">
        <v>99</v>
      </c>
      <c r="D30" s="45">
        <f>+D146</f>
        <v>97110</v>
      </c>
      <c r="E30" s="59">
        <f t="shared" si="0"/>
        <v>321020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128070</v>
      </c>
      <c r="E32" s="59">
        <f t="shared" si="0"/>
        <v>423370</v>
      </c>
    </row>
    <row r="33" spans="1:7" x14ac:dyDescent="0.3">
      <c r="B33" s="2">
        <v>10</v>
      </c>
      <c r="C33" s="35" t="s">
        <v>154</v>
      </c>
      <c r="D33" s="53">
        <f>TRUNC(SUM(D24:D32)*0.275,-1)</f>
        <v>802300</v>
      </c>
      <c r="E33" s="60">
        <f t="shared" si="0"/>
        <v>2652240</v>
      </c>
    </row>
    <row r="34" spans="1:7" x14ac:dyDescent="0.3">
      <c r="C34" s="35" t="s">
        <v>112</v>
      </c>
      <c r="D34" s="44">
        <f>SUM(D24:D33)</f>
        <v>3719780</v>
      </c>
      <c r="E34" s="44">
        <f>SUM(E24:E33)</f>
        <v>12296820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TRUNC(49034,-1)</f>
        <v>49030</v>
      </c>
      <c r="E40" s="62">
        <f t="shared" ref="E40:E59" si="1">TRUNC(+D40*3.3058,-1)</f>
        <v>162080</v>
      </c>
    </row>
    <row r="41" spans="1:7" x14ac:dyDescent="0.3">
      <c r="A41" s="2">
        <v>2</v>
      </c>
      <c r="C41" s="38" t="s">
        <v>13</v>
      </c>
      <c r="D41" s="42">
        <v>148990</v>
      </c>
      <c r="E41" s="63">
        <f t="shared" si="1"/>
        <v>492530</v>
      </c>
    </row>
    <row r="42" spans="1:7" x14ac:dyDescent="0.3">
      <c r="A42" s="2">
        <v>3</v>
      </c>
      <c r="C42" s="38" t="s">
        <v>14</v>
      </c>
      <c r="D42" s="42">
        <f>TRUNC(34575,-1)</f>
        <v>34570</v>
      </c>
      <c r="E42" s="63">
        <f t="shared" si="1"/>
        <v>114280</v>
      </c>
    </row>
    <row r="43" spans="1:7" x14ac:dyDescent="0.3">
      <c r="A43" s="2">
        <v>4</v>
      </c>
      <c r="C43" s="38" t="s">
        <v>16</v>
      </c>
      <c r="D43" s="42">
        <f>TRUNC(5232,-1)</f>
        <v>5230</v>
      </c>
      <c r="E43" s="63">
        <f t="shared" si="1"/>
        <v>17280</v>
      </c>
    </row>
    <row r="44" spans="1:7" x14ac:dyDescent="0.3">
      <c r="A44" s="2">
        <v>5</v>
      </c>
      <c r="C44" s="38" t="s">
        <v>17</v>
      </c>
      <c r="D44" s="42">
        <f>TRUNC(38001,-1)</f>
        <v>38000</v>
      </c>
      <c r="E44" s="63">
        <f t="shared" si="1"/>
        <v>125620</v>
      </c>
    </row>
    <row r="45" spans="1:7" x14ac:dyDescent="0.3">
      <c r="A45" s="2">
        <v>6</v>
      </c>
      <c r="C45" s="38" t="s">
        <v>18</v>
      </c>
      <c r="D45" s="42">
        <f>TRUNC(22625,-1)</f>
        <v>22620</v>
      </c>
      <c r="E45" s="63">
        <f t="shared" si="1"/>
        <v>74770</v>
      </c>
    </row>
    <row r="46" spans="1:7" x14ac:dyDescent="0.3">
      <c r="A46" s="2">
        <v>7</v>
      </c>
      <c r="C46" s="38" t="s">
        <v>19</v>
      </c>
      <c r="D46" s="42">
        <f>TRUNC(19146,-1)</f>
        <v>19140</v>
      </c>
      <c r="E46" s="63">
        <f t="shared" si="1"/>
        <v>63270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TRUNC(250872,-1)</f>
        <v>250870</v>
      </c>
      <c r="E48" s="63">
        <f t="shared" si="1"/>
        <v>829320</v>
      </c>
    </row>
    <row r="49" spans="1:7" x14ac:dyDescent="0.3">
      <c r="A49" s="2">
        <v>10</v>
      </c>
      <c r="C49" s="38" t="s">
        <v>22</v>
      </c>
      <c r="D49" s="42">
        <f>TRUNC(7685,-1)</f>
        <v>7680</v>
      </c>
      <c r="E49" s="63">
        <f t="shared" si="1"/>
        <v>25380</v>
      </c>
    </row>
    <row r="50" spans="1:7" x14ac:dyDescent="0.3">
      <c r="A50" s="2">
        <v>11</v>
      </c>
      <c r="C50" s="38" t="s">
        <v>155</v>
      </c>
      <c r="D50" s="42">
        <f>TRUNC(66748,-1)</f>
        <v>66740</v>
      </c>
      <c r="E50" s="63">
        <f t="shared" si="1"/>
        <v>220620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TRUNC(33799,-1)</f>
        <v>33790</v>
      </c>
      <c r="E52" s="63">
        <f t="shared" si="1"/>
        <v>111700</v>
      </c>
    </row>
    <row r="53" spans="1:7" x14ac:dyDescent="0.3">
      <c r="A53" s="2">
        <v>14</v>
      </c>
      <c r="C53" s="38" t="s">
        <v>25</v>
      </c>
      <c r="D53" s="42">
        <f>TRUNC(343859,-1)</f>
        <v>343850</v>
      </c>
      <c r="E53" s="63">
        <f t="shared" si="1"/>
        <v>1136690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TRUNC(716+49+6166-964+56332,-1)</f>
        <v>62290</v>
      </c>
      <c r="E58" s="63">
        <f t="shared" si="1"/>
        <v>205910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587640</v>
      </c>
      <c r="E59" s="64">
        <f t="shared" si="1"/>
        <v>1942620</v>
      </c>
    </row>
    <row r="60" spans="1:7" x14ac:dyDescent="0.3">
      <c r="A60" s="2">
        <v>21</v>
      </c>
      <c r="C60" s="27" t="s">
        <v>112</v>
      </c>
      <c r="D60" s="39">
        <f>SUM(D40:D59)</f>
        <v>1670440</v>
      </c>
      <c r="E60" s="39">
        <f>SUM(E40:E59)</f>
        <v>5522070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TRUNC(203691,-1)</f>
        <v>203690</v>
      </c>
      <c r="E65" s="64">
        <f>TRUNC(+D65*3.3058,-1)</f>
        <v>673350</v>
      </c>
    </row>
    <row r="66" spans="1:7" x14ac:dyDescent="0.3">
      <c r="A66" s="2">
        <v>4</v>
      </c>
      <c r="C66" s="27" t="s">
        <v>112</v>
      </c>
      <c r="D66" s="39">
        <f>SUM(D63:D65)</f>
        <v>203690</v>
      </c>
      <c r="E66" s="65">
        <f>SUM(E63:E65)</f>
        <v>673350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TRUNC(9293,-1)</f>
        <v>9290</v>
      </c>
      <c r="E69" s="62">
        <f t="shared" ref="E69:E94" si="2">TRUNC(+D69*3.3058,-1)</f>
        <v>30710</v>
      </c>
    </row>
    <row r="70" spans="1:7" ht="16.5" customHeight="1" x14ac:dyDescent="0.3">
      <c r="A70" s="2">
        <v>2</v>
      </c>
      <c r="C70" s="38" t="s">
        <v>31</v>
      </c>
      <c r="D70" s="42">
        <f>TRUNC(5679,-1)</f>
        <v>5670</v>
      </c>
      <c r="E70" s="63">
        <f t="shared" si="2"/>
        <v>18740</v>
      </c>
    </row>
    <row r="71" spans="1:7" x14ac:dyDescent="0.3">
      <c r="A71" s="2">
        <v>3</v>
      </c>
      <c r="C71" s="38" t="s">
        <v>32</v>
      </c>
      <c r="D71" s="42">
        <f>TRUNC(13351,-1)</f>
        <v>13350</v>
      </c>
      <c r="E71" s="63">
        <f t="shared" si="2"/>
        <v>44130</v>
      </c>
    </row>
    <row r="72" spans="1:7" x14ac:dyDescent="0.3">
      <c r="A72" s="2">
        <v>4</v>
      </c>
      <c r="C72" s="38" t="s">
        <v>33</v>
      </c>
      <c r="D72" s="42">
        <f>TRUNC(10312,-1)</f>
        <v>10310</v>
      </c>
      <c r="E72" s="63">
        <f t="shared" si="2"/>
        <v>34080</v>
      </c>
    </row>
    <row r="73" spans="1:7" x14ac:dyDescent="0.3">
      <c r="A73" s="2">
        <v>5</v>
      </c>
      <c r="C73" s="38" t="s">
        <v>34</v>
      </c>
      <c r="D73" s="42">
        <f>TRUNC(19406,-1)</f>
        <v>19400</v>
      </c>
      <c r="E73" s="63">
        <f t="shared" si="2"/>
        <v>64130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2420</v>
      </c>
      <c r="E75" s="63">
        <f t="shared" si="2"/>
        <v>8000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TRUNC(20769,-1)</f>
        <v>20760</v>
      </c>
      <c r="E89" s="63">
        <f t="shared" si="2"/>
        <v>68620</v>
      </c>
    </row>
    <row r="90" spans="1:7" x14ac:dyDescent="0.3">
      <c r="A90" s="2">
        <v>22</v>
      </c>
      <c r="C90" s="38" t="s">
        <v>36</v>
      </c>
      <c r="D90" s="42">
        <f>TRUNC(2802,-1)</f>
        <v>2800</v>
      </c>
      <c r="E90" s="63">
        <f t="shared" si="2"/>
        <v>9250</v>
      </c>
    </row>
    <row r="91" spans="1:7" x14ac:dyDescent="0.3">
      <c r="A91" s="2">
        <v>23</v>
      </c>
      <c r="C91" s="38" t="s">
        <v>37</v>
      </c>
      <c r="D91" s="42">
        <f>TRUNC(79096,-1)</f>
        <v>79090</v>
      </c>
      <c r="E91" s="63">
        <f t="shared" si="2"/>
        <v>261450</v>
      </c>
    </row>
    <row r="92" spans="1:7" x14ac:dyDescent="0.3">
      <c r="A92" s="2">
        <v>24</v>
      </c>
      <c r="C92" s="38" t="s">
        <v>38</v>
      </c>
      <c r="D92" s="42">
        <f>TRUNC(6808,-1)</f>
        <v>6800</v>
      </c>
      <c r="E92" s="63">
        <f t="shared" si="2"/>
        <v>22470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TRUNC(13423+405+10177,-1)</f>
        <v>24000</v>
      </c>
      <c r="E94" s="64">
        <f t="shared" si="2"/>
        <v>79330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193890</v>
      </c>
      <c r="E95" s="39">
        <f>SUM(E69:E94)</f>
        <v>640910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TRUNC(39857,-1)</f>
        <v>39850</v>
      </c>
      <c r="E98" s="62">
        <f t="shared" ref="E98:E118" si="3">TRUNC(+D98*3.3058,-1)</f>
        <v>131730</v>
      </c>
    </row>
    <row r="99" spans="1:7" x14ac:dyDescent="0.3">
      <c r="A99" s="2">
        <v>2</v>
      </c>
      <c r="C99" s="38" t="s">
        <v>40</v>
      </c>
      <c r="D99" s="42">
        <f>TRUNC(15787,-1)</f>
        <v>15780</v>
      </c>
      <c r="E99" s="63">
        <f t="shared" si="3"/>
        <v>52160</v>
      </c>
    </row>
    <row r="100" spans="1:7" x14ac:dyDescent="0.3">
      <c r="A100" s="2">
        <v>3</v>
      </c>
      <c r="C100" s="38" t="s">
        <v>41</v>
      </c>
      <c r="D100" s="42">
        <f>TRUNC(39813,-1)</f>
        <v>39810</v>
      </c>
      <c r="E100" s="63">
        <f t="shared" si="3"/>
        <v>131600</v>
      </c>
    </row>
    <row r="101" spans="1:7" x14ac:dyDescent="0.3">
      <c r="A101" s="2">
        <v>4</v>
      </c>
      <c r="C101" s="38" t="s">
        <v>42</v>
      </c>
      <c r="D101" s="42">
        <f>TRUNC(6484,-1)</f>
        <v>6480</v>
      </c>
      <c r="E101" s="63">
        <f t="shared" si="3"/>
        <v>21420</v>
      </c>
    </row>
    <row r="102" spans="1:7" x14ac:dyDescent="0.3">
      <c r="A102" s="2">
        <v>5</v>
      </c>
      <c r="C102" s="38" t="s">
        <v>43</v>
      </c>
      <c r="D102" s="42">
        <f>TRUNC(19597,-1)</f>
        <v>19590</v>
      </c>
      <c r="E102" s="63">
        <f t="shared" si="3"/>
        <v>64760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TRUNC(9847,-1)</f>
        <v>9840</v>
      </c>
      <c r="E104" s="63">
        <f t="shared" si="3"/>
        <v>32520</v>
      </c>
    </row>
    <row r="105" spans="1:7" x14ac:dyDescent="0.3">
      <c r="A105" s="2">
        <v>8</v>
      </c>
      <c r="C105" s="38" t="s">
        <v>46</v>
      </c>
      <c r="D105" s="42">
        <f>TRUNC(17337,-1)</f>
        <v>17330</v>
      </c>
      <c r="E105" s="63">
        <f t="shared" si="3"/>
        <v>57280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TRUNC(4955,-1)</f>
        <v>4950</v>
      </c>
      <c r="E114" s="63">
        <f t="shared" si="3"/>
        <v>16360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TRUNC(14801,-1)</f>
        <v>14800</v>
      </c>
      <c r="E116" s="63">
        <f t="shared" si="3"/>
        <v>48920</v>
      </c>
    </row>
    <row r="117" spans="1:7" x14ac:dyDescent="0.3">
      <c r="A117" s="2">
        <v>20</v>
      </c>
      <c r="C117" s="38" t="s">
        <v>148</v>
      </c>
      <c r="D117" s="42">
        <f>TRUNC(138494,-1)</f>
        <v>138490</v>
      </c>
      <c r="E117" s="63">
        <f t="shared" si="3"/>
        <v>457820</v>
      </c>
    </row>
    <row r="118" spans="1:7" ht="17.25" thickBot="1" x14ac:dyDescent="0.35">
      <c r="A118" s="2">
        <v>21</v>
      </c>
      <c r="C118" s="38" t="s">
        <v>47</v>
      </c>
      <c r="D118" s="43">
        <f>TRUNC(53558,-1)</f>
        <v>53550</v>
      </c>
      <c r="E118" s="64">
        <f t="shared" si="3"/>
        <v>177020</v>
      </c>
    </row>
    <row r="119" spans="1:7" x14ac:dyDescent="0.3">
      <c r="A119" s="2">
        <v>22</v>
      </c>
      <c r="C119" s="27" t="s">
        <v>112</v>
      </c>
      <c r="D119" s="39">
        <f>SUM(D98:D118)</f>
        <v>360470</v>
      </c>
      <c r="E119" s="39">
        <f>SUM(E98:E118)</f>
        <v>1191590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6930</v>
      </c>
      <c r="E122" s="62">
        <f t="shared" ref="E122:E132" si="4">TRUNC(+D122*3.3058,-1)</f>
        <v>22900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TRUNC(7099,-1)</f>
        <v>7090</v>
      </c>
      <c r="E124" s="63">
        <f t="shared" si="4"/>
        <v>23430</v>
      </c>
    </row>
    <row r="125" spans="1:7" x14ac:dyDescent="0.3">
      <c r="A125" s="2">
        <v>4</v>
      </c>
      <c r="C125" s="38" t="s">
        <v>138</v>
      </c>
      <c r="D125" s="42">
        <f>TRUNC(8907,-1)</f>
        <v>8900</v>
      </c>
      <c r="E125" s="63">
        <f t="shared" si="4"/>
        <v>29420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TRUNC(2939,-1)</f>
        <v>2930</v>
      </c>
      <c r="E127" s="63">
        <f t="shared" si="4"/>
        <v>9680</v>
      </c>
    </row>
    <row r="128" spans="1:7" x14ac:dyDescent="0.3">
      <c r="A128" s="2">
        <v>7</v>
      </c>
      <c r="C128" s="38" t="s">
        <v>46</v>
      </c>
      <c r="D128" s="42">
        <f>TRUNC(13695,-1)</f>
        <v>13690</v>
      </c>
      <c r="E128" s="63">
        <f t="shared" si="4"/>
        <v>45250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TRUNC(66782,-1)</f>
        <v>66780</v>
      </c>
      <c r="E130" s="63">
        <f t="shared" si="4"/>
        <v>220760</v>
      </c>
    </row>
    <row r="131" spans="1:7" x14ac:dyDescent="0.3">
      <c r="A131" s="2">
        <v>10</v>
      </c>
      <c r="C131" s="38" t="s">
        <v>148</v>
      </c>
      <c r="D131" s="42">
        <f>TRUNC(125598,-1)</f>
        <v>125590</v>
      </c>
      <c r="E131" s="63">
        <f t="shared" si="4"/>
        <v>415170</v>
      </c>
    </row>
    <row r="132" spans="1:7" ht="18" thickBot="1" x14ac:dyDescent="0.35">
      <c r="A132" s="2">
        <v>11</v>
      </c>
      <c r="C132" s="38" t="s">
        <v>47</v>
      </c>
      <c r="D132" s="43">
        <f>TRUNC(3167+760+27974,-1)</f>
        <v>31900</v>
      </c>
      <c r="E132" s="64">
        <f t="shared" si="4"/>
        <v>105450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263810</v>
      </c>
      <c r="E133" s="39">
        <f>SUM(E122:E132)</f>
        <v>872060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TRUNC(151+3969+3687,-1)</f>
        <v>7800</v>
      </c>
      <c r="E137" s="63">
        <f t="shared" si="5"/>
        <v>25780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TRUNC(4518,-1)</f>
        <v>4510</v>
      </c>
      <c r="E139" s="63">
        <f t="shared" si="5"/>
        <v>14900</v>
      </c>
    </row>
    <row r="140" spans="1:7" x14ac:dyDescent="0.3">
      <c r="A140" s="2">
        <v>5</v>
      </c>
      <c r="C140" s="38" t="s">
        <v>57</v>
      </c>
      <c r="D140" s="42">
        <f>TRUNC(1806,-1)</f>
        <v>1800</v>
      </c>
      <c r="E140" s="63">
        <f t="shared" si="5"/>
        <v>5950</v>
      </c>
    </row>
    <row r="141" spans="1:7" x14ac:dyDescent="0.3">
      <c r="A141" s="2">
        <v>6</v>
      </c>
      <c r="C141" s="38" t="s">
        <v>59</v>
      </c>
      <c r="D141" s="42">
        <f>TRUNC(38246,-1)</f>
        <v>38240</v>
      </c>
      <c r="E141" s="63">
        <f t="shared" si="5"/>
        <v>126410</v>
      </c>
    </row>
    <row r="142" spans="1:7" x14ac:dyDescent="0.3">
      <c r="A142" s="2">
        <v>7</v>
      </c>
      <c r="C142" s="38" t="s">
        <v>58</v>
      </c>
      <c r="D142" s="42">
        <f>TRUNC(9692,-1)</f>
        <v>9690</v>
      </c>
      <c r="E142" s="63">
        <f t="shared" si="5"/>
        <v>32030</v>
      </c>
    </row>
    <row r="143" spans="1:7" x14ac:dyDescent="0.3">
      <c r="A143" s="2">
        <v>8</v>
      </c>
      <c r="C143" s="38" t="s">
        <v>62</v>
      </c>
      <c r="D143" s="42">
        <f>TRUNC(5835,-1)</f>
        <v>5830</v>
      </c>
      <c r="E143" s="63">
        <f t="shared" si="5"/>
        <v>19270</v>
      </c>
    </row>
    <row r="144" spans="1:7" x14ac:dyDescent="0.3">
      <c r="A144" s="2">
        <v>9</v>
      </c>
      <c r="C144" s="38" t="s">
        <v>63</v>
      </c>
      <c r="D144" s="42">
        <f>TRUNC(29247,-1)</f>
        <v>29240</v>
      </c>
      <c r="E144" s="63">
        <f t="shared" si="5"/>
        <v>96660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97110</v>
      </c>
      <c r="E146" s="39">
        <f>SUM(E136:E145)</f>
        <v>321000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TRUNC(41277,-1)</f>
        <v>41270</v>
      </c>
      <c r="E157" s="62">
        <f>TRUNC(+D157*3.3058,-1)</f>
        <v>136430</v>
      </c>
    </row>
    <row r="158" spans="1:7" x14ac:dyDescent="0.3">
      <c r="A158" s="2">
        <v>2</v>
      </c>
      <c r="C158" s="38" t="s">
        <v>52</v>
      </c>
      <c r="D158" s="42">
        <f>TRUNC(67546,-1)</f>
        <v>67540</v>
      </c>
      <c r="E158" s="63">
        <f>TRUNC(+D158*3.3058,-1)</f>
        <v>223270</v>
      </c>
    </row>
    <row r="159" spans="1:7" x14ac:dyDescent="0.3">
      <c r="A159" s="2">
        <v>3</v>
      </c>
      <c r="C159" s="38" t="s">
        <v>47</v>
      </c>
      <c r="D159" s="42">
        <f>TRUNC(18513+747,-1)</f>
        <v>19260</v>
      </c>
      <c r="E159" s="63">
        <f>TRUNC(+D159*3.3058,-1)</f>
        <v>63660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128070</v>
      </c>
      <c r="E161" s="39">
        <f>SUM(E157:E160)</f>
        <v>423360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2020-12-08T03:58:20Z</dcterms:modified>
</cp:coreProperties>
</file>