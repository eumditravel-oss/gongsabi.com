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29" i="4"/>
  <c r="E128" i="4"/>
  <c r="E127" i="4"/>
  <c r="E126" i="4"/>
  <c r="E116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92" i="4"/>
  <c r="E91" i="4"/>
  <c r="E89" i="4"/>
  <c r="E88" i="4"/>
  <c r="E87" i="4"/>
  <c r="E83" i="4"/>
  <c r="E82" i="4"/>
  <c r="E81" i="4"/>
  <c r="E80" i="4"/>
  <c r="E79" i="4"/>
  <c r="E77" i="4"/>
  <c r="E76" i="4"/>
  <c r="E73" i="4"/>
  <c r="E72" i="4"/>
  <c r="E65" i="4"/>
  <c r="E64" i="4"/>
  <c r="E63" i="4"/>
  <c r="E57" i="4"/>
  <c r="E56" i="4"/>
  <c r="E54" i="4"/>
  <c r="E66" i="4" l="1"/>
  <c r="E161" i="4"/>
  <c r="E146" i="4"/>
  <c r="D58" i="4"/>
  <c r="E58" i="4" s="1"/>
  <c r="D132" i="4"/>
  <c r="E132" i="4" s="1"/>
  <c r="D130" i="4"/>
  <c r="E130" i="4" s="1"/>
  <c r="D125" i="4"/>
  <c r="E125" i="4" s="1"/>
  <c r="D124" i="4"/>
  <c r="E124" i="4" s="1"/>
  <c r="D123" i="4"/>
  <c r="E123" i="4" s="1"/>
  <c r="D122" i="4"/>
  <c r="E122" i="4" s="1"/>
  <c r="D118" i="4"/>
  <c r="E118" i="4" s="1"/>
  <c r="D115" i="4"/>
  <c r="E115" i="4" s="1"/>
  <c r="D102" i="4"/>
  <c r="E102" i="4" s="1"/>
  <c r="D101" i="4"/>
  <c r="E101" i="4" s="1"/>
  <c r="D100" i="4"/>
  <c r="E100" i="4" s="1"/>
  <c r="D99" i="4"/>
  <c r="E99" i="4" s="1"/>
  <c r="D98" i="4"/>
  <c r="E98" i="4" s="1"/>
  <c r="D94" i="4"/>
  <c r="E94" i="4" s="1"/>
  <c r="D90" i="4"/>
  <c r="E90" i="4" s="1"/>
  <c r="D86" i="4"/>
  <c r="E86" i="4" s="1"/>
  <c r="D85" i="4"/>
  <c r="E85" i="4" s="1"/>
  <c r="D84" i="4"/>
  <c r="E84" i="4" s="1"/>
  <c r="D78" i="4"/>
  <c r="E78" i="4" s="1"/>
  <c r="D75" i="4"/>
  <c r="E75" i="4" s="1"/>
  <c r="D74" i="4"/>
  <c r="E74" i="4" s="1"/>
  <c r="D71" i="4"/>
  <c r="E71" i="4" s="1"/>
  <c r="D70" i="4"/>
  <c r="E70" i="4" s="1"/>
  <c r="D69" i="4"/>
  <c r="E69" i="4" s="1"/>
  <c r="D131" i="4"/>
  <c r="E131" i="4" s="1"/>
  <c r="D117" i="4"/>
  <c r="E117" i="4" s="1"/>
  <c r="D93" i="4"/>
  <c r="E93" i="4" s="1"/>
  <c r="D59" i="4"/>
  <c r="E5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2" i="4"/>
  <c r="E152" i="4" s="1"/>
  <c r="E154" i="4" s="1"/>
  <c r="D159" i="4"/>
  <c r="E159" i="4" s="1"/>
  <c r="E60" i="4" l="1"/>
  <c r="E133" i="4"/>
  <c r="E95" i="4"/>
  <c r="E119" i="4"/>
  <c r="D161" i="4"/>
  <c r="D32" i="4" s="1"/>
  <c r="E32" i="4" s="1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l="1"/>
  <c r="D34" i="4"/>
  <c r="E34" i="4" l="1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<sst xmlns="http://schemas.openxmlformats.org/spreadsheetml/2006/main" count="393" uniqueCount="269">
  <si>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</si>
  <si>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</si>
  <si>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</si>
  <si>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</si>
  <si>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</si>
  <si>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</si>
  <si>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</si>
  <si>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</si>
  <si>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</si>
  <si>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</si>
  <si>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</si>
  <si>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</si>
  <si>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</si>
  <si>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</si>
  <si>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</si>
  <si>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</si>
  <si>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</si>
  <si>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</si>
  <si>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</si>
  <si>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</si>
  <si>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</si>
  <si>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</si>
  <si>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</si>
  <si>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</si>
  <si>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</si>
  <si>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</si>
  <si>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</si>
  <si>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</si>
  <si>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</si>
  <si>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</si>
  <si>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</si>
  <si>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</si>
  <si>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</si>
  <si>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</si>
  <si>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</si>
  <si>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</si>
  <si>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</si>
  <si>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</si>
  <si>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</si>
  <si>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</si>
  <si>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</si>
  <si>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</si>
  <si>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</si>
  <si>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</si>
  <si>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</si>
  <si>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</si>
  <si>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</si>
  <si>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</si>
  <si>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</si>
  <si>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</si>
  <si>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</si>
  <si>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</si>
  <si>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</si>
  <si>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</si>
  <si>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</si>
  <si>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</si>
  <si>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</si>
  <si>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</si>
  <si>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</si>
  <si>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</si>
  <si>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</si>
  <si>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</si>
  <si>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</si>
  <si>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</si>
  <si>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</si>
  <si>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</si>
  <si>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</si>
  <si>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</si>
  <si>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</si>
  <si>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</si>
  <si>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</si>
  <si>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</si>
  <si>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</si>
  <si>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</si>
  <si>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</si>
  <si>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</si>
  <si>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</si>
  <si>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</si>
  <si>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</si>
  <si>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</si>
  <si>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</si>
  <si>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</si>
  <si>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</si>
  <si>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</si>
  <si>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</si>
  <si>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</si>
  <si>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</si>
  <si>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</si>
  <si>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</si>
  <si>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</si>
  <si>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</si>
  <si>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</si>
  <si>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</si>
  <si>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</si>
  <si>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</si>
  <si>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</si>
  <si>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</si>
  <si>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</si>
  <si>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</si>
  <si>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</si>
  <si>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</si>
  <si>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</si>
  <si>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</si>
  <si>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</si>
  <si>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</si>
  <si>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</si>
  <si>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</si>
  <si>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</si>
  <si>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</si>
  <si>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</si>
  <si>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</si>
  <si>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</si>
  <si>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</si>
  <si>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</si>
  <si>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</si>
  <si>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</si>
  <si>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</si>
  <si>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</si>
  <si>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</si>
  <si>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</si>
  <si>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</si>
  <si>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</si>
  <si>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</si>
  <si>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</si>
  <si>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</si>
  <si>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</si>
  <si>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</si>
  <si>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</si>
  <si>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</si>
  <si>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</si>
  <si>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</si>
  <si>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</si>
  <si>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</si>
  <si>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</si>
  <si>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</si>
  <si>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</si>
  <si>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</si>
  <si>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</si>
  <si>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</si>
  <si>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</si>
  <si>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</si>
  <si>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</si>
  <si>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</si>
  <si>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</si>
  <si>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</si>
  <si>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</si>
  <si>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</si>
  <si>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</si>
  <si>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</si>
  <si>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</si>
  <si>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</si>
  <si>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</si>
  <si>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</si>
  <si>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</si>
  <si>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</si>
  <si>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</si>
  <si>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</si>
  <si>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</si>
  <si>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</si>
  <si>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</si>
  <si>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</si>
  <si>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</si>
  <si>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</si>
  <si>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</si>
  <si>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</si>
  <si>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</si>
  <si>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</si>
  <si>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</si>
  <si>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</si>
  <si>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</si>
  <si>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</si>
  <si>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</si>
  <si>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</si>
  <si>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</si>
  <si>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</si>
  <si>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</si>
  <si>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</si>
  <si>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</si>
  <si>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</si>
  <si>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</si>
  <si>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</si>
  <si>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</si>
  <si>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</si>
  <si>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</si>
  <si>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</si>
  <si>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</si>
  <si>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</si>
  <si>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</si>
  <si>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</si>
  <si>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</si>
  <si>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</si>
  <si>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</si>
  <si>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</si>
  <si>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</si>
  <si>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</si>
  <si>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</si>
  <si>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</si>
  <si>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</si>
  <si>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</si>
  <si>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</si>
  <si>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</si>
  <si>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</si>
  <si>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</si>
  <si>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</si>
  <si>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</si>
  <si>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</si>
  <si>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</si>
  <si>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</si>
  <si>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</si>
  <si>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</si>
  <si>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</si>
  <si>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</si>
  <si>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</si>
  <si>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</si>
  <si>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</si>
  <si>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</si>
  <si>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</si>
  <si>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</si>
  <si>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</si>
  <si>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</si>
  <si>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</si>
  <si>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</si>
  <si>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</si>
  <si>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</si>
  <si>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</si>
  <si>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</si>
  <si>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</si>
  <si>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</si>
  <si>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</si>
  <si>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</si>
  <si>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</si>
  <si>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</si>
  <si>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</si>
  <si>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</si>
  <si>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</si>
  <si>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</si>
  <si>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</si>
  <si>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</si>
  <si>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</si>
  <si>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</si>
  <si>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</si>
  <si>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</si>
  <si>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</si>
  <si>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</si>
  <si>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</si>
  <si>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</si>
  <si>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</si>
  <si>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</si>
  <si>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00대학교병원 임상실습동 건립공사</t>
    <phoneticPr fontId="2" type="noConversion"/>
  </si>
  <si>
    <t>의료</t>
  </si>
  <si>
    <t>대구시</t>
  </si>
  <si>
    <t>부대조경공사</t>
    <phoneticPr fontId="2" type="noConversion"/>
  </si>
  <si>
    <t>부대토목공사(흙막이공사 포함)</t>
    <phoneticPr fontId="2" type="noConversion"/>
  </si>
  <si>
    <t>가스설비공사,의료가스설비공사</t>
    <phoneticPr fontId="2" type="noConversion"/>
  </si>
  <si>
    <t>전기바닥난방공사</t>
    <phoneticPr fontId="2" type="noConversion"/>
  </si>
  <si>
    <t>EHP이전공사(어린이병원)</t>
    <phoneticPr fontId="2" type="noConversion"/>
  </si>
  <si>
    <t>공조배관공사,위생배관공사,천장배기시스템공사 크린룸설비공사,폐수처리시설공사,스크린시설공사</t>
    <phoneticPr fontId="2" type="noConversion"/>
  </si>
  <si>
    <t>전력제어공사,조명제어공사</t>
    <phoneticPr fontId="2" type="noConversion"/>
  </si>
  <si>
    <t>BUS DUCT 공사,전기시계공사,헬리포트공사,스노우멜틸설비공사</t>
    <phoneticPr fontId="2" type="noConversion"/>
  </si>
  <si>
    <t>통합SI공사,방범설비공사,너스콜및호출설비공사,표시설비공사,주차관제공사</t>
    <phoneticPr fontId="2" type="noConversion"/>
  </si>
  <si>
    <t>토및지정공사,단열공사,잡공사,골재및운반비</t>
    <phoneticPr fontId="2" type="noConversion"/>
  </si>
  <si>
    <t>원 /평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</si>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</sst>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92144</v>
      </c>
      <c r="D7" s="36">
        <f>+C7/3.3058</f>
        <v>27873.434569544435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261</v>
      </c>
    </row>
    <row r="24" spans="1:5" x14ac:dyDescent="0.3">
      <c r="B24" s="2">
        <v>1</v>
      </c>
      <c r="C24" s="35" t="s">
        <v>110</v>
      </c>
      <c r="D24" s="41">
        <f>+D37</f>
        <v>7940</v>
      </c>
      <c r="E24" s="58">
        <f t="shared" ref="E24:E33" si="0">TRUNC(+D24*3.3058,-1)</f>
        <v>26240</v>
      </c>
    </row>
    <row r="25" spans="1:5" x14ac:dyDescent="0.3">
      <c r="B25" s="2">
        <v>2</v>
      </c>
      <c r="C25" s="35" t="s">
        <v>111</v>
      </c>
      <c r="D25" s="45">
        <f>+D60</f>
        <v>734730</v>
      </c>
      <c r="E25" s="59">
        <f t="shared" si="0"/>
        <v>2428870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376570</v>
      </c>
      <c r="E27" s="59">
        <f t="shared" si="0"/>
        <v>1244860</v>
      </c>
    </row>
    <row r="28" spans="1:5" x14ac:dyDescent="0.3">
      <c r="B28" s="2">
        <v>5</v>
      </c>
      <c r="C28" s="35" t="s">
        <v>97</v>
      </c>
      <c r="D28" s="45">
        <f>+D119</f>
        <v>207930</v>
      </c>
      <c r="E28" s="59">
        <f t="shared" si="0"/>
        <v>687370</v>
      </c>
    </row>
    <row r="29" spans="1:5" x14ac:dyDescent="0.3">
      <c r="B29" s="2">
        <v>6</v>
      </c>
      <c r="C29" s="35" t="s">
        <v>98</v>
      </c>
      <c r="D29" s="45">
        <f>+D133</f>
        <v>91070</v>
      </c>
      <c r="E29" s="59">
        <f t="shared" si="0"/>
        <v>301050</v>
      </c>
    </row>
    <row r="30" spans="1:5" x14ac:dyDescent="0.3">
      <c r="B30" s="2">
        <v>7</v>
      </c>
      <c r="C30" s="35" t="s">
        <v>99</v>
      </c>
      <c r="D30" s="45">
        <f>+D146</f>
        <v>65740</v>
      </c>
      <c r="E30" s="59">
        <f t="shared" si="0"/>
        <v>217320</v>
      </c>
    </row>
    <row r="31" spans="1:5" x14ac:dyDescent="0.3">
      <c r="B31" s="2">
        <v>8</v>
      </c>
      <c r="C31" s="35" t="s">
        <v>100</v>
      </c>
      <c r="D31" s="45">
        <f>+D154</f>
        <v>172500</v>
      </c>
      <c r="E31" s="59">
        <f t="shared" si="0"/>
        <v>570250</v>
      </c>
    </row>
    <row r="32" spans="1:5" x14ac:dyDescent="0.3">
      <c r="B32" s="2">
        <v>9</v>
      </c>
      <c r="C32" s="35" t="s">
        <v>101</v>
      </c>
      <c r="D32" s="45">
        <f>+D161</f>
        <v>11550</v>
      </c>
      <c r="E32" s="59">
        <f t="shared" si="0"/>
        <v>38180</v>
      </c>
    </row>
    <row r="33" spans="1:7" x14ac:dyDescent="0.3">
      <c r="B33" s="2">
        <v>10</v>
      </c>
      <c r="C33" s="35" t="s">
        <v>154</v>
      </c>
      <c r="D33" s="53">
        <f>TRUNC(SUM(D24:D32)*0.275,-1)</f>
        <v>458700</v>
      </c>
      <c r="E33" s="60">
        <f t="shared" si="0"/>
        <v>1516370</v>
      </c>
    </row>
    <row r="34" spans="1:7" x14ac:dyDescent="0.3">
      <c r="C34" s="35" t="s">
        <v>112</v>
      </c>
      <c r="D34" s="44">
        <f>SUM(D24:D33)</f>
        <v>2126730</v>
      </c>
      <c r="E34" s="44">
        <f>SUM(E24:E33)</f>
        <v>7030510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TRUNC(7944,-1)</f>
        <v>7940</v>
      </c>
      <c r="E37" s="61">
        <f>TRUNC(+D37*3.3058,-1)</f>
        <v>26240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TRUNC(31911,-1)</f>
        <v>31910</v>
      </c>
      <c r="E40" s="62">
        <f t="shared" ref="E40:E59" si="1">TRUNC(+D40*3.3058,-1)</f>
        <v>105480</v>
      </c>
    </row>
    <row r="41" spans="1:7" x14ac:dyDescent="0.3">
      <c r="A41" s="2">
        <v>2</v>
      </c>
      <c r="C41" s="38" t="s">
        <v>13</v>
      </c>
      <c r="D41" s="42">
        <f>TRUNC(93982,-1)</f>
        <v>93980</v>
      </c>
      <c r="E41" s="63">
        <f t="shared" si="1"/>
        <v>310670</v>
      </c>
    </row>
    <row r="42" spans="1:7" x14ac:dyDescent="0.3">
      <c r="A42" s="2">
        <v>3</v>
      </c>
      <c r="C42" s="38" t="s">
        <v>14</v>
      </c>
      <c r="D42" s="42">
        <f>TRUNC(12760,-1)</f>
        <v>12760</v>
      </c>
      <c r="E42" s="63">
        <f t="shared" si="1"/>
        <v>42180</v>
      </c>
    </row>
    <row r="43" spans="1:7" x14ac:dyDescent="0.3">
      <c r="A43" s="2">
        <v>4</v>
      </c>
      <c r="C43" s="38" t="s">
        <v>16</v>
      </c>
      <c r="D43" s="42">
        <f>TRUNC(11721,-1)</f>
        <v>11720</v>
      </c>
      <c r="E43" s="63">
        <f t="shared" si="1"/>
        <v>38740</v>
      </c>
    </row>
    <row r="44" spans="1:7" x14ac:dyDescent="0.3">
      <c r="A44" s="2">
        <v>5</v>
      </c>
      <c r="C44" s="38" t="s">
        <v>17</v>
      </c>
      <c r="D44" s="42">
        <f>TRUNC(18000,-1)</f>
        <v>18000</v>
      </c>
      <c r="E44" s="63">
        <f t="shared" si="1"/>
        <v>59500</v>
      </c>
    </row>
    <row r="45" spans="1:7" x14ac:dyDescent="0.3">
      <c r="A45" s="2">
        <v>6</v>
      </c>
      <c r="C45" s="38" t="s">
        <v>18</v>
      </c>
      <c r="D45" s="42">
        <f>TRUNC(5917,-1)</f>
        <v>5910</v>
      </c>
      <c r="E45" s="63">
        <f t="shared" si="1"/>
        <v>19530</v>
      </c>
    </row>
    <row r="46" spans="1:7" x14ac:dyDescent="0.3">
      <c r="A46" s="2">
        <v>7</v>
      </c>
      <c r="C46" s="38" t="s">
        <v>19</v>
      </c>
      <c r="D46" s="42">
        <f>TRUNC(11792,-1)</f>
        <v>11790</v>
      </c>
      <c r="E46" s="63">
        <f t="shared" si="1"/>
        <v>38970</v>
      </c>
    </row>
    <row r="47" spans="1:7" x14ac:dyDescent="0.3">
      <c r="A47" s="2">
        <v>8</v>
      </c>
      <c r="C47" s="38" t="s">
        <v>20</v>
      </c>
      <c r="D47" s="42">
        <f>TRUNC(3864,-1)</f>
        <v>3860</v>
      </c>
      <c r="E47" s="63">
        <f t="shared" si="1"/>
        <v>12760</v>
      </c>
    </row>
    <row r="48" spans="1:7" x14ac:dyDescent="0.3">
      <c r="A48" s="2">
        <v>9</v>
      </c>
      <c r="C48" s="38" t="s">
        <v>21</v>
      </c>
      <c r="D48" s="42">
        <f>TRUNC(61796,-1)</f>
        <v>61790</v>
      </c>
      <c r="E48" s="63">
        <f t="shared" si="1"/>
        <v>204260</v>
      </c>
    </row>
    <row r="49" spans="1:7" x14ac:dyDescent="0.3">
      <c r="A49" s="2">
        <v>10</v>
      </c>
      <c r="C49" s="38" t="s">
        <v>22</v>
      </c>
      <c r="D49" s="42">
        <f>TRUNC(21228,-1)</f>
        <v>21220</v>
      </c>
      <c r="E49" s="63">
        <f t="shared" si="1"/>
        <v>70140</v>
      </c>
    </row>
    <row r="50" spans="1:7" x14ac:dyDescent="0.3">
      <c r="A50" s="2">
        <v>11</v>
      </c>
      <c r="C50" s="38" t="s">
        <v>155</v>
      </c>
      <c r="D50" s="42">
        <f>TRUNC(44280,-1)</f>
        <v>44280</v>
      </c>
      <c r="E50" s="63">
        <f t="shared" si="1"/>
        <v>146380</v>
      </c>
    </row>
    <row r="51" spans="1:7" x14ac:dyDescent="0.3">
      <c r="A51" s="2">
        <v>12</v>
      </c>
      <c r="C51" s="38" t="s">
        <v>23</v>
      </c>
      <c r="D51" s="42">
        <f>TRUNC(16861,-1)</f>
        <v>16860</v>
      </c>
      <c r="E51" s="63">
        <f t="shared" si="1"/>
        <v>55730</v>
      </c>
    </row>
    <row r="52" spans="1:7" x14ac:dyDescent="0.3">
      <c r="A52" s="2">
        <v>13</v>
      </c>
      <c r="C52" s="38" t="s">
        <v>24</v>
      </c>
      <c r="D52" s="42">
        <f>TRUNC(23781,-1)</f>
        <v>23780</v>
      </c>
      <c r="E52" s="63">
        <f t="shared" si="1"/>
        <v>78610</v>
      </c>
    </row>
    <row r="53" spans="1:7" x14ac:dyDescent="0.3">
      <c r="A53" s="2">
        <v>14</v>
      </c>
      <c r="C53" s="38" t="s">
        <v>25</v>
      </c>
      <c r="D53" s="42">
        <f>TRUNC(31138,-1)</f>
        <v>31130</v>
      </c>
      <c r="E53" s="63">
        <f t="shared" si="1"/>
        <v>102900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TRUNC(311,-1)</f>
        <v>310</v>
      </c>
      <c r="E55" s="63">
        <f t="shared" si="1"/>
        <v>1020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TRUNC(597+29829+18017+39412+4181,-1)</f>
        <v>92030</v>
      </c>
      <c r="E58" s="63">
        <f t="shared" si="1"/>
        <v>304230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TRUNC(253405,-1)</f>
        <v>253400</v>
      </c>
      <c r="E59" s="64">
        <f t="shared" si="1"/>
        <v>837680</v>
      </c>
    </row>
    <row r="60" spans="1:7" x14ac:dyDescent="0.3">
      <c r="A60" s="2">
        <v>21</v>
      </c>
      <c r="C60" s="27" t="s">
        <v>112</v>
      </c>
      <c r="D60" s="39">
        <f>SUM(D40:D59)</f>
        <v>734730</v>
      </c>
      <c r="E60" s="39">
        <f>SUM(E40:E59)</f>
        <v>2428780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TRUNC(13989,-1)</f>
        <v>13980</v>
      </c>
      <c r="E69" s="62">
        <f t="shared" ref="E69:E94" si="2">TRUNC(+D69*3.3058,-1)</f>
        <v>46210</v>
      </c>
    </row>
    <row r="70" spans="1:7" ht="16.5" customHeight="1" x14ac:dyDescent="0.3">
      <c r="A70" s="2">
        <v>2</v>
      </c>
      <c r="C70" s="38" t="s">
        <v>31</v>
      </c>
      <c r="D70" s="42">
        <f>TRUNC(18,-1)</f>
        <v>10</v>
      </c>
      <c r="E70" s="63">
        <f t="shared" si="2"/>
        <v>30</v>
      </c>
    </row>
    <row r="71" spans="1:7" x14ac:dyDescent="0.3">
      <c r="A71" s="2">
        <v>3</v>
      </c>
      <c r="C71" s="38" t="s">
        <v>32</v>
      </c>
      <c r="D71" s="42">
        <f>TRUNC(27360,-1)</f>
        <v>27360</v>
      </c>
      <c r="E71" s="63">
        <f t="shared" si="2"/>
        <v>90440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TRUNC(2433+23767,-1)</f>
        <v>26200</v>
      </c>
      <c r="E74" s="63">
        <f t="shared" si="2"/>
        <v>86610</v>
      </c>
      <c r="F74" s="2" t="s">
        <v>253</v>
      </c>
    </row>
    <row r="75" spans="1:7" x14ac:dyDescent="0.3">
      <c r="A75" s="2">
        <v>7</v>
      </c>
      <c r="C75" s="38" t="s">
        <v>140</v>
      </c>
      <c r="D75" s="42">
        <f>TRUNC(5020,-1)</f>
        <v>5020</v>
      </c>
      <c r="E75" s="63">
        <f t="shared" si="2"/>
        <v>16590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TRUNC(41735,-1)</f>
        <v>41730</v>
      </c>
      <c r="E78" s="63">
        <f t="shared" si="2"/>
        <v>137950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TRUNC(1118,-1)</f>
        <v>1110</v>
      </c>
      <c r="E84" s="63">
        <f t="shared" si="2"/>
        <v>3660</v>
      </c>
      <c r="F84" s="2" t="s">
        <v>254</v>
      </c>
    </row>
    <row r="85" spans="1:7" x14ac:dyDescent="0.3">
      <c r="A85" s="2">
        <v>17</v>
      </c>
      <c r="C85" s="38" t="s">
        <v>123</v>
      </c>
      <c r="D85" s="42">
        <f>TRUNC(694,-1)</f>
        <v>690</v>
      </c>
      <c r="E85" s="63">
        <f t="shared" si="2"/>
        <v>2280</v>
      </c>
    </row>
    <row r="86" spans="1:7" x14ac:dyDescent="0.3">
      <c r="A86" s="2">
        <v>18</v>
      </c>
      <c r="C86" s="38" t="s">
        <v>141</v>
      </c>
      <c r="D86" s="42">
        <f>TRUNC(264,-1)</f>
        <v>260</v>
      </c>
      <c r="E86" s="63">
        <f t="shared" si="2"/>
        <v>850</v>
      </c>
      <c r="F86" s="2" t="s">
        <v>255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TRUNC(4154,-1)</f>
        <v>4150</v>
      </c>
      <c r="E90" s="63">
        <f t="shared" si="2"/>
        <v>13710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TRUNC(132950,-1)</f>
        <v>132950</v>
      </c>
      <c r="E93" s="63">
        <f t="shared" si="2"/>
        <v>439500</v>
      </c>
    </row>
    <row r="94" spans="1:7" ht="17.25" thickBot="1" x14ac:dyDescent="0.35">
      <c r="A94" s="2">
        <v>26</v>
      </c>
      <c r="C94" s="38" t="s">
        <v>47</v>
      </c>
      <c r="D94" s="43">
        <f>TRUNC(30415+52170+5640+29566+4978+349,-1)</f>
        <v>123110</v>
      </c>
      <c r="E94" s="64">
        <f t="shared" si="2"/>
        <v>406970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376570</v>
      </c>
      <c r="E95" s="39">
        <f>SUM(E69:E94)</f>
        <v>1244800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TRUNC(21296,-1)</f>
        <v>21290</v>
      </c>
      <c r="E98" s="62">
        <f t="shared" ref="E98:E118" si="3">TRUNC(+D98*3.3058,-1)</f>
        <v>70380</v>
      </c>
    </row>
    <row r="99" spans="1:7" x14ac:dyDescent="0.3">
      <c r="A99" s="2">
        <v>2</v>
      </c>
      <c r="C99" s="38" t="s">
        <v>40</v>
      </c>
      <c r="D99" s="42">
        <f>TRUNC(8041,-1)</f>
        <v>8040</v>
      </c>
      <c r="E99" s="63">
        <f t="shared" si="3"/>
        <v>26570</v>
      </c>
    </row>
    <row r="100" spans="1:7" x14ac:dyDescent="0.3">
      <c r="A100" s="2">
        <v>3</v>
      </c>
      <c r="C100" s="38" t="s">
        <v>41</v>
      </c>
      <c r="D100" s="42">
        <f>TRUNC(36295,-1)</f>
        <v>36290</v>
      </c>
      <c r="E100" s="63">
        <f t="shared" si="3"/>
        <v>119960</v>
      </c>
    </row>
    <row r="101" spans="1:7" x14ac:dyDescent="0.3">
      <c r="A101" s="2">
        <v>4</v>
      </c>
      <c r="C101" s="38" t="s">
        <v>42</v>
      </c>
      <c r="D101" s="42">
        <f>TRUNC(119+330,-1)</f>
        <v>440</v>
      </c>
      <c r="E101" s="63">
        <f t="shared" si="3"/>
        <v>1450</v>
      </c>
      <c r="F101" s="2" t="s">
        <v>257</v>
      </c>
    </row>
    <row r="102" spans="1:7" x14ac:dyDescent="0.3">
      <c r="A102" s="2">
        <v>5</v>
      </c>
      <c r="C102" s="38" t="s">
        <v>43</v>
      </c>
      <c r="D102" s="42">
        <f>TRUNC(17377,-1)</f>
        <v>17370</v>
      </c>
      <c r="E102" s="63">
        <f t="shared" si="3"/>
        <v>57420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TRUNC(3835,-1)</f>
        <v>3830</v>
      </c>
      <c r="E115" s="63">
        <f t="shared" si="3"/>
        <v>12660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TRUNC(100103,-1)</f>
        <v>100100</v>
      </c>
      <c r="E117" s="63">
        <f t="shared" si="3"/>
        <v>330910</v>
      </c>
    </row>
    <row r="118" spans="1:7" ht="17.25" thickBot="1" x14ac:dyDescent="0.35">
      <c r="A118" s="2">
        <v>21</v>
      </c>
      <c r="C118" s="38" t="s">
        <v>47</v>
      </c>
      <c r="D118" s="43">
        <f>TRUNC(15829+2507+377+1863,-1)</f>
        <v>20570</v>
      </c>
      <c r="E118" s="64">
        <f t="shared" si="3"/>
        <v>68000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207930</v>
      </c>
      <c r="E119" s="39">
        <f>SUM(E98:E118)</f>
        <v>687350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TRUNC(1741,-1)</f>
        <v>1740</v>
      </c>
      <c r="E122" s="62">
        <f t="shared" ref="E122:E132" si="4">TRUNC(+D122*3.3058,-1)</f>
        <v>5750</v>
      </c>
    </row>
    <row r="123" spans="1:7" x14ac:dyDescent="0.3">
      <c r="A123" s="2">
        <v>2</v>
      </c>
      <c r="C123" s="38" t="s">
        <v>124</v>
      </c>
      <c r="D123" s="42">
        <f>TRUNC(13763,-1)</f>
        <v>13760</v>
      </c>
      <c r="E123" s="63">
        <f t="shared" si="4"/>
        <v>45480</v>
      </c>
    </row>
    <row r="124" spans="1:7" x14ac:dyDescent="0.3">
      <c r="A124" s="2">
        <v>3</v>
      </c>
      <c r="C124" s="38" t="s">
        <v>151</v>
      </c>
      <c r="D124" s="42">
        <f>TRUNC(4485,-1)</f>
        <v>4480</v>
      </c>
      <c r="E124" s="63">
        <f t="shared" si="4"/>
        <v>14800</v>
      </c>
    </row>
    <row r="125" spans="1:7" x14ac:dyDescent="0.3">
      <c r="A125" s="2">
        <v>4</v>
      </c>
      <c r="C125" s="38" t="s">
        <v>138</v>
      </c>
      <c r="D125" s="42">
        <f>TRUNC(5266,-1)</f>
        <v>5260</v>
      </c>
      <c r="E125" s="63">
        <f t="shared" si="4"/>
        <v>17380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TRUNC(22763,-1)</f>
        <v>22760</v>
      </c>
      <c r="E130" s="63">
        <f t="shared" si="4"/>
        <v>75240</v>
      </c>
    </row>
    <row r="131" spans="1:7" x14ac:dyDescent="0.3">
      <c r="A131" s="2">
        <v>10</v>
      </c>
      <c r="C131" s="38" t="s">
        <v>148</v>
      </c>
      <c r="D131" s="42">
        <f>TRUNC(25211,-1)</f>
        <v>25210</v>
      </c>
      <c r="E131" s="63">
        <f t="shared" si="4"/>
        <v>83330</v>
      </c>
    </row>
    <row r="132" spans="1:7" ht="18" thickBot="1" x14ac:dyDescent="0.35">
      <c r="A132" s="2">
        <v>11</v>
      </c>
      <c r="C132" s="38" t="s">
        <v>47</v>
      </c>
      <c r="D132" s="43">
        <f>TRUNC(596+1723+4766+8640+2144,-1)</f>
        <v>17860</v>
      </c>
      <c r="E132" s="64">
        <f t="shared" si="4"/>
        <v>59040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91070</v>
      </c>
      <c r="E133" s="39">
        <f>SUM(E122:E132)</f>
        <v>301020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TRUNC(42842,-1)</f>
        <v>42840</v>
      </c>
      <c r="E136" s="62">
        <f t="shared" ref="E136:E145" si="5">TRUNC(+D136*3.3058,-1)</f>
        <v>141620</v>
      </c>
      <c r="F136" s="2" t="s">
        <v>263</v>
      </c>
    </row>
    <row r="137" spans="1:7" x14ac:dyDescent="0.3">
      <c r="A137" s="2">
        <v>2</v>
      </c>
      <c r="C137" s="38" t="s">
        <v>47</v>
      </c>
      <c r="D137" s="42">
        <f>TRUNC(22905,-1)</f>
        <v>22900</v>
      </c>
      <c r="E137" s="63">
        <f t="shared" si="5"/>
        <v>75700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65740</v>
      </c>
      <c r="E146" s="39">
        <f>SUM(E136:E145)</f>
        <v>217320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TRUNC(172508,-1)</f>
        <v>172500</v>
      </c>
      <c r="E152" s="63">
        <f>TRUNC(+D152*3.3058,-1)</f>
        <v>570250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172500</v>
      </c>
      <c r="E154" s="39">
        <f>SUM(E149:E153)</f>
        <v>570250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TRUNC(11552,-1)</f>
        <v>11550</v>
      </c>
      <c r="E159" s="63">
        <f>TRUNC(+D159*3.3058,-1)</f>
        <v>38180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11550</v>
      </c>
      <c r="E161" s="39">
        <f>SUM(E157:E160)</f>
        <v>38180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2020-12-07T09:39:25Z</dcterms:modified>
</cp:coreProperties>
</file>