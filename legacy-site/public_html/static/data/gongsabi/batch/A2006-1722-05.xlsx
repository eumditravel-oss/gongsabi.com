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3" i="4"/>
  <c r="E145" i="4"/>
  <c r="E144" i="4"/>
  <c r="E143" i="4"/>
  <c r="E142" i="4"/>
  <c r="E141" i="4"/>
  <c r="E140" i="4"/>
  <c r="E139" i="4"/>
  <c r="E138" i="4"/>
  <c r="E136" i="4"/>
  <c r="E129" i="4"/>
  <c r="E128" i="4"/>
  <c r="E127" i="4"/>
  <c r="E126" i="4"/>
  <c r="E122" i="4"/>
  <c r="E118" i="4"/>
  <c r="E116" i="4"/>
  <c r="E113" i="4"/>
  <c r="E112" i="4"/>
  <c r="E111" i="4"/>
  <c r="E110" i="4"/>
  <c r="E109" i="4"/>
  <c r="E107" i="4"/>
  <c r="E106" i="4"/>
  <c r="E104" i="4"/>
  <c r="E103" i="4"/>
  <c r="E101" i="4"/>
  <c r="E91" i="4"/>
  <c r="E88" i="4"/>
  <c r="E87" i="4"/>
  <c r="E86" i="4"/>
  <c r="E85" i="4"/>
  <c r="E84" i="4"/>
  <c r="E83" i="4"/>
  <c r="E82" i="4"/>
  <c r="E80" i="4"/>
  <c r="E78" i="4"/>
  <c r="E77" i="4"/>
  <c r="E76" i="4"/>
  <c r="E75" i="4"/>
  <c r="E74" i="4"/>
  <c r="E64" i="4"/>
  <c r="E57" i="4"/>
  <c r="E56" i="4"/>
  <c r="E54" i="4"/>
  <c r="E51" i="4"/>
  <c r="E42" i="4"/>
  <c r="E37" i="4"/>
  <c r="D117" i="4" l="1"/>
  <c r="E117" i="4" s="1"/>
  <c r="D161" i="4"/>
  <c r="D149" i="4"/>
  <c r="E149" i="4" s="1"/>
  <c r="D150" i="4"/>
  <c r="E150" i="4" s="1"/>
  <c r="D151" i="4"/>
  <c r="E151" i="4" s="1"/>
  <c r="D152" i="4"/>
  <c r="E152" i="4" s="1"/>
  <c r="D137" i="4"/>
  <c r="E137" i="4" s="1"/>
  <c r="E146" i="4" s="1"/>
  <c r="D146" i="4"/>
  <c r="D30" i="4" s="1"/>
  <c r="E30" i="4" s="1"/>
  <c r="D123" i="4"/>
  <c r="E123" i="4" s="1"/>
  <c r="D124" i="4"/>
  <c r="E124" i="4" s="1"/>
  <c r="D125" i="4"/>
  <c r="E125" i="4" s="1"/>
  <c r="D130" i="4"/>
  <c r="E130" i="4" s="1"/>
  <c r="D131" i="4"/>
  <c r="E131" i="4" s="1"/>
  <c r="D132" i="4"/>
  <c r="E132" i="4" s="1"/>
  <c r="D98" i="4"/>
  <c r="E98" i="4" s="1"/>
  <c r="D99" i="4"/>
  <c r="E99" i="4" s="1"/>
  <c r="D100" i="4"/>
  <c r="E100" i="4" s="1"/>
  <c r="D102" i="4"/>
  <c r="E102" i="4" s="1"/>
  <c r="D105" i="4"/>
  <c r="E105" i="4" s="1"/>
  <c r="D108" i="4"/>
  <c r="E108" i="4" s="1"/>
  <c r="D114" i="4"/>
  <c r="E114" i="4" s="1"/>
  <c r="D115" i="4"/>
  <c r="E115" i="4" s="1"/>
  <c r="D119" i="4"/>
  <c r="D28" i="4" s="1"/>
  <c r="E28" i="4" s="1"/>
  <c r="D69" i="4"/>
  <c r="E69" i="4" s="1"/>
  <c r="D70" i="4"/>
  <c r="E70" i="4" s="1"/>
  <c r="D71" i="4"/>
  <c r="E71" i="4" s="1"/>
  <c r="D72" i="4"/>
  <c r="E72" i="4" s="1"/>
  <c r="D73" i="4"/>
  <c r="E73" i="4" s="1"/>
  <c r="D79" i="4"/>
  <c r="E79" i="4" s="1"/>
  <c r="D81" i="4"/>
  <c r="E81" i="4" s="1"/>
  <c r="D89" i="4"/>
  <c r="E89" i="4" s="1"/>
  <c r="D90" i="4"/>
  <c r="E90" i="4" s="1"/>
  <c r="D92" i="4"/>
  <c r="E92" i="4" s="1"/>
  <c r="D93" i="4"/>
  <c r="E93" i="4" s="1"/>
  <c r="D94" i="4"/>
  <c r="E94" i="4" s="1"/>
  <c r="D63" i="4"/>
  <c r="E63" i="4" s="1"/>
  <c r="E66" i="4" s="1"/>
  <c r="D65" i="4"/>
  <c r="E65" i="4" s="1"/>
  <c r="D66" i="4"/>
  <c r="D26" i="4" s="1"/>
  <c r="E26" i="4" s="1"/>
  <c r="D40" i="4"/>
  <c r="E40" i="4" s="1"/>
  <c r="D41" i="4"/>
  <c r="E41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E48" i="4" s="1"/>
  <c r="D49" i="4"/>
  <c r="E49" i="4" s="1"/>
  <c r="D50" i="4"/>
  <c r="E50" i="4" s="1"/>
  <c r="D52" i="4"/>
  <c r="E52" i="4" s="1"/>
  <c r="D53" i="4"/>
  <c r="E53" i="4" s="1"/>
  <c r="D55" i="4"/>
  <c r="E55" i="4" s="1"/>
  <c r="D58" i="4"/>
  <c r="E58" i="4" s="1"/>
  <c r="D59" i="4"/>
  <c r="E59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154" i="4"/>
  <c r="D31" i="4" s="1"/>
  <c r="E31" i="4" s="1"/>
  <c r="E154" i="4"/>
  <c r="E60" i="4"/>
  <c r="D95" i="4"/>
  <c r="D27" i="4" s="1"/>
  <c r="E27" i="4" s="1"/>
  <c r="E95" i="4"/>
  <c r="E119" i="4"/>
  <c r="D133" i="4"/>
  <c r="D29" i="4" s="1"/>
  <c r="E29" i="4" s="1"/>
  <c r="E133" i="4"/>
  <c r="D33" i="4" l="1"/>
  <c r="E33" i="4" s="1"/>
  <c r="E34" i="4" s="1"/>
  <c r="D34" i="4"/>
</calcChain>
</file>

<file path=xl/sharedStrings.xml><?xml version="1.0" encoding="utf-8"?>
<sst xmlns="http://schemas.openxmlformats.org/spreadsheetml/2006/main" count="396" uniqueCount="270">
  <si>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</si>
  <si>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</si>
  <si>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</si>
  <si>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</si>
  <si>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</si>
  <si>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</si>
  <si>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</si>
  <si>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</si>
  <si>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</si>
  <si>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</si>
  <si>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</si>
  <si>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</si>
  <si>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</si>
  <si>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</si>
  <si>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</si>
  <si>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</si>
  <si>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</si>
  <si>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</si>
  <si>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</si>
  <si>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</si>
  <si>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</si>
  <si>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</si>
  <si>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</si>
  <si>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</si>
  <si>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</si>
  <si>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</si>
  <si>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</si>
  <si>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</si>
  <si>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</si>
  <si>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</si>
  <si>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</si>
  <si>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</si>
  <si>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</si>
  <si>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</si>
  <si>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</si>
  <si>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</si>
  <si>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</si>
  <si>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</si>
  <si>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</si>
  <si>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</si>
  <si>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</si>
  <si>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</si>
  <si>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</si>
  <si>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</si>
  <si>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</si>
  <si>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</si>
  <si>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</si>
  <si>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</si>
  <si>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</si>
  <si>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</si>
  <si>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</si>
  <si>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</si>
  <si>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</si>
  <si>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</si>
  <si>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</si>
  <si>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</si>
  <si>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</si>
  <si>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</si>
  <si>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</si>
  <si>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</si>
  <si>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</si>
  <si>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</si>
  <si>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</si>
  <si>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</si>
  <si>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</si>
  <si>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</si>
  <si>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</si>
  <si>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</si>
  <si>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</si>
  <si>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</si>
  <si>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</si>
  <si>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</si>
  <si>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</si>
  <si>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</si>
  <si>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</si>
  <si>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</si>
  <si>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</si>
  <si>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</si>
  <si>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</si>
  <si>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</si>
  <si>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</si>
  <si>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</si>
  <si>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</si>
  <si>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</si>
  <si>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</si>
  <si>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</si>
  <si>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</si>
  <si>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</si>
  <si>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</si>
  <si>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</si>
  <si>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</si>
  <si>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</si>
  <si>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</si>
  <si>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</si>
  <si>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</si>
  <si>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</si>
  <si>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</si>
  <si>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</si>
  <si>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</si>
  <si>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</si>
  <si>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</si>
  <si>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</si>
  <si>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</si>
  <si>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</si>
  <si>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</si>
  <si>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</si>
  <si>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</si>
  <si>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</si>
  <si>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</si>
  <si>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</si>
  <si>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</si>
  <si>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</si>
  <si>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</si>
  <si>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</si>
  <si>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</si>
  <si>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</si>
  <si>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</si>
  <si>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</si>
  <si>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</si>
  <si>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</si>
  <si>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</si>
  <si>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</si>
  <si>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</si>
  <si>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</si>
  <si>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</si>
  <si>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</si>
  <si>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</si>
  <si>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</si>
  <si>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</si>
  <si>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</si>
  <si>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</si>
  <si>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</si>
  <si>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</si>
  <si>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</si>
  <si>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</si>
  <si>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</si>
  <si>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</si>
  <si>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</si>
  <si>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</si>
  <si>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</si>
  <si>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</si>
  <si>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</si>
  <si>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</si>
  <si>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</si>
  <si>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</si>
  <si>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</si>
  <si>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</si>
  <si>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</si>
  <si>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</si>
  <si>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</si>
  <si>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</si>
  <si>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</si>
  <si>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</si>
  <si>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</si>
  <si>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</si>
  <si>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</si>
  <si>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</si>
  <si>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</si>
  <si>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</si>
  <si>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</si>
  <si>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</si>
  <si>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</si>
  <si>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</si>
  <si>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</si>
  <si>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</si>
  <si>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</si>
  <si>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</si>
  <si>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</si>
  <si>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</si>
  <si>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</si>
  <si>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</si>
  <si>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</si>
  <si>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</si>
  <si>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</si>
  <si>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</si>
  <si>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</si>
  <si>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</si>
  <si>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</si>
  <si>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</si>
  <si>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</si>
  <si>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</si>
  <si>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</si>
  <si>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</si>
  <si>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</si>
  <si>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</si>
  <si>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</si>
  <si>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</si>
  <si>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</si>
  <si>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</si>
  <si>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</si>
  <si>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</si>
  <si>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</si>
  <si>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</si>
  <si>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</si>
  <si>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</si>
  <si>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</si>
  <si>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</si>
  <si>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</si>
  <si>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</si>
  <si>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</si>
  <si>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</si>
  <si>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</si>
  <si>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</si>
  <si>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</si>
  <si>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</si>
  <si>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</si>
  <si>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</si>
  <si>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</si>
  <si>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</si>
  <si>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</si>
  <si>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</si>
  <si>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</si>
  <si>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</si>
  <si>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</si>
  <si>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</si>
  <si>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</si>
  <si>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</si>
  <si>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</si>
  <si>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</si>
  <si>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</si>
  <si>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</si>
  <si>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</si>
  <si>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</si>
  <si>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</si>
  <si>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</si>
  <si>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</si>
  <si>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</si>
  <si>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</si>
  <si>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</si>
  <si>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</si>
  <si>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</si>
  <si>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</si>
  <si>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</si>
  <si>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</si>
  <si>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난방배관공사</t>
    <phoneticPr fontId="2" type="noConversion"/>
  </si>
  <si>
    <t>환기덕트설치공사</t>
  </si>
  <si>
    <t>경기도</t>
  </si>
  <si>
    <t>지정공사,철제칸막이공사,잡공사및외벽패널공사,철거공사,골재비,운반비,정화조공사</t>
    <phoneticPr fontId="2" type="noConversion"/>
  </si>
  <si>
    <t>토목 배수공, 상수공, 시설물공, 철거공,자재공</t>
    <phoneticPr fontId="2" type="noConversion"/>
  </si>
  <si>
    <t>도급자설치관급</t>
  </si>
  <si>
    <t>수목이식공사, 조경구조물공사</t>
    <phoneticPr fontId="2" type="noConversion"/>
  </si>
  <si>
    <t>공조배관공사,위생배관공사,지열히트펌프설치공사,주방기구설치공사</t>
    <phoneticPr fontId="2" type="noConversion"/>
  </si>
  <si>
    <t>피뢰침설비공사</t>
  </si>
  <si>
    <t>케이블트레이설비공사</t>
  </si>
  <si>
    <t>전기소방</t>
    <phoneticPr fontId="2" type="noConversion"/>
  </si>
  <si>
    <t>원/ m2</t>
    <phoneticPr fontId="2" type="noConversion"/>
  </si>
  <si>
    <t>원 /평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</si>
  <si>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</si>
  <si>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</si>
  <si>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</si>
  <si>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</si>
  <si>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</si>
  <si>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</si>
  <si>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</si>
  <si>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</si>
  <si>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</si>
  <si>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</si>
  <si>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기타</t>
  </si>
  <si>
    <t>평</t>
    <phoneticPr fontId="2" type="noConversion"/>
  </si>
  <si>
    <t>원/ m2</t>
    <phoneticPr fontId="2" type="noConversion"/>
  </si>
  <si>
    <t>00노인전문요양시설 신축공사</t>
  </si>
  <si>
    <t>원/ m2</t>
    <phoneticPr fontId="2" type="noConversion"/>
  </si>
  <si>
    <t>관급자설치</t>
    <phoneticPr fontId="2" type="noConversion"/>
  </si>
  <si>
    <t>CCTV설치공사, 너스콜설비공사, 인터폰설비공사)</t>
    <phoneticPr fontId="2" type="noConversion"/>
  </si>
  <si>
    <t>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</si>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</sst>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260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258</v>
      </c>
    </row>
    <row r="7" spans="1:4" ht="17.25" thickBot="1" x14ac:dyDescent="0.35">
      <c r="C7" s="37">
        <v>2974</v>
      </c>
      <c r="D7" s="36">
        <f>+C7/3.3058</f>
        <v>899.63095166071753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259</v>
      </c>
      <c r="E23" s="35" t="s">
        <v>246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671360.35</v>
      </c>
      <c r="E25" s="60">
        <f t="shared" si="0"/>
        <v>2219380</v>
      </c>
    </row>
    <row r="26" spans="1:5" x14ac:dyDescent="0.3">
      <c r="B26" s="2">
        <v>3</v>
      </c>
      <c r="C26" s="35" t="s">
        <v>95</v>
      </c>
      <c r="D26" s="45">
        <f>+D66</f>
        <v>37780</v>
      </c>
      <c r="E26" s="60">
        <f t="shared" si="0"/>
        <v>124890</v>
      </c>
    </row>
    <row r="27" spans="1:5" x14ac:dyDescent="0.3">
      <c r="B27" s="2">
        <v>4</v>
      </c>
      <c r="C27" s="35" t="s">
        <v>96</v>
      </c>
      <c r="D27" s="45">
        <f>+D95</f>
        <v>302540</v>
      </c>
      <c r="E27" s="60">
        <f t="shared" si="0"/>
        <v>1000130</v>
      </c>
    </row>
    <row r="28" spans="1:5" x14ac:dyDescent="0.3">
      <c r="B28" s="2">
        <v>5</v>
      </c>
      <c r="C28" s="35" t="s">
        <v>97</v>
      </c>
      <c r="D28" s="45">
        <f>+D119</f>
        <v>111950</v>
      </c>
      <c r="E28" s="60">
        <f t="shared" si="0"/>
        <v>370080</v>
      </c>
    </row>
    <row r="29" spans="1:5" x14ac:dyDescent="0.3">
      <c r="B29" s="2">
        <v>6</v>
      </c>
      <c r="C29" s="35" t="s">
        <v>98</v>
      </c>
      <c r="D29" s="45">
        <f>+D133</f>
        <v>32460</v>
      </c>
      <c r="E29" s="60">
        <f t="shared" si="0"/>
        <v>107300</v>
      </c>
    </row>
    <row r="30" spans="1:5" x14ac:dyDescent="0.3">
      <c r="B30" s="2">
        <v>7</v>
      </c>
      <c r="C30" s="35" t="s">
        <v>99</v>
      </c>
      <c r="D30" s="45">
        <f>+D146</f>
        <v>7690</v>
      </c>
      <c r="E30" s="60">
        <f t="shared" si="0"/>
        <v>25420</v>
      </c>
    </row>
    <row r="31" spans="1:5" x14ac:dyDescent="0.3">
      <c r="B31" s="2">
        <v>8</v>
      </c>
      <c r="C31" s="35" t="s">
        <v>100</v>
      </c>
      <c r="D31" s="45">
        <f>+D154</f>
        <v>124959.34767989239</v>
      </c>
      <c r="E31" s="60">
        <f t="shared" si="0"/>
        <v>413090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354400</v>
      </c>
      <c r="E33" s="61">
        <f t="shared" si="0"/>
        <v>1171570</v>
      </c>
    </row>
    <row r="34" spans="1:7" x14ac:dyDescent="0.3">
      <c r="C34" s="35" t="s">
        <v>112</v>
      </c>
      <c r="D34" s="44">
        <f>SUM(D24:D33)</f>
        <v>1643139.6976798924</v>
      </c>
      <c r="E34" s="44">
        <f>SUM(E24:E33)</f>
        <v>5431860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247</v>
      </c>
      <c r="D36" s="57" t="s">
        <v>245</v>
      </c>
      <c r="E36" s="57" t="s">
        <v>246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251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TRUNC(27336.81,-1)</f>
        <v>27330</v>
      </c>
      <c r="E40" s="63">
        <f t="shared" ref="E40:E59" si="1">TRUNC(+D40*3.3058,-1)</f>
        <v>90340</v>
      </c>
    </row>
    <row r="41" spans="1:7" x14ac:dyDescent="0.3">
      <c r="A41" s="2">
        <v>2</v>
      </c>
      <c r="C41" s="38" t="s">
        <v>13</v>
      </c>
      <c r="D41" s="42">
        <f>TRUNC(145732.06,-1)</f>
        <v>145730</v>
      </c>
      <c r="E41" s="64">
        <f t="shared" si="1"/>
        <v>481750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TRUNC(15084.02,-1)</f>
        <v>15080</v>
      </c>
      <c r="E43" s="64">
        <f t="shared" si="1"/>
        <v>49850</v>
      </c>
    </row>
    <row r="44" spans="1:7" x14ac:dyDescent="0.3">
      <c r="A44" s="2">
        <v>5</v>
      </c>
      <c r="C44" s="38" t="s">
        <v>17</v>
      </c>
      <c r="D44" s="42">
        <f>TRUNC(31819,-1)</f>
        <v>31810</v>
      </c>
      <c r="E44" s="64">
        <f t="shared" si="1"/>
        <v>105150</v>
      </c>
    </row>
    <row r="45" spans="1:7" x14ac:dyDescent="0.3">
      <c r="A45" s="2">
        <v>6</v>
      </c>
      <c r="C45" s="38" t="s">
        <v>18</v>
      </c>
      <c r="D45" s="42">
        <f>TRUNC(15101.43,-1)</f>
        <v>15100</v>
      </c>
      <c r="E45" s="64">
        <f t="shared" si="1"/>
        <v>49910</v>
      </c>
    </row>
    <row r="46" spans="1:7" x14ac:dyDescent="0.3">
      <c r="A46" s="2">
        <v>7</v>
      </c>
      <c r="C46" s="38" t="s">
        <v>19</v>
      </c>
      <c r="D46" s="42">
        <f>TRUNC(51321.37,-1)</f>
        <v>51320</v>
      </c>
      <c r="E46" s="64">
        <f t="shared" si="1"/>
        <v>169650</v>
      </c>
    </row>
    <row r="47" spans="1:7" x14ac:dyDescent="0.3">
      <c r="A47" s="2">
        <v>8</v>
      </c>
      <c r="C47" s="38" t="s">
        <v>20</v>
      </c>
      <c r="D47" s="42">
        <f>TRUNC(7088.8,-1)</f>
        <v>7080</v>
      </c>
      <c r="E47" s="64">
        <f t="shared" si="1"/>
        <v>23400</v>
      </c>
    </row>
    <row r="48" spans="1:7" x14ac:dyDescent="0.3">
      <c r="A48" s="2">
        <v>9</v>
      </c>
      <c r="C48" s="38" t="s">
        <v>21</v>
      </c>
      <c r="D48" s="42">
        <f>TRUNC(46371.93,-1)</f>
        <v>46370</v>
      </c>
      <c r="E48" s="64">
        <f t="shared" si="1"/>
        <v>153280</v>
      </c>
    </row>
    <row r="49" spans="1:7" x14ac:dyDescent="0.3">
      <c r="A49" s="2">
        <v>10</v>
      </c>
      <c r="C49" s="38" t="s">
        <v>22</v>
      </c>
      <c r="D49" s="42">
        <f>TRUNC(24696.64,-1)</f>
        <v>24690</v>
      </c>
      <c r="E49" s="64">
        <f t="shared" si="1"/>
        <v>81620</v>
      </c>
    </row>
    <row r="50" spans="1:7" x14ac:dyDescent="0.3">
      <c r="A50" s="2">
        <v>11</v>
      </c>
      <c r="C50" s="38" t="s">
        <v>154</v>
      </c>
      <c r="D50" s="42">
        <f>TRUNC(63543.43,-1)</f>
        <v>63540</v>
      </c>
      <c r="E50" s="64">
        <f t="shared" si="1"/>
        <v>210050</v>
      </c>
    </row>
    <row r="51" spans="1:7" x14ac:dyDescent="0.3">
      <c r="A51" s="2">
        <v>12</v>
      </c>
      <c r="C51" s="38" t="s">
        <v>23</v>
      </c>
      <c r="D51" s="42">
        <v>12030.35</v>
      </c>
      <c r="E51" s="64">
        <f t="shared" si="1"/>
        <v>39760</v>
      </c>
    </row>
    <row r="52" spans="1:7" x14ac:dyDescent="0.3">
      <c r="A52" s="2">
        <v>13</v>
      </c>
      <c r="C52" s="38" t="s">
        <v>24</v>
      </c>
      <c r="D52" s="42">
        <f>TRUNC(7713.85,-1)</f>
        <v>7710</v>
      </c>
      <c r="E52" s="64">
        <f t="shared" si="1"/>
        <v>25480</v>
      </c>
    </row>
    <row r="53" spans="1:7" x14ac:dyDescent="0.3">
      <c r="A53" s="2">
        <v>14</v>
      </c>
      <c r="C53" s="38" t="s">
        <v>25</v>
      </c>
      <c r="D53" s="42">
        <f>TRUNC(34044.39,-1)</f>
        <v>34040</v>
      </c>
      <c r="E53" s="64">
        <f t="shared" si="1"/>
        <v>112520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TRUNC(3141.38,-1)</f>
        <v>3140</v>
      </c>
      <c r="E55" s="64">
        <f t="shared" si="1"/>
        <v>10380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TRUNC(16670.52+3884.42+2648.2+3516.48+1831.66+567.41+29815.1,-1)</f>
        <v>58930</v>
      </c>
      <c r="E58" s="64">
        <f t="shared" si="1"/>
        <v>194810</v>
      </c>
      <c r="F58" s="2" t="s">
        <v>237</v>
      </c>
    </row>
    <row r="59" spans="1:7" ht="17.25" thickBot="1" x14ac:dyDescent="0.35">
      <c r="A59" s="2">
        <v>20</v>
      </c>
      <c r="C59" s="38" t="s">
        <v>148</v>
      </c>
      <c r="D59" s="43">
        <f>TRUNC(127466.04,-1)</f>
        <v>127460</v>
      </c>
      <c r="E59" s="65">
        <f t="shared" si="1"/>
        <v>421350</v>
      </c>
      <c r="F59" s="2" t="s">
        <v>239</v>
      </c>
    </row>
    <row r="60" spans="1:7" x14ac:dyDescent="0.3">
      <c r="A60" s="2">
        <v>21</v>
      </c>
      <c r="C60" s="27" t="s">
        <v>112</v>
      </c>
      <c r="D60" s="39">
        <f>SUM(D40:D59)</f>
        <v>671360.35</v>
      </c>
      <c r="E60" s="39">
        <f>SUM(E40:E59)</f>
        <v>2219300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248</v>
      </c>
      <c r="C62" s="56" t="s">
        <v>249</v>
      </c>
      <c r="D62" s="57" t="s">
        <v>261</v>
      </c>
      <c r="E62" s="57" t="s">
        <v>246</v>
      </c>
      <c r="G62" s="55"/>
    </row>
    <row r="63" spans="1:7" x14ac:dyDescent="0.3">
      <c r="A63" s="2">
        <v>1</v>
      </c>
      <c r="C63" s="38" t="s">
        <v>27</v>
      </c>
      <c r="D63" s="40">
        <f>TRUNC(20025.8355749832,-1)</f>
        <v>20020</v>
      </c>
      <c r="E63" s="63">
        <f>TRUNC(+D63*3.3058,-1)</f>
        <v>66180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TRUNC(17761.86,-1)</f>
        <v>17760</v>
      </c>
      <c r="E65" s="65">
        <f>TRUNC(+D65*3.3058,-1)</f>
        <v>58710</v>
      </c>
    </row>
    <row r="66" spans="1:7" x14ac:dyDescent="0.3">
      <c r="A66" s="2">
        <v>4</v>
      </c>
      <c r="C66" s="27" t="s">
        <v>112</v>
      </c>
      <c r="D66" s="58">
        <f>SUM(D63:D65)</f>
        <v>37780</v>
      </c>
      <c r="E66" s="58">
        <f>SUM(E63:E65)</f>
        <v>124890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250</v>
      </c>
      <c r="C68" s="56" t="s">
        <v>251</v>
      </c>
      <c r="D68" s="57" t="s">
        <v>261</v>
      </c>
      <c r="E68" s="57" t="s">
        <v>246</v>
      </c>
      <c r="G68" s="55"/>
    </row>
    <row r="69" spans="1:7" x14ac:dyDescent="0.3">
      <c r="A69" s="2">
        <v>1</v>
      </c>
      <c r="C69" s="38" t="s">
        <v>30</v>
      </c>
      <c r="D69" s="40">
        <f>TRUNC(13716.58,-1)</f>
        <v>13710</v>
      </c>
      <c r="E69" s="63">
        <f>TRUNC(+D69*3.3058,-1)</f>
        <v>45320</v>
      </c>
    </row>
    <row r="70" spans="1:7" ht="16.5" customHeight="1" x14ac:dyDescent="0.3">
      <c r="A70" s="2">
        <v>2</v>
      </c>
      <c r="C70" s="38" t="s">
        <v>31</v>
      </c>
      <c r="D70" s="42">
        <f>TRUNC(2157.53,-1)</f>
        <v>2150</v>
      </c>
      <c r="E70" s="64">
        <f>TRUNC(+D70*3.3058,-1)</f>
        <v>7100</v>
      </c>
    </row>
    <row r="71" spans="1:7" x14ac:dyDescent="0.3">
      <c r="A71" s="2">
        <v>3</v>
      </c>
      <c r="C71" s="38" t="s">
        <v>32</v>
      </c>
      <c r="D71" s="42">
        <f>TRUNC(15384.11,-1)</f>
        <v>15380</v>
      </c>
      <c r="E71" s="64">
        <f t="shared" ref="E71:E73" si="2">TRUNC(+D71*3.3058,-1)</f>
        <v>50840</v>
      </c>
    </row>
    <row r="72" spans="1:7" x14ac:dyDescent="0.3">
      <c r="A72" s="2">
        <v>4</v>
      </c>
      <c r="C72" s="38" t="s">
        <v>33</v>
      </c>
      <c r="D72" s="42">
        <f>TRUNC(6844.28,-1)</f>
        <v>6840</v>
      </c>
      <c r="E72" s="64">
        <f t="shared" si="2"/>
        <v>22610</v>
      </c>
    </row>
    <row r="73" spans="1:7" x14ac:dyDescent="0.3">
      <c r="A73" s="2">
        <v>5</v>
      </c>
      <c r="C73" s="38" t="s">
        <v>34</v>
      </c>
      <c r="D73" s="42">
        <f>TRUNC(13935.92,-1)</f>
        <v>13930</v>
      </c>
      <c r="E73" s="64">
        <f t="shared" si="2"/>
        <v>46040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TRUNC(12697.25,-1)</f>
        <v>12690</v>
      </c>
      <c r="E79" s="64">
        <f t="shared" si="3"/>
        <v>41950</v>
      </c>
      <c r="F79" s="2" t="s">
        <v>235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TRUNC(9272.61,-1)</f>
        <v>9270</v>
      </c>
      <c r="E81" s="64">
        <f t="shared" si="3"/>
        <v>30640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  <c r="F84" s="2" t="s">
        <v>234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f>TRUNC(5745.76,-1)</f>
        <v>5740</v>
      </c>
      <c r="E89" s="64">
        <f t="shared" si="3"/>
        <v>18970</v>
      </c>
    </row>
    <row r="90" spans="1:7" x14ac:dyDescent="0.3">
      <c r="A90" s="2">
        <v>22</v>
      </c>
      <c r="C90" s="38" t="s">
        <v>36</v>
      </c>
      <c r="D90" s="42">
        <f>TRUNC(900.87,-1)</f>
        <v>900</v>
      </c>
      <c r="E90" s="64">
        <f>TRUNC(+D90*3.3058,-1)</f>
        <v>2970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f>TRUNC(7199.42,-1)</f>
        <v>7190</v>
      </c>
      <c r="E92" s="64">
        <f>TRUNC(+D92*3.3058,-1)</f>
        <v>23760</v>
      </c>
    </row>
    <row r="93" spans="1:7" x14ac:dyDescent="0.3">
      <c r="A93" s="2">
        <v>25</v>
      </c>
      <c r="C93" s="38" t="s">
        <v>148</v>
      </c>
      <c r="D93" s="42">
        <f>TRUNC(68661.32,-1)</f>
        <v>68660</v>
      </c>
      <c r="E93" s="64">
        <f>TRUNC(+D93*3.3058,-1)</f>
        <v>226970</v>
      </c>
      <c r="F93" s="2" t="s">
        <v>262</v>
      </c>
    </row>
    <row r="94" spans="1:7" ht="17.25" thickBot="1" x14ac:dyDescent="0.35">
      <c r="A94" s="2">
        <v>26</v>
      </c>
      <c r="C94" s="38" t="s">
        <v>47</v>
      </c>
      <c r="D94" s="43">
        <f>TRUNC(116967.7+24045.59+5067.79,-1)</f>
        <v>146080</v>
      </c>
      <c r="E94" s="65">
        <f>TRUNC(+D94*3.3058,-1)</f>
        <v>482910</v>
      </c>
      <c r="F94" s="2" t="s">
        <v>241</v>
      </c>
    </row>
    <row r="95" spans="1:7" x14ac:dyDescent="0.3">
      <c r="A95" s="2">
        <v>27</v>
      </c>
      <c r="C95" s="27" t="s">
        <v>112</v>
      </c>
      <c r="D95" s="39">
        <f>SUM(D69:D94)</f>
        <v>302540</v>
      </c>
      <c r="E95" s="39">
        <f>SUM(E69:E94)</f>
        <v>1000080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252</v>
      </c>
      <c r="C97" s="56" t="s">
        <v>251</v>
      </c>
      <c r="D97" s="57" t="s">
        <v>261</v>
      </c>
      <c r="E97" s="57" t="s">
        <v>246</v>
      </c>
      <c r="G97" s="55"/>
    </row>
    <row r="98" spans="1:7" x14ac:dyDescent="0.3">
      <c r="A98" s="2">
        <v>1</v>
      </c>
      <c r="C98" s="38" t="s">
        <v>39</v>
      </c>
      <c r="D98" s="40">
        <f>TRUNC(7233.23,-1)</f>
        <v>7230</v>
      </c>
      <c r="E98" s="63">
        <f t="shared" ref="E98:E118" si="4">TRUNC(+D98*3.3058,-1)</f>
        <v>23900</v>
      </c>
    </row>
    <row r="99" spans="1:7" x14ac:dyDescent="0.3">
      <c r="A99" s="2">
        <v>2</v>
      </c>
      <c r="C99" s="38" t="s">
        <v>40</v>
      </c>
      <c r="D99" s="42">
        <f>TRUNC(2800.64,-1)</f>
        <v>2800</v>
      </c>
      <c r="E99" s="64">
        <f t="shared" si="4"/>
        <v>9250</v>
      </c>
    </row>
    <row r="100" spans="1:7" x14ac:dyDescent="0.3">
      <c r="A100" s="2">
        <v>3</v>
      </c>
      <c r="C100" s="38" t="s">
        <v>41</v>
      </c>
      <c r="D100" s="42">
        <f>TRUNC(16794.77,-1)</f>
        <v>16790</v>
      </c>
      <c r="E100" s="64">
        <f t="shared" si="4"/>
        <v>55500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TRUNC(7435.29,-1)</f>
        <v>7430</v>
      </c>
      <c r="E102" s="64">
        <f t="shared" si="4"/>
        <v>24560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4"/>
        <v>0</v>
      </c>
      <c r="F104" s="2" t="s">
        <v>242</v>
      </c>
    </row>
    <row r="105" spans="1:7" x14ac:dyDescent="0.3">
      <c r="A105" s="2">
        <v>8</v>
      </c>
      <c r="C105" s="38" t="s">
        <v>46</v>
      </c>
      <c r="D105" s="42">
        <f>TRUNC(3046.04,-1)</f>
        <v>3040</v>
      </c>
      <c r="E105" s="64">
        <f t="shared" si="4"/>
        <v>10040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f>TRUNC(2712.42,-1)</f>
        <v>2710</v>
      </c>
      <c r="E108" s="64">
        <f t="shared" si="4"/>
        <v>8950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TRUNC(1719.24,-1)</f>
        <v>1710</v>
      </c>
      <c r="E114" s="64">
        <f t="shared" si="4"/>
        <v>5650</v>
      </c>
    </row>
    <row r="115" spans="1:7" x14ac:dyDescent="0.3">
      <c r="A115" s="2">
        <v>18</v>
      </c>
      <c r="C115" s="38" t="s">
        <v>116</v>
      </c>
      <c r="D115" s="42">
        <f>TRUNC(13625.43,-1)</f>
        <v>13620</v>
      </c>
      <c r="E115" s="64">
        <f t="shared" si="4"/>
        <v>45020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TRUNC(22966.7114996638+33660.7262945528,-1)</f>
        <v>56620</v>
      </c>
      <c r="E117" s="64">
        <f t="shared" si="4"/>
        <v>187170</v>
      </c>
      <c r="F117" s="2" t="s">
        <v>264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5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111950</v>
      </c>
      <c r="E119" s="39">
        <f>SUM(E98:E118)</f>
        <v>370040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253</v>
      </c>
      <c r="C121" s="56" t="s">
        <v>251</v>
      </c>
      <c r="D121" s="57" t="s">
        <v>261</v>
      </c>
      <c r="E121" s="57" t="s">
        <v>246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f>TRUNC(3183.56,-1)</f>
        <v>3180</v>
      </c>
      <c r="E123" s="64">
        <f t="shared" si="5"/>
        <v>10510</v>
      </c>
    </row>
    <row r="124" spans="1:7" x14ac:dyDescent="0.3">
      <c r="A124" s="2">
        <v>3</v>
      </c>
      <c r="C124" s="38" t="s">
        <v>151</v>
      </c>
      <c r="D124" s="42">
        <f>TRUNC(360.38,-1)</f>
        <v>360</v>
      </c>
      <c r="E124" s="64">
        <f t="shared" si="5"/>
        <v>1190</v>
      </c>
    </row>
    <row r="125" spans="1:7" x14ac:dyDescent="0.3">
      <c r="A125" s="2">
        <v>4</v>
      </c>
      <c r="C125" s="38" t="s">
        <v>138</v>
      </c>
      <c r="D125" s="42">
        <f>TRUNC(4187.47,-1)</f>
        <v>4180</v>
      </c>
      <c r="E125" s="64">
        <f t="shared" si="5"/>
        <v>13810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  <c r="F128" s="2" t="s">
        <v>243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TRUNC(7282.51,-1)</f>
        <v>7280</v>
      </c>
      <c r="E130" s="64">
        <f t="shared" si="5"/>
        <v>24060</v>
      </c>
    </row>
    <row r="131" spans="1:7" x14ac:dyDescent="0.3">
      <c r="A131" s="2">
        <v>10</v>
      </c>
      <c r="C131" s="38" t="s">
        <v>148</v>
      </c>
      <c r="D131" s="42">
        <f>TRUNC(13143.24,-1)</f>
        <v>13140</v>
      </c>
      <c r="E131" s="64">
        <f t="shared" si="5"/>
        <v>43430</v>
      </c>
      <c r="F131" s="2" t="s">
        <v>264</v>
      </c>
    </row>
    <row r="132" spans="1:7" ht="18" thickBot="1" x14ac:dyDescent="0.35">
      <c r="A132" s="2">
        <v>11</v>
      </c>
      <c r="C132" s="38" t="s">
        <v>47</v>
      </c>
      <c r="D132" s="43">
        <f>TRUNC(1000.9+2380.97+947.71,-1)</f>
        <v>4320</v>
      </c>
      <c r="E132" s="65">
        <f t="shared" si="5"/>
        <v>14280</v>
      </c>
      <c r="F132" s="54" t="s">
        <v>263</v>
      </c>
    </row>
    <row r="133" spans="1:7" x14ac:dyDescent="0.3">
      <c r="A133" s="2">
        <v>12</v>
      </c>
      <c r="C133" s="27" t="s">
        <v>112</v>
      </c>
      <c r="D133" s="39">
        <f>SUM(D122:D132)</f>
        <v>32460</v>
      </c>
      <c r="E133" s="39">
        <f>SUM(E122:E132)</f>
        <v>107280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254</v>
      </c>
      <c r="C135" s="56" t="s">
        <v>251</v>
      </c>
      <c r="D135" s="57" t="s">
        <v>261</v>
      </c>
      <c r="E135" s="57" t="s">
        <v>246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">
        <f>TRUNC(7693.78,-1)</f>
        <v>7690</v>
      </c>
      <c r="E137" s="64">
        <f t="shared" si="6"/>
        <v>25420</v>
      </c>
      <c r="F137" s="2" t="s">
        <v>244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7690</v>
      </c>
      <c r="E146" s="39">
        <f>SUM(E136:E145)</f>
        <v>25420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255</v>
      </c>
      <c r="C148" s="56" t="s">
        <v>251</v>
      </c>
      <c r="D148" s="57" t="s">
        <v>261</v>
      </c>
      <c r="E148" s="57" t="s">
        <v>246</v>
      </c>
      <c r="G148" s="55"/>
    </row>
    <row r="149" spans="1:7" x14ac:dyDescent="0.3">
      <c r="A149" s="2">
        <v>1</v>
      </c>
      <c r="C149" s="38" t="s">
        <v>48</v>
      </c>
      <c r="D149" s="40">
        <f>TRUNC(13092.71,-1)</f>
        <v>13090</v>
      </c>
      <c r="E149" s="63">
        <f>TRUNC(+D149*3.3058,-1)</f>
        <v>43270</v>
      </c>
    </row>
    <row r="150" spans="1:7" x14ac:dyDescent="0.3">
      <c r="A150" s="2">
        <v>2</v>
      </c>
      <c r="C150" s="38" t="s">
        <v>49</v>
      </c>
      <c r="D150" s="42">
        <f>TRUNC(29041.67,-1)</f>
        <v>29040</v>
      </c>
      <c r="E150" s="64">
        <f>TRUNC(+D150*3.3058,-1)</f>
        <v>96000</v>
      </c>
    </row>
    <row r="151" spans="1:7" x14ac:dyDescent="0.3">
      <c r="A151" s="2">
        <v>3</v>
      </c>
      <c r="C151" s="38" t="s">
        <v>50</v>
      </c>
      <c r="D151" s="42">
        <f>TRUNC(57265.16,-1)</f>
        <v>57260</v>
      </c>
      <c r="E151" s="64">
        <f>TRUNC(+D151*3.3058,-1)</f>
        <v>189290</v>
      </c>
    </row>
    <row r="152" spans="1:7" x14ac:dyDescent="0.3">
      <c r="A152" s="2">
        <v>4</v>
      </c>
      <c r="C152" s="38" t="s">
        <v>47</v>
      </c>
      <c r="D152" s="42">
        <f>TRUNC(2689.98+4319.34+2256.34,-1)</f>
        <v>9260</v>
      </c>
      <c r="E152" s="64">
        <f>TRUNC(+D152*3.3058,-1)</f>
        <v>30610</v>
      </c>
      <c r="F152" s="2" t="s">
        <v>238</v>
      </c>
    </row>
    <row r="153" spans="1:7" ht="17.25" thickBot="1" x14ac:dyDescent="0.35">
      <c r="A153" s="2">
        <v>5</v>
      </c>
      <c r="C153" s="38" t="s">
        <v>148</v>
      </c>
      <c r="D153" s="43">
        <v>16309.3476798924</v>
      </c>
      <c r="E153" s="65">
        <f>TRUNC(+D153*3.3058,-1)</f>
        <v>53910</v>
      </c>
      <c r="F153" s="2" t="s">
        <v>239</v>
      </c>
    </row>
    <row r="154" spans="1:7" x14ac:dyDescent="0.3">
      <c r="A154" s="2">
        <v>6</v>
      </c>
      <c r="C154" s="27" t="s">
        <v>112</v>
      </c>
      <c r="D154" s="39">
        <f>SUM(D149:D153)</f>
        <v>124959.34767989239</v>
      </c>
      <c r="E154" s="39">
        <f>SUM(E149:E153)</f>
        <v>413080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256</v>
      </c>
      <c r="C156" s="56" t="s">
        <v>251</v>
      </c>
      <c r="D156" s="57" t="s">
        <v>261</v>
      </c>
      <c r="E156" s="57" t="s">
        <v>246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  <c r="F159" s="2" t="s">
        <v>240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2020-12-07T09:10:26Z</dcterms:modified>
</cp:coreProperties>
</file>