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0" i="4"/>
  <c r="D149" i="4"/>
  <c r="D144" i="4"/>
  <c r="D143" i="4"/>
  <c r="D142" i="4"/>
  <c r="D141" i="4"/>
  <c r="D140" i="4"/>
  <c r="D139" i="4"/>
  <c r="D137" i="4"/>
  <c r="D132" i="4"/>
  <c r="D131" i="4"/>
  <c r="D130" i="4"/>
  <c r="D128" i="4"/>
  <c r="D125" i="4"/>
  <c r="D124" i="4"/>
  <c r="D122" i="4"/>
  <c r="D118" i="4"/>
  <c r="D117" i="4"/>
  <c r="D116" i="4"/>
  <c r="D114" i="4"/>
  <c r="D105" i="4"/>
  <c r="D104" i="4"/>
  <c r="D102" i="4"/>
  <c r="D101" i="4"/>
  <c r="D100" i="4"/>
  <c r="D99" i="4"/>
  <c r="D98" i="4"/>
  <c r="D94" i="4"/>
  <c r="D92" i="4"/>
  <c r="D89" i="4"/>
  <c r="D76" i="4"/>
  <c r="D73" i="4"/>
  <c r="D72" i="4"/>
  <c r="D6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<sst xmlns="http://schemas.openxmlformats.org/spreadsheetml/2006/main" count="392" uniqueCount="266">
  <si>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</si>
  <si>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</si>
  <si>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</si>
  <si>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</si>
  <si>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</si>
  <si>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</si>
  <si>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</si>
  <si>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</si>
  <si>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</si>
  <si>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</si>
  <si>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</si>
  <si>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</si>
  <si>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</si>
  <si>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</si>
  <si>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</si>
  <si>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</si>
  <si>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</si>
  <si>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</si>
  <si>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</si>
  <si>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</si>
  <si>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</si>
  <si>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</si>
  <si>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</si>
  <si>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</si>
  <si>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</si>
  <si>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</si>
  <si>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</si>
  <si>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</si>
  <si>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</si>
  <si>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</si>
  <si>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</si>
  <si>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</si>
  <si>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</si>
  <si>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</si>
  <si>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</si>
  <si>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</si>
  <si>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</si>
  <si>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</si>
  <si>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</si>
  <si>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</si>
  <si>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</si>
  <si>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</si>
  <si>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</si>
  <si>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</si>
  <si>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</si>
  <si>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</si>
  <si>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</si>
  <si>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</si>
  <si>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</si>
  <si>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</si>
  <si>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</si>
  <si>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</si>
  <si>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</si>
  <si>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</si>
  <si>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</si>
  <si>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</si>
  <si>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</si>
  <si>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</si>
  <si>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</si>
  <si>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</si>
  <si>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</si>
  <si>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</si>
  <si>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</si>
  <si>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</si>
  <si>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</si>
  <si>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</si>
  <si>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</si>
  <si>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</si>
  <si>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</si>
  <si>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</si>
  <si>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</si>
  <si>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</si>
  <si>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</si>
  <si>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</si>
  <si>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</si>
  <si>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</si>
  <si>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</si>
  <si>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</si>
  <si>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</si>
  <si>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</si>
  <si>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</si>
  <si>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</si>
  <si>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</si>
  <si>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</si>
  <si>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</si>
  <si>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</si>
  <si>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</si>
  <si>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</si>
  <si>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</si>
  <si>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</si>
  <si>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</si>
  <si>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</si>
  <si>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</si>
  <si>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</si>
  <si>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</si>
  <si>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</si>
  <si>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</si>
  <si>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</si>
  <si>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</si>
  <si>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</si>
  <si>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</si>
  <si>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</si>
  <si>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</si>
  <si>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</si>
  <si>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</si>
  <si>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</si>
  <si>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</si>
  <si>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</si>
  <si>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</si>
  <si>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</si>
  <si>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</si>
  <si>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</si>
  <si>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</si>
  <si>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</si>
  <si>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</si>
  <si>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</si>
  <si>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</si>
  <si>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</si>
  <si>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</si>
  <si>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</si>
  <si>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</si>
  <si>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</si>
  <si>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</si>
  <si>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</si>
  <si>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</si>
  <si>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</si>
  <si>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</si>
  <si>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</si>
  <si>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</si>
  <si>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</si>
  <si>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</si>
  <si>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</si>
  <si>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</si>
  <si>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</si>
  <si>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</si>
  <si>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</si>
  <si>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</si>
  <si>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</si>
  <si>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</si>
  <si>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</si>
  <si>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</si>
  <si>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</si>
  <si>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</si>
  <si>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</si>
  <si>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</si>
  <si>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</si>
  <si>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</si>
  <si>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</si>
  <si>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</si>
  <si>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</si>
  <si>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</si>
  <si>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</si>
  <si>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</si>
  <si>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</si>
  <si>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</si>
  <si>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</si>
  <si>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</si>
  <si>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</si>
  <si>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</si>
  <si>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</si>
  <si>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</si>
  <si>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</si>
  <si>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</si>
  <si>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</si>
  <si>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</si>
  <si>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</si>
  <si>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</si>
  <si>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</si>
  <si>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</si>
  <si>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</si>
  <si>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</si>
  <si>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</si>
  <si>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</si>
  <si>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</si>
  <si>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</si>
  <si>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</si>
  <si>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</si>
  <si>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</si>
  <si>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</si>
  <si>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</si>
  <si>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</si>
  <si>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</si>
  <si>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</si>
  <si>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</si>
  <si>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</si>
  <si>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</si>
  <si>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</si>
  <si>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</si>
  <si>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</si>
  <si>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</si>
  <si>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</si>
  <si>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</si>
  <si>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</si>
  <si>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</si>
  <si>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</si>
  <si>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</si>
  <si>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</si>
  <si>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</si>
  <si>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</si>
  <si>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</si>
  <si>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</si>
  <si>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</si>
  <si>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</si>
  <si>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</si>
  <si>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</si>
  <si>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</si>
  <si>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</si>
  <si>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</si>
  <si>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</si>
  <si>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</si>
  <si>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</si>
  <si>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</si>
  <si>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</si>
  <si>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</si>
  <si>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</si>
  <si>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</si>
  <si>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</si>
  <si>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</si>
  <si>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</si>
  <si>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</si>
  <si>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</si>
  <si>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</si>
  <si>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</si>
  <si>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</si>
  <si>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</si>
  <si>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</si>
  <si>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</si>
  <si>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</si>
  <si>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</si>
  <si>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</si>
  <si>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</si>
  <si>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</si>
  <si>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</si>
  <si>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</si>
  <si>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</si>
  <si>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</si>
  <si>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</si>
  <si>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</si>
  <si>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</si>
  <si>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</si>
  <si>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</si>
  <si>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</si>
  <si>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</si>
  <si>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</si>
  <si>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</si>
  <si>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</si>
  <si>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</si>
  <si>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</si>
  <si>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</si>
  <si>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</si>
  <si>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</si>
  <si>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</si>
  <si>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 난방배관공사,바닥난방공사,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</si>
  <si>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</si>
  <si>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</si>
  <si>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</si>
  <si>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</si>
  <si>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</si>
  <si>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다정유,초등학교 신축공사</t>
    <phoneticPr fontId="2" type="noConversion"/>
  </si>
  <si>
    <t>세종시</t>
  </si>
  <si>
    <t>기초공사, 골재비및운반비, 작업부산물, 기타공사</t>
    <phoneticPr fontId="2" type="noConversion"/>
  </si>
  <si>
    <t>CCTV설비공사,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</si>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</sst>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18170.29</v>
      </c>
      <c r="D7" s="36">
        <f>+C7/3.3058</f>
        <v>5496.4879908040411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691740</v>
      </c>
      <c r="E25" s="59">
        <f t="shared" si="0"/>
        <v>2286750</v>
      </c>
    </row>
    <row r="26" spans="1:5" x14ac:dyDescent="0.3">
      <c r="B26" s="2">
        <v>3</v>
      </c>
      <c r="C26" s="35" t="s">
        <v>95</v>
      </c>
      <c r="D26" s="45">
        <f>+D66</f>
        <v>1220</v>
      </c>
      <c r="E26" s="59">
        <f t="shared" si="0"/>
        <v>4030</v>
      </c>
    </row>
    <row r="27" spans="1:5" x14ac:dyDescent="0.3">
      <c r="B27" s="2">
        <v>4</v>
      </c>
      <c r="C27" s="35" t="s">
        <v>96</v>
      </c>
      <c r="D27" s="45">
        <f>+D95</f>
        <v>181380</v>
      </c>
      <c r="E27" s="59">
        <f t="shared" si="0"/>
        <v>599600</v>
      </c>
    </row>
    <row r="28" spans="1:5" x14ac:dyDescent="0.3">
      <c r="B28" s="2">
        <v>5</v>
      </c>
      <c r="C28" s="35" t="s">
        <v>97</v>
      </c>
      <c r="D28" s="45">
        <f>+D119</f>
        <v>153530</v>
      </c>
      <c r="E28" s="59">
        <f t="shared" si="0"/>
        <v>507530</v>
      </c>
    </row>
    <row r="29" spans="1:5" x14ac:dyDescent="0.3">
      <c r="B29" s="2">
        <v>6</v>
      </c>
      <c r="C29" s="35" t="s">
        <v>98</v>
      </c>
      <c r="D29" s="45">
        <f>+D133</f>
        <v>52440</v>
      </c>
      <c r="E29" s="59">
        <f t="shared" si="0"/>
        <v>173350</v>
      </c>
    </row>
    <row r="30" spans="1:5" x14ac:dyDescent="0.3">
      <c r="B30" s="2">
        <v>7</v>
      </c>
      <c r="C30" s="35" t="s">
        <v>99</v>
      </c>
      <c r="D30" s="45">
        <f>+D146</f>
        <v>43200</v>
      </c>
      <c r="E30" s="59">
        <f t="shared" si="0"/>
        <v>142810</v>
      </c>
    </row>
    <row r="31" spans="1:5" x14ac:dyDescent="0.3">
      <c r="B31" s="2">
        <v>8</v>
      </c>
      <c r="C31" s="35" t="s">
        <v>100</v>
      </c>
      <c r="D31" s="45">
        <f>+D154</f>
        <v>40250</v>
      </c>
      <c r="E31" s="59">
        <f t="shared" si="0"/>
        <v>133050</v>
      </c>
    </row>
    <row r="32" spans="1:5" x14ac:dyDescent="0.3">
      <c r="B32" s="2">
        <v>9</v>
      </c>
      <c r="C32" s="35" t="s">
        <v>101</v>
      </c>
      <c r="D32" s="45">
        <f>+D161</f>
        <v>15570</v>
      </c>
      <c r="E32" s="59">
        <f t="shared" si="0"/>
        <v>51470</v>
      </c>
    </row>
    <row r="33" spans="1:7" x14ac:dyDescent="0.3">
      <c r="B33" s="2">
        <v>10</v>
      </c>
      <c r="C33" s="35" t="s">
        <v>155</v>
      </c>
      <c r="D33" s="53">
        <f>TRUNC(SUM(D24:D32)*0.275,-1)</f>
        <v>324310</v>
      </c>
      <c r="E33" s="60">
        <f t="shared" si="0"/>
        <v>1072100</v>
      </c>
    </row>
    <row r="34" spans="1:7" x14ac:dyDescent="0.3">
      <c r="C34" s="35" t="s">
        <v>112</v>
      </c>
      <c r="D34" s="44">
        <f>SUM(D24:D33)</f>
        <v>1503640</v>
      </c>
      <c r="E34" s="44">
        <f>SUM(E24:E33)</f>
        <v>4970690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TRUNC(50211,-1)</f>
        <v>50210</v>
      </c>
      <c r="E40" s="62">
        <f t="shared" ref="E40:E59" si="1">TRUNC(+D40*3.3058,-1)</f>
        <v>165980</v>
      </c>
    </row>
    <row r="41" spans="1:7" x14ac:dyDescent="0.3">
      <c r="A41" s="2">
        <v>2</v>
      </c>
      <c r="C41" s="38" t="s">
        <v>13</v>
      </c>
      <c r="D41" s="42">
        <f>TRUNC(129718,-1)</f>
        <v>129710</v>
      </c>
      <c r="E41" s="63">
        <f t="shared" si="1"/>
        <v>428790</v>
      </c>
    </row>
    <row r="42" spans="1:7" x14ac:dyDescent="0.3">
      <c r="A42" s="2">
        <v>3</v>
      </c>
      <c r="C42" s="38" t="s">
        <v>14</v>
      </c>
      <c r="D42" s="42">
        <f>TRUNC(4765,-1)</f>
        <v>4760</v>
      </c>
      <c r="E42" s="63">
        <f t="shared" si="1"/>
        <v>15730</v>
      </c>
    </row>
    <row r="43" spans="1:7" x14ac:dyDescent="0.3">
      <c r="A43" s="2">
        <v>4</v>
      </c>
      <c r="C43" s="38" t="s">
        <v>16</v>
      </c>
      <c r="D43" s="42">
        <f>TRUNC(43558,-1)</f>
        <v>43550</v>
      </c>
      <c r="E43" s="63">
        <f t="shared" si="1"/>
        <v>143960</v>
      </c>
    </row>
    <row r="44" spans="1:7" x14ac:dyDescent="0.3">
      <c r="A44" s="2">
        <v>5</v>
      </c>
      <c r="C44" s="38" t="s">
        <v>17</v>
      </c>
      <c r="D44" s="42">
        <f>TRUNC(17245,-1)</f>
        <v>17240</v>
      </c>
      <c r="E44" s="63">
        <f t="shared" si="1"/>
        <v>56990</v>
      </c>
    </row>
    <row r="45" spans="1:7" x14ac:dyDescent="0.3">
      <c r="A45" s="2">
        <v>6</v>
      </c>
      <c r="C45" s="38" t="s">
        <v>18</v>
      </c>
      <c r="D45" s="42">
        <f>TRUNC(7608,-1)</f>
        <v>7600</v>
      </c>
      <c r="E45" s="63">
        <f t="shared" si="1"/>
        <v>25120</v>
      </c>
    </row>
    <row r="46" spans="1:7" x14ac:dyDescent="0.3">
      <c r="A46" s="2">
        <v>7</v>
      </c>
      <c r="C46" s="38" t="s">
        <v>19</v>
      </c>
      <c r="D46" s="42">
        <f>TRUNC(23932,-1)</f>
        <v>23930</v>
      </c>
      <c r="E46" s="63">
        <f t="shared" si="1"/>
        <v>79100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TRUNC(33822,-1)</f>
        <v>33820</v>
      </c>
      <c r="E48" s="63">
        <f t="shared" si="1"/>
        <v>111800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TRUNC(23892,-1)</f>
        <v>23890</v>
      </c>
      <c r="E49" s="63">
        <f t="shared" si="1"/>
        <v>78970</v>
      </c>
    </row>
    <row r="50" spans="1:7" x14ac:dyDescent="0.3">
      <c r="A50" s="2">
        <v>11</v>
      </c>
      <c r="C50" s="38" t="s">
        <v>156</v>
      </c>
      <c r="D50" s="42">
        <f>TRUNC(22979,-1)</f>
        <v>22970</v>
      </c>
      <c r="E50" s="63">
        <f t="shared" si="1"/>
        <v>75930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TRUNC(8536,-1)</f>
        <v>8530</v>
      </c>
      <c r="E52" s="63">
        <f t="shared" si="1"/>
        <v>28190</v>
      </c>
    </row>
    <row r="53" spans="1:7" x14ac:dyDescent="0.3">
      <c r="A53" s="2">
        <v>14</v>
      </c>
      <c r="C53" s="38" t="s">
        <v>25</v>
      </c>
      <c r="D53" s="42">
        <f>TRUNC(71313,-1)</f>
        <v>71310</v>
      </c>
      <c r="E53" s="63">
        <f t="shared" si="1"/>
        <v>235730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TRUNC(11477+8881-476+9131,-1)</f>
        <v>29010</v>
      </c>
      <c r="E58" s="63">
        <f t="shared" si="1"/>
        <v>95900</v>
      </c>
      <c r="F58" s="2" t="s">
        <v>260</v>
      </c>
    </row>
    <row r="59" spans="1:7" ht="17.25" thickBot="1" x14ac:dyDescent="0.35">
      <c r="A59" s="2">
        <v>20</v>
      </c>
      <c r="C59" s="38" t="s">
        <v>149</v>
      </c>
      <c r="D59" s="43">
        <f>TRUNC(225216,-1)</f>
        <v>225210</v>
      </c>
      <c r="E59" s="64">
        <f t="shared" si="1"/>
        <v>744490</v>
      </c>
    </row>
    <row r="60" spans="1:7" x14ac:dyDescent="0.3">
      <c r="A60" s="2">
        <v>21</v>
      </c>
      <c r="C60" s="27" t="s">
        <v>112</v>
      </c>
      <c r="D60" s="39">
        <f>SUM(D40:D59)</f>
        <v>691740</v>
      </c>
      <c r="E60" s="39">
        <f>SUM(E40:E59)</f>
        <v>2286680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TRUNC(1224,-1)</f>
        <v>1220</v>
      </c>
      <c r="E63" s="62">
        <f>TRUNC(+D63*3.3058,-1)</f>
        <v>4030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1220</v>
      </c>
      <c r="E66" s="65">
        <f>SUM(E63:E65)</f>
        <v>4030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8780</v>
      </c>
      <c r="E69" s="62">
        <f t="shared" ref="E69:E94" si="2">TRUNC(+D69*3.3058,-1)</f>
        <v>29020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TRUNC(3873,-1)</f>
        <v>3870</v>
      </c>
      <c r="E72" s="63">
        <f t="shared" si="2"/>
        <v>12790</v>
      </c>
    </row>
    <row r="73" spans="1:7" x14ac:dyDescent="0.3">
      <c r="A73" s="2">
        <v>5</v>
      </c>
      <c r="C73" s="38" t="s">
        <v>34</v>
      </c>
      <c r="D73" s="42">
        <f>TRUNC(15396,-1)</f>
        <v>15390</v>
      </c>
      <c r="E73" s="63">
        <f t="shared" si="2"/>
        <v>50870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TRUNC(30992,-1)</f>
        <v>30990</v>
      </c>
      <c r="E76" s="63">
        <f t="shared" si="2"/>
        <v>102440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TRUNC(8154,-1)</f>
        <v>8150</v>
      </c>
      <c r="E89" s="63">
        <f t="shared" si="2"/>
        <v>26940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5740</v>
      </c>
      <c r="E91" s="63">
        <f t="shared" si="2"/>
        <v>18970</v>
      </c>
    </row>
    <row r="92" spans="1:7" x14ac:dyDescent="0.3">
      <c r="A92" s="2">
        <v>24</v>
      </c>
      <c r="C92" s="38" t="s">
        <v>38</v>
      </c>
      <c r="D92" s="42">
        <f>TRUNC(7961,-1)</f>
        <v>7960</v>
      </c>
      <c r="E92" s="63">
        <f t="shared" si="2"/>
        <v>26310</v>
      </c>
    </row>
    <row r="93" spans="1:7" x14ac:dyDescent="0.3">
      <c r="A93" s="2">
        <v>25</v>
      </c>
      <c r="C93" s="38" t="s">
        <v>149</v>
      </c>
      <c r="D93" s="42">
        <v>79740</v>
      </c>
      <c r="E93" s="63">
        <f t="shared" si="2"/>
        <v>263600</v>
      </c>
    </row>
    <row r="94" spans="1:7" ht="17.25" thickBot="1" x14ac:dyDescent="0.35">
      <c r="A94" s="2">
        <v>26</v>
      </c>
      <c r="C94" s="38" t="s">
        <v>47</v>
      </c>
      <c r="D94" s="43">
        <f>TRUNC(565+6313+1056+12832,-1)</f>
        <v>20760</v>
      </c>
      <c r="E94" s="64">
        <f t="shared" si="2"/>
        <v>68620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181380</v>
      </c>
      <c r="E95" s="39">
        <f>SUM(E69:E94)</f>
        <v>599560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TRUNC(11891,-1)</f>
        <v>11890</v>
      </c>
      <c r="E98" s="62">
        <f t="shared" ref="E98:E118" si="3">TRUNC(+D98*3.3058,-1)</f>
        <v>39300</v>
      </c>
    </row>
    <row r="99" spans="1:7" x14ac:dyDescent="0.3">
      <c r="A99" s="2">
        <v>2</v>
      </c>
      <c r="C99" s="38" t="s">
        <v>40</v>
      </c>
      <c r="D99" s="42">
        <f>TRUNC(7376,-1)</f>
        <v>7370</v>
      </c>
      <c r="E99" s="63">
        <f t="shared" si="3"/>
        <v>24360</v>
      </c>
    </row>
    <row r="100" spans="1:7" x14ac:dyDescent="0.3">
      <c r="A100" s="2">
        <v>3</v>
      </c>
      <c r="C100" s="38" t="s">
        <v>41</v>
      </c>
      <c r="D100" s="42">
        <f>TRUNC(26774,-1)</f>
        <v>26770</v>
      </c>
      <c r="E100" s="63">
        <f t="shared" si="3"/>
        <v>88490</v>
      </c>
    </row>
    <row r="101" spans="1:7" x14ac:dyDescent="0.3">
      <c r="A101" s="2">
        <v>4</v>
      </c>
      <c r="C101" s="38" t="s">
        <v>42</v>
      </c>
      <c r="D101" s="42">
        <f>TRUNC(428,-1)</f>
        <v>420</v>
      </c>
      <c r="E101" s="63">
        <f t="shared" si="3"/>
        <v>1380</v>
      </c>
    </row>
    <row r="102" spans="1:7" x14ac:dyDescent="0.3">
      <c r="A102" s="2">
        <v>5</v>
      </c>
      <c r="C102" s="38" t="s">
        <v>43</v>
      </c>
      <c r="D102" s="42">
        <f>TRUNC(13223,-1)</f>
        <v>13220</v>
      </c>
      <c r="E102" s="63">
        <f t="shared" si="3"/>
        <v>43700</v>
      </c>
    </row>
    <row r="103" spans="1:7" x14ac:dyDescent="0.3">
      <c r="A103" s="2">
        <v>6</v>
      </c>
      <c r="C103" s="38" t="s">
        <v>44</v>
      </c>
      <c r="D103" s="42">
        <v>5290</v>
      </c>
      <c r="E103" s="63">
        <f t="shared" si="3"/>
        <v>17480</v>
      </c>
    </row>
    <row r="104" spans="1:7" x14ac:dyDescent="0.3">
      <c r="A104" s="2">
        <v>7</v>
      </c>
      <c r="C104" s="38" t="s">
        <v>45</v>
      </c>
      <c r="D104" s="42">
        <f>TRUNC(2331,-1)</f>
        <v>2330</v>
      </c>
      <c r="E104" s="63">
        <f t="shared" si="3"/>
        <v>7700</v>
      </c>
    </row>
    <row r="105" spans="1:7" x14ac:dyDescent="0.3">
      <c r="A105" s="2">
        <v>8</v>
      </c>
      <c r="C105" s="38" t="s">
        <v>46</v>
      </c>
      <c r="D105" s="42">
        <f>TRUNC(5722,-1)</f>
        <v>5720</v>
      </c>
      <c r="E105" s="63">
        <f t="shared" si="3"/>
        <v>18900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TRUNC(2301,-1)</f>
        <v>2300</v>
      </c>
      <c r="E114" s="63">
        <f t="shared" si="3"/>
        <v>7600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TRUNC(2181,-1)</f>
        <v>2180</v>
      </c>
      <c r="E116" s="63">
        <f t="shared" si="3"/>
        <v>7200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TRUNC(74793,-1)</f>
        <v>74790</v>
      </c>
      <c r="E117" s="63">
        <f t="shared" si="3"/>
        <v>247240</v>
      </c>
    </row>
    <row r="118" spans="1:7" ht="17.25" thickBot="1" x14ac:dyDescent="0.35">
      <c r="A118" s="2">
        <v>21</v>
      </c>
      <c r="C118" s="38" t="s">
        <v>47</v>
      </c>
      <c r="D118" s="43">
        <f>TRUNC(1253,-1)</f>
        <v>1250</v>
      </c>
      <c r="E118" s="64">
        <f t="shared" si="3"/>
        <v>4130</v>
      </c>
    </row>
    <row r="119" spans="1:7" x14ac:dyDescent="0.3">
      <c r="A119" s="2">
        <v>22</v>
      </c>
      <c r="C119" s="27" t="s">
        <v>112</v>
      </c>
      <c r="D119" s="39">
        <f>SUM(D98:D118)</f>
        <v>153530</v>
      </c>
      <c r="E119" s="39">
        <f>SUM(E98:E118)</f>
        <v>507480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TRUNC(3169,-1)</f>
        <v>3160</v>
      </c>
      <c r="E122" s="62">
        <f t="shared" ref="E122:E132" si="4">TRUNC(+D122*3.3058,-1)</f>
        <v>10440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TRUNC(1225,-1)</f>
        <v>1220</v>
      </c>
      <c r="E124" s="63">
        <f t="shared" si="4"/>
        <v>4030</v>
      </c>
    </row>
    <row r="125" spans="1:7" x14ac:dyDescent="0.3">
      <c r="A125" s="2">
        <v>4</v>
      </c>
      <c r="C125" s="38" t="s">
        <v>138</v>
      </c>
      <c r="D125" s="42">
        <f>TRUNC(7613,-1)</f>
        <v>7610</v>
      </c>
      <c r="E125" s="63">
        <f t="shared" si="4"/>
        <v>25150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TRUNC(5381,-1)</f>
        <v>5380</v>
      </c>
      <c r="E128" s="63">
        <f t="shared" si="4"/>
        <v>17780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TRUNC(12255,-1)</f>
        <v>12250</v>
      </c>
      <c r="E130" s="63">
        <f t="shared" si="4"/>
        <v>40490</v>
      </c>
    </row>
    <row r="131" spans="1:7" x14ac:dyDescent="0.3">
      <c r="A131" s="2">
        <v>10</v>
      </c>
      <c r="C131" s="38" t="s">
        <v>149</v>
      </c>
      <c r="D131" s="42">
        <f>TRUNC(19437,-1)</f>
        <v>19430</v>
      </c>
      <c r="E131" s="63">
        <f t="shared" si="4"/>
        <v>64230</v>
      </c>
    </row>
    <row r="132" spans="1:7" ht="18" thickBot="1" x14ac:dyDescent="0.35">
      <c r="A132" s="2">
        <v>11</v>
      </c>
      <c r="C132" s="38" t="s">
        <v>47</v>
      </c>
      <c r="D132" s="43">
        <f>TRUNC(2711+681,-1)</f>
        <v>3390</v>
      </c>
      <c r="E132" s="64">
        <f t="shared" si="4"/>
        <v>11200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52440</v>
      </c>
      <c r="E133" s="39">
        <f>SUM(E122:E132)</f>
        <v>173320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TRUNC(6778,-1)</f>
        <v>6770</v>
      </c>
      <c r="E137" s="63">
        <f t="shared" si="5"/>
        <v>22380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TRUNC(3537,-1)</f>
        <v>3530</v>
      </c>
      <c r="E139" s="63">
        <f t="shared" si="5"/>
        <v>11660</v>
      </c>
    </row>
    <row r="140" spans="1:7" x14ac:dyDescent="0.3">
      <c r="A140" s="2">
        <v>5</v>
      </c>
      <c r="C140" s="38" t="s">
        <v>57</v>
      </c>
      <c r="D140" s="42">
        <f>TRUNC(3461,-1)</f>
        <v>3460</v>
      </c>
      <c r="E140" s="63">
        <f t="shared" si="5"/>
        <v>11430</v>
      </c>
    </row>
    <row r="141" spans="1:7" x14ac:dyDescent="0.3">
      <c r="A141" s="2">
        <v>6</v>
      </c>
      <c r="C141" s="38" t="s">
        <v>59</v>
      </c>
      <c r="D141" s="42">
        <f>TRUNC(10979,-1)</f>
        <v>10970</v>
      </c>
      <c r="E141" s="63">
        <f t="shared" si="5"/>
        <v>36260</v>
      </c>
    </row>
    <row r="142" spans="1:7" x14ac:dyDescent="0.3">
      <c r="A142" s="2">
        <v>7</v>
      </c>
      <c r="C142" s="38" t="s">
        <v>58</v>
      </c>
      <c r="D142" s="42">
        <f>TRUNC(6187,-1)</f>
        <v>6180</v>
      </c>
      <c r="E142" s="63">
        <f t="shared" si="5"/>
        <v>20420</v>
      </c>
    </row>
    <row r="143" spans="1:7" x14ac:dyDescent="0.3">
      <c r="A143" s="2">
        <v>8</v>
      </c>
      <c r="C143" s="38" t="s">
        <v>62</v>
      </c>
      <c r="D143" s="42">
        <f>TRUNC(4845,-1)</f>
        <v>4840</v>
      </c>
      <c r="E143" s="63">
        <f t="shared" si="5"/>
        <v>16000</v>
      </c>
    </row>
    <row r="144" spans="1:7" x14ac:dyDescent="0.3">
      <c r="A144" s="2">
        <v>9</v>
      </c>
      <c r="C144" s="38" t="s">
        <v>63</v>
      </c>
      <c r="D144" s="42">
        <f>TRUNC(7459,-1)</f>
        <v>7450</v>
      </c>
      <c r="E144" s="63">
        <f t="shared" si="5"/>
        <v>24620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43200</v>
      </c>
      <c r="E146" s="39">
        <f>SUM(E136:E145)</f>
        <v>142770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TRUNC(6034+1141,-1)</f>
        <v>7170</v>
      </c>
      <c r="E149" s="62">
        <f>TRUNC(+D149*3.3058,-1)</f>
        <v>23700</v>
      </c>
    </row>
    <row r="150" spans="1:7" x14ac:dyDescent="0.3">
      <c r="A150" s="2">
        <v>2</v>
      </c>
      <c r="C150" s="38" t="s">
        <v>49</v>
      </c>
      <c r="D150" s="42">
        <f>TRUNC(4233,-1)</f>
        <v>4230</v>
      </c>
      <c r="E150" s="63">
        <f>TRUNC(+D150*3.3058,-1)</f>
        <v>13980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TRUNC(4427+3086,-1)</f>
        <v>7510</v>
      </c>
      <c r="E152" s="63">
        <f>TRUNC(+D152*3.3058,-1)</f>
        <v>24820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TRUNC(21348,-1)</f>
        <v>21340</v>
      </c>
      <c r="E153" s="64">
        <f>TRUNC(+D153*3.3058,-1)</f>
        <v>70540</v>
      </c>
    </row>
    <row r="154" spans="1:7" x14ac:dyDescent="0.3">
      <c r="A154" s="2">
        <v>6</v>
      </c>
      <c r="C154" s="27" t="s">
        <v>112</v>
      </c>
      <c r="D154" s="39">
        <f>SUM(D149:D153)</f>
        <v>40250</v>
      </c>
      <c r="E154" s="39">
        <f>SUM(E149:E153)</f>
        <v>133040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TRUNC(12589,-1)</f>
        <v>12580</v>
      </c>
      <c r="E157" s="62">
        <f>TRUNC(+D157*3.3058,-1)</f>
        <v>41580</v>
      </c>
    </row>
    <row r="158" spans="1:7" x14ac:dyDescent="0.3">
      <c r="A158" s="2">
        <v>2</v>
      </c>
      <c r="C158" s="38" t="s">
        <v>52</v>
      </c>
      <c r="D158" s="42">
        <f>TRUNC(1655,-1)</f>
        <v>1650</v>
      </c>
      <c r="E158" s="63">
        <f>TRUNC(+D158*3.3058,-1)</f>
        <v>5450</v>
      </c>
    </row>
    <row r="159" spans="1:7" x14ac:dyDescent="0.3">
      <c r="A159" s="2">
        <v>3</v>
      </c>
      <c r="C159" s="38" t="s">
        <v>47</v>
      </c>
      <c r="D159" s="42">
        <f>TRUNC(1344+1,-1)</f>
        <v>1340</v>
      </c>
      <c r="E159" s="63">
        <f>TRUNC(+D159*3.3058,-1)</f>
        <v>4420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15570</v>
      </c>
      <c r="E161" s="39">
        <f>SUM(E157:E160)</f>
        <v>51450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2020-12-08T01:15:35Z</dcterms:modified>
</cp:coreProperties>
</file>