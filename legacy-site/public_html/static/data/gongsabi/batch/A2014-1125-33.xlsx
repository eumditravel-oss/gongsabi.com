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4" i="4"/>
  <c r="D125" i="4"/>
  <c r="D122" i="4"/>
  <c r="D123" i="4"/>
  <c r="D126" i="4"/>
  <c r="D104" i="4"/>
  <c r="D100" i="4"/>
  <c r="D102" i="4"/>
  <c r="D108" i="4"/>
  <c r="D99" i="4"/>
  <c r="D98" i="4"/>
  <c r="D115" i="4"/>
  <c r="D114" i="4"/>
  <c r="D94" i="4"/>
  <c r="D90" i="4"/>
  <c r="D75" i="4"/>
  <c r="D78" i="4"/>
  <c r="D72" i="4"/>
  <c r="D71" i="4"/>
  <c r="D70" i="4"/>
  <c r="D69" i="4"/>
  <c r="D58" i="4"/>
  <c r="D137" i="4"/>
  <c r="D159" i="4"/>
  <c r="D152" i="4"/>
  <c r="D53" i="4"/>
  <c r="D52" i="4"/>
  <c r="D51" i="4"/>
  <c r="D50" i="4"/>
  <c r="D49" i="4"/>
  <c r="D55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146" i="4"/>
  <c r="E154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<sst xmlns="http://schemas.openxmlformats.org/spreadsheetml/2006/main" count="390" uniqueCount="265">
  <si>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</si>
  <si>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</si>
  <si>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</si>
  <si>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</si>
  <si>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</si>
  <si>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</si>
  <si>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</si>
  <si>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</si>
  <si>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</si>
  <si>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</si>
  <si>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</si>
  <si>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</si>
  <si>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</si>
  <si>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</si>
  <si>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</si>
  <si>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</si>
  <si>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</si>
  <si>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</si>
  <si>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</si>
  <si>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</si>
  <si>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</si>
  <si>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</si>
  <si>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</si>
  <si>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</si>
  <si>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</si>
  <si>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</si>
  <si>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</si>
  <si>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</si>
  <si>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</si>
  <si>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</si>
  <si>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</si>
  <si>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</si>
  <si>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</si>
  <si>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</si>
  <si>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</si>
  <si>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</si>
  <si>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</si>
  <si>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</si>
  <si>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</si>
  <si>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</si>
  <si>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</si>
  <si>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</si>
  <si>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</si>
  <si>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</si>
  <si>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</si>
  <si>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</si>
  <si>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</si>
  <si>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</si>
  <si>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</si>
  <si>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</si>
  <si>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</si>
  <si>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</si>
  <si>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</si>
  <si>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</si>
  <si>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</si>
  <si>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</si>
  <si>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</si>
  <si>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</si>
  <si>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</si>
  <si>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</si>
  <si>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</si>
  <si>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</si>
  <si>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</si>
  <si>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</si>
  <si>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</si>
  <si>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</si>
  <si>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</si>
  <si>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</si>
  <si>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</si>
  <si>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</si>
  <si>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</si>
  <si>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</si>
  <si>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</si>
  <si>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</si>
  <si>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</si>
  <si>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</si>
  <si>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</si>
  <si>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</si>
  <si>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</si>
  <si>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</si>
  <si>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</si>
  <si>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</si>
  <si>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</si>
  <si>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</si>
  <si>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</si>
  <si>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</si>
  <si>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</si>
  <si>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</si>
  <si>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</si>
  <si>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</si>
  <si>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</si>
  <si>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</si>
  <si>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</si>
  <si>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</si>
  <si>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</si>
  <si>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</si>
  <si>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</si>
  <si>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</si>
  <si>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</si>
  <si>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</si>
  <si>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</si>
  <si>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</si>
  <si>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</si>
  <si>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</si>
  <si>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</si>
  <si>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</si>
  <si>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</si>
  <si>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</si>
  <si>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</si>
  <si>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</si>
  <si>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</si>
  <si>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</si>
  <si>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</si>
  <si>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</si>
  <si>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</si>
  <si>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</si>
  <si>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</si>
  <si>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</si>
  <si>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</si>
  <si>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</si>
  <si>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</si>
  <si>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</si>
  <si>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</si>
  <si>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</si>
  <si>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</si>
  <si>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</si>
  <si>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</si>
  <si>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</si>
  <si>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</si>
  <si>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</si>
  <si>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</si>
  <si>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</si>
  <si>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</si>
  <si>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</si>
  <si>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</si>
  <si>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</si>
  <si>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</si>
  <si>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</si>
  <si>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</si>
  <si>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</si>
  <si>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</si>
  <si>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</si>
  <si>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</si>
  <si>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</si>
  <si>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</si>
  <si>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</si>
  <si>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</si>
  <si>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</si>
  <si>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</si>
  <si>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</si>
  <si>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</si>
  <si>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</si>
  <si>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</si>
  <si>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</si>
  <si>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</si>
  <si>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</si>
  <si>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</si>
  <si>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</si>
  <si>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</si>
  <si>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</si>
  <si>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</si>
  <si>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</si>
  <si>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</si>
  <si>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</si>
  <si>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</si>
  <si>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</si>
  <si>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</si>
  <si>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</si>
  <si>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</si>
  <si>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</si>
  <si>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</si>
  <si>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</si>
  <si>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</si>
  <si>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</si>
  <si>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</si>
  <si>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</si>
  <si>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</si>
  <si>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</si>
  <si>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</si>
  <si>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</si>
  <si>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</si>
  <si>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</si>
  <si>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</si>
  <si>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</si>
  <si>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</si>
  <si>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</si>
  <si>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</si>
  <si>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</si>
  <si>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</si>
  <si>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</si>
  <si>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</si>
  <si>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</si>
  <si>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</si>
  <si>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</si>
  <si>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</si>
  <si>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</si>
  <si>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</si>
  <si>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</si>
  <si>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</si>
  <si>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</si>
  <si>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</si>
  <si>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</si>
  <si>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</si>
  <si>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</si>
  <si>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</si>
  <si>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</si>
  <si>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</si>
  <si>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</si>
  <si>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</si>
  <si>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</si>
  <si>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</si>
  <si>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</si>
  <si>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</si>
  <si>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</si>
  <si>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</si>
  <si>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</si>
  <si>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</si>
  <si>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</si>
  <si>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</si>
  <si>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</si>
  <si>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</si>
  <si>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</si>
  <si>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</si>
  <si>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</si>
  <si>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</si>
  <si>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</si>
  <si>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</si>
  <si>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</si>
  <si>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</si>
  <si>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</si>
  <si>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</si>
  <si>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</si>
  <si>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</si>
  <si>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</si>
  <si>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</si>
  <si>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</si>
  <si>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</si>
  <si>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</si>
  <si>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</si>
  <si>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</si>
  <si>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</si>
  <si>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</si>
  <si>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</si>
  <si>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</si>
  <si>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</si>
  <si>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</si>
  <si>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</si>
  <si>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</si>
  <si>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 수장고 및 연구동 증축공사</t>
    <phoneticPr fontId="2" type="noConversion"/>
  </si>
  <si>
    <t>교육연구</t>
  </si>
  <si>
    <t>대전시</t>
  </si>
  <si>
    <t>부대토목공사</t>
    <phoneticPr fontId="2" type="noConversion"/>
  </si>
  <si>
    <t>부대조경공사</t>
    <phoneticPr fontId="2" type="noConversion"/>
  </si>
  <si>
    <t>전기 소방공사</t>
    <phoneticPr fontId="2" type="noConversion"/>
  </si>
  <si>
    <t>기계 소방</t>
    <phoneticPr fontId="2" type="noConversion"/>
  </si>
  <si>
    <t>토및지정공사,기타공사,철거공사,골재대,운반비,작업부산물</t>
    <phoneticPr fontId="2" type="noConversion"/>
  </si>
  <si>
    <t>방진공사</t>
    <phoneticPr fontId="2" type="noConversion"/>
  </si>
  <si>
    <t>위생배관공사</t>
    <phoneticPr fontId="2" type="noConversion"/>
  </si>
  <si>
    <t>전화및LAN설비공사</t>
    <phoneticPr fontId="2" type="noConversion"/>
  </si>
  <si>
    <t>CCTV설비공사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</si>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</sst>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2918</v>
      </c>
      <c r="D7" s="36">
        <f>+C7/3.3058</f>
        <v>882.69102789037447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640520</v>
      </c>
      <c r="E25" s="59">
        <f t="shared" si="0"/>
        <v>2117430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100690</v>
      </c>
      <c r="E27" s="59">
        <f t="shared" si="0"/>
        <v>332860</v>
      </c>
    </row>
    <row r="28" spans="1:5" x14ac:dyDescent="0.3">
      <c r="B28" s="2">
        <v>5</v>
      </c>
      <c r="C28" s="35" t="s">
        <v>97</v>
      </c>
      <c r="D28" s="45">
        <f>+D119</f>
        <v>148720</v>
      </c>
      <c r="E28" s="59">
        <f t="shared" si="0"/>
        <v>491630</v>
      </c>
    </row>
    <row r="29" spans="1:5" x14ac:dyDescent="0.3">
      <c r="B29" s="2">
        <v>6</v>
      </c>
      <c r="C29" s="35" t="s">
        <v>98</v>
      </c>
      <c r="D29" s="45">
        <f>+D133</f>
        <v>56180</v>
      </c>
      <c r="E29" s="59">
        <f t="shared" si="0"/>
        <v>185710</v>
      </c>
    </row>
    <row r="30" spans="1:5" x14ac:dyDescent="0.3">
      <c r="B30" s="2">
        <v>7</v>
      </c>
      <c r="C30" s="35" t="s">
        <v>99</v>
      </c>
      <c r="D30" s="45">
        <f>+D146</f>
        <v>16600</v>
      </c>
      <c r="E30" s="59">
        <f t="shared" si="0"/>
        <v>54870</v>
      </c>
    </row>
    <row r="31" spans="1:5" x14ac:dyDescent="0.3">
      <c r="B31" s="2">
        <v>8</v>
      </c>
      <c r="C31" s="35" t="s">
        <v>100</v>
      </c>
      <c r="D31" s="45">
        <f>+D154</f>
        <v>25000</v>
      </c>
      <c r="E31" s="59">
        <f t="shared" si="0"/>
        <v>82640</v>
      </c>
    </row>
    <row r="32" spans="1:5" x14ac:dyDescent="0.3">
      <c r="B32" s="2">
        <v>9</v>
      </c>
      <c r="C32" s="35" t="s">
        <v>101</v>
      </c>
      <c r="D32" s="45">
        <f>+D161</f>
        <v>5120</v>
      </c>
      <c r="E32" s="59">
        <f t="shared" si="0"/>
        <v>16920</v>
      </c>
    </row>
    <row r="33" spans="1:7" x14ac:dyDescent="0.3">
      <c r="B33" s="2">
        <v>10</v>
      </c>
      <c r="C33" s="35" t="s">
        <v>154</v>
      </c>
      <c r="D33" s="53">
        <f>TRUNC(SUM(D24:D32)*0.275,-1)</f>
        <v>273020</v>
      </c>
      <c r="E33" s="60">
        <f t="shared" si="0"/>
        <v>902540</v>
      </c>
    </row>
    <row r="34" spans="1:7" x14ac:dyDescent="0.3">
      <c r="C34" s="35" t="s">
        <v>112</v>
      </c>
      <c r="D34" s="44">
        <f>SUM(D24:D33)</f>
        <v>1265850</v>
      </c>
      <c r="E34" s="44">
        <f>SUM(E24:E33)</f>
        <v>4184600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TRUNC(39317,-1)</f>
        <v>39310</v>
      </c>
      <c r="E40" s="62">
        <f t="shared" ref="E40:E59" si="1">TRUNC(+D40*3.3058,-1)</f>
        <v>129950</v>
      </c>
    </row>
    <row r="41" spans="1:7" x14ac:dyDescent="0.3">
      <c r="A41" s="2">
        <v>2</v>
      </c>
      <c r="C41" s="38" t="s">
        <v>13</v>
      </c>
      <c r="D41" s="42">
        <f>TRUNC(145869,-1)</f>
        <v>145860</v>
      </c>
      <c r="E41" s="63">
        <f t="shared" si="1"/>
        <v>482180</v>
      </c>
    </row>
    <row r="42" spans="1:7" x14ac:dyDescent="0.3">
      <c r="A42" s="2">
        <v>3</v>
      </c>
      <c r="C42" s="38" t="s">
        <v>14</v>
      </c>
      <c r="D42" s="42">
        <f>TRUNC(45596,-1)</f>
        <v>45590</v>
      </c>
      <c r="E42" s="63">
        <f t="shared" si="1"/>
        <v>150710</v>
      </c>
    </row>
    <row r="43" spans="1:7" x14ac:dyDescent="0.3">
      <c r="A43" s="2">
        <v>4</v>
      </c>
      <c r="C43" s="38" t="s">
        <v>16</v>
      </c>
      <c r="D43" s="42">
        <f>TRUNC(6321,-1)</f>
        <v>6320</v>
      </c>
      <c r="E43" s="63">
        <f t="shared" si="1"/>
        <v>20890</v>
      </c>
    </row>
    <row r="44" spans="1:7" x14ac:dyDescent="0.3">
      <c r="A44" s="2">
        <v>5</v>
      </c>
      <c r="C44" s="38" t="s">
        <v>17</v>
      </c>
      <c r="D44" s="42">
        <f>TRUNC(39078,-1)</f>
        <v>39070</v>
      </c>
      <c r="E44" s="63">
        <f t="shared" si="1"/>
        <v>129150</v>
      </c>
    </row>
    <row r="45" spans="1:7" x14ac:dyDescent="0.3">
      <c r="A45" s="2">
        <v>6</v>
      </c>
      <c r="C45" s="38" t="s">
        <v>18</v>
      </c>
      <c r="D45" s="42">
        <f>TRUNC(11336,-1)</f>
        <v>11330</v>
      </c>
      <c r="E45" s="63">
        <f t="shared" si="1"/>
        <v>37450</v>
      </c>
    </row>
    <row r="46" spans="1:7" x14ac:dyDescent="0.3">
      <c r="A46" s="2">
        <v>7</v>
      </c>
      <c r="C46" s="38" t="s">
        <v>19</v>
      </c>
      <c r="D46" s="42">
        <f>TRUNC(11114,-1)</f>
        <v>11110</v>
      </c>
      <c r="E46" s="63">
        <f t="shared" si="1"/>
        <v>36720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TRUNC(100720,-1)</f>
        <v>100720</v>
      </c>
      <c r="E48" s="63">
        <f t="shared" si="1"/>
        <v>332960</v>
      </c>
    </row>
    <row r="49" spans="1:7" x14ac:dyDescent="0.3">
      <c r="A49" s="2">
        <v>10</v>
      </c>
      <c r="C49" s="38" t="s">
        <v>22</v>
      </c>
      <c r="D49" s="42">
        <f>TRUNC(6646,-1)</f>
        <v>6640</v>
      </c>
      <c r="E49" s="63">
        <f t="shared" si="1"/>
        <v>21950</v>
      </c>
    </row>
    <row r="50" spans="1:7" x14ac:dyDescent="0.3">
      <c r="A50" s="2">
        <v>11</v>
      </c>
      <c r="C50" s="38" t="s">
        <v>155</v>
      </c>
      <c r="D50" s="42">
        <f>TRUNC(20299,-1)</f>
        <v>20290</v>
      </c>
      <c r="E50" s="63">
        <f t="shared" si="1"/>
        <v>67070</v>
      </c>
    </row>
    <row r="51" spans="1:7" x14ac:dyDescent="0.3">
      <c r="A51" s="2">
        <v>12</v>
      </c>
      <c r="C51" s="38" t="s">
        <v>23</v>
      </c>
      <c r="D51" s="42">
        <f>TRUNC(21479,-1)</f>
        <v>21470</v>
      </c>
      <c r="E51" s="63">
        <f t="shared" si="1"/>
        <v>70970</v>
      </c>
    </row>
    <row r="52" spans="1:7" x14ac:dyDescent="0.3">
      <c r="A52" s="2">
        <v>13</v>
      </c>
      <c r="C52" s="38" t="s">
        <v>24</v>
      </c>
      <c r="D52" s="42">
        <f>TRUNC(29336,-1)</f>
        <v>29330</v>
      </c>
      <c r="E52" s="63">
        <f t="shared" si="1"/>
        <v>96950</v>
      </c>
    </row>
    <row r="53" spans="1:7" x14ac:dyDescent="0.3">
      <c r="A53" s="2">
        <v>14</v>
      </c>
      <c r="C53" s="38" t="s">
        <v>25</v>
      </c>
      <c r="D53" s="42">
        <f>TRUNC(85482,-1)</f>
        <v>85480</v>
      </c>
      <c r="E53" s="63">
        <f t="shared" si="1"/>
        <v>282570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TRUNC(1647,-1)</f>
        <v>1640</v>
      </c>
      <c r="E55" s="63">
        <f t="shared" si="1"/>
        <v>5420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TRUNC(57151+14736+2293+648+3200-1667,-1)</f>
        <v>76360</v>
      </c>
      <c r="E58" s="63">
        <f t="shared" si="1"/>
        <v>252430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640520</v>
      </c>
      <c r="E60" s="39">
        <f>SUM(E40:E59)</f>
        <v>2117370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TRUNC(34469,-1)</f>
        <v>34460</v>
      </c>
      <c r="E69" s="62">
        <f t="shared" ref="E69:E94" si="2">TRUNC(+D69*3.3058,-1)</f>
        <v>113910</v>
      </c>
    </row>
    <row r="70" spans="1:7" ht="16.5" customHeight="1" x14ac:dyDescent="0.3">
      <c r="A70" s="2">
        <v>2</v>
      </c>
      <c r="C70" s="38" t="s">
        <v>31</v>
      </c>
      <c r="D70" s="42">
        <f>TRUNC(1796,-1)</f>
        <v>1790</v>
      </c>
      <c r="E70" s="63">
        <f t="shared" si="2"/>
        <v>5910</v>
      </c>
    </row>
    <row r="71" spans="1:7" x14ac:dyDescent="0.3">
      <c r="A71" s="2">
        <v>3</v>
      </c>
      <c r="C71" s="38" t="s">
        <v>32</v>
      </c>
      <c r="D71" s="42">
        <f>TRUNC(1821,-1)</f>
        <v>1820</v>
      </c>
      <c r="E71" s="63">
        <f t="shared" si="2"/>
        <v>6010</v>
      </c>
    </row>
    <row r="72" spans="1:7" x14ac:dyDescent="0.3">
      <c r="A72" s="2">
        <v>4</v>
      </c>
      <c r="C72" s="38" t="s">
        <v>33</v>
      </c>
      <c r="D72" s="42">
        <f>TRUNC(4689,-1)</f>
        <v>4680</v>
      </c>
      <c r="E72" s="63">
        <f t="shared" si="2"/>
        <v>15470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TRUNC(2506,-1)</f>
        <v>2500</v>
      </c>
      <c r="E75" s="63">
        <f t="shared" si="2"/>
        <v>8260</v>
      </c>
      <c r="F75" s="2" t="s">
        <v>256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TRUNC(30798,-1)</f>
        <v>30790</v>
      </c>
      <c r="E78" s="63">
        <f t="shared" si="2"/>
        <v>101780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TRUNC(2274,-1)</f>
        <v>2270</v>
      </c>
      <c r="E90" s="63">
        <f t="shared" si="2"/>
        <v>7500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TRUNC(22384,-1)</f>
        <v>22380</v>
      </c>
      <c r="E94" s="64">
        <f t="shared" si="2"/>
        <v>73980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100690</v>
      </c>
      <c r="E95" s="39">
        <f>SUM(E69:E94)</f>
        <v>332820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TRUNC(41850,-1)</f>
        <v>41850</v>
      </c>
      <c r="E98" s="62">
        <f t="shared" ref="E98:E118" si="3">TRUNC(+D98*3.3058,-1)</f>
        <v>138340</v>
      </c>
    </row>
    <row r="99" spans="1:7" x14ac:dyDescent="0.3">
      <c r="A99" s="2">
        <v>2</v>
      </c>
      <c r="C99" s="38" t="s">
        <v>40</v>
      </c>
      <c r="D99" s="42">
        <f>TRUNC(4380,-1)</f>
        <v>4380</v>
      </c>
      <c r="E99" s="63">
        <f t="shared" si="3"/>
        <v>14470</v>
      </c>
    </row>
    <row r="100" spans="1:7" x14ac:dyDescent="0.3">
      <c r="A100" s="2">
        <v>3</v>
      </c>
      <c r="C100" s="38" t="s">
        <v>41</v>
      </c>
      <c r="D100" s="42">
        <f>TRUNC(31809,-1)</f>
        <v>31800</v>
      </c>
      <c r="E100" s="63">
        <f t="shared" si="3"/>
        <v>105120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TRUNC(17043,-1)</f>
        <v>17040</v>
      </c>
      <c r="E102" s="63">
        <f t="shared" si="3"/>
        <v>56330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TRUNC(17416,-1)</f>
        <v>17410</v>
      </c>
      <c r="E104" s="63">
        <f t="shared" si="3"/>
        <v>57550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TRUNC(9715,-1)</f>
        <v>9710</v>
      </c>
      <c r="E108" s="63">
        <f t="shared" si="3"/>
        <v>32090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TRUNC(2057,-1)</f>
        <v>2050</v>
      </c>
      <c r="E114" s="63">
        <f t="shared" si="3"/>
        <v>6770</v>
      </c>
    </row>
    <row r="115" spans="1:7" x14ac:dyDescent="0.3">
      <c r="A115" s="2">
        <v>18</v>
      </c>
      <c r="C115" s="38" t="s">
        <v>116</v>
      </c>
      <c r="D115" s="42">
        <f>TRUNC(24482,-1)</f>
        <v>24480</v>
      </c>
      <c r="E115" s="63">
        <f t="shared" si="3"/>
        <v>80920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148720</v>
      </c>
      <c r="E119" s="39">
        <f>SUM(E98:E118)</f>
        <v>491590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TRUNC(2886,-1)</f>
        <v>2880</v>
      </c>
      <c r="E122" s="62">
        <f t="shared" ref="E122:E132" si="4">TRUNC(+D122*3.3058,-1)</f>
        <v>9520</v>
      </c>
    </row>
    <row r="123" spans="1:7" x14ac:dyDescent="0.3">
      <c r="A123" s="2">
        <v>2</v>
      </c>
      <c r="C123" s="38" t="s">
        <v>124</v>
      </c>
      <c r="D123" s="42">
        <f>TRUNC(18125,-1)</f>
        <v>18120</v>
      </c>
      <c r="E123" s="63">
        <f t="shared" si="4"/>
        <v>59900</v>
      </c>
      <c r="F123" s="2" t="s">
        <v>258</v>
      </c>
    </row>
    <row r="124" spans="1:7" x14ac:dyDescent="0.3">
      <c r="A124" s="2">
        <v>3</v>
      </c>
      <c r="C124" s="38" t="s">
        <v>151</v>
      </c>
      <c r="D124" s="42">
        <f>TRUNC(472,-1)</f>
        <v>470</v>
      </c>
      <c r="E124" s="63">
        <f t="shared" si="4"/>
        <v>1550</v>
      </c>
    </row>
    <row r="125" spans="1:7" x14ac:dyDescent="0.3">
      <c r="A125" s="2">
        <v>4</v>
      </c>
      <c r="C125" s="38" t="s">
        <v>138</v>
      </c>
      <c r="D125" s="42">
        <f>TRUNC(6312,-1)</f>
        <v>6310</v>
      </c>
      <c r="E125" s="63">
        <f t="shared" si="4"/>
        <v>20850</v>
      </c>
    </row>
    <row r="126" spans="1:7" x14ac:dyDescent="0.3">
      <c r="A126" s="2">
        <v>5</v>
      </c>
      <c r="C126" s="38" t="s">
        <v>53</v>
      </c>
      <c r="D126" s="42">
        <f>TRUNC(25543,-1)</f>
        <v>25540</v>
      </c>
      <c r="E126" s="63">
        <f t="shared" si="4"/>
        <v>84430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TRUNC(2868,-1)</f>
        <v>2860</v>
      </c>
      <c r="E132" s="64">
        <f t="shared" si="4"/>
        <v>9450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56180</v>
      </c>
      <c r="E133" s="39">
        <f>SUM(E122:E132)</f>
        <v>185700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f>TRUNC(16601,-1)</f>
        <v>16600</v>
      </c>
      <c r="E137" s="63">
        <f t="shared" si="5"/>
        <v>54870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16600</v>
      </c>
      <c r="E146" s="39">
        <f>SUM(E136:E145)</f>
        <v>54870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TRUNC(25007,-1)</f>
        <v>25000</v>
      </c>
      <c r="E152" s="63">
        <f>TRUNC(+D152*3.3058,-1)</f>
        <v>82640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25000</v>
      </c>
      <c r="E154" s="39">
        <f>SUM(E149:E153)</f>
        <v>82640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TRUNC(5129,-1)</f>
        <v>5120</v>
      </c>
      <c r="E159" s="63">
        <f>TRUNC(+D159*3.3058,-1)</f>
        <v>16920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5120</v>
      </c>
      <c r="E161" s="39">
        <f>SUM(E157:E160)</f>
        <v>16920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2020-12-07T09:41:23Z</dcterms:modified>
</cp:coreProperties>
</file>