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8" i="4" l="1"/>
  <c r="D127" i="4"/>
  <c r="D132" i="4"/>
  <c r="D124" i="4"/>
  <c r="D125" i="4"/>
  <c r="D122" i="4"/>
  <c r="D130" i="4"/>
  <c r="D118" i="4"/>
  <c r="D104" i="4"/>
  <c r="D105" i="4"/>
  <c r="D101" i="4"/>
  <c r="D108" i="4"/>
  <c r="D102" i="4"/>
  <c r="D100" i="4"/>
  <c r="D99" i="4"/>
  <c r="D98" i="4"/>
  <c r="D115" i="4"/>
  <c r="D114" i="4"/>
  <c r="D85" i="4"/>
  <c r="D94" i="4"/>
  <c r="D90" i="4"/>
  <c r="D75" i="4"/>
  <c r="D79" i="4"/>
  <c r="D72" i="4"/>
  <c r="D71" i="4"/>
  <c r="D70" i="4"/>
  <c r="D69" i="4"/>
  <c r="D58" i="4"/>
  <c r="D55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7" i="4"/>
  <c r="D159" i="4"/>
  <c r="D152" i="4"/>
  <c r="D137" i="4"/>
  <c r="D136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33" i="4"/>
  <c r="E119" i="4"/>
  <c r="E95" i="4"/>
  <c r="E60" i="4"/>
  <c r="E154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<sst xmlns="http://schemas.openxmlformats.org/spreadsheetml/2006/main" count="389" uniqueCount="264">
  <si>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</si>
  <si>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</si>
  <si>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</si>
  <si>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</si>
  <si>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</si>
  <si>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</si>
  <si>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</si>
  <si>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</si>
  <si>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</si>
  <si>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</si>
  <si>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</si>
  <si>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</si>
  <si>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</si>
  <si>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</si>
  <si>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</si>
  <si>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</si>
  <si>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</si>
  <si>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</si>
  <si>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</si>
  <si>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</si>
  <si>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</si>
  <si>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</si>
  <si>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</si>
  <si>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</si>
  <si>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</si>
  <si>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</si>
  <si>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</si>
  <si>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</si>
  <si>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</si>
  <si>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</si>
  <si>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</si>
  <si>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</si>
  <si>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</si>
  <si>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</si>
  <si>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</si>
  <si>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</si>
  <si>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</si>
  <si>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</si>
  <si>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</si>
  <si>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</si>
  <si>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</si>
  <si>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</si>
  <si>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</si>
  <si>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</si>
  <si>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</si>
  <si>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</si>
  <si>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</si>
  <si>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</si>
  <si>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</si>
  <si>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</si>
  <si>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</si>
  <si>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</si>
  <si>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</si>
  <si>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</si>
  <si>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</si>
  <si>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</si>
  <si>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</si>
  <si>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</si>
  <si>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</si>
  <si>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</si>
  <si>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</si>
  <si>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</si>
  <si>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</si>
  <si>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</si>
  <si>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</si>
  <si>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</si>
  <si>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</si>
  <si>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</si>
  <si>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</si>
  <si>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</si>
  <si>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</si>
  <si>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</si>
  <si>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</si>
  <si>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</si>
  <si>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</si>
  <si>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</si>
  <si>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</si>
  <si>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</si>
  <si>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</si>
  <si>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</si>
  <si>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</si>
  <si>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</si>
  <si>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</si>
  <si>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</si>
  <si>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</si>
  <si>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</si>
  <si>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</si>
  <si>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</si>
  <si>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</si>
  <si>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</si>
  <si>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</si>
  <si>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</si>
  <si>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</si>
  <si>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</si>
  <si>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</si>
  <si>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</si>
  <si>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</si>
  <si>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</si>
  <si>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</si>
  <si>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</si>
  <si>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</si>
  <si>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</si>
  <si>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</si>
  <si>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</si>
  <si>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</si>
  <si>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</si>
  <si>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</si>
  <si>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</si>
  <si>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</si>
  <si>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</si>
  <si>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</si>
  <si>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</si>
  <si>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</si>
  <si>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</si>
  <si>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</si>
  <si>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</si>
  <si>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</si>
  <si>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</si>
  <si>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</si>
  <si>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</si>
  <si>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</si>
  <si>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</si>
  <si>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</si>
  <si>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</si>
  <si>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</si>
  <si>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</si>
  <si>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</si>
  <si>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</si>
  <si>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</si>
  <si>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</si>
  <si>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</si>
  <si>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</si>
  <si>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</si>
  <si>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</si>
  <si>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</si>
  <si>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</si>
  <si>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</si>
  <si>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</si>
  <si>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</si>
  <si>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</si>
  <si>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</si>
  <si>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</si>
  <si>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</si>
  <si>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</si>
  <si>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</si>
  <si>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</si>
  <si>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</si>
  <si>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</si>
  <si>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</si>
  <si>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</si>
  <si>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</si>
  <si>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</si>
  <si>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</si>
  <si>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</si>
  <si>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</si>
  <si>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</si>
  <si>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</si>
  <si>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</si>
  <si>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</si>
  <si>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</si>
  <si>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</si>
  <si>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</si>
  <si>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</si>
  <si>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</si>
  <si>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</si>
  <si>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</si>
  <si>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</si>
  <si>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</si>
  <si>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</si>
  <si>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</si>
  <si>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</si>
  <si>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</si>
  <si>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</si>
  <si>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</si>
  <si>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</si>
  <si>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</si>
  <si>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</si>
  <si>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</si>
  <si>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</si>
  <si>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</si>
  <si>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</si>
  <si>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</si>
  <si>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</si>
  <si>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</si>
  <si>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</si>
  <si>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</si>
  <si>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</si>
  <si>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</si>
  <si>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</si>
  <si>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</si>
  <si>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</si>
  <si>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</si>
  <si>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</si>
  <si>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</si>
  <si>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</si>
  <si>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</si>
  <si>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</si>
  <si>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</si>
  <si>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</si>
  <si>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</si>
  <si>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</si>
  <si>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</si>
  <si>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</si>
  <si>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</si>
  <si>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</si>
  <si>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</si>
  <si>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</si>
  <si>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</si>
  <si>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</si>
  <si>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</si>
  <si>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</si>
  <si>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</si>
  <si>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</si>
  <si>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</si>
  <si>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</si>
  <si>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</si>
  <si>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</si>
  <si>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</si>
  <si>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</si>
  <si>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</si>
  <si>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</si>
  <si>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</si>
  <si>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</si>
  <si>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</si>
  <si>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</si>
  <si>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</si>
  <si>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</si>
  <si>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</si>
  <si>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</si>
  <si>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</si>
  <si>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</si>
  <si>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</si>
  <si>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</si>
  <si>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</si>
  <si>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</si>
  <si>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</si>
  <si>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</si>
  <si>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</si>
  <si>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</si>
  <si>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</si>
  <si>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</si>
  <si>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</si>
  <si>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</si>
  <si>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</si>
  <si>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</si>
  <si>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</si>
  <si>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</si>
  <si>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</si>
  <si>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00세무서 청사 신축공사</t>
    <phoneticPr fontId="2" type="noConversion"/>
  </si>
  <si>
    <t>업무</t>
  </si>
  <si>
    <t>경기도</t>
  </si>
  <si>
    <t>기계 소화설비공사</t>
    <phoneticPr fontId="2" type="noConversion"/>
  </si>
  <si>
    <t>전기 소방공사</t>
    <phoneticPr fontId="2" type="noConversion"/>
  </si>
  <si>
    <t>부대토목공사(흙막이공사 포함)</t>
    <phoneticPr fontId="2" type="noConversion"/>
  </si>
  <si>
    <t>부대조경공사</t>
    <phoneticPr fontId="2" type="noConversion"/>
  </si>
  <si>
    <t>토공사,기타공사,품질시험비,골재및운반비,작업부산물</t>
    <phoneticPr fontId="2" type="noConversion"/>
  </si>
  <si>
    <t>공조배관공사,위생배관공사,초절전난방배관공사,우수처리시설공사,주방기구설치공사,무대장치설치공사</t>
    <phoneticPr fontId="2" type="noConversion"/>
  </si>
  <si>
    <t>전열교환설비공사,스노우멜팅공사,태양광발전설비공사</t>
    <phoneticPr fontId="2" type="noConversion"/>
  </si>
  <si>
    <t>CCTV설비공사,인터폰설비공사,주차관제공사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</si>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</sst>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10091</v>
      </c>
      <c r="D7" s="36">
        <f>+C7/3.3058</f>
        <v>3052.5137636880631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15330</v>
      </c>
      <c r="E24" s="58">
        <f t="shared" ref="E24:E33" si="0">TRUNC(+D24*3.3058,-1)</f>
        <v>50670</v>
      </c>
    </row>
    <row r="25" spans="1:5" x14ac:dyDescent="0.3">
      <c r="B25" s="2">
        <v>2</v>
      </c>
      <c r="C25" s="35" t="s">
        <v>111</v>
      </c>
      <c r="D25" s="45">
        <f>+D60</f>
        <v>516300</v>
      </c>
      <c r="E25" s="59">
        <f t="shared" si="0"/>
        <v>1706780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117200</v>
      </c>
      <c r="E27" s="59">
        <f t="shared" si="0"/>
        <v>387430</v>
      </c>
    </row>
    <row r="28" spans="1:5" x14ac:dyDescent="0.3">
      <c r="B28" s="2">
        <v>5</v>
      </c>
      <c r="C28" s="35" t="s">
        <v>97</v>
      </c>
      <c r="D28" s="45">
        <f>+D119</f>
        <v>71830</v>
      </c>
      <c r="E28" s="59">
        <f t="shared" si="0"/>
        <v>237450</v>
      </c>
    </row>
    <row r="29" spans="1:5" x14ac:dyDescent="0.3">
      <c r="B29" s="2">
        <v>6</v>
      </c>
      <c r="C29" s="35" t="s">
        <v>98</v>
      </c>
      <c r="D29" s="45">
        <f>+D133</f>
        <v>49380</v>
      </c>
      <c r="E29" s="59">
        <f t="shared" si="0"/>
        <v>163240</v>
      </c>
    </row>
    <row r="30" spans="1:5" x14ac:dyDescent="0.3">
      <c r="B30" s="2">
        <v>7</v>
      </c>
      <c r="C30" s="35" t="s">
        <v>99</v>
      </c>
      <c r="D30" s="45">
        <f>+D146</f>
        <v>46840</v>
      </c>
      <c r="E30" s="59">
        <f t="shared" si="0"/>
        <v>154840</v>
      </c>
    </row>
    <row r="31" spans="1:5" x14ac:dyDescent="0.3">
      <c r="B31" s="2">
        <v>8</v>
      </c>
      <c r="C31" s="35" t="s">
        <v>100</v>
      </c>
      <c r="D31" s="45">
        <f>+D154</f>
        <v>159490</v>
      </c>
      <c r="E31" s="59">
        <f t="shared" si="0"/>
        <v>527240</v>
      </c>
    </row>
    <row r="32" spans="1:5" x14ac:dyDescent="0.3">
      <c r="B32" s="2">
        <v>9</v>
      </c>
      <c r="C32" s="35" t="s">
        <v>101</v>
      </c>
      <c r="D32" s="45">
        <f>+D161</f>
        <v>32260</v>
      </c>
      <c r="E32" s="59">
        <f t="shared" si="0"/>
        <v>106640</v>
      </c>
    </row>
    <row r="33" spans="1:7" x14ac:dyDescent="0.3">
      <c r="B33" s="2">
        <v>10</v>
      </c>
      <c r="C33" s="35" t="s">
        <v>154</v>
      </c>
      <c r="D33" s="53">
        <f>TRUNC(SUM(D24:D32)*0.275,-1)</f>
        <v>277370</v>
      </c>
      <c r="E33" s="60">
        <f t="shared" si="0"/>
        <v>916920</v>
      </c>
    </row>
    <row r="34" spans="1:7" x14ac:dyDescent="0.3">
      <c r="C34" s="35" t="s">
        <v>112</v>
      </c>
      <c r="D34" s="44">
        <f>SUM(D24:D33)</f>
        <v>1286000</v>
      </c>
      <c r="E34" s="44">
        <f>SUM(E24:E33)</f>
        <v>4251210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TRUNC(15338,-1)</f>
        <v>15330</v>
      </c>
      <c r="E37" s="61">
        <f>TRUNC(+D37*3.3058,-1)</f>
        <v>50670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TRUNC(70756,-1)</f>
        <v>70750</v>
      </c>
      <c r="E40" s="62">
        <f t="shared" ref="E40:E59" si="1">TRUNC(+D40*3.3058,-1)</f>
        <v>233880</v>
      </c>
    </row>
    <row r="41" spans="1:7" x14ac:dyDescent="0.3">
      <c r="A41" s="2">
        <v>2</v>
      </c>
      <c r="C41" s="38" t="s">
        <v>13</v>
      </c>
      <c r="D41" s="42">
        <f>TRUNC(108724,-1)</f>
        <v>108720</v>
      </c>
      <c r="E41" s="63">
        <f t="shared" si="1"/>
        <v>359400</v>
      </c>
    </row>
    <row r="42" spans="1:7" x14ac:dyDescent="0.3">
      <c r="A42" s="2">
        <v>3</v>
      </c>
      <c r="C42" s="38" t="s">
        <v>14</v>
      </c>
      <c r="D42" s="42">
        <f>TRUNC(508,-1)</f>
        <v>500</v>
      </c>
      <c r="E42" s="63">
        <f t="shared" si="1"/>
        <v>1650</v>
      </c>
    </row>
    <row r="43" spans="1:7" x14ac:dyDescent="0.3">
      <c r="A43" s="2">
        <v>4</v>
      </c>
      <c r="C43" s="38" t="s">
        <v>16</v>
      </c>
      <c r="D43" s="42">
        <f>TRUNC(13175,-1)</f>
        <v>13170</v>
      </c>
      <c r="E43" s="63">
        <f t="shared" si="1"/>
        <v>43530</v>
      </c>
    </row>
    <row r="44" spans="1:7" x14ac:dyDescent="0.3">
      <c r="A44" s="2">
        <v>5</v>
      </c>
      <c r="C44" s="38" t="s">
        <v>17</v>
      </c>
      <c r="D44" s="42">
        <f>TRUNC(23766,-1)</f>
        <v>23760</v>
      </c>
      <c r="E44" s="63">
        <f t="shared" si="1"/>
        <v>78540</v>
      </c>
    </row>
    <row r="45" spans="1:7" x14ac:dyDescent="0.3">
      <c r="A45" s="2">
        <v>6</v>
      </c>
      <c r="C45" s="38" t="s">
        <v>18</v>
      </c>
      <c r="D45" s="42">
        <f>TRUNC(19816,-1)</f>
        <v>19810</v>
      </c>
      <c r="E45" s="63">
        <f t="shared" si="1"/>
        <v>65480</v>
      </c>
    </row>
    <row r="46" spans="1:7" x14ac:dyDescent="0.3">
      <c r="A46" s="2">
        <v>7</v>
      </c>
      <c r="C46" s="38" t="s">
        <v>19</v>
      </c>
      <c r="D46" s="42">
        <f>TRUNC(41158,-1)</f>
        <v>41150</v>
      </c>
      <c r="E46" s="63">
        <f t="shared" si="1"/>
        <v>136030</v>
      </c>
    </row>
    <row r="47" spans="1:7" x14ac:dyDescent="0.3">
      <c r="A47" s="2">
        <v>8</v>
      </c>
      <c r="C47" s="38" t="s">
        <v>20</v>
      </c>
      <c r="D47" s="42">
        <f>TRUNC(2115,-1)</f>
        <v>2110</v>
      </c>
      <c r="E47" s="63">
        <f t="shared" si="1"/>
        <v>6970</v>
      </c>
    </row>
    <row r="48" spans="1:7" x14ac:dyDescent="0.3">
      <c r="A48" s="2">
        <v>9</v>
      </c>
      <c r="C48" s="38" t="s">
        <v>21</v>
      </c>
      <c r="D48" s="42">
        <f>TRUNC(33342,-1)</f>
        <v>33340</v>
      </c>
      <c r="E48" s="63">
        <f t="shared" si="1"/>
        <v>110210</v>
      </c>
    </row>
    <row r="49" spans="1:7" x14ac:dyDescent="0.3">
      <c r="A49" s="2">
        <v>10</v>
      </c>
      <c r="C49" s="38" t="s">
        <v>22</v>
      </c>
      <c r="D49" s="42">
        <f>TRUNC(15299,-1)</f>
        <v>15290</v>
      </c>
      <c r="E49" s="63">
        <f t="shared" si="1"/>
        <v>50540</v>
      </c>
    </row>
    <row r="50" spans="1:7" x14ac:dyDescent="0.3">
      <c r="A50" s="2">
        <v>11</v>
      </c>
      <c r="C50" s="38" t="s">
        <v>155</v>
      </c>
      <c r="D50" s="42">
        <f>TRUNC(13570,-1)</f>
        <v>13570</v>
      </c>
      <c r="E50" s="63">
        <f t="shared" si="1"/>
        <v>44850</v>
      </c>
    </row>
    <row r="51" spans="1:7" x14ac:dyDescent="0.3">
      <c r="A51" s="2">
        <v>12</v>
      </c>
      <c r="C51" s="38" t="s">
        <v>23</v>
      </c>
      <c r="D51" s="42">
        <f>TRUNC(18064,-1)</f>
        <v>18060</v>
      </c>
      <c r="E51" s="63">
        <f t="shared" si="1"/>
        <v>59700</v>
      </c>
    </row>
    <row r="52" spans="1:7" x14ac:dyDescent="0.3">
      <c r="A52" s="2">
        <v>13</v>
      </c>
      <c r="C52" s="38" t="s">
        <v>24</v>
      </c>
      <c r="D52" s="42">
        <f>TRUNC(18444,-1)</f>
        <v>18440</v>
      </c>
      <c r="E52" s="63">
        <f t="shared" si="1"/>
        <v>60950</v>
      </c>
    </row>
    <row r="53" spans="1:7" x14ac:dyDescent="0.3">
      <c r="A53" s="2">
        <v>14</v>
      </c>
      <c r="C53" s="38" t="s">
        <v>25</v>
      </c>
      <c r="D53" s="42">
        <f>TRUNC(122178,-1)</f>
        <v>122170</v>
      </c>
      <c r="E53" s="63">
        <f t="shared" si="1"/>
        <v>403860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TRUNC(503,-1)</f>
        <v>500</v>
      </c>
      <c r="E55" s="63">
        <f t="shared" si="1"/>
        <v>1650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TRUNC(8+12162+1259+2165-630,-1)</f>
        <v>14960</v>
      </c>
      <c r="E58" s="63">
        <f t="shared" si="1"/>
        <v>49450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516300</v>
      </c>
      <c r="E60" s="39">
        <f>SUM(E40:E59)</f>
        <v>1706690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TRUNC(15858,-1)</f>
        <v>15850</v>
      </c>
      <c r="E69" s="62">
        <f t="shared" ref="E69:E94" si="2">TRUNC(+D69*3.3058,-1)</f>
        <v>52390</v>
      </c>
    </row>
    <row r="70" spans="1:7" ht="16.5" customHeight="1" x14ac:dyDescent="0.3">
      <c r="A70" s="2">
        <v>2</v>
      </c>
      <c r="C70" s="38" t="s">
        <v>31</v>
      </c>
      <c r="D70" s="42">
        <f>TRUNC(92,-1)</f>
        <v>90</v>
      </c>
      <c r="E70" s="63">
        <f t="shared" si="2"/>
        <v>290</v>
      </c>
    </row>
    <row r="71" spans="1:7" x14ac:dyDescent="0.3">
      <c r="A71" s="2">
        <v>3</v>
      </c>
      <c r="C71" s="38" t="s">
        <v>32</v>
      </c>
      <c r="D71" s="42">
        <f>TRUNC(23825,-1)</f>
        <v>23820</v>
      </c>
      <c r="E71" s="63">
        <f t="shared" si="2"/>
        <v>78740</v>
      </c>
    </row>
    <row r="72" spans="1:7" x14ac:dyDescent="0.3">
      <c r="A72" s="2">
        <v>4</v>
      </c>
      <c r="C72" s="38" t="s">
        <v>33</v>
      </c>
      <c r="D72" s="42">
        <f>TRUNC(2697,-1)</f>
        <v>2690</v>
      </c>
      <c r="E72" s="63">
        <f t="shared" si="2"/>
        <v>8890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TRUNC(549,-1)</f>
        <v>540</v>
      </c>
      <c r="E75" s="63">
        <f t="shared" si="2"/>
        <v>1780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TRUNC(10724,-1)</f>
        <v>10720</v>
      </c>
      <c r="E79" s="63">
        <f t="shared" si="2"/>
        <v>35430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TRUNC(930,-1)</f>
        <v>930</v>
      </c>
      <c r="E85" s="63">
        <f t="shared" si="2"/>
        <v>3070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TRUNC(1012,-1)</f>
        <v>1010</v>
      </c>
      <c r="E90" s="63">
        <f t="shared" si="2"/>
        <v>3330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TRUNC(31467+15457+423+6938+4651+2614,-1)</f>
        <v>61550</v>
      </c>
      <c r="E94" s="64">
        <f t="shared" si="2"/>
        <v>203470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117200</v>
      </c>
      <c r="E95" s="39">
        <f>SUM(E69:E94)</f>
        <v>387390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TRUNC(11134,-1)</f>
        <v>11130</v>
      </c>
      <c r="E98" s="62">
        <f t="shared" ref="E98:E118" si="3">TRUNC(+D98*3.3058,-1)</f>
        <v>36790</v>
      </c>
    </row>
    <row r="99" spans="1:7" x14ac:dyDescent="0.3">
      <c r="A99" s="2">
        <v>2</v>
      </c>
      <c r="C99" s="38" t="s">
        <v>40</v>
      </c>
      <c r="D99" s="42">
        <f>TRUNC(8315,-1)</f>
        <v>8310</v>
      </c>
      <c r="E99" s="63">
        <f t="shared" si="3"/>
        <v>27470</v>
      </c>
    </row>
    <row r="100" spans="1:7" x14ac:dyDescent="0.3">
      <c r="A100" s="2">
        <v>3</v>
      </c>
      <c r="C100" s="38" t="s">
        <v>41</v>
      </c>
      <c r="D100" s="42">
        <f>TRUNC(21795,-1)</f>
        <v>21790</v>
      </c>
      <c r="E100" s="63">
        <f t="shared" si="3"/>
        <v>72030</v>
      </c>
    </row>
    <row r="101" spans="1:7" x14ac:dyDescent="0.3">
      <c r="A101" s="2">
        <v>4</v>
      </c>
      <c r="C101" s="38" t="s">
        <v>42</v>
      </c>
      <c r="D101" s="42">
        <f>TRUNC(454,-1)</f>
        <v>450</v>
      </c>
      <c r="E101" s="63">
        <f t="shared" si="3"/>
        <v>1480</v>
      </c>
    </row>
    <row r="102" spans="1:7" x14ac:dyDescent="0.3">
      <c r="A102" s="2">
        <v>5</v>
      </c>
      <c r="C102" s="38" t="s">
        <v>43</v>
      </c>
      <c r="D102" s="42">
        <f>TRUNC(13727,-1)</f>
        <v>13720</v>
      </c>
      <c r="E102" s="63">
        <f t="shared" si="3"/>
        <v>45350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TRUNC(2337,-1)</f>
        <v>2330</v>
      </c>
      <c r="E104" s="63">
        <f t="shared" si="3"/>
        <v>7700</v>
      </c>
    </row>
    <row r="105" spans="1:7" x14ac:dyDescent="0.3">
      <c r="A105" s="2">
        <v>8</v>
      </c>
      <c r="C105" s="38" t="s">
        <v>46</v>
      </c>
      <c r="D105" s="42">
        <f>TRUNC(2805,-1)</f>
        <v>2800</v>
      </c>
      <c r="E105" s="63">
        <f t="shared" si="3"/>
        <v>9250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TRUNC(2272,-1)</f>
        <v>2270</v>
      </c>
      <c r="E108" s="63">
        <f t="shared" si="3"/>
        <v>7500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TRUNC(1295,-1)</f>
        <v>1290</v>
      </c>
      <c r="E114" s="63">
        <f t="shared" si="3"/>
        <v>4260</v>
      </c>
    </row>
    <row r="115" spans="1:7" x14ac:dyDescent="0.3">
      <c r="A115" s="2">
        <v>18</v>
      </c>
      <c r="C115" s="38" t="s">
        <v>116</v>
      </c>
      <c r="D115" s="42">
        <f>TRUNC(3833,-1)</f>
        <v>3830</v>
      </c>
      <c r="E115" s="63">
        <f t="shared" si="3"/>
        <v>12660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TRUNC(997+2263+658,-1)</f>
        <v>3910</v>
      </c>
      <c r="E118" s="64">
        <f t="shared" si="3"/>
        <v>12920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71830</v>
      </c>
      <c r="E119" s="39">
        <f>SUM(E98:E118)</f>
        <v>237410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TRUNC(4664,-1)</f>
        <v>4660</v>
      </c>
      <c r="E122" s="62">
        <f t="shared" ref="E122:E132" si="4">TRUNC(+D122*3.3058,-1)</f>
        <v>15400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TRUNC(589,-1)</f>
        <v>580</v>
      </c>
      <c r="E124" s="63">
        <f t="shared" si="4"/>
        <v>1910</v>
      </c>
    </row>
    <row r="125" spans="1:7" x14ac:dyDescent="0.3">
      <c r="A125" s="2">
        <v>4</v>
      </c>
      <c r="C125" s="38" t="s">
        <v>138</v>
      </c>
      <c r="D125" s="42">
        <f>TRUNC(3903,-1)</f>
        <v>3900</v>
      </c>
      <c r="E125" s="63">
        <f t="shared" si="4"/>
        <v>12890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TRUNC(2094,-1)</f>
        <v>2090</v>
      </c>
      <c r="E127" s="63">
        <f t="shared" si="4"/>
        <v>6900</v>
      </c>
    </row>
    <row r="128" spans="1:7" x14ac:dyDescent="0.3">
      <c r="A128" s="2">
        <v>7</v>
      </c>
      <c r="C128" s="38" t="s">
        <v>46</v>
      </c>
      <c r="D128" s="42">
        <f>TRUNC(3542,-1)</f>
        <v>3540</v>
      </c>
      <c r="E128" s="63">
        <f t="shared" si="4"/>
        <v>11700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TRUNC(29573,-1)</f>
        <v>29570</v>
      </c>
      <c r="E130" s="63">
        <f t="shared" si="4"/>
        <v>97750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TRUNC(1624+137+3282,-1)</f>
        <v>5040</v>
      </c>
      <c r="E132" s="64">
        <f t="shared" si="4"/>
        <v>16660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49380</v>
      </c>
      <c r="E133" s="39">
        <f>SUM(E122:E132)</f>
        <v>163210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TRUNC(29314,-1)</f>
        <v>29310</v>
      </c>
      <c r="E136" s="62">
        <f t="shared" ref="E136:E145" si="5">TRUNC(+D136*3.3058,-1)</f>
        <v>96890</v>
      </c>
      <c r="F136" s="2" t="s">
        <v>251</v>
      </c>
    </row>
    <row r="137" spans="1:7" x14ac:dyDescent="0.3">
      <c r="A137" s="2">
        <v>2</v>
      </c>
      <c r="C137" s="38" t="s">
        <v>47</v>
      </c>
      <c r="D137" s="42">
        <f>TRUNC(17534,-1)</f>
        <v>17530</v>
      </c>
      <c r="E137" s="63">
        <f t="shared" si="5"/>
        <v>57950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46840</v>
      </c>
      <c r="E146" s="39">
        <f>SUM(E136:E145)</f>
        <v>154840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TRUNC(159494,-1)</f>
        <v>159490</v>
      </c>
      <c r="E152" s="63">
        <f>TRUNC(+D152*3.3058,-1)</f>
        <v>527240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159490</v>
      </c>
      <c r="E154" s="39">
        <f>SUM(E149:E153)</f>
        <v>527240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TRUNC(32265,-1)</f>
        <v>32260</v>
      </c>
      <c r="E159" s="63">
        <f>TRUNC(+D159*3.3058,-1)</f>
        <v>106640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32260</v>
      </c>
      <c r="E161" s="39">
        <f>SUM(E157:E160)</f>
        <v>106640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2020-12-07T09:44:48Z</dcterms:modified>
</cp:coreProperties>
</file>