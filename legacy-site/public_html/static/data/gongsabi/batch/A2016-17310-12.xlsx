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52" i="4"/>
  <c r="D150" i="4"/>
  <c r="D149" i="4"/>
  <c r="D143" i="4"/>
  <c r="D142" i="4"/>
  <c r="D141" i="4"/>
  <c r="D131" i="4"/>
  <c r="D130" i="4"/>
  <c r="D128" i="4"/>
  <c r="D127" i="4"/>
  <c r="D125" i="4"/>
  <c r="D122" i="4"/>
  <c r="D118" i="4"/>
  <c r="D117" i="4"/>
  <c r="D116" i="4"/>
  <c r="D105" i="4"/>
  <c r="D104" i="4"/>
  <c r="D102" i="4"/>
  <c r="D101" i="4"/>
  <c r="D100" i="4"/>
  <c r="D99" i="4"/>
  <c r="D98" i="4"/>
  <c r="D94" i="4"/>
  <c r="D93" i="4"/>
  <c r="D92" i="4"/>
  <c r="D91" i="4"/>
  <c r="D89" i="4"/>
  <c r="D75" i="4"/>
  <c r="D73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1" i="4"/>
  <c r="D40" i="4"/>
  <c r="D13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<sst xmlns="http://schemas.openxmlformats.org/spreadsheetml/2006/main" count="392" uniqueCount="266">
  <si>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</si>
  <si>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</si>
  <si>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</si>
  <si>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</si>
  <si>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</si>
  <si>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</si>
  <si>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</si>
  <si>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</si>
  <si>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</si>
  <si>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</si>
  <si>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</si>
  <si>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</si>
  <si>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</si>
  <si>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</si>
  <si>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</si>
  <si>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</si>
  <si>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</si>
  <si>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</si>
  <si>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</si>
  <si>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</si>
  <si>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</si>
  <si>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</si>
  <si>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</si>
  <si>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</si>
  <si>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</si>
  <si>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</si>
  <si>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</si>
  <si>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</si>
  <si>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</si>
  <si>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</si>
  <si>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</si>
  <si>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</si>
  <si>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</si>
  <si>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</si>
  <si>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</si>
  <si>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</si>
  <si>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</si>
  <si>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</si>
  <si>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</si>
  <si>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</si>
  <si>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</si>
  <si>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</si>
  <si>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</si>
  <si>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</si>
  <si>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</si>
  <si>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</si>
  <si>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</si>
  <si>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</si>
  <si>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</si>
  <si>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</si>
  <si>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</si>
  <si>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</si>
  <si>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</si>
  <si>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</si>
  <si>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</si>
  <si>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</si>
  <si>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</si>
  <si>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</si>
  <si>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</si>
  <si>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</si>
  <si>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</si>
  <si>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</si>
  <si>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</si>
  <si>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</si>
  <si>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</si>
  <si>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</si>
  <si>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</si>
  <si>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</si>
  <si>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</si>
  <si>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</si>
  <si>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</si>
  <si>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</si>
  <si>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</si>
  <si>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</si>
  <si>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</si>
  <si>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</si>
  <si>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</si>
  <si>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</si>
  <si>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</si>
  <si>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</si>
  <si>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</si>
  <si>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</si>
  <si>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</si>
  <si>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</si>
  <si>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</si>
  <si>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</si>
  <si>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</si>
  <si>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</si>
  <si>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</si>
  <si>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</si>
  <si>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</si>
  <si>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</si>
  <si>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</si>
  <si>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</si>
  <si>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</si>
  <si>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</si>
  <si>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</si>
  <si>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</si>
  <si>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</si>
  <si>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</si>
  <si>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</si>
  <si>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</si>
  <si>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</si>
  <si>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</si>
  <si>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</si>
  <si>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</si>
  <si>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</si>
  <si>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</si>
  <si>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</si>
  <si>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</si>
  <si>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</si>
  <si>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</si>
  <si>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</si>
  <si>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</si>
  <si>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</si>
  <si>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</si>
  <si>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</si>
  <si>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</si>
  <si>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</si>
  <si>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</si>
  <si>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</si>
  <si>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</si>
  <si>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</si>
  <si>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</si>
  <si>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</si>
  <si>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</si>
  <si>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</si>
  <si>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</si>
  <si>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</si>
  <si>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</si>
  <si>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</si>
  <si>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</si>
  <si>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</si>
  <si>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</si>
  <si>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</si>
  <si>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</si>
  <si>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</si>
  <si>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</si>
  <si>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</si>
  <si>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</si>
  <si>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</si>
  <si>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</si>
  <si>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</si>
  <si>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</si>
  <si>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</si>
  <si>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</si>
  <si>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</si>
  <si>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</si>
  <si>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</si>
  <si>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</si>
  <si>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</si>
  <si>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</si>
  <si>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</si>
  <si>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</si>
  <si>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</si>
  <si>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</si>
  <si>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</si>
  <si>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</si>
  <si>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</si>
  <si>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</si>
  <si>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</si>
  <si>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</si>
  <si>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</si>
  <si>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</si>
  <si>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</si>
  <si>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</si>
  <si>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</si>
  <si>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</si>
  <si>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</si>
  <si>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</si>
  <si>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</si>
  <si>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</si>
  <si>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</si>
  <si>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</si>
  <si>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</si>
  <si>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</si>
  <si>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</si>
  <si>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</si>
  <si>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</si>
  <si>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</si>
  <si>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</si>
  <si>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</si>
  <si>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</si>
  <si>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</si>
  <si>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</si>
  <si>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</si>
  <si>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</si>
  <si>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</si>
  <si>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</si>
  <si>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</si>
  <si>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</si>
  <si>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</si>
  <si>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</si>
  <si>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</si>
  <si>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</si>
  <si>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</si>
  <si>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</si>
  <si>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</si>
  <si>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</si>
  <si>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</si>
  <si>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</si>
  <si>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</si>
  <si>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</si>
  <si>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</si>
  <si>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</si>
  <si>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</si>
  <si>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</si>
  <si>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</si>
  <si>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</si>
  <si>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</si>
  <si>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</si>
  <si>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</si>
  <si>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</si>
  <si>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</si>
  <si>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</si>
  <si>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</si>
  <si>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</si>
  <si>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</si>
  <si>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</si>
  <si>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</si>
  <si>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</si>
  <si>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</si>
  <si>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</si>
  <si>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</si>
  <si>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</si>
  <si>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</si>
  <si>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</si>
  <si>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</si>
  <si>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</si>
  <si>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</si>
  <si>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</si>
  <si>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</si>
  <si>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</si>
  <si>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</si>
  <si>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</si>
  <si>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</si>
  <si>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</si>
  <si>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</si>
  <si>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</si>
  <si>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</si>
  <si>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</si>
  <si>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</si>
  <si>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</si>
  <si>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</si>
  <si>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</si>
  <si>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</si>
  <si>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</si>
  <si>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</si>
  <si>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</si>
  <si>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</si>
  <si>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</si>
  <si>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</si>
  <si>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</si>
  <si>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</si>
  <si>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</si>
  <si>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기타</t>
  </si>
  <si>
    <t xml:space="preserve"> 속초항 국제여객터미널 신축공사</t>
    <phoneticPr fontId="2" type="noConversion"/>
  </si>
  <si>
    <t>강원도</t>
  </si>
  <si>
    <t>우수처리시설공사, 바닥난방공사, 기타공사</t>
    <phoneticPr fontId="2" type="noConversion"/>
  </si>
  <si>
    <t>CCTV설비공사, 주차관제설비공사, 기타공사</t>
    <phoneticPr fontId="2" type="noConversion"/>
  </si>
  <si>
    <t>펌프실배관공사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</si>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</sst>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9908.17</v>
      </c>
      <c r="D7" s="36">
        <f>+C7/3.3058</f>
        <v>2997.2079375642811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1503230</v>
      </c>
      <c r="E25" s="59">
        <f t="shared" si="0"/>
        <v>4969370</v>
      </c>
    </row>
    <row r="26" spans="1:5" x14ac:dyDescent="0.3">
      <c r="B26" s="2">
        <v>3</v>
      </c>
      <c r="C26" s="35" t="s">
        <v>95</v>
      </c>
      <c r="D26" s="45">
        <f>+D66</f>
        <v>62570</v>
      </c>
      <c r="E26" s="59">
        <f t="shared" si="0"/>
        <v>206840</v>
      </c>
    </row>
    <row r="27" spans="1:5" x14ac:dyDescent="0.3">
      <c r="B27" s="2">
        <v>4</v>
      </c>
      <c r="C27" s="35" t="s">
        <v>96</v>
      </c>
      <c r="D27" s="45">
        <f>+D95</f>
        <v>299060</v>
      </c>
      <c r="E27" s="59">
        <f t="shared" si="0"/>
        <v>988630</v>
      </c>
    </row>
    <row r="28" spans="1:5" x14ac:dyDescent="0.3">
      <c r="B28" s="2">
        <v>5</v>
      </c>
      <c r="C28" s="35" t="s">
        <v>97</v>
      </c>
      <c r="D28" s="45">
        <f>+D119</f>
        <v>422760</v>
      </c>
      <c r="E28" s="59">
        <f t="shared" si="0"/>
        <v>1397560</v>
      </c>
    </row>
    <row r="29" spans="1:5" x14ac:dyDescent="0.3">
      <c r="B29" s="2">
        <v>6</v>
      </c>
      <c r="C29" s="35" t="s">
        <v>98</v>
      </c>
      <c r="D29" s="45">
        <f>+D133</f>
        <v>243710</v>
      </c>
      <c r="E29" s="59">
        <f t="shared" si="0"/>
        <v>805650</v>
      </c>
    </row>
    <row r="30" spans="1:5" x14ac:dyDescent="0.3">
      <c r="B30" s="2">
        <v>7</v>
      </c>
      <c r="C30" s="35" t="s">
        <v>99</v>
      </c>
      <c r="D30" s="45">
        <f>+D146</f>
        <v>55340</v>
      </c>
      <c r="E30" s="59">
        <f t="shared" si="0"/>
        <v>182940</v>
      </c>
    </row>
    <row r="31" spans="1:5" x14ac:dyDescent="0.3">
      <c r="B31" s="2">
        <v>8</v>
      </c>
      <c r="C31" s="35" t="s">
        <v>100</v>
      </c>
      <c r="D31" s="45">
        <f>+D154</f>
        <v>135030</v>
      </c>
      <c r="E31" s="59">
        <f t="shared" si="0"/>
        <v>446380</v>
      </c>
    </row>
    <row r="32" spans="1:5" x14ac:dyDescent="0.3">
      <c r="B32" s="2">
        <v>9</v>
      </c>
      <c r="C32" s="35" t="s">
        <v>101</v>
      </c>
      <c r="D32" s="45">
        <f>+D161</f>
        <v>35600</v>
      </c>
      <c r="E32" s="59">
        <f t="shared" si="0"/>
        <v>117680</v>
      </c>
    </row>
    <row r="33" spans="1:7" x14ac:dyDescent="0.3">
      <c r="B33" s="2">
        <v>10</v>
      </c>
      <c r="C33" s="35" t="s">
        <v>155</v>
      </c>
      <c r="D33" s="53">
        <f>TRUNC(SUM(D24:D32)*0.275,-1)</f>
        <v>758250</v>
      </c>
      <c r="E33" s="60">
        <f t="shared" si="0"/>
        <v>2506620</v>
      </c>
    </row>
    <row r="34" spans="1:7" x14ac:dyDescent="0.3">
      <c r="C34" s="35" t="s">
        <v>112</v>
      </c>
      <c r="D34" s="44">
        <f>SUM(D24:D33)</f>
        <v>3515550</v>
      </c>
      <c r="E34" s="44">
        <f>SUM(E24:E33)</f>
        <v>11621670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TRUNC(74934,-1)</f>
        <v>74930</v>
      </c>
      <c r="E40" s="62">
        <f t="shared" ref="E40:E59" si="1">TRUNC(+D40*3.3058,-1)</f>
        <v>247700</v>
      </c>
    </row>
    <row r="41" spans="1:7" x14ac:dyDescent="0.3">
      <c r="A41" s="2">
        <v>2</v>
      </c>
      <c r="C41" s="38" t="s">
        <v>13</v>
      </c>
      <c r="D41" s="42">
        <f>TRUNC(99273,-1)</f>
        <v>99270</v>
      </c>
      <c r="E41" s="63">
        <f t="shared" si="1"/>
        <v>328160</v>
      </c>
    </row>
    <row r="42" spans="1:7" x14ac:dyDescent="0.3">
      <c r="A42" s="2">
        <v>3</v>
      </c>
      <c r="C42" s="38" t="s">
        <v>14</v>
      </c>
      <c r="D42" s="42">
        <v>255580</v>
      </c>
      <c r="E42" s="63">
        <f t="shared" si="1"/>
        <v>844890</v>
      </c>
    </row>
    <row r="43" spans="1:7" x14ac:dyDescent="0.3">
      <c r="A43" s="2">
        <v>4</v>
      </c>
      <c r="C43" s="38" t="s">
        <v>16</v>
      </c>
      <c r="D43" s="42">
        <v>5470</v>
      </c>
      <c r="E43" s="63">
        <f t="shared" si="1"/>
        <v>18080</v>
      </c>
    </row>
    <row r="44" spans="1:7" x14ac:dyDescent="0.3">
      <c r="A44" s="2">
        <v>5</v>
      </c>
      <c r="C44" s="38" t="s">
        <v>17</v>
      </c>
      <c r="D44" s="42">
        <f>TRUNC(29225,-1)</f>
        <v>29220</v>
      </c>
      <c r="E44" s="63">
        <f t="shared" si="1"/>
        <v>96590</v>
      </c>
    </row>
    <row r="45" spans="1:7" x14ac:dyDescent="0.3">
      <c r="A45" s="2">
        <v>6</v>
      </c>
      <c r="C45" s="38" t="s">
        <v>18</v>
      </c>
      <c r="D45" s="42">
        <f>TRUNC(14754,-1)</f>
        <v>14750</v>
      </c>
      <c r="E45" s="63">
        <f t="shared" si="1"/>
        <v>48760</v>
      </c>
    </row>
    <row r="46" spans="1:7" x14ac:dyDescent="0.3">
      <c r="A46" s="2">
        <v>7</v>
      </c>
      <c r="C46" s="38" t="s">
        <v>19</v>
      </c>
      <c r="D46" s="42">
        <f>TRUNC(27825,-1)</f>
        <v>27820</v>
      </c>
      <c r="E46" s="63">
        <f t="shared" si="1"/>
        <v>91960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TRUNC(170914,-1)</f>
        <v>170910</v>
      </c>
      <c r="E48" s="63">
        <f t="shared" si="1"/>
        <v>564990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TRUNC(22301,-1)</f>
        <v>22300</v>
      </c>
      <c r="E49" s="63">
        <f t="shared" si="1"/>
        <v>73710</v>
      </c>
    </row>
    <row r="50" spans="1:7" x14ac:dyDescent="0.3">
      <c r="A50" s="2">
        <v>11</v>
      </c>
      <c r="C50" s="38" t="s">
        <v>156</v>
      </c>
      <c r="D50" s="42">
        <f>TRUNC(74121,-1)</f>
        <v>74120</v>
      </c>
      <c r="E50" s="63">
        <f t="shared" si="1"/>
        <v>245020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TRUNC(14847,-1)</f>
        <v>14840</v>
      </c>
      <c r="E52" s="63">
        <f t="shared" si="1"/>
        <v>49050</v>
      </c>
    </row>
    <row r="53" spans="1:7" x14ac:dyDescent="0.3">
      <c r="A53" s="2">
        <v>14</v>
      </c>
      <c r="C53" s="38" t="s">
        <v>25</v>
      </c>
      <c r="D53" s="42">
        <f>TRUNC(66423,-1)</f>
        <v>66420</v>
      </c>
      <c r="E53" s="63">
        <f t="shared" si="1"/>
        <v>219570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TRUNC(17369+6966-929+24391,-1)</f>
        <v>47790</v>
      </c>
      <c r="E58" s="63">
        <f t="shared" si="1"/>
        <v>157980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TRUNC(599818,-1)</f>
        <v>599810</v>
      </c>
      <c r="E59" s="64">
        <f t="shared" si="1"/>
        <v>1982850</v>
      </c>
    </row>
    <row r="60" spans="1:7" x14ac:dyDescent="0.3">
      <c r="A60" s="2">
        <v>21</v>
      </c>
      <c r="C60" s="27" t="s">
        <v>112</v>
      </c>
      <c r="D60" s="39">
        <f>SUM(D40:D59)</f>
        <v>1503230</v>
      </c>
      <c r="E60" s="39">
        <f>SUM(E40:E59)</f>
        <v>4969310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TRUNC(10843,-1)</f>
        <v>10840</v>
      </c>
      <c r="E63" s="62">
        <f>TRUNC(+D63*3.3058,-1)</f>
        <v>35830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TRUNC(51734,-1)</f>
        <v>51730</v>
      </c>
      <c r="E65" s="64">
        <f>TRUNC(+D65*3.3058,-1)</f>
        <v>171000</v>
      </c>
    </row>
    <row r="66" spans="1:7" x14ac:dyDescent="0.3">
      <c r="A66" s="2">
        <v>4</v>
      </c>
      <c r="C66" s="27" t="s">
        <v>112</v>
      </c>
      <c r="D66" s="39">
        <f>SUM(D63:D65)</f>
        <v>62570</v>
      </c>
      <c r="E66" s="65">
        <f>SUM(E63:E65)</f>
        <v>206830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TRUNC(10235,-1)</f>
        <v>10230</v>
      </c>
      <c r="E69" s="62">
        <f t="shared" ref="E69:E94" si="2">TRUNC(+D69*3.3058,-1)</f>
        <v>33810</v>
      </c>
    </row>
    <row r="70" spans="1:7" ht="16.5" customHeight="1" x14ac:dyDescent="0.3">
      <c r="A70" s="2">
        <v>2</v>
      </c>
      <c r="C70" s="38" t="s">
        <v>31</v>
      </c>
      <c r="D70" s="42">
        <f>TRUNC(88,-1)</f>
        <v>80</v>
      </c>
      <c r="E70" s="63">
        <f t="shared" si="2"/>
        <v>260</v>
      </c>
    </row>
    <row r="71" spans="1:7" x14ac:dyDescent="0.3">
      <c r="A71" s="2">
        <v>3</v>
      </c>
      <c r="C71" s="38" t="s">
        <v>32</v>
      </c>
      <c r="D71" s="42">
        <f>TRUNC(27033,-1)</f>
        <v>27030</v>
      </c>
      <c r="E71" s="63">
        <f t="shared" si="2"/>
        <v>89350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TRUNC(6477,-1)</f>
        <v>6470</v>
      </c>
      <c r="E73" s="63">
        <f t="shared" si="2"/>
        <v>21380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TRUNC(5438,-1)</f>
        <v>5430</v>
      </c>
      <c r="E75" s="63">
        <f t="shared" si="2"/>
        <v>17950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TRUNC(6278,-1)</f>
        <v>6270</v>
      </c>
      <c r="E89" s="63">
        <f t="shared" si="2"/>
        <v>20720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TRUNC(49445,-1)</f>
        <v>49440</v>
      </c>
      <c r="E91" s="63">
        <f t="shared" si="2"/>
        <v>163430</v>
      </c>
    </row>
    <row r="92" spans="1:7" x14ac:dyDescent="0.3">
      <c r="A92" s="2">
        <v>24</v>
      </c>
      <c r="C92" s="38" t="s">
        <v>38</v>
      </c>
      <c r="D92" s="42">
        <f>TRUNC(3959,-1)</f>
        <v>3950</v>
      </c>
      <c r="E92" s="63">
        <f t="shared" si="2"/>
        <v>13050</v>
      </c>
    </row>
    <row r="93" spans="1:7" x14ac:dyDescent="0.3">
      <c r="A93" s="2">
        <v>25</v>
      </c>
      <c r="C93" s="38" t="s">
        <v>149</v>
      </c>
      <c r="D93" s="42">
        <f>TRUNC(176377,-1)</f>
        <v>176370</v>
      </c>
      <c r="E93" s="63">
        <f t="shared" si="2"/>
        <v>583040</v>
      </c>
    </row>
    <row r="94" spans="1:7" ht="17.25" thickBot="1" x14ac:dyDescent="0.35">
      <c r="A94" s="2">
        <v>26</v>
      </c>
      <c r="C94" s="38" t="s">
        <v>47</v>
      </c>
      <c r="D94" s="43">
        <f>TRUNC(7329+323+6140,-1)</f>
        <v>13790</v>
      </c>
      <c r="E94" s="64">
        <f t="shared" si="2"/>
        <v>45580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299060</v>
      </c>
      <c r="E95" s="39">
        <f>SUM(E69:E94)</f>
        <v>988570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TRUNC(27098,-1)</f>
        <v>27090</v>
      </c>
      <c r="E98" s="62">
        <f t="shared" ref="E98:E118" si="3">TRUNC(+D98*3.3058,-1)</f>
        <v>89550</v>
      </c>
    </row>
    <row r="99" spans="1:7" x14ac:dyDescent="0.3">
      <c r="A99" s="2">
        <v>2</v>
      </c>
      <c r="C99" s="38" t="s">
        <v>40</v>
      </c>
      <c r="D99" s="42">
        <f>TRUNC(13301,-1)</f>
        <v>13300</v>
      </c>
      <c r="E99" s="63">
        <f t="shared" si="3"/>
        <v>43960</v>
      </c>
    </row>
    <row r="100" spans="1:7" x14ac:dyDescent="0.3">
      <c r="A100" s="2">
        <v>3</v>
      </c>
      <c r="C100" s="38" t="s">
        <v>41</v>
      </c>
      <c r="D100" s="42">
        <f>TRUNC(32217,-1)</f>
        <v>32210</v>
      </c>
      <c r="E100" s="63">
        <f t="shared" si="3"/>
        <v>106470</v>
      </c>
    </row>
    <row r="101" spans="1:7" x14ac:dyDescent="0.3">
      <c r="A101" s="2">
        <v>4</v>
      </c>
      <c r="C101" s="38" t="s">
        <v>42</v>
      </c>
      <c r="D101" s="42">
        <f>TRUNC(2644,-1)</f>
        <v>2640</v>
      </c>
      <c r="E101" s="63">
        <f t="shared" si="3"/>
        <v>8720</v>
      </c>
    </row>
    <row r="102" spans="1:7" x14ac:dyDescent="0.3">
      <c r="A102" s="2">
        <v>5</v>
      </c>
      <c r="C102" s="38" t="s">
        <v>43</v>
      </c>
      <c r="D102" s="42">
        <f>TRUNC(10637,-1)</f>
        <v>10630</v>
      </c>
      <c r="E102" s="63">
        <f t="shared" si="3"/>
        <v>35140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TRUNC(5905,-1)</f>
        <v>5900</v>
      </c>
      <c r="E104" s="63">
        <f t="shared" si="3"/>
        <v>19500</v>
      </c>
    </row>
    <row r="105" spans="1:7" x14ac:dyDescent="0.3">
      <c r="A105" s="2">
        <v>8</v>
      </c>
      <c r="C105" s="38" t="s">
        <v>46</v>
      </c>
      <c r="D105" s="42">
        <f>TRUNC(8354,-1)</f>
        <v>8350</v>
      </c>
      <c r="E105" s="63">
        <f t="shared" si="3"/>
        <v>27600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TRUNC(11273,-1)</f>
        <v>11270</v>
      </c>
      <c r="E116" s="63">
        <f t="shared" si="3"/>
        <v>37250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TRUNC(307057,-1)</f>
        <v>307050</v>
      </c>
      <c r="E117" s="63">
        <f t="shared" si="3"/>
        <v>1015040</v>
      </c>
    </row>
    <row r="118" spans="1:7" ht="17.25" thickBot="1" x14ac:dyDescent="0.35">
      <c r="A118" s="2">
        <v>21</v>
      </c>
      <c r="C118" s="38" t="s">
        <v>47</v>
      </c>
      <c r="D118" s="43">
        <f>TRUNC(4323,-1)</f>
        <v>4320</v>
      </c>
      <c r="E118" s="64">
        <f t="shared" si="3"/>
        <v>14280</v>
      </c>
    </row>
    <row r="119" spans="1:7" x14ac:dyDescent="0.3">
      <c r="A119" s="2">
        <v>22</v>
      </c>
      <c r="C119" s="27" t="s">
        <v>112</v>
      </c>
      <c r="D119" s="39">
        <f>SUM(D98:D118)</f>
        <v>422760</v>
      </c>
      <c r="E119" s="39">
        <f>SUM(E98:E118)</f>
        <v>1397510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TRUNC(5797,-1)</f>
        <v>5790</v>
      </c>
      <c r="E122" s="62">
        <f t="shared" ref="E122:E132" si="4">TRUNC(+D122*3.3058,-1)</f>
        <v>19140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40</v>
      </c>
      <c r="E124" s="63">
        <f t="shared" si="4"/>
        <v>130</v>
      </c>
    </row>
    <row r="125" spans="1:7" x14ac:dyDescent="0.3">
      <c r="A125" s="2">
        <v>4</v>
      </c>
      <c r="C125" s="38" t="s">
        <v>138</v>
      </c>
      <c r="D125" s="42">
        <f>TRUNC(10778,-1)</f>
        <v>10770</v>
      </c>
      <c r="E125" s="63">
        <f t="shared" si="4"/>
        <v>35600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TRUNC(2672,-1)</f>
        <v>2670</v>
      </c>
      <c r="E127" s="63">
        <f t="shared" si="4"/>
        <v>8820</v>
      </c>
    </row>
    <row r="128" spans="1:7" x14ac:dyDescent="0.3">
      <c r="A128" s="2">
        <v>7</v>
      </c>
      <c r="C128" s="38" t="s">
        <v>46</v>
      </c>
      <c r="D128" s="42">
        <f>TRUNC(4669,-1)</f>
        <v>4660</v>
      </c>
      <c r="E128" s="63">
        <f t="shared" si="4"/>
        <v>15400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TRUNC(26693,-1)</f>
        <v>26690</v>
      </c>
      <c r="E130" s="63">
        <f t="shared" si="4"/>
        <v>88230</v>
      </c>
    </row>
    <row r="131" spans="1:7" x14ac:dyDescent="0.3">
      <c r="A131" s="2">
        <v>10</v>
      </c>
      <c r="C131" s="38" t="s">
        <v>149</v>
      </c>
      <c r="D131" s="42">
        <f>TRUNC(186502,-1)</f>
        <v>186500</v>
      </c>
      <c r="E131" s="63">
        <f t="shared" si="4"/>
        <v>616530</v>
      </c>
    </row>
    <row r="132" spans="1:7" ht="18" thickBot="1" x14ac:dyDescent="0.35">
      <c r="A132" s="2">
        <v>11</v>
      </c>
      <c r="C132" s="38" t="s">
        <v>47</v>
      </c>
      <c r="D132" s="43">
        <f>4389+1291+910</f>
        <v>6590</v>
      </c>
      <c r="E132" s="64">
        <f t="shared" si="4"/>
        <v>21780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243710</v>
      </c>
      <c r="E133" s="39">
        <f>SUM(E122:E132)</f>
        <v>805630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1600</v>
      </c>
      <c r="E137" s="63">
        <f t="shared" si="5"/>
        <v>5280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1880</v>
      </c>
      <c r="E140" s="63">
        <f t="shared" si="5"/>
        <v>6210</v>
      </c>
    </row>
    <row r="141" spans="1:7" x14ac:dyDescent="0.3">
      <c r="A141" s="2">
        <v>6</v>
      </c>
      <c r="C141" s="38" t="s">
        <v>59</v>
      </c>
      <c r="D141" s="42">
        <f>TRUNC(26243,-1)</f>
        <v>26240</v>
      </c>
      <c r="E141" s="63">
        <f t="shared" si="5"/>
        <v>86740</v>
      </c>
    </row>
    <row r="142" spans="1:7" x14ac:dyDescent="0.3">
      <c r="A142" s="2">
        <v>7</v>
      </c>
      <c r="C142" s="38" t="s">
        <v>58</v>
      </c>
      <c r="D142" s="42">
        <f>TRUNC(2718,-1)</f>
        <v>2710</v>
      </c>
      <c r="E142" s="63">
        <f t="shared" si="5"/>
        <v>8950</v>
      </c>
    </row>
    <row r="143" spans="1:7" x14ac:dyDescent="0.3">
      <c r="A143" s="2">
        <v>8</v>
      </c>
      <c r="C143" s="38" t="s">
        <v>62</v>
      </c>
      <c r="D143" s="42">
        <f>TRUNC(4171,-1)</f>
        <v>4170</v>
      </c>
      <c r="E143" s="63">
        <f t="shared" si="5"/>
        <v>13780</v>
      </c>
    </row>
    <row r="144" spans="1:7" x14ac:dyDescent="0.3">
      <c r="A144" s="2">
        <v>9</v>
      </c>
      <c r="C144" s="38" t="s">
        <v>63</v>
      </c>
      <c r="D144" s="42">
        <v>13260</v>
      </c>
      <c r="E144" s="63">
        <f t="shared" si="5"/>
        <v>43830</v>
      </c>
    </row>
    <row r="145" spans="1:7" ht="17.25" thickBot="1" x14ac:dyDescent="0.35">
      <c r="A145" s="2">
        <v>10</v>
      </c>
      <c r="C145" s="38" t="s">
        <v>149</v>
      </c>
      <c r="D145" s="43">
        <v>5480</v>
      </c>
      <c r="E145" s="64">
        <f t="shared" si="5"/>
        <v>18110</v>
      </c>
    </row>
    <row r="146" spans="1:7" x14ac:dyDescent="0.3">
      <c r="A146" s="2">
        <v>11</v>
      </c>
      <c r="C146" s="27" t="s">
        <v>112</v>
      </c>
      <c r="D146" s="39">
        <f>SUM(D136:D145)</f>
        <v>55340</v>
      </c>
      <c r="E146" s="39">
        <f>SUM(E136:E145)</f>
        <v>182900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TRUNC(10964+2675,-1)</f>
        <v>13630</v>
      </c>
      <c r="E149" s="62">
        <f>TRUNC(+D149*3.3058,-1)</f>
        <v>45050</v>
      </c>
    </row>
    <row r="150" spans="1:7" x14ac:dyDescent="0.3">
      <c r="A150" s="2">
        <v>2</v>
      </c>
      <c r="C150" s="38" t="s">
        <v>49</v>
      </c>
      <c r="D150" s="42">
        <f>TRUNC(10069,-1)</f>
        <v>10060</v>
      </c>
      <c r="E150" s="63">
        <f>TRUNC(+D150*3.3058,-1)</f>
        <v>33250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TRUNC(173+20214+9158+2803,-1)</f>
        <v>32340</v>
      </c>
      <c r="E152" s="63">
        <f>TRUNC(+D152*3.3058,-1)</f>
        <v>106900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TRUNC(79009,-1)</f>
        <v>79000</v>
      </c>
      <c r="E153" s="64">
        <f>TRUNC(+D153*3.3058,-1)</f>
        <v>261150</v>
      </c>
    </row>
    <row r="154" spans="1:7" x14ac:dyDescent="0.3">
      <c r="A154" s="2">
        <v>6</v>
      </c>
      <c r="C154" s="27" t="s">
        <v>112</v>
      </c>
      <c r="D154" s="39">
        <f>SUM(D149:D153)</f>
        <v>135030</v>
      </c>
      <c r="E154" s="39">
        <f>SUM(E149:E153)</f>
        <v>446350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9170</v>
      </c>
      <c r="E157" s="62">
        <f>TRUNC(+D157*3.3058,-1)</f>
        <v>30310</v>
      </c>
    </row>
    <row r="158" spans="1:7" x14ac:dyDescent="0.3">
      <c r="A158" s="2">
        <v>2</v>
      </c>
      <c r="C158" s="38" t="s">
        <v>52</v>
      </c>
      <c r="D158" s="42">
        <f>TRUNC(9104,-1)</f>
        <v>9100</v>
      </c>
      <c r="E158" s="63">
        <f>TRUNC(+D158*3.3058,-1)</f>
        <v>30080</v>
      </c>
    </row>
    <row r="159" spans="1:7" x14ac:dyDescent="0.3">
      <c r="A159" s="2">
        <v>3</v>
      </c>
      <c r="C159" s="38" t="s">
        <v>47</v>
      </c>
      <c r="D159" s="42">
        <f>TRUNC(17337,-1)</f>
        <v>17330</v>
      </c>
      <c r="E159" s="63">
        <f>TRUNC(+D159*3.3058,-1)</f>
        <v>57280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35600</v>
      </c>
      <c r="E161" s="39">
        <f>SUM(E157:E160)</f>
        <v>117670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2020-12-08T01:33:11Z</dcterms:modified>
</cp:coreProperties>
</file>