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36" i="4" l="1"/>
  <c r="D137" i="4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29" i="4"/>
  <c r="E128" i="4"/>
  <c r="E127" i="4"/>
  <c r="E123" i="4"/>
  <c r="E117" i="4"/>
  <c r="E113" i="4"/>
  <c r="E112" i="4"/>
  <c r="E111" i="4"/>
  <c r="E110" i="4"/>
  <c r="E109" i="4"/>
  <c r="E107" i="4"/>
  <c r="E106" i="4"/>
  <c r="E103" i="4"/>
  <c r="E94" i="4"/>
  <c r="E93" i="4"/>
  <c r="E92" i="4"/>
  <c r="E91" i="4"/>
  <c r="E89" i="4"/>
  <c r="E88" i="4"/>
  <c r="E87" i="4"/>
  <c r="E86" i="4"/>
  <c r="E85" i="4"/>
  <c r="E84" i="4"/>
  <c r="E83" i="4"/>
  <c r="E82" i="4"/>
  <c r="E81" i="4"/>
  <c r="E80" i="4"/>
  <c r="E79" i="4"/>
  <c r="E77" i="4"/>
  <c r="E76" i="4"/>
  <c r="E74" i="4"/>
  <c r="E73" i="4"/>
  <c r="E65" i="4"/>
  <c r="E64" i="4"/>
  <c r="E66" i="4" s="1"/>
  <c r="E63" i="4"/>
  <c r="E59" i="4"/>
  <c r="E57" i="4"/>
  <c r="E56" i="4"/>
  <c r="E54" i="4"/>
  <c r="E47" i="4"/>
  <c r="E161" i="4" l="1"/>
  <c r="E146" i="4"/>
  <c r="D159" i="4"/>
  <c r="E159" i="4" s="1"/>
  <c r="D152" i="4"/>
  <c r="E152" i="4" s="1"/>
  <c r="E154" i="4" s="1"/>
  <c r="D132" i="4"/>
  <c r="E132" i="4" s="1"/>
  <c r="D130" i="4"/>
  <c r="E130" i="4" s="1"/>
  <c r="D126" i="4"/>
  <c r="E126" i="4" s="1"/>
  <c r="D125" i="4"/>
  <c r="E125" i="4" s="1"/>
  <c r="D124" i="4"/>
  <c r="E124" i="4" s="1"/>
  <c r="D122" i="4"/>
  <c r="E122" i="4" s="1"/>
  <c r="D118" i="4"/>
  <c r="E118" i="4" s="1"/>
  <c r="D116" i="4"/>
  <c r="E116" i="4" s="1"/>
  <c r="D115" i="4"/>
  <c r="E115" i="4" s="1"/>
  <c r="D114" i="4"/>
  <c r="E114" i="4" s="1"/>
  <c r="D108" i="4"/>
  <c r="E108" i="4" s="1"/>
  <c r="D105" i="4"/>
  <c r="E105" i="4" s="1"/>
  <c r="D104" i="4"/>
  <c r="E104" i="4" s="1"/>
  <c r="D102" i="4"/>
  <c r="E102" i="4" s="1"/>
  <c r="D101" i="4"/>
  <c r="E101" i="4" s="1"/>
  <c r="D100" i="4"/>
  <c r="E100" i="4" s="1"/>
  <c r="D99" i="4"/>
  <c r="E99" i="4" s="1"/>
  <c r="D98" i="4"/>
  <c r="E98" i="4" s="1"/>
  <c r="D90" i="4"/>
  <c r="E90" i="4" s="1"/>
  <c r="D78" i="4"/>
  <c r="E78" i="4" s="1"/>
  <c r="D75" i="4"/>
  <c r="E75" i="4" s="1"/>
  <c r="D72" i="4"/>
  <c r="E72" i="4" s="1"/>
  <c r="D71" i="4"/>
  <c r="E71" i="4" s="1"/>
  <c r="D70" i="4"/>
  <c r="E70" i="4" s="1"/>
  <c r="D69" i="4"/>
  <c r="E69" i="4" s="1"/>
  <c r="E95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D37" i="4"/>
  <c r="E37" i="4" s="1"/>
  <c r="E119" i="4" l="1"/>
  <c r="E133" i="4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D66" i="4"/>
  <c r="D60" i="4"/>
  <c r="D25" i="4" s="1"/>
  <c r="E25" i="4" s="1"/>
  <c r="D24" i="4"/>
  <c r="E24" i="4" s="1"/>
  <c r="D26" i="4"/>
  <c r="E26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l="1"/>
  <c r="E34" i="4" s="1"/>
  <c r="D34" i="4"/>
</calcChain>
</file>

<file path=xl/sharedStrings.xml><?xml version="1.0" encoding="utf-8"?>
<sst xmlns="http://schemas.openxmlformats.org/spreadsheetml/2006/main" count="392" uniqueCount="268">
  <si>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</si>
  <si>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</si>
  <si>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</si>
  <si>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</si>
  <si>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</si>
  <si>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</si>
  <si>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</si>
  <si>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</si>
  <si>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</si>
  <si>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</si>
  <si>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</si>
  <si>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</si>
  <si>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</si>
  <si>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</si>
  <si>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</si>
  <si>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</si>
  <si>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</si>
  <si>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</si>
  <si>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</si>
  <si>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</si>
  <si>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</si>
  <si>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</si>
  <si>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</si>
  <si>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</si>
  <si>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</si>
  <si>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</si>
  <si>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</si>
  <si>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</si>
  <si>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</si>
  <si>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</si>
  <si>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</si>
  <si>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</si>
  <si>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</si>
  <si>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</si>
  <si>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</si>
  <si>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</si>
  <si>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</si>
  <si>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</si>
  <si>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</si>
  <si>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</si>
  <si>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</si>
  <si>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</si>
  <si>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</si>
  <si>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</si>
  <si>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</si>
  <si>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</si>
  <si>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</si>
  <si>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</si>
  <si>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</si>
  <si>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</si>
  <si>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</si>
  <si>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</si>
  <si>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</si>
  <si>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</si>
  <si>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</si>
  <si>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</si>
  <si>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</si>
  <si>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</si>
  <si>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</si>
  <si>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</si>
  <si>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</si>
  <si>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</si>
  <si>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</si>
  <si>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</si>
  <si>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</si>
  <si>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</si>
  <si>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</si>
  <si>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</si>
  <si>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</si>
  <si>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</si>
  <si>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</si>
  <si>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</si>
  <si>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</si>
  <si>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</si>
  <si>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</si>
  <si>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</si>
  <si>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</si>
  <si>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</si>
  <si>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</si>
  <si>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</si>
  <si>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</si>
  <si>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</si>
  <si>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</si>
  <si>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</si>
  <si>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</si>
  <si>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</si>
  <si>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</si>
  <si>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</si>
  <si>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</si>
  <si>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</si>
  <si>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</si>
  <si>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</si>
  <si>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</si>
  <si>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</si>
  <si>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</si>
  <si>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</si>
  <si>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</si>
  <si>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</si>
  <si>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</si>
  <si>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</si>
  <si>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</si>
  <si>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</si>
  <si>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</si>
  <si>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</si>
  <si>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</si>
  <si>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</si>
  <si>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</si>
  <si>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</si>
  <si>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</si>
  <si>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</si>
  <si>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</si>
  <si>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</si>
  <si>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</si>
  <si>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</si>
  <si>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</si>
  <si>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</si>
  <si>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</si>
  <si>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</si>
  <si>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</si>
  <si>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</si>
  <si>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</si>
  <si>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</si>
  <si>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</si>
  <si>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</si>
  <si>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</si>
  <si>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</si>
  <si>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</si>
  <si>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</si>
  <si>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</si>
  <si>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</si>
  <si>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</si>
  <si>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</si>
  <si>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</si>
  <si>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</si>
  <si>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</si>
  <si>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</si>
  <si>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</si>
  <si>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</si>
  <si>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</si>
  <si>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</si>
  <si>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</si>
  <si>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</si>
  <si>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</si>
  <si>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</si>
  <si>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</si>
  <si>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</si>
  <si>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</si>
  <si>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</si>
  <si>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</si>
  <si>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</si>
  <si>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</si>
  <si>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</si>
  <si>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</si>
  <si>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</si>
  <si>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</si>
  <si>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</si>
  <si>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</si>
  <si>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</si>
  <si>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</si>
  <si>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</si>
  <si>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</si>
  <si>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</si>
  <si>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</si>
  <si>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</si>
  <si>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</si>
  <si>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</si>
  <si>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</si>
  <si>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</si>
  <si>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</si>
  <si>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</si>
  <si>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</si>
  <si>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</si>
  <si>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</si>
  <si>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</si>
  <si>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</si>
  <si>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</si>
  <si>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</si>
  <si>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</si>
  <si>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</si>
  <si>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</si>
  <si>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</si>
  <si>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</si>
  <si>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</si>
  <si>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</si>
  <si>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</si>
  <si>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</si>
  <si>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</si>
  <si>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</si>
  <si>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</si>
  <si>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</si>
  <si>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</si>
  <si>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</si>
  <si>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</si>
  <si>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</si>
  <si>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</si>
  <si>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</si>
  <si>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</si>
  <si>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</si>
  <si>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</si>
  <si>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</si>
  <si>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</si>
  <si>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</si>
  <si>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</si>
  <si>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</si>
  <si>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</si>
  <si>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</si>
  <si>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</si>
  <si>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</si>
  <si>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</si>
  <si>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</si>
  <si>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</si>
  <si>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</si>
  <si>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</si>
  <si>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</si>
  <si>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</si>
  <si>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</si>
  <si>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</si>
  <si>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</si>
  <si>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</si>
  <si>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</si>
  <si>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</si>
  <si>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</si>
  <si>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</si>
  <si>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</si>
  <si>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</si>
  <si>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</si>
  <si>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</si>
  <si>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</si>
  <si>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</si>
  <si>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</si>
  <si>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</si>
  <si>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</si>
  <si>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</si>
  <si>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</si>
  <si>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</si>
  <si>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</si>
  <si>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</si>
  <si>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</si>
  <si>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</si>
  <si>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</si>
  <si>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</si>
  <si>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</si>
  <si>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</si>
  <si>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</si>
  <si>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</si>
  <si>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</si>
  <si>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</si>
  <si>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0000자원연구소 신축공사</t>
    <phoneticPr fontId="2" type="noConversion"/>
  </si>
  <si>
    <t>교육연구</t>
  </si>
  <si>
    <t>경상도</t>
  </si>
  <si>
    <t>가설공사,가설및기초공사</t>
    <phoneticPr fontId="2" type="noConversion"/>
  </si>
  <si>
    <t>건설폐기물처리비,골재비,구조용집성재공사,수전설비공사,수평/수직커튼개폐장치설치공사,스프링쿨러설비공사,외장공사,운반비,작업설부산물,전기난방기설치공사,천/측창개폐장치설치공사,토공사,품질관리비,피복설치공사,환기휀일설치공사,AL설치공사</t>
    <phoneticPr fontId="2" type="noConversion"/>
  </si>
  <si>
    <t>전력제어설비공사,조명제어설비공사</t>
    <phoneticPr fontId="2" type="noConversion"/>
  </si>
  <si>
    <t>태영광설비공사,가설공사</t>
    <phoneticPr fontId="2" type="noConversion"/>
  </si>
  <si>
    <t>옥외방송설비공사,방송설비공사</t>
    <phoneticPr fontId="2" type="noConversion"/>
  </si>
  <si>
    <t>옥외CCTV설비공사,CCTV설비공사</t>
    <phoneticPr fontId="2" type="noConversion"/>
  </si>
  <si>
    <t>부대토목공사(흙막이공사포함)</t>
    <phoneticPr fontId="2" type="noConversion"/>
  </si>
  <si>
    <t>부대조경공사</t>
    <phoneticPr fontId="2" type="noConversion"/>
  </si>
  <si>
    <t>원 /평</t>
    <phoneticPr fontId="2" type="noConversion"/>
  </si>
  <si>
    <t>원 /평</t>
    <phoneticPr fontId="2" type="noConversion"/>
  </si>
  <si>
    <t>전기 소방공사</t>
    <phoneticPr fontId="2" type="noConversion"/>
  </si>
  <si>
    <t>기계 소화설비공사</t>
    <phoneticPr fontId="2" type="noConversion"/>
  </si>
  <si>
    <t>공조배관공사,위생배관공사,정화조설치공사,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</si>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</sst>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3993</v>
      </c>
      <c r="D7" s="36">
        <f>+C7/3.3058</f>
        <v>1207.8770645532095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258</v>
      </c>
    </row>
    <row r="24" spans="1:5" x14ac:dyDescent="0.3">
      <c r="B24" s="2">
        <v>1</v>
      </c>
      <c r="C24" s="35" t="s">
        <v>110</v>
      </c>
      <c r="D24" s="41">
        <f>+D37</f>
        <v>17820</v>
      </c>
      <c r="E24" s="58">
        <f t="shared" ref="E24:E33" si="0">TRUNC(+D24*3.3058,-1)</f>
        <v>58900</v>
      </c>
    </row>
    <row r="25" spans="1:5" x14ac:dyDescent="0.3">
      <c r="B25" s="2">
        <v>2</v>
      </c>
      <c r="C25" s="35" t="s">
        <v>111</v>
      </c>
      <c r="D25" s="45">
        <f>+D60</f>
        <v>783380</v>
      </c>
      <c r="E25" s="59">
        <f t="shared" si="0"/>
        <v>2589690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211010</v>
      </c>
      <c r="E27" s="59">
        <f t="shared" si="0"/>
        <v>697550</v>
      </c>
    </row>
    <row r="28" spans="1:5" x14ac:dyDescent="0.3">
      <c r="B28" s="2">
        <v>5</v>
      </c>
      <c r="C28" s="35" t="s">
        <v>97</v>
      </c>
      <c r="D28" s="45">
        <f>+D119</f>
        <v>123470</v>
      </c>
      <c r="E28" s="59">
        <f t="shared" si="0"/>
        <v>408160</v>
      </c>
    </row>
    <row r="29" spans="1:5" x14ac:dyDescent="0.3">
      <c r="B29" s="2">
        <v>6</v>
      </c>
      <c r="C29" s="35" t="s">
        <v>98</v>
      </c>
      <c r="D29" s="45">
        <f>+D133</f>
        <v>68190</v>
      </c>
      <c r="E29" s="59">
        <f t="shared" si="0"/>
        <v>225420</v>
      </c>
    </row>
    <row r="30" spans="1:5" x14ac:dyDescent="0.3">
      <c r="B30" s="2">
        <v>7</v>
      </c>
      <c r="C30" s="35" t="s">
        <v>99</v>
      </c>
      <c r="D30" s="45">
        <f>+D146</f>
        <v>27690</v>
      </c>
      <c r="E30" s="59">
        <f t="shared" si="0"/>
        <v>91530</v>
      </c>
    </row>
    <row r="31" spans="1:5" x14ac:dyDescent="0.3">
      <c r="B31" s="2">
        <v>8</v>
      </c>
      <c r="C31" s="35" t="s">
        <v>100</v>
      </c>
      <c r="D31" s="45">
        <f>+D154</f>
        <v>103330</v>
      </c>
      <c r="E31" s="59">
        <f t="shared" si="0"/>
        <v>341580</v>
      </c>
    </row>
    <row r="32" spans="1:5" x14ac:dyDescent="0.3">
      <c r="B32" s="2">
        <v>9</v>
      </c>
      <c r="C32" s="35" t="s">
        <v>101</v>
      </c>
      <c r="D32" s="45">
        <f>+D161</f>
        <v>45420</v>
      </c>
      <c r="E32" s="59">
        <f t="shared" si="0"/>
        <v>150140</v>
      </c>
    </row>
    <row r="33" spans="1:7" x14ac:dyDescent="0.3">
      <c r="B33" s="2">
        <v>10</v>
      </c>
      <c r="C33" s="35" t="s">
        <v>153</v>
      </c>
      <c r="D33" s="53">
        <f>TRUNC(SUM(D24:D32)*0.275,-1)</f>
        <v>379580</v>
      </c>
      <c r="E33" s="60">
        <f t="shared" si="0"/>
        <v>1254810</v>
      </c>
    </row>
    <row r="34" spans="1:7" x14ac:dyDescent="0.3">
      <c r="C34" s="35" t="s">
        <v>112</v>
      </c>
      <c r="D34" s="44">
        <f>SUM(D24:D33)</f>
        <v>1759890</v>
      </c>
      <c r="E34" s="44">
        <f>SUM(E24:E33)</f>
        <v>5817780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258</v>
      </c>
      <c r="G36" s="55"/>
    </row>
    <row r="37" spans="1:7" ht="17.25" thickBot="1" x14ac:dyDescent="0.35">
      <c r="C37" s="38" t="s">
        <v>143</v>
      </c>
      <c r="D37" s="52">
        <f>TRUNC(17823,-1)</f>
        <v>17820</v>
      </c>
      <c r="E37" s="61">
        <f>TRUNC(+D37*3.3058,-1)</f>
        <v>58900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TRUNC(30312+5679,-1)</f>
        <v>35990</v>
      </c>
      <c r="E40" s="62">
        <f t="shared" ref="E40:E59" si="1">TRUNC(+D40*3.3058,-1)</f>
        <v>118970</v>
      </c>
      <c r="F40" s="2" t="s">
        <v>250</v>
      </c>
    </row>
    <row r="41" spans="1:7" x14ac:dyDescent="0.3">
      <c r="A41" s="2">
        <v>2</v>
      </c>
      <c r="C41" s="38" t="s">
        <v>13</v>
      </c>
      <c r="D41" s="42">
        <f>TRUNC(89521,-1)</f>
        <v>89520</v>
      </c>
      <c r="E41" s="63">
        <f t="shared" si="1"/>
        <v>295930</v>
      </c>
    </row>
    <row r="42" spans="1:7" x14ac:dyDescent="0.3">
      <c r="A42" s="2">
        <v>3</v>
      </c>
      <c r="C42" s="38" t="s">
        <v>14</v>
      </c>
      <c r="D42" s="42">
        <f>TRUNC(9495,-1)</f>
        <v>9490</v>
      </c>
      <c r="E42" s="63">
        <f t="shared" si="1"/>
        <v>31370</v>
      </c>
    </row>
    <row r="43" spans="1:7" x14ac:dyDescent="0.3">
      <c r="A43" s="2">
        <v>4</v>
      </c>
      <c r="C43" s="38" t="s">
        <v>16</v>
      </c>
      <c r="D43" s="42">
        <f>TRUNC(17273,-1)</f>
        <v>17270</v>
      </c>
      <c r="E43" s="63">
        <f t="shared" si="1"/>
        <v>57090</v>
      </c>
    </row>
    <row r="44" spans="1:7" x14ac:dyDescent="0.3">
      <c r="A44" s="2">
        <v>5</v>
      </c>
      <c r="C44" s="38" t="s">
        <v>17</v>
      </c>
      <c r="D44" s="42">
        <f>TRUNC(19672,-1)</f>
        <v>19670</v>
      </c>
      <c r="E44" s="63">
        <f t="shared" si="1"/>
        <v>65020</v>
      </c>
    </row>
    <row r="45" spans="1:7" x14ac:dyDescent="0.3">
      <c r="A45" s="2">
        <v>6</v>
      </c>
      <c r="C45" s="38" t="s">
        <v>18</v>
      </c>
      <c r="D45" s="42">
        <f>TRUNC(13914,-1)</f>
        <v>13910</v>
      </c>
      <c r="E45" s="63">
        <f t="shared" si="1"/>
        <v>45980</v>
      </c>
    </row>
    <row r="46" spans="1:7" x14ac:dyDescent="0.3">
      <c r="A46" s="2">
        <v>7</v>
      </c>
      <c r="C46" s="38" t="s">
        <v>19</v>
      </c>
      <c r="D46" s="42">
        <f>TRUNC(3409,-1)</f>
        <v>3400</v>
      </c>
      <c r="E46" s="63">
        <f t="shared" si="1"/>
        <v>11230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TRUNC(47476,-1)</f>
        <v>47470</v>
      </c>
      <c r="E48" s="63">
        <f t="shared" si="1"/>
        <v>156920</v>
      </c>
    </row>
    <row r="49" spans="1:7" x14ac:dyDescent="0.3">
      <c r="A49" s="2">
        <v>10</v>
      </c>
      <c r="C49" s="38" t="s">
        <v>22</v>
      </c>
      <c r="D49" s="42">
        <f>TRUNC(15791,-1)</f>
        <v>15790</v>
      </c>
      <c r="E49" s="63">
        <f t="shared" si="1"/>
        <v>52190</v>
      </c>
    </row>
    <row r="50" spans="1:7" x14ac:dyDescent="0.3">
      <c r="A50" s="2">
        <v>11</v>
      </c>
      <c r="C50" s="38" t="s">
        <v>154</v>
      </c>
      <c r="D50" s="42">
        <f>TRUNC(52066,-1)</f>
        <v>52060</v>
      </c>
      <c r="E50" s="63">
        <f t="shared" si="1"/>
        <v>172090</v>
      </c>
    </row>
    <row r="51" spans="1:7" x14ac:dyDescent="0.3">
      <c r="A51" s="2">
        <v>12</v>
      </c>
      <c r="C51" s="38" t="s">
        <v>23</v>
      </c>
      <c r="D51" s="42">
        <f>TRUNC(22727,-1)</f>
        <v>22720</v>
      </c>
      <c r="E51" s="63">
        <f t="shared" si="1"/>
        <v>75100</v>
      </c>
    </row>
    <row r="52" spans="1:7" x14ac:dyDescent="0.3">
      <c r="A52" s="2">
        <v>13</v>
      </c>
      <c r="C52" s="38" t="s">
        <v>24</v>
      </c>
      <c r="D52" s="42">
        <f>TRUNC(23255,-1)</f>
        <v>23250</v>
      </c>
      <c r="E52" s="63">
        <f t="shared" si="1"/>
        <v>76850</v>
      </c>
    </row>
    <row r="53" spans="1:7" x14ac:dyDescent="0.3">
      <c r="A53" s="2">
        <v>14</v>
      </c>
      <c r="C53" s="38" t="s">
        <v>25</v>
      </c>
      <c r="D53" s="42">
        <f>TRUNC(119661,-1)</f>
        <v>119660</v>
      </c>
      <c r="E53" s="63">
        <f t="shared" si="1"/>
        <v>395570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TRUNC(1518,-1)</f>
        <v>1510</v>
      </c>
      <c r="E55" s="63">
        <f t="shared" si="1"/>
        <v>4990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TRUNC(870+3422+86033+450+6181+577+194192+1256-801+7438+2362+48+1997+2361+761+4527,-1)</f>
        <v>311670</v>
      </c>
      <c r="E58" s="63">
        <f t="shared" si="1"/>
        <v>1030310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783380</v>
      </c>
      <c r="E60" s="39">
        <f>SUM(E40:E59)</f>
        <v>2589610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259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234</v>
      </c>
      <c r="E68" s="57" t="s">
        <v>259</v>
      </c>
      <c r="G68" s="55"/>
    </row>
    <row r="69" spans="1:7" x14ac:dyDescent="0.3">
      <c r="A69" s="2">
        <v>1</v>
      </c>
      <c r="C69" s="38" t="s">
        <v>30</v>
      </c>
      <c r="D69" s="40">
        <f>TRUNC(66089,-1)</f>
        <v>66080</v>
      </c>
      <c r="E69" s="62">
        <f t="shared" ref="E69:E94" si="2">TRUNC(+D69*3.3058,-1)</f>
        <v>218440</v>
      </c>
    </row>
    <row r="70" spans="1:7" ht="16.5" customHeight="1" x14ac:dyDescent="0.3">
      <c r="A70" s="2">
        <v>2</v>
      </c>
      <c r="C70" s="38" t="s">
        <v>31</v>
      </c>
      <c r="D70" s="42">
        <f>TRUNC(5967,-1)</f>
        <v>5960</v>
      </c>
      <c r="E70" s="63">
        <f t="shared" si="2"/>
        <v>19700</v>
      </c>
    </row>
    <row r="71" spans="1:7" x14ac:dyDescent="0.3">
      <c r="A71" s="2">
        <v>3</v>
      </c>
      <c r="C71" s="38" t="s">
        <v>32</v>
      </c>
      <c r="D71" s="42">
        <f>TRUNC(6953,-1)</f>
        <v>6950</v>
      </c>
      <c r="E71" s="63">
        <f t="shared" si="2"/>
        <v>22970</v>
      </c>
    </row>
    <row r="72" spans="1:7" x14ac:dyDescent="0.3">
      <c r="A72" s="2">
        <v>4</v>
      </c>
      <c r="C72" s="38" t="s">
        <v>33</v>
      </c>
      <c r="D72" s="42">
        <f>TRUNC(10256,-1)</f>
        <v>10250</v>
      </c>
      <c r="E72" s="63">
        <f t="shared" si="2"/>
        <v>33880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TRUNC(3749,-1)</f>
        <v>3740</v>
      </c>
      <c r="E75" s="63">
        <f t="shared" si="2"/>
        <v>12360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TRUNC(59111,-1)</f>
        <v>59110</v>
      </c>
      <c r="E78" s="63">
        <f t="shared" si="2"/>
        <v>195400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TRUNC(2891,-1)</f>
        <v>2890</v>
      </c>
      <c r="E90" s="63">
        <f t="shared" si="2"/>
        <v>9550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TRUNC(2759+17769+35365+143,-1)</f>
        <v>56030</v>
      </c>
      <c r="E94" s="64">
        <f t="shared" si="2"/>
        <v>185220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211010</v>
      </c>
      <c r="E95" s="39">
        <f>SUM(E69:E94)</f>
        <v>697520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234</v>
      </c>
      <c r="E97" s="57" t="s">
        <v>259</v>
      </c>
      <c r="G97" s="55"/>
    </row>
    <row r="98" spans="1:7" x14ac:dyDescent="0.3">
      <c r="A98" s="2">
        <v>1</v>
      </c>
      <c r="C98" s="38" t="s">
        <v>39</v>
      </c>
      <c r="D98" s="40">
        <f>TRUNC(18675,-1)</f>
        <v>18670</v>
      </c>
      <c r="E98" s="62">
        <f t="shared" ref="E98:E118" si="3">TRUNC(+D98*3.3058,-1)</f>
        <v>61710</v>
      </c>
    </row>
    <row r="99" spans="1:7" x14ac:dyDescent="0.3">
      <c r="A99" s="2">
        <v>2</v>
      </c>
      <c r="C99" s="38" t="s">
        <v>40</v>
      </c>
      <c r="D99" s="42">
        <f>TRUNC(15672,-1)</f>
        <v>15670</v>
      </c>
      <c r="E99" s="63">
        <f t="shared" si="3"/>
        <v>51800</v>
      </c>
    </row>
    <row r="100" spans="1:7" x14ac:dyDescent="0.3">
      <c r="A100" s="2">
        <v>3</v>
      </c>
      <c r="C100" s="38" t="s">
        <v>41</v>
      </c>
      <c r="D100" s="42">
        <f>TRUNC(22345,-1)</f>
        <v>22340</v>
      </c>
      <c r="E100" s="63">
        <f t="shared" si="3"/>
        <v>73850</v>
      </c>
    </row>
    <row r="101" spans="1:7" x14ac:dyDescent="0.3">
      <c r="A101" s="2">
        <v>4</v>
      </c>
      <c r="C101" s="38" t="s">
        <v>42</v>
      </c>
      <c r="D101" s="42">
        <f>TRUNC(375+2036,-1)</f>
        <v>2410</v>
      </c>
      <c r="E101" s="63">
        <f t="shared" si="3"/>
        <v>7960</v>
      </c>
      <c r="F101" s="2" t="s">
        <v>252</v>
      </c>
    </row>
    <row r="102" spans="1:7" x14ac:dyDescent="0.3">
      <c r="A102" s="2">
        <v>5</v>
      </c>
      <c r="C102" s="38" t="s">
        <v>43</v>
      </c>
      <c r="D102" s="42">
        <f>TRUNC(11160,-1)</f>
        <v>11160</v>
      </c>
      <c r="E102" s="63">
        <f t="shared" si="3"/>
        <v>36890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TRUNC(19819,-1)</f>
        <v>19810</v>
      </c>
      <c r="E104" s="63">
        <f t="shared" si="3"/>
        <v>65480</v>
      </c>
    </row>
    <row r="105" spans="1:7" x14ac:dyDescent="0.3">
      <c r="A105" s="2">
        <v>8</v>
      </c>
      <c r="C105" s="38" t="s">
        <v>46</v>
      </c>
      <c r="D105" s="42">
        <f>TRUNC(6346,-1)</f>
        <v>6340</v>
      </c>
      <c r="E105" s="63">
        <f t="shared" si="3"/>
        <v>20950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TRUNC(3543,-1)</f>
        <v>3540</v>
      </c>
      <c r="E108" s="63">
        <f t="shared" si="3"/>
        <v>11700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TRUNC(5705,-1)</f>
        <v>5700</v>
      </c>
      <c r="E114" s="63">
        <f t="shared" si="3"/>
        <v>18840</v>
      </c>
    </row>
    <row r="115" spans="1:7" x14ac:dyDescent="0.3">
      <c r="A115" s="2">
        <v>18</v>
      </c>
      <c r="C115" s="38" t="s">
        <v>116</v>
      </c>
      <c r="D115" s="42">
        <f>TRUNC(2853,-1)</f>
        <v>2850</v>
      </c>
      <c r="E115" s="63">
        <f t="shared" si="3"/>
        <v>9420</v>
      </c>
    </row>
    <row r="116" spans="1:7" x14ac:dyDescent="0.3">
      <c r="A116" s="2">
        <v>19</v>
      </c>
      <c r="C116" s="38" t="s">
        <v>115</v>
      </c>
      <c r="D116" s="42">
        <f>TRUNC(11803,-1)</f>
        <v>11800</v>
      </c>
      <c r="E116" s="63">
        <f t="shared" si="3"/>
        <v>39000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TRUNC(2009+1178,-1)</f>
        <v>3180</v>
      </c>
      <c r="E118" s="64">
        <f t="shared" si="3"/>
        <v>10510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123470</v>
      </c>
      <c r="E119" s="39">
        <f>SUM(E98:E118)</f>
        <v>408110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234</v>
      </c>
      <c r="E121" s="57" t="s">
        <v>259</v>
      </c>
      <c r="G121" s="55"/>
    </row>
    <row r="122" spans="1:7" x14ac:dyDescent="0.3">
      <c r="A122" s="2">
        <v>1</v>
      </c>
      <c r="C122" s="38" t="s">
        <v>55</v>
      </c>
      <c r="D122" s="40">
        <f>TRUNC(3359,-1)</f>
        <v>3350</v>
      </c>
      <c r="E122" s="62">
        <f t="shared" ref="E122:E132" si="4">TRUNC(+D122*3.3058,-1)</f>
        <v>11070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TRUNC(948,-1)</f>
        <v>940</v>
      </c>
      <c r="E124" s="63">
        <f t="shared" si="4"/>
        <v>3100</v>
      </c>
    </row>
    <row r="125" spans="1:7" x14ac:dyDescent="0.3">
      <c r="A125" s="2">
        <v>4</v>
      </c>
      <c r="C125" s="38" t="s">
        <v>138</v>
      </c>
      <c r="D125" s="42">
        <f>TRUNC(3279+4804,-1)</f>
        <v>8080</v>
      </c>
      <c r="E125" s="63">
        <f t="shared" si="4"/>
        <v>26710</v>
      </c>
      <c r="F125" s="2" t="s">
        <v>254</v>
      </c>
    </row>
    <row r="126" spans="1:7" x14ac:dyDescent="0.3">
      <c r="A126" s="2">
        <v>5</v>
      </c>
      <c r="C126" s="38" t="s">
        <v>53</v>
      </c>
      <c r="D126" s="42">
        <f>TRUNC(12866,-1)</f>
        <v>12860</v>
      </c>
      <c r="E126" s="63">
        <f t="shared" si="4"/>
        <v>42510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TRUNC(32573,-1)</f>
        <v>32570</v>
      </c>
      <c r="E130" s="63">
        <f t="shared" si="4"/>
        <v>107660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TRUNC(8923+1476,-1)</f>
        <v>10390</v>
      </c>
      <c r="E132" s="64">
        <f t="shared" si="4"/>
        <v>34340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68190</v>
      </c>
      <c r="E133" s="39">
        <f>SUM(E122:E132)</f>
        <v>225390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234</v>
      </c>
      <c r="E135" s="57" t="s">
        <v>259</v>
      </c>
      <c r="G135" s="55"/>
    </row>
    <row r="136" spans="1:7" x14ac:dyDescent="0.3">
      <c r="A136" s="2">
        <v>1</v>
      </c>
      <c r="C136" s="38" t="s">
        <v>131</v>
      </c>
      <c r="D136" s="40">
        <f>TRUNC(12910,-1)</f>
        <v>12910</v>
      </c>
      <c r="E136" s="62">
        <f t="shared" ref="E136:E145" si="5">TRUNC(+D136*3.3058,-1)</f>
        <v>42670</v>
      </c>
      <c r="F136" s="2" t="s">
        <v>261</v>
      </c>
    </row>
    <row r="137" spans="1:7" x14ac:dyDescent="0.3">
      <c r="A137" s="2">
        <v>2</v>
      </c>
      <c r="C137" s="38" t="s">
        <v>47</v>
      </c>
      <c r="D137" s="42">
        <f>TRUNC(14780,-1)</f>
        <v>14780</v>
      </c>
      <c r="E137" s="63">
        <f t="shared" si="5"/>
        <v>48850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27690</v>
      </c>
      <c r="E146" s="39">
        <f>SUM(E136:E145)</f>
        <v>91520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234</v>
      </c>
      <c r="E148" s="57" t="s">
        <v>259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TRUNC(103335,-1)</f>
        <v>103330</v>
      </c>
      <c r="E152" s="63">
        <f>TRUNC(+D152*3.3058,-1)</f>
        <v>341580</v>
      </c>
      <c r="F152" s="2" t="s">
        <v>256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103330</v>
      </c>
      <c r="E154" s="39">
        <f>SUM(E149:E153)</f>
        <v>341580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234</v>
      </c>
      <c r="E156" s="57" t="s">
        <v>259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TRUNC(45422,-1)</f>
        <v>45420</v>
      </c>
      <c r="E159" s="63">
        <f>TRUNC(+D159*3.3058,-1)</f>
        <v>150140</v>
      </c>
      <c r="F159" s="2" t="s">
        <v>257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45420</v>
      </c>
      <c r="E161" s="39">
        <f>SUM(E157:E160)</f>
        <v>150140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2020-12-07T09:52:05Z</dcterms:modified>
</cp:coreProperties>
</file>