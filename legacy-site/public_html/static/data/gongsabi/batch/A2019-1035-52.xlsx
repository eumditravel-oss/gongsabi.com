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53" i="4"/>
  <c r="D160" i="4"/>
  <c r="D159" i="4"/>
  <c r="D158" i="4"/>
  <c r="D157" i="4"/>
  <c r="D152" i="4"/>
  <c r="D151" i="4"/>
  <c r="D150" i="4"/>
  <c r="D149" i="4"/>
  <c r="D137" i="4"/>
  <c r="D144" i="4"/>
  <c r="D143" i="4"/>
  <c r="D139" i="4"/>
  <c r="D141" i="4"/>
  <c r="D142" i="4"/>
  <c r="D140" i="4"/>
  <c r="D132" i="4"/>
  <c r="D128" i="4"/>
  <c r="D127" i="4"/>
  <c r="D124" i="4"/>
  <c r="D125" i="4"/>
  <c r="D122" i="4"/>
  <c r="D130" i="4"/>
  <c r="D126" i="4"/>
  <c r="D118" i="4"/>
  <c r="D105" i="4"/>
  <c r="D104" i="4"/>
  <c r="D103" i="4"/>
  <c r="D102" i="4"/>
  <c r="D100" i="4"/>
  <c r="D99" i="4"/>
  <c r="D114" i="4"/>
  <c r="D98" i="4"/>
  <c r="D116" i="4"/>
  <c r="D92" i="4"/>
  <c r="D91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<sst xmlns="http://schemas.openxmlformats.org/spreadsheetml/2006/main" count="395" uniqueCount="269">
  <si>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</si>
  <si>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</si>
  <si>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</si>
  <si>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</si>
  <si>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</si>
  <si>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</si>
  <si>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</si>
  <si>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</si>
  <si>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</si>
  <si>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</si>
  <si>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</si>
  <si>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</si>
  <si>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</si>
  <si>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</si>
  <si>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</si>
  <si>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</si>
  <si>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</si>
  <si>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</si>
  <si>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</si>
  <si>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</si>
  <si>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</si>
  <si>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</si>
  <si>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</si>
  <si>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</si>
  <si>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</si>
  <si>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</si>
  <si>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</si>
  <si>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</si>
  <si>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</si>
  <si>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</si>
  <si>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</si>
  <si>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</si>
  <si>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</si>
  <si>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</si>
  <si>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</si>
  <si>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</si>
  <si>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</si>
  <si>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</si>
  <si>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</si>
  <si>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</si>
  <si>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</si>
  <si>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</si>
  <si>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</si>
  <si>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</si>
  <si>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</si>
  <si>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</si>
  <si>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</si>
  <si>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</si>
  <si>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</si>
  <si>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</si>
  <si>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</si>
  <si>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</si>
  <si>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</si>
  <si>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</si>
  <si>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</si>
  <si>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</si>
  <si>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</si>
  <si>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</si>
  <si>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</si>
  <si>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</si>
  <si>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</si>
  <si>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</si>
  <si>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</si>
  <si>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</si>
  <si>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</si>
  <si>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</si>
  <si>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</si>
  <si>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</si>
  <si>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</si>
  <si>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</si>
  <si>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</si>
  <si>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</si>
  <si>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</si>
  <si>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</si>
  <si>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</si>
  <si>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</si>
  <si>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</si>
  <si>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</si>
  <si>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</si>
  <si>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</si>
  <si>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</si>
  <si>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</si>
  <si>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</si>
  <si>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</si>
  <si>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</si>
  <si>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</si>
  <si>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</si>
  <si>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</si>
  <si>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</si>
  <si>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</si>
  <si>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</si>
  <si>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</si>
  <si>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</si>
  <si>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</si>
  <si>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</si>
  <si>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</si>
  <si>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</si>
  <si>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</si>
  <si>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</si>
  <si>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</si>
  <si>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</si>
  <si>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</si>
  <si>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</si>
  <si>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</si>
  <si>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</si>
  <si>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</si>
  <si>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</si>
  <si>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</si>
  <si>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</si>
  <si>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</si>
  <si>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</si>
  <si>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</si>
  <si>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</si>
  <si>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</si>
  <si>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</si>
  <si>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</si>
  <si>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</si>
  <si>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</si>
  <si>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</si>
  <si>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</si>
  <si>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</si>
  <si>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</si>
  <si>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</si>
  <si>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</si>
  <si>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</si>
  <si>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</si>
  <si>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</si>
  <si>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</si>
  <si>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</si>
  <si>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</si>
  <si>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</si>
  <si>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</si>
  <si>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</si>
  <si>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</si>
  <si>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</si>
  <si>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</si>
  <si>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</si>
  <si>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</si>
  <si>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</si>
  <si>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</si>
  <si>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</si>
  <si>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</si>
  <si>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</si>
  <si>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</si>
  <si>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</si>
  <si>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</si>
  <si>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</si>
  <si>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</si>
  <si>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</si>
  <si>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</si>
  <si>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</si>
  <si>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</si>
  <si>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</si>
  <si>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</si>
  <si>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</si>
  <si>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</si>
  <si>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</si>
  <si>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</si>
  <si>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</si>
  <si>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</si>
  <si>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</si>
  <si>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</si>
  <si>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</si>
  <si>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</si>
  <si>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</si>
  <si>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</si>
  <si>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</si>
  <si>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</si>
  <si>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</si>
  <si>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</si>
  <si>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</si>
  <si>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</si>
  <si>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</si>
  <si>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</si>
  <si>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</si>
  <si>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</si>
  <si>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</si>
  <si>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</si>
  <si>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</si>
  <si>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</si>
  <si>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</si>
  <si>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</si>
  <si>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</si>
  <si>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</si>
  <si>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</si>
  <si>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</si>
  <si>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</si>
  <si>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</si>
  <si>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</si>
  <si>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</si>
  <si>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</si>
  <si>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</si>
  <si>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</si>
  <si>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</si>
  <si>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</si>
  <si>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</si>
  <si>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</si>
  <si>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</si>
  <si>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</si>
  <si>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</si>
  <si>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</si>
  <si>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</si>
  <si>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</si>
  <si>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</si>
  <si>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</si>
  <si>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</si>
  <si>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</si>
  <si>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</si>
  <si>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</si>
  <si>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</si>
  <si>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</si>
  <si>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</si>
  <si>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</si>
  <si>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</si>
  <si>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</si>
  <si>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</si>
  <si>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</si>
  <si>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</si>
  <si>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</si>
  <si>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</si>
  <si>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</si>
  <si>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</si>
  <si>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</si>
  <si>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</si>
  <si>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</si>
  <si>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</si>
  <si>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</si>
  <si>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</si>
  <si>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</si>
  <si>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</si>
  <si>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</si>
  <si>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</si>
  <si>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</si>
  <si>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</si>
  <si>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</si>
  <si>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</si>
  <si>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</si>
  <si>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</si>
  <si>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</si>
  <si>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</si>
  <si>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</si>
  <si>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</si>
  <si>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</si>
  <si>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</si>
  <si>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</si>
  <si>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</si>
  <si>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</si>
  <si>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</si>
  <si>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</si>
  <si>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대전보훈병원 장례식장 및 진료지원시설 건립공사(건축+기계+토목+조경)</t>
    <phoneticPr fontId="2" type="noConversion"/>
  </si>
  <si>
    <t>의료</t>
  </si>
  <si>
    <t>대전시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</si>
  <si>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</si>
  <si>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</si>
  <si>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</si>
  <si>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</si>
  <si>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</si>
  <si>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</si>
  <si>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</si>
  <si>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</si>
  <si>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</t>
    <phoneticPr fontId="2" type="noConversion"/>
  </si>
  <si>
    <t>우수공사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</si>
  <si>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</si>
  <si>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</si>
  <si>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</si>
  <si>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난방배관공사,기타공사, 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</si>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</sst>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6291.47</v>
      </c>
      <c r="D7" s="36">
        <f>+C7/3.3058</f>
        <v>1903.1611107750016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1116480</v>
      </c>
      <c r="E25" s="59">
        <f t="shared" si="0"/>
        <v>3690850</v>
      </c>
    </row>
    <row r="26" spans="1:5" x14ac:dyDescent="0.3">
      <c r="B26" s="2">
        <v>3</v>
      </c>
      <c r="C26" s="35" t="s">
        <v>95</v>
      </c>
      <c r="D26" s="45">
        <f>+D66</f>
        <v>99560</v>
      </c>
      <c r="E26" s="59">
        <f t="shared" si="0"/>
        <v>329120</v>
      </c>
    </row>
    <row r="27" spans="1:5" x14ac:dyDescent="0.3">
      <c r="B27" s="2">
        <v>4</v>
      </c>
      <c r="C27" s="35" t="s">
        <v>96</v>
      </c>
      <c r="D27" s="45">
        <f>+D95</f>
        <v>362220</v>
      </c>
      <c r="E27" s="59">
        <f t="shared" si="0"/>
        <v>1197420</v>
      </c>
    </row>
    <row r="28" spans="1:5" x14ac:dyDescent="0.3">
      <c r="B28" s="2">
        <v>5</v>
      </c>
      <c r="C28" s="35" t="s">
        <v>97</v>
      </c>
      <c r="D28" s="45">
        <f>+D119</f>
        <v>221700</v>
      </c>
      <c r="E28" s="59">
        <f t="shared" si="0"/>
        <v>732890</v>
      </c>
    </row>
    <row r="29" spans="1:5" x14ac:dyDescent="0.3">
      <c r="B29" s="2">
        <v>6</v>
      </c>
      <c r="C29" s="35" t="s">
        <v>98</v>
      </c>
      <c r="D29" s="45">
        <f>+D133</f>
        <v>130850</v>
      </c>
      <c r="E29" s="59">
        <f t="shared" si="0"/>
        <v>432560</v>
      </c>
    </row>
    <row r="30" spans="1:5" x14ac:dyDescent="0.3">
      <c r="B30" s="2">
        <v>7</v>
      </c>
      <c r="C30" s="35" t="s">
        <v>99</v>
      </c>
      <c r="D30" s="45">
        <f>+D146</f>
        <v>54520</v>
      </c>
      <c r="E30" s="59">
        <f t="shared" si="0"/>
        <v>180230</v>
      </c>
    </row>
    <row r="31" spans="1:5" x14ac:dyDescent="0.3">
      <c r="B31" s="2">
        <v>8</v>
      </c>
      <c r="C31" s="35" t="s">
        <v>100</v>
      </c>
      <c r="D31" s="45">
        <f>+D154</f>
        <v>38320</v>
      </c>
      <c r="E31" s="59">
        <f t="shared" si="0"/>
        <v>126670</v>
      </c>
    </row>
    <row r="32" spans="1:5" x14ac:dyDescent="0.3">
      <c r="B32" s="2">
        <v>9</v>
      </c>
      <c r="C32" s="35" t="s">
        <v>101</v>
      </c>
      <c r="D32" s="45">
        <f>+D161</f>
        <v>24980</v>
      </c>
      <c r="E32" s="59">
        <f t="shared" si="0"/>
        <v>82570</v>
      </c>
    </row>
    <row r="33" spans="1:7" x14ac:dyDescent="0.3">
      <c r="B33" s="2">
        <v>10</v>
      </c>
      <c r="C33" s="35" t="s">
        <v>154</v>
      </c>
      <c r="D33" s="53">
        <f>TRUNC(SUM(D24:D32)*0.275,-1)</f>
        <v>563370</v>
      </c>
      <c r="E33" s="60">
        <f t="shared" si="0"/>
        <v>1862380</v>
      </c>
    </row>
    <row r="34" spans="1:7" x14ac:dyDescent="0.3">
      <c r="C34" s="35" t="s">
        <v>112</v>
      </c>
      <c r="D34" s="44">
        <f>SUM(D24:D33)</f>
        <v>2612000</v>
      </c>
      <c r="E34" s="44">
        <f>SUM(E24:E33)</f>
        <v>8634690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TRUNC(71235,-1)</f>
        <v>71230</v>
      </c>
      <c r="E40" s="62">
        <f t="shared" ref="E40:E59" si="1">TRUNC(+D40*3.3058,-1)</f>
        <v>235470</v>
      </c>
    </row>
    <row r="41" spans="1:7" x14ac:dyDescent="0.3">
      <c r="A41" s="2">
        <v>2</v>
      </c>
      <c r="C41" s="38" t="s">
        <v>13</v>
      </c>
      <c r="D41" s="42">
        <f>TRUNC(270427,-1)</f>
        <v>270420</v>
      </c>
      <c r="E41" s="63">
        <f t="shared" si="1"/>
        <v>893950</v>
      </c>
    </row>
    <row r="42" spans="1:7" x14ac:dyDescent="0.3">
      <c r="A42" s="2">
        <v>3</v>
      </c>
      <c r="C42" s="38" t="s">
        <v>14</v>
      </c>
      <c r="D42" s="42">
        <f>TRUNC(1879,-1)</f>
        <v>1870</v>
      </c>
      <c r="E42" s="63">
        <f t="shared" si="1"/>
        <v>6180</v>
      </c>
    </row>
    <row r="43" spans="1:7" x14ac:dyDescent="0.3">
      <c r="A43" s="2">
        <v>4</v>
      </c>
      <c r="C43" s="38" t="s">
        <v>16</v>
      </c>
      <c r="D43" s="42">
        <f>TRUNC(24621,-1)</f>
        <v>24620</v>
      </c>
      <c r="E43" s="63">
        <f t="shared" si="1"/>
        <v>81380</v>
      </c>
    </row>
    <row r="44" spans="1:7" x14ac:dyDescent="0.3">
      <c r="A44" s="2">
        <v>5</v>
      </c>
      <c r="C44" s="38" t="s">
        <v>17</v>
      </c>
      <c r="D44" s="42">
        <f>TRUNC(63992,-1)</f>
        <v>63990</v>
      </c>
      <c r="E44" s="63">
        <f t="shared" si="1"/>
        <v>211530</v>
      </c>
    </row>
    <row r="45" spans="1:7" x14ac:dyDescent="0.3">
      <c r="A45" s="2">
        <v>6</v>
      </c>
      <c r="C45" s="38" t="s">
        <v>18</v>
      </c>
      <c r="D45" s="42">
        <f>TRUNC(15168,-1)</f>
        <v>15160</v>
      </c>
      <c r="E45" s="63">
        <f t="shared" si="1"/>
        <v>50110</v>
      </c>
    </row>
    <row r="46" spans="1:7" x14ac:dyDescent="0.3">
      <c r="A46" s="2">
        <v>7</v>
      </c>
      <c r="C46" s="38" t="s">
        <v>19</v>
      </c>
      <c r="D46" s="42">
        <f>TRUNC(58477,-1)</f>
        <v>58470</v>
      </c>
      <c r="E46" s="63">
        <f t="shared" si="1"/>
        <v>193290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TRUNC(58720,-1)</f>
        <v>58720</v>
      </c>
      <c r="E48" s="63">
        <f t="shared" si="1"/>
        <v>194110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TRUNC(25391,-1)</f>
        <v>25390</v>
      </c>
      <c r="E49" s="63">
        <f t="shared" si="1"/>
        <v>83930</v>
      </c>
    </row>
    <row r="50" spans="1:7" x14ac:dyDescent="0.3">
      <c r="A50" s="2">
        <v>11</v>
      </c>
      <c r="C50" s="38" t="s">
        <v>155</v>
      </c>
      <c r="D50" s="42">
        <f>TRUNC(65618,-1)</f>
        <v>65610</v>
      </c>
      <c r="E50" s="63">
        <f t="shared" si="1"/>
        <v>216890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TRUNC(16077,-1)</f>
        <v>16070</v>
      </c>
      <c r="E52" s="63">
        <f t="shared" si="1"/>
        <v>53120</v>
      </c>
    </row>
    <row r="53" spans="1:7" x14ac:dyDescent="0.3">
      <c r="A53" s="2">
        <v>14</v>
      </c>
      <c r="C53" s="38" t="s">
        <v>25</v>
      </c>
      <c r="D53" s="42">
        <f>TRUNC(128310,-1)</f>
        <v>128310</v>
      </c>
      <c r="E53" s="63">
        <f t="shared" si="1"/>
        <v>424160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TRUNC(1055+59+10148-1126+83546,-1)</f>
        <v>93680</v>
      </c>
      <c r="E58" s="63">
        <f t="shared" si="1"/>
        <v>309680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TRUNC(222948,-1)</f>
        <v>222940</v>
      </c>
      <c r="E59" s="64">
        <f t="shared" si="1"/>
        <v>736990</v>
      </c>
    </row>
    <row r="60" spans="1:7" x14ac:dyDescent="0.3">
      <c r="A60" s="2">
        <v>21</v>
      </c>
      <c r="C60" s="27" t="s">
        <v>112</v>
      </c>
      <c r="D60" s="39">
        <f>SUM(D40:D59)</f>
        <v>1116480</v>
      </c>
      <c r="E60" s="39">
        <f>SUM(E40:E59)</f>
        <v>3690790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TRUNC(64157,-1)</f>
        <v>64150</v>
      </c>
      <c r="E63" s="62">
        <f>TRUNC(+D63*3.3058,-1)</f>
        <v>212060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TRUNC(35411,-1)</f>
        <v>35410</v>
      </c>
      <c r="E65" s="64">
        <f>TRUNC(+D65*3.3058,-1)</f>
        <v>117050</v>
      </c>
    </row>
    <row r="66" spans="1:7" x14ac:dyDescent="0.3">
      <c r="A66" s="2">
        <v>4</v>
      </c>
      <c r="C66" s="27" t="s">
        <v>112</v>
      </c>
      <c r="D66" s="39">
        <f>SUM(D63:D65)</f>
        <v>99560</v>
      </c>
      <c r="E66" s="65">
        <f>SUM(E63:E65)</f>
        <v>329110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TRUNC(28521,-1)</f>
        <v>28520</v>
      </c>
      <c r="E69" s="62">
        <f t="shared" ref="E69:E94" si="2">TRUNC(+D69*3.3058,-1)</f>
        <v>94280</v>
      </c>
    </row>
    <row r="70" spans="1:7" ht="16.5" customHeight="1" x14ac:dyDescent="0.3">
      <c r="A70" s="2">
        <v>2</v>
      </c>
      <c r="C70" s="38" t="s">
        <v>31</v>
      </c>
      <c r="D70" s="42">
        <f>TRUNC(11181,-1)</f>
        <v>11180</v>
      </c>
      <c r="E70" s="63">
        <f t="shared" si="2"/>
        <v>36950</v>
      </c>
    </row>
    <row r="71" spans="1:7" x14ac:dyDescent="0.3">
      <c r="A71" s="2">
        <v>3</v>
      </c>
      <c r="C71" s="38" t="s">
        <v>32</v>
      </c>
      <c r="D71" s="42">
        <f>TRUNC(6198,-1)</f>
        <v>6190</v>
      </c>
      <c r="E71" s="63">
        <f t="shared" si="2"/>
        <v>20460</v>
      </c>
    </row>
    <row r="72" spans="1:7" x14ac:dyDescent="0.3">
      <c r="A72" s="2">
        <v>4</v>
      </c>
      <c r="C72" s="38" t="s">
        <v>33</v>
      </c>
      <c r="D72" s="42">
        <f>TRUNC(7305,-1)</f>
        <v>7300</v>
      </c>
      <c r="E72" s="63">
        <f t="shared" si="2"/>
        <v>24130</v>
      </c>
    </row>
    <row r="73" spans="1:7" x14ac:dyDescent="0.3">
      <c r="A73" s="2">
        <v>5</v>
      </c>
      <c r="C73" s="38" t="s">
        <v>34</v>
      </c>
      <c r="D73" s="42">
        <f>TRUNC(17182,-1)</f>
        <v>17180</v>
      </c>
      <c r="E73" s="63">
        <f t="shared" si="2"/>
        <v>56790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TRUNC(10590,-1)</f>
        <v>10590</v>
      </c>
      <c r="E89" s="63">
        <f t="shared" si="2"/>
        <v>35000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TRUNC(34784,-1)</f>
        <v>34780</v>
      </c>
      <c r="E91" s="63">
        <f t="shared" si="2"/>
        <v>114970</v>
      </c>
    </row>
    <row r="92" spans="1:7" x14ac:dyDescent="0.3">
      <c r="A92" s="2">
        <v>24</v>
      </c>
      <c r="C92" s="38" t="s">
        <v>38</v>
      </c>
      <c r="D92" s="42">
        <f>TRUNC(9944,-1)</f>
        <v>9940</v>
      </c>
      <c r="E92" s="63">
        <f t="shared" si="2"/>
        <v>32850</v>
      </c>
    </row>
    <row r="93" spans="1:7" x14ac:dyDescent="0.3">
      <c r="A93" s="2">
        <v>25</v>
      </c>
      <c r="C93" s="38" t="s">
        <v>148</v>
      </c>
      <c r="D93" s="42">
        <f>TRUNC(216747,-1)</f>
        <v>216740</v>
      </c>
      <c r="E93" s="63">
        <f t="shared" si="2"/>
        <v>716490</v>
      </c>
    </row>
    <row r="94" spans="1:7" ht="17.25" thickBot="1" x14ac:dyDescent="0.35">
      <c r="A94" s="2">
        <v>26</v>
      </c>
      <c r="C94" s="38" t="s">
        <v>47</v>
      </c>
      <c r="D94" s="43">
        <f>TRUNC(2428+9466+7910,-1)</f>
        <v>19800</v>
      </c>
      <c r="E94" s="64">
        <f t="shared" si="2"/>
        <v>65450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362220</v>
      </c>
      <c r="E95" s="39">
        <f>SUM(E69:E94)</f>
        <v>1197370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TRUNC(53973,-1)</f>
        <v>53970</v>
      </c>
      <c r="E98" s="62">
        <f t="shared" ref="E98:E118" si="3">TRUNC(+D98*3.3058,-1)</f>
        <v>178410</v>
      </c>
    </row>
    <row r="99" spans="1:7" x14ac:dyDescent="0.3">
      <c r="A99" s="2">
        <v>2</v>
      </c>
      <c r="C99" s="38" t="s">
        <v>40</v>
      </c>
      <c r="D99" s="42">
        <f>TRUNC(17558,-1)</f>
        <v>17550</v>
      </c>
      <c r="E99" s="63">
        <f t="shared" si="3"/>
        <v>58010</v>
      </c>
    </row>
    <row r="100" spans="1:7" x14ac:dyDescent="0.3">
      <c r="A100" s="2">
        <v>3</v>
      </c>
      <c r="C100" s="38" t="s">
        <v>41</v>
      </c>
      <c r="D100" s="42">
        <f>TRUNC(39553,-1)</f>
        <v>39550</v>
      </c>
      <c r="E100" s="63">
        <f t="shared" si="3"/>
        <v>130740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TRUNC(20313,-1)</f>
        <v>20310</v>
      </c>
      <c r="E102" s="63">
        <f t="shared" si="3"/>
        <v>67140</v>
      </c>
    </row>
    <row r="103" spans="1:7" x14ac:dyDescent="0.3">
      <c r="A103" s="2">
        <v>6</v>
      </c>
      <c r="C103" s="38" t="s">
        <v>44</v>
      </c>
      <c r="D103" s="42">
        <f>TRUNC(15050,-1)</f>
        <v>15050</v>
      </c>
      <c r="E103" s="63">
        <f t="shared" si="3"/>
        <v>49750</v>
      </c>
    </row>
    <row r="104" spans="1:7" x14ac:dyDescent="0.3">
      <c r="A104" s="2">
        <v>7</v>
      </c>
      <c r="C104" s="38" t="s">
        <v>45</v>
      </c>
      <c r="D104" s="42">
        <f>TRUNC(5871,-1)</f>
        <v>5870</v>
      </c>
      <c r="E104" s="63">
        <f t="shared" si="3"/>
        <v>19400</v>
      </c>
    </row>
    <row r="105" spans="1:7" x14ac:dyDescent="0.3">
      <c r="A105" s="2">
        <v>8</v>
      </c>
      <c r="C105" s="38" t="s">
        <v>46</v>
      </c>
      <c r="D105" s="42">
        <f>TRUNC(4241,-1)</f>
        <v>4240</v>
      </c>
      <c r="E105" s="63">
        <f t="shared" si="3"/>
        <v>14010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TRUNC(4632,-1)</f>
        <v>4630</v>
      </c>
      <c r="E114" s="63">
        <f t="shared" si="3"/>
        <v>15300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TRUNC(11642,-1)</f>
        <v>11640</v>
      </c>
      <c r="E116" s="63">
        <f t="shared" si="3"/>
        <v>38470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TRUNC(40160,-1)</f>
        <v>40160</v>
      </c>
      <c r="E117" s="63">
        <f t="shared" si="3"/>
        <v>132760</v>
      </c>
    </row>
    <row r="118" spans="1:7" ht="17.25" thickBot="1" x14ac:dyDescent="0.35">
      <c r="A118" s="2">
        <v>21</v>
      </c>
      <c r="C118" s="38" t="s">
        <v>47</v>
      </c>
      <c r="D118" s="43">
        <f>TRUNC(8730,-1)</f>
        <v>8730</v>
      </c>
      <c r="E118" s="64">
        <f t="shared" si="3"/>
        <v>28850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221700</v>
      </c>
      <c r="E119" s="39">
        <f>SUM(E98:E118)</f>
        <v>732840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TRUNC(4286,-1)</f>
        <v>4280</v>
      </c>
      <c r="E122" s="62">
        <f t="shared" ref="E122:E132" si="4">TRUNC(+D122*3.3058,-1)</f>
        <v>14140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TRUNC(3469,-1)</f>
        <v>3460</v>
      </c>
      <c r="E124" s="63">
        <f t="shared" si="4"/>
        <v>11430</v>
      </c>
    </row>
    <row r="125" spans="1:7" x14ac:dyDescent="0.3">
      <c r="A125" s="2">
        <v>4</v>
      </c>
      <c r="C125" s="38" t="s">
        <v>138</v>
      </c>
      <c r="D125" s="42">
        <f>TRUNC(3445,-1)</f>
        <v>3440</v>
      </c>
      <c r="E125" s="63">
        <f t="shared" si="4"/>
        <v>11370</v>
      </c>
    </row>
    <row r="126" spans="1:7" x14ac:dyDescent="0.3">
      <c r="A126" s="2">
        <v>5</v>
      </c>
      <c r="C126" s="38" t="s">
        <v>53</v>
      </c>
      <c r="D126" s="42">
        <f>TRUNC(926,-1)</f>
        <v>920</v>
      </c>
      <c r="E126" s="63">
        <f t="shared" si="4"/>
        <v>3040</v>
      </c>
    </row>
    <row r="127" spans="1:7" x14ac:dyDescent="0.3">
      <c r="A127" s="2">
        <v>6</v>
      </c>
      <c r="C127" s="38" t="s">
        <v>56</v>
      </c>
      <c r="D127" s="42">
        <f>TRUNC(2588,-1)</f>
        <v>2580</v>
      </c>
      <c r="E127" s="63">
        <f t="shared" si="4"/>
        <v>8520</v>
      </c>
    </row>
    <row r="128" spans="1:7" x14ac:dyDescent="0.3">
      <c r="A128" s="2">
        <v>7</v>
      </c>
      <c r="C128" s="38" t="s">
        <v>46</v>
      </c>
      <c r="D128" s="42">
        <f>TRUNC(5244,-1)</f>
        <v>5240</v>
      </c>
      <c r="E128" s="63">
        <f t="shared" si="4"/>
        <v>17320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TRUNC(38273,-1)</f>
        <v>38270</v>
      </c>
      <c r="E130" s="63">
        <f t="shared" si="4"/>
        <v>126510</v>
      </c>
    </row>
    <row r="131" spans="1:7" x14ac:dyDescent="0.3">
      <c r="A131" s="2">
        <v>10</v>
      </c>
      <c r="C131" s="38" t="s">
        <v>148</v>
      </c>
      <c r="D131" s="42">
        <f>TRUNC(69371,-1)</f>
        <v>69370</v>
      </c>
      <c r="E131" s="63">
        <f t="shared" si="4"/>
        <v>229320</v>
      </c>
    </row>
    <row r="132" spans="1:7" ht="18" thickBot="1" x14ac:dyDescent="0.35">
      <c r="A132" s="2">
        <v>11</v>
      </c>
      <c r="C132" s="38" t="s">
        <v>47</v>
      </c>
      <c r="D132" s="43">
        <f>TRUNC(1290+2001,-1)</f>
        <v>3290</v>
      </c>
      <c r="E132" s="64">
        <f t="shared" si="4"/>
        <v>10870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130850</v>
      </c>
      <c r="E133" s="39">
        <f>SUM(E122:E132)</f>
        <v>432520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TRUNC(1172+4930,-1)</f>
        <v>6100</v>
      </c>
      <c r="E137" s="63">
        <f t="shared" si="5"/>
        <v>20160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TRUNC(1171,-1)</f>
        <v>1170</v>
      </c>
      <c r="E139" s="63">
        <f t="shared" si="5"/>
        <v>3860</v>
      </c>
    </row>
    <row r="140" spans="1:7" x14ac:dyDescent="0.3">
      <c r="A140" s="2">
        <v>5</v>
      </c>
      <c r="C140" s="38" t="s">
        <v>57</v>
      </c>
      <c r="D140" s="42">
        <f>TRUNC(2549,-1)</f>
        <v>2540</v>
      </c>
      <c r="E140" s="63">
        <f t="shared" si="5"/>
        <v>8390</v>
      </c>
    </row>
    <row r="141" spans="1:7" x14ac:dyDescent="0.3">
      <c r="A141" s="2">
        <v>6</v>
      </c>
      <c r="C141" s="38" t="s">
        <v>59</v>
      </c>
      <c r="D141" s="42">
        <f>TRUNC(3411,-1)</f>
        <v>3410</v>
      </c>
      <c r="E141" s="63">
        <f t="shared" si="5"/>
        <v>11270</v>
      </c>
    </row>
    <row r="142" spans="1:7" x14ac:dyDescent="0.3">
      <c r="A142" s="2">
        <v>7</v>
      </c>
      <c r="C142" s="38" t="s">
        <v>58</v>
      </c>
      <c r="D142" s="42">
        <f>TRUNC(7120,-1)</f>
        <v>7120</v>
      </c>
      <c r="E142" s="63">
        <f t="shared" si="5"/>
        <v>23530</v>
      </c>
    </row>
    <row r="143" spans="1:7" x14ac:dyDescent="0.3">
      <c r="A143" s="2">
        <v>8</v>
      </c>
      <c r="C143" s="38" t="s">
        <v>62</v>
      </c>
      <c r="D143" s="42">
        <f>TRUNC(8941,-1)</f>
        <v>8940</v>
      </c>
      <c r="E143" s="63">
        <f t="shared" si="5"/>
        <v>29550</v>
      </c>
    </row>
    <row r="144" spans="1:7" x14ac:dyDescent="0.3">
      <c r="A144" s="2">
        <v>9</v>
      </c>
      <c r="C144" s="38" t="s">
        <v>63</v>
      </c>
      <c r="D144" s="42">
        <f>TRUNC(25247,-1)</f>
        <v>25240</v>
      </c>
      <c r="E144" s="63">
        <f t="shared" si="5"/>
        <v>83430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54520</v>
      </c>
      <c r="E146" s="39">
        <f>SUM(E136:E145)</f>
        <v>180190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TRUNC(11491,-1)</f>
        <v>11490</v>
      </c>
      <c r="E149" s="62">
        <f>TRUNC(+D149*3.3058,-1)</f>
        <v>37980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TRUNC(7195,-1)</f>
        <v>7190</v>
      </c>
      <c r="E150" s="63">
        <f>TRUNC(+D150*3.3058,-1)</f>
        <v>23760</v>
      </c>
    </row>
    <row r="151" spans="1:7" x14ac:dyDescent="0.3">
      <c r="A151" s="2">
        <v>3</v>
      </c>
      <c r="C151" s="38" t="s">
        <v>50</v>
      </c>
      <c r="D151" s="42">
        <f>TRUNC(2710,-1)</f>
        <v>2710</v>
      </c>
      <c r="E151" s="63">
        <f>TRUNC(+D151*3.3058,-1)</f>
        <v>8950</v>
      </c>
    </row>
    <row r="152" spans="1:7" x14ac:dyDescent="0.3">
      <c r="A152" s="2">
        <v>4</v>
      </c>
      <c r="C152" s="38" t="s">
        <v>47</v>
      </c>
      <c r="D152" s="42">
        <f>TRUNC(623+4515,-1)</f>
        <v>5130</v>
      </c>
      <c r="E152" s="63">
        <f>TRUNC(+D152*3.3058,-1)</f>
        <v>16950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TRUNC(11809,-1)</f>
        <v>11800</v>
      </c>
      <c r="E153" s="64">
        <f>TRUNC(+D153*3.3058,-1)</f>
        <v>39000</v>
      </c>
    </row>
    <row r="154" spans="1:7" x14ac:dyDescent="0.3">
      <c r="A154" s="2">
        <v>6</v>
      </c>
      <c r="C154" s="27" t="s">
        <v>112</v>
      </c>
      <c r="D154" s="39">
        <f>SUM(D149:D153)</f>
        <v>38320</v>
      </c>
      <c r="E154" s="39">
        <f>SUM(E149:E153)</f>
        <v>126640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TRUNC(14559,-1)</f>
        <v>14550</v>
      </c>
      <c r="E157" s="62">
        <f>TRUNC(+D157*3.3058,-1)</f>
        <v>48090</v>
      </c>
    </row>
    <row r="158" spans="1:7" x14ac:dyDescent="0.3">
      <c r="A158" s="2">
        <v>2</v>
      </c>
      <c r="C158" s="38" t="s">
        <v>52</v>
      </c>
      <c r="D158" s="42">
        <f>TRUNC(6884,-1)</f>
        <v>6880</v>
      </c>
      <c r="E158" s="63">
        <f>TRUNC(+D158*3.3058,-1)</f>
        <v>22740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TRUNC(1475+547,-1)</f>
        <v>2020</v>
      </c>
      <c r="E159" s="63">
        <f>TRUNC(+D159*3.3058,-1)</f>
        <v>6670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f>TRUNC(1534,-1)</f>
        <v>1530</v>
      </c>
      <c r="E160" s="64">
        <f>TRUNC(+D160*3.3058,-1)</f>
        <v>5050</v>
      </c>
    </row>
    <row r="161" spans="1:5" x14ac:dyDescent="0.3">
      <c r="A161" s="2">
        <v>5</v>
      </c>
      <c r="C161" s="27" t="s">
        <v>112</v>
      </c>
      <c r="D161" s="39">
        <f>SUM(D157:D160)</f>
        <v>24980</v>
      </c>
      <c r="E161" s="39">
        <f>SUM(E157:E160)</f>
        <v>82550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2020-12-08T04:23:32Z</dcterms:modified>
</cp:coreProperties>
</file>