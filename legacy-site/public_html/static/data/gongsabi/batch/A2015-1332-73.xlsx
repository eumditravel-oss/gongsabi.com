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7" i="4"/>
  <c r="E153" i="4"/>
  <c r="E152" i="4"/>
  <c r="E151" i="4"/>
  <c r="E150" i="4"/>
  <c r="E149" i="4"/>
  <c r="E145" i="4"/>
  <c r="E141" i="4"/>
  <c r="E139" i="4"/>
  <c r="E138" i="4"/>
  <c r="E136" i="4"/>
  <c r="E132" i="4"/>
  <c r="E131" i="4"/>
  <c r="E129" i="4"/>
  <c r="E127" i="4"/>
  <c r="E126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2" i="4"/>
  <c r="E101" i="4"/>
  <c r="E93" i="4"/>
  <c r="E9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6" i="4" s="1"/>
  <c r="E64" i="4"/>
  <c r="E63" i="4"/>
  <c r="E57" i="4"/>
  <c r="E56" i="4"/>
  <c r="E55" i="4"/>
  <c r="E54" i="4"/>
  <c r="E51" i="4"/>
  <c r="E47" i="4"/>
  <c r="E42" i="4"/>
  <c r="E37" i="4"/>
  <c r="E154" i="4" l="1"/>
  <c r="D159" i="4"/>
  <c r="E159" i="4" s="1"/>
  <c r="D158" i="4"/>
  <c r="E158" i="4" s="1"/>
  <c r="E161" i="4" s="1"/>
  <c r="D154" i="4"/>
  <c r="D31" i="4" s="1"/>
  <c r="E31" i="4" s="1"/>
  <c r="D144" i="4"/>
  <c r="E144" i="4" s="1"/>
  <c r="D143" i="4"/>
  <c r="E143" i="4" s="1"/>
  <c r="D142" i="4"/>
  <c r="E142" i="4" s="1"/>
  <c r="D140" i="4"/>
  <c r="D137" i="4"/>
  <c r="E137" i="4" s="1"/>
  <c r="D130" i="4"/>
  <c r="E130" i="4" s="1"/>
  <c r="D128" i="4"/>
  <c r="E128" i="4" s="1"/>
  <c r="D125" i="4"/>
  <c r="D118" i="4"/>
  <c r="E118" i="4" s="1"/>
  <c r="D117" i="4"/>
  <c r="E117" i="4" s="1"/>
  <c r="D105" i="4"/>
  <c r="E105" i="4" s="1"/>
  <c r="D104" i="4"/>
  <c r="E104" i="4" s="1"/>
  <c r="D103" i="4"/>
  <c r="E103" i="4" s="1"/>
  <c r="D100" i="4"/>
  <c r="E100" i="4" s="1"/>
  <c r="D99" i="4"/>
  <c r="E99" i="4" s="1"/>
  <c r="D98" i="4"/>
  <c r="D94" i="4"/>
  <c r="E94" i="4" s="1"/>
  <c r="D92" i="4"/>
  <c r="E92" i="4" s="1"/>
  <c r="D89" i="4"/>
  <c r="E89" i="4" s="1"/>
  <c r="D73" i="4"/>
  <c r="E73" i="4" s="1"/>
  <c r="D72" i="4"/>
  <c r="D70" i="4"/>
  <c r="E70" i="4" s="1"/>
  <c r="D69" i="4"/>
  <c r="E69" i="4" s="1"/>
  <c r="D66" i="4"/>
  <c r="D26" i="4" s="1"/>
  <c r="E2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D40" i="4"/>
  <c r="E40" i="4" s="1"/>
  <c r="D24" i="4"/>
  <c r="E24" i="4" s="1"/>
  <c r="D7" i="4"/>
  <c r="E95" i="4" l="1"/>
  <c r="E60" i="4"/>
  <c r="D60" i="4"/>
  <c r="D25" i="4" s="1"/>
  <c r="E25" i="4" s="1"/>
  <c r="E41" i="4"/>
  <c r="D119" i="4"/>
  <c r="D28" i="4" s="1"/>
  <c r="E28" i="4" s="1"/>
  <c r="E98" i="4"/>
  <c r="E119" i="4" s="1"/>
  <c r="D133" i="4"/>
  <c r="D29" i="4" s="1"/>
  <c r="E29" i="4" s="1"/>
  <c r="E125" i="4"/>
  <c r="E133" i="4" s="1"/>
  <c r="D146" i="4"/>
  <c r="D30" i="4" s="1"/>
  <c r="E30" i="4" s="1"/>
  <c r="E140" i="4"/>
  <c r="E146" i="4" s="1"/>
  <c r="D95" i="4"/>
  <c r="D27" i="4" s="1"/>
  <c r="E27" i="4" s="1"/>
  <c r="E72" i="4"/>
  <c r="D161" i="4"/>
  <c r="D32" i="4" s="1"/>
  <c r="E32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<sst xmlns="http://schemas.openxmlformats.org/spreadsheetml/2006/main" count="387" uniqueCount="262">
  <si>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</si>
  <si>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</si>
  <si>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</si>
  <si>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</si>
  <si>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</si>
  <si>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</si>
  <si>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</si>
  <si>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</si>
  <si>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</si>
  <si>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</si>
  <si>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</si>
  <si>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</si>
  <si>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</si>
  <si>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</si>
  <si>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</si>
  <si>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</si>
  <si>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</si>
  <si>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</si>
  <si>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</si>
  <si>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</si>
  <si>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</si>
  <si>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</si>
  <si>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</si>
  <si>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</si>
  <si>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</si>
  <si>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</si>
  <si>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</si>
  <si>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</si>
  <si>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</si>
  <si>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</si>
  <si>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</si>
  <si>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</si>
  <si>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</si>
  <si>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</si>
  <si>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</si>
  <si>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</si>
  <si>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</si>
  <si>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</si>
  <si>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</si>
  <si>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</si>
  <si>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</si>
  <si>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</si>
  <si>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</si>
  <si>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</si>
  <si>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</si>
  <si>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</si>
  <si>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</si>
  <si>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</si>
  <si>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</si>
  <si>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</si>
  <si>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</si>
  <si>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</si>
  <si>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</si>
  <si>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</si>
  <si>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</si>
  <si>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</si>
  <si>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</si>
  <si>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</si>
  <si>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</si>
  <si>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</si>
  <si>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</si>
  <si>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</si>
  <si>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</si>
  <si>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</si>
  <si>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</si>
  <si>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</si>
  <si>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</si>
  <si>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</si>
  <si>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</si>
  <si>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</si>
  <si>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</si>
  <si>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</si>
  <si>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</si>
  <si>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</si>
  <si>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</si>
  <si>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</si>
  <si>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</si>
  <si>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</si>
  <si>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</si>
  <si>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</si>
  <si>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</si>
  <si>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</si>
  <si>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</si>
  <si>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</si>
  <si>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</si>
  <si>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</si>
  <si>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</si>
  <si>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</si>
  <si>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</si>
  <si>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</si>
  <si>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</si>
  <si>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</si>
  <si>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</si>
  <si>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</si>
  <si>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</si>
  <si>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</si>
  <si>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</si>
  <si>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</si>
  <si>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</si>
  <si>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</si>
  <si>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</si>
  <si>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</si>
  <si>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</si>
  <si>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</si>
  <si>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</si>
  <si>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</si>
  <si>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</si>
  <si>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</si>
  <si>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</si>
  <si>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</si>
  <si>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</si>
  <si>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</si>
  <si>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</si>
  <si>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</si>
  <si>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</si>
  <si>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</si>
  <si>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</si>
  <si>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</si>
  <si>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</si>
  <si>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</si>
  <si>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</si>
  <si>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</si>
  <si>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</si>
  <si>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</si>
  <si>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</si>
  <si>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</si>
  <si>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</si>
  <si>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</si>
  <si>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</si>
  <si>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</si>
  <si>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</si>
  <si>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</si>
  <si>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</si>
  <si>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</si>
  <si>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</si>
  <si>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</si>
  <si>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</si>
  <si>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</si>
  <si>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</si>
  <si>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</si>
  <si>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</si>
  <si>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</si>
  <si>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</si>
  <si>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</si>
  <si>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</si>
  <si>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</si>
  <si>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</si>
  <si>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</si>
  <si>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</si>
  <si>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</si>
  <si>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</si>
  <si>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</si>
  <si>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</si>
  <si>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</si>
  <si>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</si>
  <si>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</si>
  <si>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</si>
  <si>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</si>
  <si>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</si>
  <si>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</si>
  <si>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</si>
  <si>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</si>
  <si>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</si>
  <si>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</si>
  <si>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</si>
  <si>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</si>
  <si>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</si>
  <si>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</si>
  <si>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</si>
  <si>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</si>
  <si>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</si>
  <si>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</si>
  <si>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</si>
  <si>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</si>
  <si>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</si>
  <si>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</si>
  <si>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</si>
  <si>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</si>
  <si>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</si>
  <si>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</si>
  <si>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</si>
  <si>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</si>
  <si>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</si>
  <si>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</si>
  <si>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</si>
  <si>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</si>
  <si>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</si>
  <si>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</si>
  <si>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</si>
  <si>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</si>
  <si>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</si>
  <si>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</si>
  <si>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</si>
  <si>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</si>
  <si>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</si>
  <si>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</si>
  <si>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</si>
  <si>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</si>
  <si>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</si>
  <si>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</si>
  <si>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</si>
  <si>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</si>
  <si>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</si>
  <si>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</si>
  <si>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</si>
  <si>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</si>
  <si>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</si>
  <si>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</si>
  <si>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</si>
  <si>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</si>
  <si>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</si>
  <si>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</si>
  <si>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</si>
  <si>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</si>
  <si>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</si>
  <si>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</si>
  <si>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</si>
  <si>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</si>
  <si>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</si>
  <si>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</si>
  <si>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</si>
  <si>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</si>
  <si>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</si>
  <si>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</si>
  <si>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</si>
  <si>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</si>
  <si>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</si>
  <si>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</si>
  <si>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</si>
  <si>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</si>
  <si>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</si>
  <si>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</si>
  <si>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</si>
  <si>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</si>
  <si>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</si>
  <si>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</si>
  <si>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</si>
  <si>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</si>
  <si>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</si>
  <si>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</si>
  <si>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</si>
  <si>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</si>
  <si>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</si>
  <si>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</si>
  <si>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</si>
  <si>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의정부지방법원 제4신관 증축공사</t>
  </si>
  <si>
    <t>업무</t>
  </si>
  <si>
    <t>경기도</t>
  </si>
  <si>
    <t>평</t>
    <phoneticPr fontId="2" type="noConversion"/>
  </si>
  <si>
    <t>원/ m2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</si>
  <si>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</si>
  <si>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</si>
  <si>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기초공사,해체및철거공사,골재비및운반비,기타공사</t>
    <phoneticPr fontId="2" type="noConversion"/>
  </si>
  <si>
    <t>바닥난방공사, 기타공사</t>
    <phoneticPr fontId="2" type="noConversion"/>
  </si>
  <si>
    <t>펌프실배관공사</t>
    <phoneticPr fontId="2" type="noConversion"/>
  </si>
  <si>
    <t>포장공사, 기타공사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</si>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</sst>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9346.84</v>
      </c>
      <c r="D7" s="36">
        <f>+C7/3.3058</f>
        <v>2827.4063766713048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932670</v>
      </c>
      <c r="E25" s="60">
        <f t="shared" si="0"/>
        <v>3083220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60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44640</v>
      </c>
      <c r="E27" s="60">
        <f t="shared" si="0"/>
        <v>147570</v>
      </c>
    </row>
    <row r="28" spans="1:5" x14ac:dyDescent="0.3">
      <c r="B28" s="2">
        <v>5</v>
      </c>
      <c r="C28" s="35" t="s">
        <v>97</v>
      </c>
      <c r="D28" s="45">
        <f>+D119</f>
        <v>204900</v>
      </c>
      <c r="E28" s="60">
        <f t="shared" si="0"/>
        <v>677350</v>
      </c>
    </row>
    <row r="29" spans="1:5" x14ac:dyDescent="0.3">
      <c r="B29" s="2">
        <v>6</v>
      </c>
      <c r="C29" s="35" t="s">
        <v>98</v>
      </c>
      <c r="D29" s="45">
        <f>+D133</f>
        <v>67780</v>
      </c>
      <c r="E29" s="60">
        <f t="shared" si="0"/>
        <v>224060</v>
      </c>
    </row>
    <row r="30" spans="1:5" x14ac:dyDescent="0.3">
      <c r="B30" s="2">
        <v>7</v>
      </c>
      <c r="C30" s="35" t="s">
        <v>99</v>
      </c>
      <c r="D30" s="45">
        <f>+D146</f>
        <v>29480</v>
      </c>
      <c r="E30" s="60">
        <f t="shared" si="0"/>
        <v>97450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60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18830</v>
      </c>
      <c r="E32" s="60">
        <f t="shared" si="0"/>
        <v>62240</v>
      </c>
    </row>
    <row r="33" spans="1:7" x14ac:dyDescent="0.3">
      <c r="B33" s="2">
        <v>10</v>
      </c>
      <c r="C33" s="35" t="s">
        <v>153</v>
      </c>
      <c r="D33" s="53">
        <f>TRUNC(SUM(D24:D32)*0.275,-1)</f>
        <v>357030</v>
      </c>
      <c r="E33" s="61">
        <f t="shared" si="0"/>
        <v>1180260</v>
      </c>
    </row>
    <row r="34" spans="1:7" x14ac:dyDescent="0.3">
      <c r="C34" s="35" t="s">
        <v>112</v>
      </c>
      <c r="D34" s="44">
        <f>TRUNC(SUM(D24:D33),-1)</f>
        <v>1655330</v>
      </c>
      <c r="E34" s="44">
        <f>SUM(E24:E33)</f>
        <v>5472150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234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257</v>
      </c>
      <c r="E39" s="67" t="s">
        <v>258</v>
      </c>
      <c r="G39" s="68"/>
    </row>
    <row r="40" spans="1:7" x14ac:dyDescent="0.3">
      <c r="A40" s="2">
        <v>1</v>
      </c>
      <c r="C40" s="38" t="s">
        <v>15</v>
      </c>
      <c r="D40" s="40">
        <f>TRUNC(48155,-1)</f>
        <v>48150</v>
      </c>
      <c r="E40" s="63">
        <f t="shared" ref="E40:E59" si="1">TRUNC(+D40*3.3058,-1)</f>
        <v>159170</v>
      </c>
    </row>
    <row r="41" spans="1:7" x14ac:dyDescent="0.3">
      <c r="A41" s="2">
        <v>2</v>
      </c>
      <c r="C41" s="38" t="s">
        <v>13</v>
      </c>
      <c r="D41" s="42">
        <f>TRUNC(166975,-1)</f>
        <v>166970</v>
      </c>
      <c r="E41" s="64">
        <f t="shared" si="1"/>
        <v>551960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TRUNC(2259,-1)</f>
        <v>2250</v>
      </c>
      <c r="E43" s="64">
        <f t="shared" si="1"/>
        <v>7430</v>
      </c>
    </row>
    <row r="44" spans="1:7" x14ac:dyDescent="0.3">
      <c r="A44" s="2">
        <v>5</v>
      </c>
      <c r="C44" s="38" t="s">
        <v>17</v>
      </c>
      <c r="D44" s="42">
        <f>TRUNC(21731,-1)</f>
        <v>21730</v>
      </c>
      <c r="E44" s="64">
        <f t="shared" si="1"/>
        <v>71830</v>
      </c>
    </row>
    <row r="45" spans="1:7" x14ac:dyDescent="0.3">
      <c r="A45" s="2">
        <v>6</v>
      </c>
      <c r="C45" s="38" t="s">
        <v>18</v>
      </c>
      <c r="D45" s="42">
        <f>TRUNC(11706,-1)</f>
        <v>11700</v>
      </c>
      <c r="E45" s="64">
        <f t="shared" si="1"/>
        <v>38670</v>
      </c>
    </row>
    <row r="46" spans="1:7" x14ac:dyDescent="0.3">
      <c r="A46" s="2">
        <v>7</v>
      </c>
      <c r="C46" s="38" t="s">
        <v>19</v>
      </c>
      <c r="D46" s="42">
        <f>TRUNC(157876,-1)</f>
        <v>157870</v>
      </c>
      <c r="E46" s="64">
        <f t="shared" si="1"/>
        <v>521880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TRUNC(45003,-1)</f>
        <v>45000</v>
      </c>
      <c r="E48" s="64">
        <f t="shared" si="1"/>
        <v>148760</v>
      </c>
    </row>
    <row r="49" spans="1:7" x14ac:dyDescent="0.3">
      <c r="A49" s="2">
        <v>10</v>
      </c>
      <c r="C49" s="38" t="s">
        <v>22</v>
      </c>
      <c r="D49" s="42">
        <f>TRUNC(18858,-1)</f>
        <v>18850</v>
      </c>
      <c r="E49" s="64">
        <f t="shared" si="1"/>
        <v>62310</v>
      </c>
    </row>
    <row r="50" spans="1:7" x14ac:dyDescent="0.3">
      <c r="A50" s="2">
        <v>11</v>
      </c>
      <c r="C50" s="38" t="s">
        <v>154</v>
      </c>
      <c r="D50" s="42">
        <f>TRUNC(61489,-1)</f>
        <v>61480</v>
      </c>
      <c r="E50" s="64">
        <f t="shared" si="1"/>
        <v>203240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TRUNC(13293,-1)</f>
        <v>13290</v>
      </c>
      <c r="E52" s="64">
        <f t="shared" si="1"/>
        <v>43930</v>
      </c>
    </row>
    <row r="53" spans="1:7" x14ac:dyDescent="0.3">
      <c r="A53" s="2">
        <v>14</v>
      </c>
      <c r="C53" s="38" t="s">
        <v>25</v>
      </c>
      <c r="D53" s="42">
        <f>TRUNC(122837,-1)</f>
        <v>122830</v>
      </c>
      <c r="E53" s="64">
        <f t="shared" si="1"/>
        <v>406050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TRUNC(23517+3626+7269+13076,-1)</f>
        <v>47480</v>
      </c>
      <c r="E58" s="64">
        <f t="shared" si="1"/>
        <v>156950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TRUNC(215073,-1)</f>
        <v>215070</v>
      </c>
      <c r="E59" s="65">
        <f t="shared" si="1"/>
        <v>710970</v>
      </c>
    </row>
    <row r="60" spans="1:7" x14ac:dyDescent="0.3">
      <c r="A60" s="2">
        <v>21</v>
      </c>
      <c r="C60" s="27" t="s">
        <v>112</v>
      </c>
      <c r="D60" s="39">
        <f>SUM(D40:D59)</f>
        <v>932670</v>
      </c>
      <c r="E60" s="39">
        <f>SUM(E40:E59)</f>
        <v>3083150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234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3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234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TRUNC(9605,-1)</f>
        <v>9600</v>
      </c>
      <c r="E69" s="63">
        <f t="shared" ref="E69:E94" si="2">TRUNC(+D69*3.3058,-1)</f>
        <v>31730</v>
      </c>
    </row>
    <row r="70" spans="1:7" ht="16.5" customHeight="1" x14ac:dyDescent="0.3">
      <c r="A70" s="2">
        <v>2</v>
      </c>
      <c r="C70" s="38" t="s">
        <v>31</v>
      </c>
      <c r="D70" s="42">
        <f>TRUNC(1614,-1)</f>
        <v>1610</v>
      </c>
      <c r="E70" s="64">
        <f t="shared" si="2"/>
        <v>5320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f>TRUNC(5651,-1)</f>
        <v>5650</v>
      </c>
      <c r="E72" s="64">
        <f t="shared" si="2"/>
        <v>18670</v>
      </c>
    </row>
    <row r="73" spans="1:7" x14ac:dyDescent="0.3">
      <c r="A73" s="2">
        <v>5</v>
      </c>
      <c r="C73" s="38" t="s">
        <v>34</v>
      </c>
      <c r="D73" s="42">
        <f>TRUNC(10175,-1)</f>
        <v>10170</v>
      </c>
      <c r="E73" s="64">
        <f t="shared" si="2"/>
        <v>33610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TRUNC(6286,-1)</f>
        <v>6280</v>
      </c>
      <c r="E89" s="64">
        <f t="shared" si="2"/>
        <v>20760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TRUNC(10224,-1)</f>
        <v>10220</v>
      </c>
      <c r="E92" s="64">
        <f t="shared" si="2"/>
        <v>33780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TRUNC(523+595,-1)</f>
        <v>1110</v>
      </c>
      <c r="E94" s="65">
        <f t="shared" si="2"/>
        <v>3660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44640</v>
      </c>
      <c r="E95" s="39">
        <f>SUM(E69:E94)</f>
        <v>147530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234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TRUNC(40557,-1)</f>
        <v>40550</v>
      </c>
      <c r="E98" s="63">
        <f t="shared" ref="E98:E118" si="3">TRUNC(+D98*3.3058,-1)</f>
        <v>134050</v>
      </c>
    </row>
    <row r="99" spans="1:7" x14ac:dyDescent="0.3">
      <c r="A99" s="2">
        <v>2</v>
      </c>
      <c r="C99" s="38" t="s">
        <v>40</v>
      </c>
      <c r="D99" s="42">
        <f>TRUNC(2088,-1)</f>
        <v>2080</v>
      </c>
      <c r="E99" s="64">
        <f t="shared" si="3"/>
        <v>6870</v>
      </c>
    </row>
    <row r="100" spans="1:7" x14ac:dyDescent="0.3">
      <c r="A100" s="2">
        <v>3</v>
      </c>
      <c r="C100" s="38" t="s">
        <v>41</v>
      </c>
      <c r="D100" s="42">
        <f>TRUNC(46120,-1)</f>
        <v>46120</v>
      </c>
      <c r="E100" s="64">
        <f t="shared" si="3"/>
        <v>152460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25860</v>
      </c>
      <c r="E102" s="64">
        <f t="shared" si="3"/>
        <v>85480</v>
      </c>
    </row>
    <row r="103" spans="1:7" x14ac:dyDescent="0.3">
      <c r="A103" s="2">
        <v>6</v>
      </c>
      <c r="C103" s="38" t="s">
        <v>44</v>
      </c>
      <c r="D103" s="42">
        <f>TRUNC(3949,-1)</f>
        <v>3940</v>
      </c>
      <c r="E103" s="64">
        <f t="shared" si="3"/>
        <v>13020</v>
      </c>
    </row>
    <row r="104" spans="1:7" x14ac:dyDescent="0.3">
      <c r="A104" s="2">
        <v>7</v>
      </c>
      <c r="C104" s="38" t="s">
        <v>45</v>
      </c>
      <c r="D104" s="42">
        <f>TRUNC(12936,-1)</f>
        <v>12930</v>
      </c>
      <c r="E104" s="64">
        <f t="shared" si="3"/>
        <v>42740</v>
      </c>
    </row>
    <row r="105" spans="1:7" x14ac:dyDescent="0.3">
      <c r="A105" s="2">
        <v>8</v>
      </c>
      <c r="C105" s="38" t="s">
        <v>46</v>
      </c>
      <c r="D105" s="42">
        <f>TRUNC(2673,-1)</f>
        <v>2670</v>
      </c>
      <c r="E105" s="64">
        <f t="shared" si="3"/>
        <v>8820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TRUNC(70162,-1)</f>
        <v>70160</v>
      </c>
      <c r="E117" s="64">
        <f t="shared" si="3"/>
        <v>231930</v>
      </c>
    </row>
    <row r="118" spans="1:7" ht="17.25" thickBot="1" x14ac:dyDescent="0.35">
      <c r="A118" s="2">
        <v>21</v>
      </c>
      <c r="C118" s="38" t="s">
        <v>47</v>
      </c>
      <c r="D118" s="43">
        <f>TRUNC(592,-1)</f>
        <v>590</v>
      </c>
      <c r="E118" s="65">
        <f t="shared" si="3"/>
        <v>1950</v>
      </c>
    </row>
    <row r="119" spans="1:7" x14ac:dyDescent="0.3">
      <c r="A119" s="2">
        <v>22</v>
      </c>
      <c r="C119" s="27" t="s">
        <v>112</v>
      </c>
      <c r="D119" s="39">
        <f>SUM(D98:D118)</f>
        <v>204900</v>
      </c>
      <c r="E119" s="39">
        <f>SUM(E98:E118)</f>
        <v>677320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234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4210</v>
      </c>
      <c r="E122" s="63">
        <f t="shared" ref="E122:E132" si="4">TRUNC(+D122*3.3058,-1)</f>
        <v>13910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TRUNC(7011,-1)</f>
        <v>7010</v>
      </c>
      <c r="E125" s="64">
        <f t="shared" si="4"/>
        <v>23170</v>
      </c>
    </row>
    <row r="126" spans="1:7" x14ac:dyDescent="0.3">
      <c r="A126" s="2">
        <v>5</v>
      </c>
      <c r="C126" s="38" t="s">
        <v>53</v>
      </c>
      <c r="D126" s="42">
        <v>28080</v>
      </c>
      <c r="E126" s="64">
        <f t="shared" si="4"/>
        <v>92820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TRUNC(2662,-1)</f>
        <v>2660</v>
      </c>
      <c r="E128" s="64">
        <f t="shared" si="4"/>
        <v>8790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TRUNC(25825,-1)</f>
        <v>25820</v>
      </c>
      <c r="E130" s="64">
        <f t="shared" si="4"/>
        <v>85350</v>
      </c>
    </row>
    <row r="131" spans="1:7" x14ac:dyDescent="0.3">
      <c r="A131" s="2">
        <v>10</v>
      </c>
      <c r="C131" s="38" t="s">
        <v>148</v>
      </c>
      <c r="D131" s="42">
        <v>0</v>
      </c>
      <c r="E131" s="64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5">
        <f t="shared" si="4"/>
        <v>0</v>
      </c>
    </row>
    <row r="133" spans="1:7" x14ac:dyDescent="0.3">
      <c r="A133" s="2">
        <v>12</v>
      </c>
      <c r="C133" s="27" t="s">
        <v>112</v>
      </c>
      <c r="D133" s="39">
        <f>SUM(D122:D132)</f>
        <v>67780</v>
      </c>
      <c r="E133" s="39">
        <f>SUM(E122:E132)</f>
        <v>224040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234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TRUNC(1597,-1)</f>
        <v>1590</v>
      </c>
      <c r="E137" s="64">
        <f t="shared" si="5"/>
        <v>5250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TRUNC(2799,-1)</f>
        <v>2790</v>
      </c>
      <c r="E140" s="64">
        <f t="shared" si="5"/>
        <v>9220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TRUNC(5491,-1)</f>
        <v>5490</v>
      </c>
      <c r="E142" s="64">
        <f t="shared" si="5"/>
        <v>18140</v>
      </c>
    </row>
    <row r="143" spans="1:7" x14ac:dyDescent="0.3">
      <c r="A143" s="2">
        <v>8</v>
      </c>
      <c r="C143" s="38" t="s">
        <v>62</v>
      </c>
      <c r="D143" s="42">
        <f>TRUNC(5117,-1)</f>
        <v>5110</v>
      </c>
      <c r="E143" s="64">
        <f t="shared" si="5"/>
        <v>16890</v>
      </c>
    </row>
    <row r="144" spans="1:7" x14ac:dyDescent="0.3">
      <c r="A144" s="2">
        <v>9</v>
      </c>
      <c r="C144" s="38" t="s">
        <v>63</v>
      </c>
      <c r="D144" s="42">
        <f>TRUNC(14502,-1)</f>
        <v>14500</v>
      </c>
      <c r="E144" s="64">
        <f t="shared" si="5"/>
        <v>47930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29480</v>
      </c>
      <c r="E146" s="39">
        <f>SUM(E136:E145)</f>
        <v>97430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234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4">
        <f>TRUNC(+D152*3.3058,-1)</f>
        <v>0</v>
      </c>
      <c r="F152" s="58"/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234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4710</v>
      </c>
      <c r="E157" s="63">
        <f>TRUNC(+D157*3.3058,-1)</f>
        <v>15570</v>
      </c>
    </row>
    <row r="158" spans="1:7" x14ac:dyDescent="0.3">
      <c r="A158" s="2">
        <v>2</v>
      </c>
      <c r="C158" s="38" t="s">
        <v>52</v>
      </c>
      <c r="D158" s="42">
        <f>TRUNC(1631,-1)</f>
        <v>1630</v>
      </c>
      <c r="E158" s="64">
        <f>TRUNC(+D158*3.3058,-1)</f>
        <v>5380</v>
      </c>
    </row>
    <row r="159" spans="1:7" x14ac:dyDescent="0.3">
      <c r="A159" s="2">
        <v>3</v>
      </c>
      <c r="C159" s="38" t="s">
        <v>47</v>
      </c>
      <c r="D159" s="42">
        <f>TRUNC(4564+7934,-1)</f>
        <v>12490</v>
      </c>
      <c r="E159" s="64">
        <f>TRUNC(+D159*3.3058,-1)</f>
        <v>41280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18830</v>
      </c>
      <c r="E161" s="39">
        <f>SUM(E157:E160)</f>
        <v>62230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2020-12-07T10:06:29Z</dcterms:modified>
</cp:coreProperties>
</file>