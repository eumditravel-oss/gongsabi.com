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2" i="4"/>
  <c r="D151" i="4"/>
  <c r="D150" i="4"/>
  <c r="D144" i="4"/>
  <c r="D143" i="4"/>
  <c r="D141" i="4"/>
  <c r="D140" i="4"/>
  <c r="D139" i="4"/>
  <c r="D137" i="4"/>
  <c r="D132" i="4"/>
  <c r="D131" i="4"/>
  <c r="D130" i="4"/>
  <c r="D128" i="4"/>
  <c r="D126" i="4"/>
  <c r="D125" i="4"/>
  <c r="D124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2" i="4"/>
  <c r="D41" i="4"/>
  <c r="D4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<sst xmlns="http://schemas.openxmlformats.org/spreadsheetml/2006/main" count="390" uniqueCount="267">
  <si>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</si>
  <si>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</si>
  <si>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</si>
  <si>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</si>
  <si>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</si>
  <si>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</si>
  <si>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</si>
  <si>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</si>
  <si>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</si>
  <si>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</si>
  <si>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</si>
  <si>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</si>
  <si>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</si>
  <si>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</si>
  <si>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</si>
  <si>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</si>
  <si>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</si>
  <si>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</si>
  <si>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</si>
  <si>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</si>
  <si>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</si>
  <si>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</si>
  <si>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</si>
  <si>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</si>
  <si>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</si>
  <si>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</si>
  <si>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</si>
  <si>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</si>
  <si>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</si>
  <si>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</si>
  <si>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</si>
  <si>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</si>
  <si>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</si>
  <si>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</si>
  <si>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</si>
  <si>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</si>
  <si>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</si>
  <si>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</si>
  <si>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</si>
  <si>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</si>
  <si>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</si>
  <si>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</si>
  <si>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</si>
  <si>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</si>
  <si>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</si>
  <si>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</si>
  <si>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</si>
  <si>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</si>
  <si>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</si>
  <si>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</si>
  <si>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</si>
  <si>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</si>
  <si>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</si>
  <si>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</si>
  <si>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</si>
  <si>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</si>
  <si>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</si>
  <si>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</si>
  <si>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</si>
  <si>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</si>
  <si>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</si>
  <si>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</si>
  <si>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</si>
  <si>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</si>
  <si>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</si>
  <si>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</si>
  <si>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</si>
  <si>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</si>
  <si>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</si>
  <si>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</si>
  <si>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</si>
  <si>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</si>
  <si>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</si>
  <si>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</si>
  <si>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</si>
  <si>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</si>
  <si>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</si>
  <si>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</si>
  <si>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</si>
  <si>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</si>
  <si>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</si>
  <si>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</si>
  <si>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</si>
  <si>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</si>
  <si>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</si>
  <si>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</si>
  <si>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</si>
  <si>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</si>
  <si>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</si>
  <si>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</si>
  <si>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</si>
  <si>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</si>
  <si>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</si>
  <si>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</si>
  <si>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</si>
  <si>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</si>
  <si>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</si>
  <si>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</si>
  <si>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</si>
  <si>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</si>
  <si>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</si>
  <si>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</si>
  <si>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</si>
  <si>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</si>
  <si>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</si>
  <si>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</si>
  <si>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</si>
  <si>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</si>
  <si>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</si>
  <si>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</si>
  <si>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</si>
  <si>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</si>
  <si>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</si>
  <si>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</si>
  <si>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</si>
  <si>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</si>
  <si>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</si>
  <si>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</si>
  <si>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</si>
  <si>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</si>
  <si>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</si>
  <si>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</si>
  <si>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</si>
  <si>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</si>
  <si>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</si>
  <si>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</si>
  <si>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</si>
  <si>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</si>
  <si>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</si>
  <si>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</si>
  <si>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</si>
  <si>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</si>
  <si>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</si>
  <si>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</si>
  <si>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</si>
  <si>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</si>
  <si>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</si>
  <si>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</si>
  <si>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</si>
  <si>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</si>
  <si>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</si>
  <si>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</si>
  <si>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</si>
  <si>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</si>
  <si>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</si>
  <si>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</si>
  <si>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</si>
  <si>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</si>
  <si>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</si>
  <si>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</si>
  <si>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</si>
  <si>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</si>
  <si>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</si>
  <si>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</si>
  <si>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</si>
  <si>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</si>
  <si>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</si>
  <si>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</si>
  <si>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</si>
  <si>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</si>
  <si>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</si>
  <si>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</si>
  <si>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</si>
  <si>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</si>
  <si>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</si>
  <si>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</si>
  <si>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</si>
  <si>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</si>
  <si>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</si>
  <si>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</si>
  <si>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</si>
  <si>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</si>
  <si>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</si>
  <si>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</si>
  <si>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</si>
  <si>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</si>
  <si>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</si>
  <si>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</si>
  <si>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</si>
  <si>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</si>
  <si>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</si>
  <si>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</si>
  <si>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</si>
  <si>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</si>
  <si>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</si>
  <si>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</si>
  <si>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</si>
  <si>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</si>
  <si>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</si>
  <si>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</si>
  <si>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</si>
  <si>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</si>
  <si>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</si>
  <si>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</si>
  <si>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</si>
  <si>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</si>
  <si>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</si>
  <si>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</si>
  <si>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</si>
  <si>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</si>
  <si>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</si>
  <si>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</si>
  <si>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</si>
  <si>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</si>
  <si>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</si>
  <si>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</si>
  <si>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</si>
  <si>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</si>
  <si>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</si>
  <si>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</si>
  <si>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</si>
  <si>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</si>
  <si>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</si>
  <si>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</si>
  <si>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</si>
  <si>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</si>
  <si>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</si>
  <si>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</si>
  <si>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</si>
  <si>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</si>
  <si>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</si>
  <si>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</si>
  <si>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</si>
  <si>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</si>
  <si>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</si>
  <si>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</si>
  <si>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</si>
  <si>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</si>
  <si>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</si>
  <si>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</si>
  <si>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</si>
  <si>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</si>
  <si>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</si>
  <si>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</si>
  <si>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</si>
  <si>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</si>
  <si>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</si>
  <si>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</si>
  <si>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</si>
  <si>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</si>
  <si>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</si>
  <si>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</si>
  <si>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</si>
  <si>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</si>
  <si>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</si>
  <si>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</si>
  <si>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</si>
  <si>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</si>
  <si>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</si>
  <si>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</si>
  <si>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</si>
  <si>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</si>
  <si>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</si>
  <si>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</si>
  <si>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교육연구</t>
  </si>
  <si>
    <t>율하2택지1초 교사 신축공사</t>
    <phoneticPr fontId="2" type="noConversion"/>
  </si>
  <si>
    <t>경상도</t>
  </si>
  <si>
    <t>기초공사, 골재비및운반비, 품질시험비,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</si>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</sst>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12957.05</v>
      </c>
      <c r="D7" s="36">
        <f>+C7/3.3058</f>
        <v>3919.4899872950568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938000</v>
      </c>
      <c r="E25" s="59">
        <f t="shared" si="0"/>
        <v>3100840</v>
      </c>
    </row>
    <row r="26" spans="1:5" x14ac:dyDescent="0.3">
      <c r="B26" s="2">
        <v>3</v>
      </c>
      <c r="C26" s="35" t="s">
        <v>95</v>
      </c>
      <c r="D26" s="45">
        <f>+D66</f>
        <v>5980</v>
      </c>
      <c r="E26" s="59">
        <f t="shared" si="0"/>
        <v>19760</v>
      </c>
    </row>
    <row r="27" spans="1:5" x14ac:dyDescent="0.3">
      <c r="B27" s="2">
        <v>4</v>
      </c>
      <c r="C27" s="35" t="s">
        <v>96</v>
      </c>
      <c r="D27" s="45">
        <f>+D95</f>
        <v>129320</v>
      </c>
      <c r="E27" s="59">
        <f t="shared" si="0"/>
        <v>427500</v>
      </c>
    </row>
    <row r="28" spans="1:5" x14ac:dyDescent="0.3">
      <c r="B28" s="2">
        <v>5</v>
      </c>
      <c r="C28" s="35" t="s">
        <v>97</v>
      </c>
      <c r="D28" s="45">
        <f>+D119</f>
        <v>207570</v>
      </c>
      <c r="E28" s="59">
        <f t="shared" si="0"/>
        <v>686180</v>
      </c>
    </row>
    <row r="29" spans="1:5" x14ac:dyDescent="0.3">
      <c r="B29" s="2">
        <v>6</v>
      </c>
      <c r="C29" s="35" t="s">
        <v>98</v>
      </c>
      <c r="D29" s="45">
        <f>+D133</f>
        <v>72420</v>
      </c>
      <c r="E29" s="59">
        <f t="shared" si="0"/>
        <v>239400</v>
      </c>
    </row>
    <row r="30" spans="1:5" x14ac:dyDescent="0.3">
      <c r="B30" s="2">
        <v>7</v>
      </c>
      <c r="C30" s="35" t="s">
        <v>99</v>
      </c>
      <c r="D30" s="45">
        <f>+D146</f>
        <v>33590</v>
      </c>
      <c r="E30" s="59">
        <f t="shared" si="0"/>
        <v>111040</v>
      </c>
    </row>
    <row r="31" spans="1:5" x14ac:dyDescent="0.3">
      <c r="B31" s="2">
        <v>8</v>
      </c>
      <c r="C31" s="35" t="s">
        <v>100</v>
      </c>
      <c r="D31" s="45">
        <f>+D154</f>
        <v>28380</v>
      </c>
      <c r="E31" s="59">
        <f t="shared" si="0"/>
        <v>93810</v>
      </c>
    </row>
    <row r="32" spans="1:5" x14ac:dyDescent="0.3">
      <c r="B32" s="2">
        <v>9</v>
      </c>
      <c r="C32" s="35" t="s">
        <v>101</v>
      </c>
      <c r="D32" s="45">
        <f>+D161</f>
        <v>27640</v>
      </c>
      <c r="E32" s="59">
        <f t="shared" si="0"/>
        <v>91370</v>
      </c>
    </row>
    <row r="33" spans="1:7" x14ac:dyDescent="0.3">
      <c r="B33" s="2">
        <v>10</v>
      </c>
      <c r="C33" s="35" t="s">
        <v>154</v>
      </c>
      <c r="D33" s="53">
        <f>TRUNC(SUM(D24:D32)*0.275,-1)</f>
        <v>396790</v>
      </c>
      <c r="E33" s="60">
        <f t="shared" si="0"/>
        <v>1311700</v>
      </c>
    </row>
    <row r="34" spans="1:7" x14ac:dyDescent="0.3">
      <c r="C34" s="35" t="s">
        <v>112</v>
      </c>
      <c r="D34" s="44">
        <f>SUM(D24:D33)</f>
        <v>1839690</v>
      </c>
      <c r="E34" s="44">
        <f>SUM(E24:E33)</f>
        <v>6081600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TRUNC(43177,-1)</f>
        <v>43170</v>
      </c>
      <c r="E40" s="62">
        <f t="shared" ref="E40:E59" si="1">TRUNC(+D40*3.3058,-1)</f>
        <v>142710</v>
      </c>
    </row>
    <row r="41" spans="1:7" x14ac:dyDescent="0.3">
      <c r="A41" s="2">
        <v>2</v>
      </c>
      <c r="C41" s="38" t="s">
        <v>13</v>
      </c>
      <c r="D41" s="42">
        <f>TRUNC(133533,-1)</f>
        <v>133530</v>
      </c>
      <c r="E41" s="63">
        <f t="shared" si="1"/>
        <v>441420</v>
      </c>
    </row>
    <row r="42" spans="1:7" x14ac:dyDescent="0.3">
      <c r="A42" s="2">
        <v>3</v>
      </c>
      <c r="C42" s="38" t="s">
        <v>14</v>
      </c>
      <c r="D42" s="42">
        <f>TRUNC(11531,-1)</f>
        <v>11530</v>
      </c>
      <c r="E42" s="63">
        <f t="shared" si="1"/>
        <v>38110</v>
      </c>
    </row>
    <row r="43" spans="1:7" x14ac:dyDescent="0.3">
      <c r="A43" s="2">
        <v>4</v>
      </c>
      <c r="C43" s="38" t="s">
        <v>16</v>
      </c>
      <c r="D43" s="42">
        <v>23120</v>
      </c>
      <c r="E43" s="63">
        <f t="shared" si="1"/>
        <v>76430</v>
      </c>
    </row>
    <row r="44" spans="1:7" x14ac:dyDescent="0.3">
      <c r="A44" s="2">
        <v>5</v>
      </c>
      <c r="C44" s="38" t="s">
        <v>17</v>
      </c>
      <c r="D44" s="42">
        <f>TRUNC(19015,-1)</f>
        <v>19010</v>
      </c>
      <c r="E44" s="63">
        <f t="shared" si="1"/>
        <v>62840</v>
      </c>
    </row>
    <row r="45" spans="1:7" x14ac:dyDescent="0.3">
      <c r="A45" s="2">
        <v>6</v>
      </c>
      <c r="C45" s="38" t="s">
        <v>18</v>
      </c>
      <c r="D45" s="42">
        <f>TRUNC(6013,-1)</f>
        <v>6010</v>
      </c>
      <c r="E45" s="63">
        <f t="shared" si="1"/>
        <v>19860</v>
      </c>
    </row>
    <row r="46" spans="1:7" x14ac:dyDescent="0.3">
      <c r="A46" s="2">
        <v>7</v>
      </c>
      <c r="C46" s="38" t="s">
        <v>19</v>
      </c>
      <c r="D46" s="42">
        <f>TRUNC(43081,-1)</f>
        <v>43080</v>
      </c>
      <c r="E46" s="63">
        <f t="shared" si="1"/>
        <v>142410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TRUNC(56282,-1)</f>
        <v>56280</v>
      </c>
      <c r="E48" s="63">
        <f t="shared" si="1"/>
        <v>186050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TRUNC(20679,-1)</f>
        <v>20670</v>
      </c>
      <c r="E49" s="63">
        <f t="shared" si="1"/>
        <v>68330</v>
      </c>
    </row>
    <row r="50" spans="1:7" x14ac:dyDescent="0.3">
      <c r="A50" s="2">
        <v>11</v>
      </c>
      <c r="C50" s="38" t="s">
        <v>155</v>
      </c>
      <c r="D50" s="42">
        <f>TRUNC(38614,-1)</f>
        <v>38610</v>
      </c>
      <c r="E50" s="63">
        <f t="shared" si="1"/>
        <v>127630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TRUNC(11996,-1)</f>
        <v>11990</v>
      </c>
      <c r="E52" s="63">
        <f t="shared" si="1"/>
        <v>39630</v>
      </c>
    </row>
    <row r="53" spans="1:7" x14ac:dyDescent="0.3">
      <c r="A53" s="2">
        <v>14</v>
      </c>
      <c r="C53" s="38" t="s">
        <v>25</v>
      </c>
      <c r="D53" s="42">
        <f>TRUNC(116407,-1)</f>
        <v>116400</v>
      </c>
      <c r="E53" s="63">
        <f t="shared" si="1"/>
        <v>384790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TRUNC(41895+26159+263+21518,-1)</f>
        <v>89830</v>
      </c>
      <c r="E58" s="63">
        <f t="shared" si="1"/>
        <v>296960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TRUNC(324777,-1)</f>
        <v>324770</v>
      </c>
      <c r="E59" s="64">
        <f t="shared" si="1"/>
        <v>1073620</v>
      </c>
    </row>
    <row r="60" spans="1:7" x14ac:dyDescent="0.3">
      <c r="A60" s="2">
        <v>21</v>
      </c>
      <c r="C60" s="27" t="s">
        <v>112</v>
      </c>
      <c r="D60" s="39">
        <f>SUM(D40:D59)</f>
        <v>938000</v>
      </c>
      <c r="E60" s="39">
        <f>SUM(E40:E59)</f>
        <v>3100790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TRUNC(5987,-1)</f>
        <v>5980</v>
      </c>
      <c r="E63" s="62">
        <f>TRUNC(+D63*3.3058,-1)</f>
        <v>19760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5980</v>
      </c>
      <c r="E66" s="65">
        <f>SUM(E63:E65)</f>
        <v>19760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TRUNC(6038,-1)</f>
        <v>6030</v>
      </c>
      <c r="E69" s="62">
        <f t="shared" ref="E69:E94" si="2">TRUNC(+D69*3.3058,-1)</f>
        <v>19930</v>
      </c>
    </row>
    <row r="70" spans="1:7" ht="16.5" customHeight="1" x14ac:dyDescent="0.3">
      <c r="A70" s="2">
        <v>2</v>
      </c>
      <c r="C70" s="38" t="s">
        <v>31</v>
      </c>
      <c r="D70" s="42">
        <f>TRUNC(2467,-1)</f>
        <v>2460</v>
      </c>
      <c r="E70" s="63">
        <f t="shared" si="2"/>
        <v>8130</v>
      </c>
    </row>
    <row r="71" spans="1:7" x14ac:dyDescent="0.3">
      <c r="A71" s="2">
        <v>3</v>
      </c>
      <c r="C71" s="38" t="s">
        <v>32</v>
      </c>
      <c r="D71" s="42">
        <f>TRUNC(2476,-1)</f>
        <v>2470</v>
      </c>
      <c r="E71" s="63">
        <f t="shared" si="2"/>
        <v>8160</v>
      </c>
    </row>
    <row r="72" spans="1:7" x14ac:dyDescent="0.3">
      <c r="A72" s="2">
        <v>4</v>
      </c>
      <c r="C72" s="38" t="s">
        <v>33</v>
      </c>
      <c r="D72" s="42">
        <f>TRUNC(3774,-1)</f>
        <v>3770</v>
      </c>
      <c r="E72" s="63">
        <f t="shared" si="2"/>
        <v>12460</v>
      </c>
    </row>
    <row r="73" spans="1:7" x14ac:dyDescent="0.3">
      <c r="A73" s="2">
        <v>5</v>
      </c>
      <c r="C73" s="38" t="s">
        <v>34</v>
      </c>
      <c r="D73" s="42">
        <f>TRUNC(11112,-1)</f>
        <v>11110</v>
      </c>
      <c r="E73" s="63">
        <f t="shared" si="2"/>
        <v>36720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6280</v>
      </c>
      <c r="E89" s="63">
        <f t="shared" si="2"/>
        <v>20760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TRUNC(2955,-1)</f>
        <v>2950</v>
      </c>
      <c r="E91" s="63">
        <f t="shared" si="2"/>
        <v>9750</v>
      </c>
    </row>
    <row r="92" spans="1:7" x14ac:dyDescent="0.3">
      <c r="A92" s="2">
        <v>24</v>
      </c>
      <c r="C92" s="38" t="s">
        <v>38</v>
      </c>
      <c r="D92" s="42">
        <f>TRUNC(14561,-1)</f>
        <v>14560</v>
      </c>
      <c r="E92" s="63">
        <f t="shared" si="2"/>
        <v>48130</v>
      </c>
    </row>
    <row r="93" spans="1:7" x14ac:dyDescent="0.3">
      <c r="A93" s="2">
        <v>25</v>
      </c>
      <c r="C93" s="38" t="s">
        <v>148</v>
      </c>
      <c r="D93" s="42">
        <f>TRUNC(72684,-1)</f>
        <v>72680</v>
      </c>
      <c r="E93" s="63">
        <f t="shared" si="2"/>
        <v>240260</v>
      </c>
    </row>
    <row r="94" spans="1:7" ht="17.25" thickBot="1" x14ac:dyDescent="0.35">
      <c r="A94" s="2">
        <v>26</v>
      </c>
      <c r="C94" s="38" t="s">
        <v>47</v>
      </c>
      <c r="D94" s="43">
        <f>TRUNC(898+4005+2116,-1)</f>
        <v>7010</v>
      </c>
      <c r="E94" s="64">
        <f t="shared" si="2"/>
        <v>23170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129320</v>
      </c>
      <c r="E95" s="39">
        <f>SUM(E69:E94)</f>
        <v>427470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TRUNC(8756,-1)</f>
        <v>8750</v>
      </c>
      <c r="E98" s="62">
        <f t="shared" ref="E98:E118" si="3">TRUNC(+D98*3.3058,-1)</f>
        <v>28920</v>
      </c>
    </row>
    <row r="99" spans="1:7" x14ac:dyDescent="0.3">
      <c r="A99" s="2">
        <v>2</v>
      </c>
      <c r="C99" s="38" t="s">
        <v>40</v>
      </c>
      <c r="D99" s="42">
        <f>TRUNC(2693,-1)</f>
        <v>2690</v>
      </c>
      <c r="E99" s="63">
        <f t="shared" si="3"/>
        <v>8890</v>
      </c>
    </row>
    <row r="100" spans="1:7" x14ac:dyDescent="0.3">
      <c r="A100" s="2">
        <v>3</v>
      </c>
      <c r="C100" s="38" t="s">
        <v>41</v>
      </c>
      <c r="D100" s="42">
        <f>TRUNC(24536,-1)</f>
        <v>24530</v>
      </c>
      <c r="E100" s="63">
        <f t="shared" si="3"/>
        <v>81090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TRUNC(12653,-1)</f>
        <v>12650</v>
      </c>
      <c r="E102" s="63">
        <f t="shared" si="3"/>
        <v>41810</v>
      </c>
    </row>
    <row r="103" spans="1:7" x14ac:dyDescent="0.3">
      <c r="A103" s="2">
        <v>6</v>
      </c>
      <c r="C103" s="38" t="s">
        <v>44</v>
      </c>
      <c r="D103" s="42">
        <f>TRUNC(2216,-1)</f>
        <v>2210</v>
      </c>
      <c r="E103" s="63">
        <f t="shared" si="3"/>
        <v>7300</v>
      </c>
    </row>
    <row r="104" spans="1:7" x14ac:dyDescent="0.3">
      <c r="A104" s="2">
        <v>7</v>
      </c>
      <c r="C104" s="38" t="s">
        <v>45</v>
      </c>
      <c r="D104" s="42">
        <f>TRUNC(3296,-1)</f>
        <v>3290</v>
      </c>
      <c r="E104" s="63">
        <f t="shared" si="3"/>
        <v>10870</v>
      </c>
    </row>
    <row r="105" spans="1:7" x14ac:dyDescent="0.3">
      <c r="A105" s="2">
        <v>8</v>
      </c>
      <c r="C105" s="38" t="s">
        <v>46</v>
      </c>
      <c r="D105" s="42">
        <f>TRUNC(4053,-1)</f>
        <v>4050</v>
      </c>
      <c r="E105" s="63">
        <f t="shared" si="3"/>
        <v>13380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TRUNC(1378,-1)</f>
        <v>1370</v>
      </c>
      <c r="E114" s="63">
        <f t="shared" si="3"/>
        <v>4520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TRUNC(146089,-1)</f>
        <v>146080</v>
      </c>
      <c r="E117" s="63">
        <f t="shared" si="3"/>
        <v>482910</v>
      </c>
    </row>
    <row r="118" spans="1:7" ht="17.25" thickBot="1" x14ac:dyDescent="0.35">
      <c r="A118" s="2">
        <v>21</v>
      </c>
      <c r="C118" s="38" t="s">
        <v>47</v>
      </c>
      <c r="D118" s="43">
        <f>TRUNC(1959,-1)</f>
        <v>1950</v>
      </c>
      <c r="E118" s="64">
        <f t="shared" si="3"/>
        <v>6440</v>
      </c>
    </row>
    <row r="119" spans="1:7" x14ac:dyDescent="0.3">
      <c r="A119" s="2">
        <v>22</v>
      </c>
      <c r="C119" s="27" t="s">
        <v>112</v>
      </c>
      <c r="D119" s="39">
        <f>SUM(D98:D118)</f>
        <v>207570</v>
      </c>
      <c r="E119" s="39">
        <f>SUM(E98:E118)</f>
        <v>686130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TRUNC(5171,-1)</f>
        <v>5170</v>
      </c>
      <c r="E122" s="62">
        <f t="shared" ref="E122:E132" si="4">TRUNC(+D122*3.3058,-1)</f>
        <v>17090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TRUNC(1099,-1)</f>
        <v>1090</v>
      </c>
      <c r="E124" s="63">
        <f t="shared" si="4"/>
        <v>3600</v>
      </c>
    </row>
    <row r="125" spans="1:7" x14ac:dyDescent="0.3">
      <c r="A125" s="2">
        <v>4</v>
      </c>
      <c r="C125" s="38" t="s">
        <v>138</v>
      </c>
      <c r="D125" s="42">
        <f>TRUNC(6373,-1)</f>
        <v>6370</v>
      </c>
      <c r="E125" s="63">
        <f t="shared" si="4"/>
        <v>21050</v>
      </c>
    </row>
    <row r="126" spans="1:7" x14ac:dyDescent="0.3">
      <c r="A126" s="2">
        <v>5</v>
      </c>
      <c r="C126" s="38" t="s">
        <v>53</v>
      </c>
      <c r="D126" s="42">
        <f>TRUNC(1793,-1)</f>
        <v>1790</v>
      </c>
      <c r="E126" s="63">
        <f t="shared" si="4"/>
        <v>5910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TRUNC(4377,-1)</f>
        <v>4370</v>
      </c>
      <c r="E128" s="63">
        <f t="shared" si="4"/>
        <v>14440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TRUNC(10197,-1)</f>
        <v>10190</v>
      </c>
      <c r="E130" s="63">
        <f t="shared" si="4"/>
        <v>33680</v>
      </c>
    </row>
    <row r="131" spans="1:7" x14ac:dyDescent="0.3">
      <c r="A131" s="2">
        <v>10</v>
      </c>
      <c r="C131" s="38" t="s">
        <v>148</v>
      </c>
      <c r="D131" s="42">
        <f>TRUNC(42297,-1)</f>
        <v>42290</v>
      </c>
      <c r="E131" s="63">
        <f t="shared" si="4"/>
        <v>139800</v>
      </c>
    </row>
    <row r="132" spans="1:7" ht="18" thickBot="1" x14ac:dyDescent="0.35">
      <c r="A132" s="2">
        <v>11</v>
      </c>
      <c r="C132" s="38" t="s">
        <v>47</v>
      </c>
      <c r="D132" s="43">
        <f>TRUNC(1158,-1)</f>
        <v>1150</v>
      </c>
      <c r="E132" s="64">
        <f t="shared" si="4"/>
        <v>3800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72420</v>
      </c>
      <c r="E133" s="39">
        <f>SUM(E122:E132)</f>
        <v>239370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TRUNC(2082+7464,-1)</f>
        <v>9540</v>
      </c>
      <c r="E137" s="63">
        <f t="shared" si="5"/>
        <v>31530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TRUNC(1111,-1)</f>
        <v>1110</v>
      </c>
      <c r="E139" s="63">
        <f t="shared" si="5"/>
        <v>3660</v>
      </c>
    </row>
    <row r="140" spans="1:7" x14ac:dyDescent="0.3">
      <c r="A140" s="2">
        <v>5</v>
      </c>
      <c r="C140" s="38" t="s">
        <v>57</v>
      </c>
      <c r="D140" s="42">
        <f>TRUNC(1126,-1)</f>
        <v>1120</v>
      </c>
      <c r="E140" s="63">
        <f t="shared" si="5"/>
        <v>3700</v>
      </c>
    </row>
    <row r="141" spans="1:7" x14ac:dyDescent="0.3">
      <c r="A141" s="2">
        <v>6</v>
      </c>
      <c r="C141" s="38" t="s">
        <v>59</v>
      </c>
      <c r="D141" s="42">
        <f>TRUNC(7855,-1)</f>
        <v>7850</v>
      </c>
      <c r="E141" s="63">
        <f t="shared" si="5"/>
        <v>25950</v>
      </c>
    </row>
    <row r="142" spans="1:7" x14ac:dyDescent="0.3">
      <c r="A142" s="2">
        <v>7</v>
      </c>
      <c r="C142" s="38" t="s">
        <v>58</v>
      </c>
      <c r="D142" s="42">
        <v>6360</v>
      </c>
      <c r="E142" s="63">
        <f t="shared" si="5"/>
        <v>21020</v>
      </c>
    </row>
    <row r="143" spans="1:7" x14ac:dyDescent="0.3">
      <c r="A143" s="2">
        <v>8</v>
      </c>
      <c r="C143" s="38" t="s">
        <v>62</v>
      </c>
      <c r="D143" s="42">
        <f>TRUNC(2077,-1)</f>
        <v>2070</v>
      </c>
      <c r="E143" s="63">
        <f t="shared" si="5"/>
        <v>6840</v>
      </c>
    </row>
    <row r="144" spans="1:7" x14ac:dyDescent="0.3">
      <c r="A144" s="2">
        <v>9</v>
      </c>
      <c r="C144" s="38" t="s">
        <v>63</v>
      </c>
      <c r="D144" s="42">
        <f>TRUNC(5548,-1)</f>
        <v>5540</v>
      </c>
      <c r="E144" s="63">
        <f t="shared" si="5"/>
        <v>18310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33590</v>
      </c>
      <c r="E146" s="39">
        <f>SUM(E136:E145)</f>
        <v>111010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6312+2408</f>
        <v>8720</v>
      </c>
      <c r="E149" s="62">
        <f>TRUNC(+D149*3.3058,-1)</f>
        <v>28820</v>
      </c>
    </row>
    <row r="150" spans="1:7" x14ac:dyDescent="0.3">
      <c r="A150" s="2">
        <v>2</v>
      </c>
      <c r="C150" s="38" t="s">
        <v>49</v>
      </c>
      <c r="D150" s="42">
        <f>TRUNC(9715,-1)</f>
        <v>9710</v>
      </c>
      <c r="E150" s="63">
        <f>TRUNC(+D150*3.3058,-1)</f>
        <v>32090</v>
      </c>
    </row>
    <row r="151" spans="1:7" x14ac:dyDescent="0.3">
      <c r="A151" s="2">
        <v>3</v>
      </c>
      <c r="C151" s="38" t="s">
        <v>50</v>
      </c>
      <c r="D151" s="42">
        <f>TRUNC(2929,-1)</f>
        <v>2920</v>
      </c>
      <c r="E151" s="63">
        <f>TRUNC(+D151*3.3058,-1)</f>
        <v>9650</v>
      </c>
    </row>
    <row r="152" spans="1:7" x14ac:dyDescent="0.3">
      <c r="A152" s="2">
        <v>4</v>
      </c>
      <c r="C152" s="38" t="s">
        <v>47</v>
      </c>
      <c r="D152" s="42">
        <f>TRUNC(7034,-1)</f>
        <v>7030</v>
      </c>
      <c r="E152" s="63">
        <f>TRUNC(+D152*3.3058,-1)</f>
        <v>23230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28380</v>
      </c>
      <c r="E154" s="39">
        <f>SUM(E149:E153)</f>
        <v>93790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24000</v>
      </c>
      <c r="E157" s="62">
        <f>TRUNC(+D157*3.3058,-1)</f>
        <v>79330</v>
      </c>
    </row>
    <row r="158" spans="1:7" x14ac:dyDescent="0.3">
      <c r="A158" s="2">
        <v>2</v>
      </c>
      <c r="C158" s="38" t="s">
        <v>52</v>
      </c>
      <c r="D158" s="42">
        <f>TRUNC(3642,-1)</f>
        <v>3640</v>
      </c>
      <c r="E158" s="63">
        <f>TRUNC(+D158*3.3058,-1)</f>
        <v>12030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27640</v>
      </c>
      <c r="E161" s="39">
        <f>SUM(E157:E160)</f>
        <v>91360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2020-12-08T01:57:43Z</dcterms:modified>
</cp:coreProperties>
</file>