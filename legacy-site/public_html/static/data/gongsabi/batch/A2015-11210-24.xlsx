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1" i="4"/>
  <c r="D150" i="4"/>
  <c r="D149" i="4"/>
  <c r="D145" i="4"/>
  <c r="D144" i="4"/>
  <c r="D142" i="4"/>
  <c r="D140" i="4"/>
  <c r="D132" i="4"/>
  <c r="D131" i="4"/>
  <c r="D130" i="4"/>
  <c r="D128" i="4"/>
  <c r="D126" i="4"/>
  <c r="D125" i="4"/>
  <c r="D124" i="4"/>
  <c r="D122" i="4"/>
  <c r="D118" i="4"/>
  <c r="D117" i="4"/>
  <c r="D114" i="4"/>
  <c r="D103" i="4"/>
  <c r="D100" i="4"/>
  <c r="D99" i="4"/>
  <c r="D98" i="4"/>
  <c r="D94" i="4"/>
  <c r="D93" i="4"/>
  <c r="D92" i="4"/>
  <c r="D91" i="4"/>
  <c r="D89" i="4"/>
  <c r="D75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<sst xmlns="http://schemas.openxmlformats.org/spreadsheetml/2006/main" count="388" uniqueCount="264">
  <si>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</si>
  <si>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</si>
  <si>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</si>
  <si>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</si>
  <si>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</si>
  <si>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</si>
  <si>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</si>
  <si>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</si>
  <si>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</si>
  <si>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</si>
  <si>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</si>
  <si>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</si>
  <si>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</si>
  <si>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</si>
  <si>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</si>
  <si>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</si>
  <si>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</si>
  <si>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</si>
  <si>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</si>
  <si>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</si>
  <si>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</si>
  <si>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</si>
  <si>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</si>
  <si>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</si>
  <si>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</si>
  <si>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</si>
  <si>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</si>
  <si>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</si>
  <si>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</si>
  <si>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</si>
  <si>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</si>
  <si>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</si>
  <si>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</si>
  <si>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</si>
  <si>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</si>
  <si>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</si>
  <si>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</si>
  <si>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</si>
  <si>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</si>
  <si>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</si>
  <si>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</si>
  <si>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</si>
  <si>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</si>
  <si>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</si>
  <si>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</si>
  <si>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</si>
  <si>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</si>
  <si>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</si>
  <si>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</si>
  <si>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</si>
  <si>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</si>
  <si>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</si>
  <si>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</si>
  <si>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</si>
  <si>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</si>
  <si>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</si>
  <si>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</si>
  <si>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</si>
  <si>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</si>
  <si>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</si>
  <si>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</si>
  <si>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</si>
  <si>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</si>
  <si>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</si>
  <si>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</si>
  <si>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</si>
  <si>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</si>
  <si>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</si>
  <si>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</si>
  <si>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</si>
  <si>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</si>
  <si>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</si>
  <si>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</si>
  <si>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</si>
  <si>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</si>
  <si>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</si>
  <si>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</si>
  <si>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</si>
  <si>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</si>
  <si>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</si>
  <si>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</si>
  <si>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</si>
  <si>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</si>
  <si>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</si>
  <si>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</si>
  <si>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</si>
  <si>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</si>
  <si>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</si>
  <si>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</si>
  <si>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</si>
  <si>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</si>
  <si>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</si>
  <si>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</si>
  <si>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</si>
  <si>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</si>
  <si>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</si>
  <si>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</si>
  <si>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</si>
  <si>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</si>
  <si>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</si>
  <si>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</si>
  <si>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</si>
  <si>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</si>
  <si>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</si>
  <si>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</si>
  <si>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</si>
  <si>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</si>
  <si>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</si>
  <si>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</si>
  <si>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</si>
  <si>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</si>
  <si>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</si>
  <si>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</si>
  <si>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</si>
  <si>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</si>
  <si>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</si>
  <si>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</si>
  <si>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</si>
  <si>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</si>
  <si>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</si>
  <si>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</si>
  <si>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</si>
  <si>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</si>
  <si>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</si>
  <si>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</si>
  <si>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</si>
  <si>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</si>
  <si>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</si>
  <si>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</si>
  <si>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</si>
  <si>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</si>
  <si>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</si>
  <si>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</si>
  <si>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</si>
  <si>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</si>
  <si>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</si>
  <si>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</si>
  <si>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</si>
  <si>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</si>
  <si>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</si>
  <si>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</si>
  <si>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</si>
  <si>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</si>
  <si>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</si>
  <si>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</si>
  <si>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</si>
  <si>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</si>
  <si>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</si>
  <si>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</si>
  <si>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</si>
  <si>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</si>
  <si>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</si>
  <si>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</si>
  <si>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</si>
  <si>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</si>
  <si>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</si>
  <si>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</si>
  <si>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</si>
  <si>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</si>
  <si>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</si>
  <si>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</si>
  <si>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</si>
  <si>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</si>
  <si>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</si>
  <si>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</si>
  <si>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</si>
  <si>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</si>
  <si>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</si>
  <si>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</si>
  <si>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</si>
  <si>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</si>
  <si>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</si>
  <si>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</si>
  <si>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</si>
  <si>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</si>
  <si>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</si>
  <si>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</si>
  <si>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</si>
  <si>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</si>
  <si>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</si>
  <si>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</si>
  <si>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</si>
  <si>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</si>
  <si>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</si>
  <si>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</si>
  <si>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</si>
  <si>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</si>
  <si>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</si>
  <si>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</si>
  <si>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</si>
  <si>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</si>
  <si>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</si>
  <si>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</si>
  <si>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</si>
  <si>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</si>
  <si>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</si>
  <si>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</si>
  <si>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</si>
  <si>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</si>
  <si>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</si>
  <si>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</si>
  <si>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</si>
  <si>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</si>
  <si>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</si>
  <si>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</si>
  <si>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</si>
  <si>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</si>
  <si>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</si>
  <si>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</si>
  <si>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</si>
  <si>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</si>
  <si>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</si>
  <si>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</si>
  <si>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</si>
  <si>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</si>
  <si>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</si>
  <si>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</si>
  <si>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</si>
  <si>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</si>
  <si>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</si>
  <si>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</si>
  <si>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</si>
  <si>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</si>
  <si>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</si>
  <si>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</si>
  <si>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</si>
  <si>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</si>
  <si>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</si>
  <si>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</si>
  <si>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</si>
  <si>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</si>
  <si>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</si>
  <si>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</si>
  <si>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</si>
  <si>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</si>
  <si>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</si>
  <si>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</si>
  <si>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</si>
  <si>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</si>
  <si>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</si>
  <si>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</si>
  <si>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</si>
  <si>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</si>
  <si>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</si>
  <si>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</si>
  <si>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</si>
  <si>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</si>
  <si>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</si>
  <si>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</si>
  <si>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</si>
  <si>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</si>
  <si>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</si>
  <si>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</si>
  <si>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기초공사, 골재비및운반비, 기타공사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</si>
  <si>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</si>
  <si>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</si>
  <si>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</si>
  <si>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</si>
  <si>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가칭)신남유치원 신축 및 부대시설공사</t>
    <phoneticPr fontId="2" type="noConversion"/>
  </si>
  <si>
    <t>강원도</t>
  </si>
  <si>
    <t>상수도공사, 사급자재비,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</si>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</sst>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2189.59</v>
      </c>
      <c r="D7" s="36">
        <f>+C7/3.3058</f>
        <v>662.34799443402505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931130</v>
      </c>
      <c r="E25" s="59">
        <f t="shared" si="0"/>
        <v>3078120</v>
      </c>
    </row>
    <row r="26" spans="1:5" x14ac:dyDescent="0.3">
      <c r="B26" s="2">
        <v>3</v>
      </c>
      <c r="C26" s="35" t="s">
        <v>95</v>
      </c>
      <c r="D26" s="45">
        <f>+D66</f>
        <v>22620</v>
      </c>
      <c r="E26" s="59">
        <f t="shared" si="0"/>
        <v>74770</v>
      </c>
    </row>
    <row r="27" spans="1:5" x14ac:dyDescent="0.3">
      <c r="B27" s="2">
        <v>4</v>
      </c>
      <c r="C27" s="35" t="s">
        <v>96</v>
      </c>
      <c r="D27" s="45">
        <f>+D95</f>
        <v>198250</v>
      </c>
      <c r="E27" s="59">
        <f t="shared" si="0"/>
        <v>655370</v>
      </c>
    </row>
    <row r="28" spans="1:5" x14ac:dyDescent="0.3">
      <c r="B28" s="2">
        <v>5</v>
      </c>
      <c r="C28" s="35" t="s">
        <v>97</v>
      </c>
      <c r="D28" s="45">
        <f>+D119</f>
        <v>195430</v>
      </c>
      <c r="E28" s="59">
        <f t="shared" si="0"/>
        <v>646050</v>
      </c>
    </row>
    <row r="29" spans="1:5" x14ac:dyDescent="0.3">
      <c r="B29" s="2">
        <v>6</v>
      </c>
      <c r="C29" s="35" t="s">
        <v>98</v>
      </c>
      <c r="D29" s="45">
        <f>+D133</f>
        <v>63080</v>
      </c>
      <c r="E29" s="59">
        <f t="shared" si="0"/>
        <v>208520</v>
      </c>
    </row>
    <row r="30" spans="1:5" x14ac:dyDescent="0.3">
      <c r="B30" s="2">
        <v>7</v>
      </c>
      <c r="C30" s="35" t="s">
        <v>99</v>
      </c>
      <c r="D30" s="45">
        <f>+D146</f>
        <v>71820</v>
      </c>
      <c r="E30" s="59">
        <f t="shared" si="0"/>
        <v>237420</v>
      </c>
    </row>
    <row r="31" spans="1:5" x14ac:dyDescent="0.3">
      <c r="B31" s="2">
        <v>8</v>
      </c>
      <c r="C31" s="35" t="s">
        <v>100</v>
      </c>
      <c r="D31" s="45">
        <f>+D154</f>
        <v>108790</v>
      </c>
      <c r="E31" s="59">
        <f t="shared" si="0"/>
        <v>359630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437550</v>
      </c>
      <c r="E33" s="60">
        <f t="shared" si="0"/>
        <v>1446450</v>
      </c>
    </row>
    <row r="34" spans="1:7" x14ac:dyDescent="0.3">
      <c r="C34" s="35" t="s">
        <v>112</v>
      </c>
      <c r="D34" s="44">
        <f>SUM(D24:D33)</f>
        <v>2028670</v>
      </c>
      <c r="E34" s="44">
        <f>SUM(E24:E33)</f>
        <v>6706330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TRUNC(38939,-1)</f>
        <v>38930</v>
      </c>
      <c r="E40" s="62">
        <f t="shared" ref="E40:E59" si="1">TRUNC(+D40*3.3058,-1)</f>
        <v>128690</v>
      </c>
    </row>
    <row r="41" spans="1:7" x14ac:dyDescent="0.3">
      <c r="A41" s="2">
        <v>2</v>
      </c>
      <c r="C41" s="38" t="s">
        <v>13</v>
      </c>
      <c r="D41" s="42">
        <f>TRUNC(181089,-1)</f>
        <v>181080</v>
      </c>
      <c r="E41" s="63">
        <f t="shared" si="1"/>
        <v>598610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TRUNC(47964,-1)</f>
        <v>47960</v>
      </c>
      <c r="E43" s="63">
        <f t="shared" si="1"/>
        <v>158540</v>
      </c>
    </row>
    <row r="44" spans="1:7" x14ac:dyDescent="0.3">
      <c r="A44" s="2">
        <v>5</v>
      </c>
      <c r="C44" s="38" t="s">
        <v>17</v>
      </c>
      <c r="D44" s="42">
        <f>TRUNC(25436,-1)</f>
        <v>25430</v>
      </c>
      <c r="E44" s="63">
        <f t="shared" si="1"/>
        <v>84060</v>
      </c>
    </row>
    <row r="45" spans="1:7" x14ac:dyDescent="0.3">
      <c r="A45" s="2">
        <v>6</v>
      </c>
      <c r="C45" s="38" t="s">
        <v>18</v>
      </c>
      <c r="D45" s="42">
        <f>TRUNC(14585,-1)</f>
        <v>14580</v>
      </c>
      <c r="E45" s="63">
        <f t="shared" si="1"/>
        <v>48190</v>
      </c>
    </row>
    <row r="46" spans="1:7" x14ac:dyDescent="0.3">
      <c r="A46" s="2">
        <v>7</v>
      </c>
      <c r="C46" s="38" t="s">
        <v>19</v>
      </c>
      <c r="D46" s="42">
        <f>TRUNC(5119,-1)</f>
        <v>5110</v>
      </c>
      <c r="E46" s="63">
        <f t="shared" si="1"/>
        <v>16890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TRUNC(66838,-1)</f>
        <v>66830</v>
      </c>
      <c r="E48" s="63">
        <f t="shared" si="1"/>
        <v>220920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TRUNC(23619,-1)</f>
        <v>23610</v>
      </c>
      <c r="E49" s="63">
        <f t="shared" si="1"/>
        <v>78040</v>
      </c>
    </row>
    <row r="50" spans="1:7" x14ac:dyDescent="0.3">
      <c r="A50" s="2">
        <v>11</v>
      </c>
      <c r="C50" s="38" t="s">
        <v>155</v>
      </c>
      <c r="D50" s="42">
        <f>TRUNC(49777,-1)</f>
        <v>49770</v>
      </c>
      <c r="E50" s="63">
        <f t="shared" si="1"/>
        <v>164520</v>
      </c>
      <c r="F50" s="2" t="s">
        <v>256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TRUNC(42134,-1)</f>
        <v>42130</v>
      </c>
      <c r="E52" s="63">
        <f t="shared" si="1"/>
        <v>139270</v>
      </c>
    </row>
    <row r="53" spans="1:7" x14ac:dyDescent="0.3">
      <c r="A53" s="2">
        <v>14</v>
      </c>
      <c r="C53" s="38" t="s">
        <v>25</v>
      </c>
      <c r="D53" s="42">
        <f>TRUNC(36296,-1)</f>
        <v>36290</v>
      </c>
      <c r="E53" s="63">
        <f t="shared" si="1"/>
        <v>119960</v>
      </c>
      <c r="F53" s="2" t="s">
        <v>257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TRUNC(4658+11425+9272,-1)</f>
        <v>25350</v>
      </c>
      <c r="E58" s="63">
        <f t="shared" si="1"/>
        <v>83800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TRUNC(374061,-1)</f>
        <v>374060</v>
      </c>
      <c r="E59" s="64">
        <f t="shared" si="1"/>
        <v>1236560</v>
      </c>
    </row>
    <row r="60" spans="1:7" x14ac:dyDescent="0.3">
      <c r="A60" s="2">
        <v>21</v>
      </c>
      <c r="C60" s="27" t="s">
        <v>112</v>
      </c>
      <c r="D60" s="39">
        <f>SUM(D40:D59)</f>
        <v>931130</v>
      </c>
      <c r="E60" s="39">
        <f>SUM(E40:E59)</f>
        <v>3078050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TRUNC(22626,-1)</f>
        <v>22620</v>
      </c>
      <c r="E63" s="62">
        <f>TRUNC(+D63*3.3058,-1)</f>
        <v>74770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22620</v>
      </c>
      <c r="E66" s="65">
        <f>SUM(E63:E65)</f>
        <v>74770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TRUNC(5742,-1)</f>
        <v>5740</v>
      </c>
      <c r="E69" s="62">
        <f t="shared" ref="E69:E94" si="2">TRUNC(+D69*3.3058,-1)</f>
        <v>18970</v>
      </c>
    </row>
    <row r="70" spans="1:7" ht="16.5" customHeight="1" x14ac:dyDescent="0.3">
      <c r="A70" s="2">
        <v>2</v>
      </c>
      <c r="C70" s="38" t="s">
        <v>31</v>
      </c>
      <c r="D70" s="42">
        <f>TRUNC(884,-1)</f>
        <v>880</v>
      </c>
      <c r="E70" s="63">
        <f t="shared" si="2"/>
        <v>2900</v>
      </c>
    </row>
    <row r="71" spans="1:7" x14ac:dyDescent="0.3">
      <c r="A71" s="2">
        <v>3</v>
      </c>
      <c r="C71" s="38" t="s">
        <v>32</v>
      </c>
      <c r="D71" s="42">
        <f>TRUNC(10149,-1)</f>
        <v>10140</v>
      </c>
      <c r="E71" s="63">
        <f t="shared" si="2"/>
        <v>33520</v>
      </c>
    </row>
    <row r="72" spans="1:7" x14ac:dyDescent="0.3">
      <c r="A72" s="2">
        <v>4</v>
      </c>
      <c r="C72" s="38" t="s">
        <v>33</v>
      </c>
      <c r="D72" s="42">
        <f>TRUNC(10591,-1)</f>
        <v>10590</v>
      </c>
      <c r="E72" s="63">
        <f t="shared" si="2"/>
        <v>35000</v>
      </c>
    </row>
    <row r="73" spans="1:7" x14ac:dyDescent="0.3">
      <c r="A73" s="2">
        <v>5</v>
      </c>
      <c r="C73" s="38" t="s">
        <v>34</v>
      </c>
      <c r="D73" s="42">
        <f>TRUNC(11115,-1)</f>
        <v>11110</v>
      </c>
      <c r="E73" s="63">
        <f t="shared" si="2"/>
        <v>36720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TRUNC(143,-1)</f>
        <v>140</v>
      </c>
      <c r="E75" s="63">
        <f t="shared" si="2"/>
        <v>460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TRUNC(7742,-1)</f>
        <v>7740</v>
      </c>
      <c r="E89" s="63">
        <f t="shared" si="2"/>
        <v>25580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TRUNC(4284,-1)</f>
        <v>4280</v>
      </c>
      <c r="E91" s="63">
        <f t="shared" si="2"/>
        <v>14140</v>
      </c>
    </row>
    <row r="92" spans="1:7" x14ac:dyDescent="0.3">
      <c r="A92" s="2">
        <v>24</v>
      </c>
      <c r="C92" s="38" t="s">
        <v>38</v>
      </c>
      <c r="D92" s="42">
        <f>TRUNC(13143,-1)</f>
        <v>13140</v>
      </c>
      <c r="E92" s="63">
        <f t="shared" si="2"/>
        <v>43430</v>
      </c>
    </row>
    <row r="93" spans="1:7" x14ac:dyDescent="0.3">
      <c r="A93" s="2">
        <v>25</v>
      </c>
      <c r="C93" s="38" t="s">
        <v>148</v>
      </c>
      <c r="D93" s="42">
        <f>TRUNC(134067,-1)</f>
        <v>134060</v>
      </c>
      <c r="E93" s="63">
        <f t="shared" si="2"/>
        <v>443170</v>
      </c>
    </row>
    <row r="94" spans="1:7" ht="17.25" thickBot="1" x14ac:dyDescent="0.35">
      <c r="A94" s="2">
        <v>26</v>
      </c>
      <c r="C94" s="38" t="s">
        <v>47</v>
      </c>
      <c r="D94" s="43">
        <f>TRUNC(431,-1)</f>
        <v>430</v>
      </c>
      <c r="E94" s="64">
        <f t="shared" si="2"/>
        <v>1420</v>
      </c>
    </row>
    <row r="95" spans="1:7" x14ac:dyDescent="0.3">
      <c r="A95" s="2">
        <v>27</v>
      </c>
      <c r="C95" s="27" t="s">
        <v>112</v>
      </c>
      <c r="D95" s="39">
        <f>SUM(D69:D94)</f>
        <v>198250</v>
      </c>
      <c r="E95" s="39">
        <f>SUM(E69:E94)</f>
        <v>655310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TRUNC(31621,-1)</f>
        <v>31620</v>
      </c>
      <c r="E98" s="62">
        <f t="shared" ref="E98:E118" si="3">TRUNC(+D98*3.3058,-1)</f>
        <v>104520</v>
      </c>
    </row>
    <row r="99" spans="1:7" x14ac:dyDescent="0.3">
      <c r="A99" s="2">
        <v>2</v>
      </c>
      <c r="C99" s="38" t="s">
        <v>40</v>
      </c>
      <c r="D99" s="42">
        <f>TRUNC(15399,-1)</f>
        <v>15390</v>
      </c>
      <c r="E99" s="63">
        <f t="shared" si="3"/>
        <v>50870</v>
      </c>
    </row>
    <row r="100" spans="1:7" x14ac:dyDescent="0.3">
      <c r="A100" s="2">
        <v>3</v>
      </c>
      <c r="C100" s="38" t="s">
        <v>41</v>
      </c>
      <c r="D100" s="42">
        <f>TRUNC(28902,-1)</f>
        <v>28900</v>
      </c>
      <c r="E100" s="63">
        <f t="shared" si="3"/>
        <v>95530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3"/>
        <v>0</v>
      </c>
    </row>
    <row r="103" spans="1:7" x14ac:dyDescent="0.3">
      <c r="A103" s="2">
        <v>6</v>
      </c>
      <c r="C103" s="38" t="s">
        <v>44</v>
      </c>
      <c r="D103" s="42">
        <f>TRUNC(9741,-1)</f>
        <v>9740</v>
      </c>
      <c r="E103" s="63">
        <f t="shared" si="3"/>
        <v>32190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TRUNC(2801,-1)</f>
        <v>2800</v>
      </c>
      <c r="E114" s="63">
        <f t="shared" si="3"/>
        <v>9250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TRUNC(104506,-1)</f>
        <v>104500</v>
      </c>
      <c r="E117" s="63">
        <f t="shared" si="3"/>
        <v>345450</v>
      </c>
    </row>
    <row r="118" spans="1:7" ht="17.25" thickBot="1" x14ac:dyDescent="0.35">
      <c r="A118" s="2">
        <v>21</v>
      </c>
      <c r="C118" s="38" t="s">
        <v>47</v>
      </c>
      <c r="D118" s="43">
        <f>TRUNC(2484,-1)</f>
        <v>2480</v>
      </c>
      <c r="E118" s="64">
        <f t="shared" si="3"/>
        <v>8190</v>
      </c>
    </row>
    <row r="119" spans="1:7" x14ac:dyDescent="0.3">
      <c r="A119" s="2">
        <v>22</v>
      </c>
      <c r="C119" s="27" t="s">
        <v>112</v>
      </c>
      <c r="D119" s="39">
        <f>SUM(D98:D118)</f>
        <v>195430</v>
      </c>
      <c r="E119" s="39">
        <f>SUM(E98:E118)</f>
        <v>646000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TRUNC(3582,-1)</f>
        <v>3580</v>
      </c>
      <c r="E122" s="62">
        <f t="shared" ref="E122:E132" si="4">TRUNC(+D122*3.3058,-1)</f>
        <v>11830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TRUNC(1127,-1)</f>
        <v>1120</v>
      </c>
      <c r="E124" s="63">
        <f t="shared" si="4"/>
        <v>3700</v>
      </c>
    </row>
    <row r="125" spans="1:7" x14ac:dyDescent="0.3">
      <c r="A125" s="2">
        <v>4</v>
      </c>
      <c r="C125" s="38" t="s">
        <v>138</v>
      </c>
      <c r="D125" s="42">
        <f>TRUNC(6721,-1)</f>
        <v>6720</v>
      </c>
      <c r="E125" s="63">
        <f t="shared" si="4"/>
        <v>22210</v>
      </c>
    </row>
    <row r="126" spans="1:7" x14ac:dyDescent="0.3">
      <c r="A126" s="2">
        <v>5</v>
      </c>
      <c r="C126" s="38" t="s">
        <v>53</v>
      </c>
      <c r="D126" s="42">
        <f>TRUNC(3617,-1)</f>
        <v>3610</v>
      </c>
      <c r="E126" s="63">
        <f t="shared" si="4"/>
        <v>11930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TRUNC(1655,-1)</f>
        <v>1650</v>
      </c>
      <c r="E128" s="63">
        <f t="shared" si="4"/>
        <v>5450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TRUNC(7853,-1)</f>
        <v>7850</v>
      </c>
      <c r="E130" s="63">
        <f t="shared" si="4"/>
        <v>25950</v>
      </c>
    </row>
    <row r="131" spans="1:7" x14ac:dyDescent="0.3">
      <c r="A131" s="2">
        <v>10</v>
      </c>
      <c r="C131" s="38" t="s">
        <v>148</v>
      </c>
      <c r="D131" s="42">
        <f>TRUNC(34974,-1)</f>
        <v>34970</v>
      </c>
      <c r="E131" s="63">
        <f t="shared" si="4"/>
        <v>115600</v>
      </c>
    </row>
    <row r="132" spans="1:7" ht="18" thickBot="1" x14ac:dyDescent="0.35">
      <c r="A132" s="2">
        <v>11</v>
      </c>
      <c r="C132" s="38" t="s">
        <v>47</v>
      </c>
      <c r="D132" s="43">
        <f>TRUNC(2331+1257,-1)</f>
        <v>3580</v>
      </c>
      <c r="E132" s="64">
        <f t="shared" si="4"/>
        <v>11830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63080</v>
      </c>
      <c r="E133" s="39">
        <f>SUM(E122:E132)</f>
        <v>208500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18840</v>
      </c>
      <c r="E137" s="63">
        <f t="shared" si="5"/>
        <v>62280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TRUNC(8878,-1)</f>
        <v>8870</v>
      </c>
      <c r="E140" s="63">
        <f t="shared" si="5"/>
        <v>29320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TRUNC(26953,-1)</f>
        <v>26950</v>
      </c>
      <c r="E142" s="63">
        <f t="shared" si="5"/>
        <v>89090</v>
      </c>
    </row>
    <row r="143" spans="1:7" x14ac:dyDescent="0.3">
      <c r="A143" s="2">
        <v>8</v>
      </c>
      <c r="C143" s="38" t="s">
        <v>62</v>
      </c>
      <c r="D143" s="42">
        <v>4700</v>
      </c>
      <c r="E143" s="63">
        <f t="shared" si="5"/>
        <v>15530</v>
      </c>
    </row>
    <row r="144" spans="1:7" x14ac:dyDescent="0.3">
      <c r="A144" s="2">
        <v>9</v>
      </c>
      <c r="C144" s="38" t="s">
        <v>63</v>
      </c>
      <c r="D144" s="42">
        <f>TRUNC(5283,-1)</f>
        <v>5280</v>
      </c>
      <c r="E144" s="63">
        <f t="shared" si="5"/>
        <v>17450</v>
      </c>
    </row>
    <row r="145" spans="1:7" ht="17.25" thickBot="1" x14ac:dyDescent="0.35">
      <c r="A145" s="2">
        <v>10</v>
      </c>
      <c r="C145" s="38" t="s">
        <v>148</v>
      </c>
      <c r="D145" s="43">
        <f>TRUNC(7184,-1)</f>
        <v>7180</v>
      </c>
      <c r="E145" s="64">
        <f t="shared" si="5"/>
        <v>23730</v>
      </c>
    </row>
    <row r="146" spans="1:7" x14ac:dyDescent="0.3">
      <c r="A146" s="2">
        <v>11</v>
      </c>
      <c r="C146" s="27" t="s">
        <v>112</v>
      </c>
      <c r="D146" s="39">
        <f>SUM(D136:D145)</f>
        <v>71820</v>
      </c>
      <c r="E146" s="39">
        <f>SUM(E136:E145)</f>
        <v>237400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TRUNC(11452+534,-1)</f>
        <v>11980</v>
      </c>
      <c r="E149" s="62">
        <f>TRUNC(+D149*3.3058,-1)</f>
        <v>39600</v>
      </c>
    </row>
    <row r="150" spans="1:7" x14ac:dyDescent="0.3">
      <c r="A150" s="2">
        <v>2</v>
      </c>
      <c r="C150" s="38" t="s">
        <v>49</v>
      </c>
      <c r="D150" s="42">
        <f>TRUNC(18198,-1)</f>
        <v>18190</v>
      </c>
      <c r="E150" s="63">
        <f>TRUNC(+D150*3.3058,-1)</f>
        <v>60130</v>
      </c>
    </row>
    <row r="151" spans="1:7" x14ac:dyDescent="0.3">
      <c r="A151" s="2">
        <v>3</v>
      </c>
      <c r="C151" s="38" t="s">
        <v>50</v>
      </c>
      <c r="D151" s="42">
        <f>TRUNC(16103,-1)</f>
        <v>16100</v>
      </c>
      <c r="E151" s="63">
        <f>TRUNC(+D151*3.3058,-1)</f>
        <v>53220</v>
      </c>
    </row>
    <row r="152" spans="1:7" x14ac:dyDescent="0.3">
      <c r="A152" s="2">
        <v>4</v>
      </c>
      <c r="C152" s="38" t="s">
        <v>47</v>
      </c>
      <c r="D152" s="42">
        <f>TRUNC(325+52153+10046,-1)</f>
        <v>62520</v>
      </c>
      <c r="E152" s="63">
        <f>TRUNC(+D152*3.3058,-1)</f>
        <v>206670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108790</v>
      </c>
      <c r="E154" s="39">
        <f>SUM(E149:E153)</f>
        <v>359620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2020-12-07T10:10:17Z</dcterms:modified>
</cp:coreProperties>
</file>