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0" i="4"/>
  <c r="D137" i="4"/>
  <c r="D132" i="4"/>
  <c r="D128" i="4"/>
  <c r="D126" i="4"/>
  <c r="D125" i="4"/>
  <c r="D124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90" i="4"/>
  <c r="D89" i="4"/>
  <c r="D73" i="4"/>
  <c r="D71" i="4"/>
  <c r="D70" i="4"/>
  <c r="D63" i="4"/>
  <c r="D59" i="4"/>
  <c r="D58" i="4"/>
  <c r="D53" i="4"/>
  <c r="D52" i="4"/>
  <c r="D50" i="4"/>
  <c r="D49" i="4"/>
  <c r="D48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<sst xmlns="http://schemas.openxmlformats.org/spreadsheetml/2006/main" count="393" uniqueCount="267">
  <si>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</si>
  <si>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</si>
  <si>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</si>
  <si>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</si>
  <si>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</si>
  <si>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</si>
  <si>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</si>
  <si>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</si>
  <si>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</si>
  <si>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</si>
  <si>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</si>
  <si>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</si>
  <si>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</si>
  <si>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</si>
  <si>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</si>
  <si>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</si>
  <si>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</si>
  <si>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</si>
  <si>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</si>
  <si>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</si>
  <si>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</si>
  <si>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</si>
  <si>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</si>
  <si>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</si>
  <si>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</si>
  <si>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</si>
  <si>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</si>
  <si>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</si>
  <si>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</si>
  <si>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</si>
  <si>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</si>
  <si>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</si>
  <si>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</si>
  <si>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</si>
  <si>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</si>
  <si>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</si>
  <si>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</si>
  <si>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</si>
  <si>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</si>
  <si>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</si>
  <si>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</si>
  <si>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</si>
  <si>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</si>
  <si>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</si>
  <si>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</si>
  <si>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</si>
  <si>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</si>
  <si>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</si>
  <si>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</si>
  <si>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</si>
  <si>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</si>
  <si>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</si>
  <si>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</si>
  <si>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</si>
  <si>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</si>
  <si>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</si>
  <si>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</si>
  <si>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</si>
  <si>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</si>
  <si>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</si>
  <si>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</si>
  <si>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</si>
  <si>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</si>
  <si>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</si>
  <si>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</si>
  <si>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</si>
  <si>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</si>
  <si>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</si>
  <si>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</si>
  <si>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</si>
  <si>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</si>
  <si>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</si>
  <si>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</si>
  <si>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</si>
  <si>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</si>
  <si>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</si>
  <si>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</si>
  <si>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</si>
  <si>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</si>
  <si>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</si>
  <si>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</si>
  <si>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</si>
  <si>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</si>
  <si>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</si>
  <si>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</si>
  <si>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</si>
  <si>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</si>
  <si>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</si>
  <si>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</si>
  <si>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</si>
  <si>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</si>
  <si>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</si>
  <si>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</si>
  <si>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</si>
  <si>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</si>
  <si>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</si>
  <si>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</si>
  <si>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</si>
  <si>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</si>
  <si>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</si>
  <si>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</si>
  <si>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</si>
  <si>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</si>
  <si>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</si>
  <si>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</si>
  <si>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</si>
  <si>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</si>
  <si>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</si>
  <si>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</si>
  <si>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</si>
  <si>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</si>
  <si>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</si>
  <si>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</si>
  <si>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</si>
  <si>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</si>
  <si>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</si>
  <si>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</si>
  <si>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</si>
  <si>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</si>
  <si>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</si>
  <si>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</si>
  <si>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</si>
  <si>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</si>
  <si>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</si>
  <si>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</si>
  <si>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</si>
  <si>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</si>
  <si>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</si>
  <si>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</si>
  <si>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</si>
  <si>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</si>
  <si>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</si>
  <si>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</si>
  <si>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</si>
  <si>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</si>
  <si>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</si>
  <si>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</si>
  <si>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</si>
  <si>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</si>
  <si>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</si>
  <si>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</si>
  <si>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</si>
  <si>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</si>
  <si>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</si>
  <si>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</si>
  <si>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</si>
  <si>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</si>
  <si>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</si>
  <si>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</si>
  <si>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</si>
  <si>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</si>
  <si>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</si>
  <si>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</si>
  <si>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</si>
  <si>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</si>
  <si>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</si>
  <si>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</si>
  <si>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</si>
  <si>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</si>
  <si>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</si>
  <si>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</si>
  <si>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</si>
  <si>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</si>
  <si>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</si>
  <si>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</si>
  <si>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</si>
  <si>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</si>
  <si>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</si>
  <si>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</si>
  <si>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</si>
  <si>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</si>
  <si>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</si>
  <si>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</si>
  <si>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</si>
  <si>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</si>
  <si>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</si>
  <si>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</si>
  <si>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</si>
  <si>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</si>
  <si>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</si>
  <si>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</si>
  <si>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</si>
  <si>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</si>
  <si>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</si>
  <si>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</si>
  <si>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</si>
  <si>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</si>
  <si>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</si>
  <si>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</si>
  <si>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</si>
  <si>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</si>
  <si>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</si>
  <si>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</si>
  <si>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</si>
  <si>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</si>
  <si>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</si>
  <si>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</si>
  <si>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</si>
  <si>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</si>
  <si>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</si>
  <si>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</si>
  <si>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</si>
  <si>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</si>
  <si>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</si>
  <si>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</si>
  <si>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</si>
  <si>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</si>
  <si>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</si>
  <si>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</si>
  <si>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</si>
  <si>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</si>
  <si>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</si>
  <si>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</si>
  <si>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</si>
  <si>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</si>
  <si>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</si>
  <si>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</si>
  <si>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</si>
  <si>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</si>
  <si>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</si>
  <si>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</si>
  <si>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</si>
  <si>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</si>
  <si>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</si>
  <si>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</si>
  <si>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</si>
  <si>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</si>
  <si>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</si>
  <si>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</si>
  <si>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</si>
  <si>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</si>
  <si>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</si>
  <si>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</si>
  <si>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</si>
  <si>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</si>
  <si>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</si>
  <si>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</si>
  <si>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</si>
  <si>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</si>
  <si>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</si>
  <si>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</si>
  <si>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</si>
  <si>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</si>
  <si>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</si>
  <si>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</si>
  <si>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</si>
  <si>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</si>
  <si>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</si>
  <si>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</si>
  <si>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</si>
  <si>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</si>
  <si>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</si>
  <si>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</si>
  <si>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</si>
  <si>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</si>
  <si>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</si>
  <si>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</si>
  <si>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</si>
  <si>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우람유,초등학교 신축공사</t>
    <phoneticPr fontId="2" type="noConversion"/>
  </si>
  <si>
    <t>세종시</t>
  </si>
  <si>
    <t>기초공사, 골재비및운반비, 작업부산물, 기타공사</t>
    <phoneticPr fontId="2" type="noConversion"/>
  </si>
  <si>
    <t>CCTV설비공사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</si>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</sst>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19348.36</v>
      </c>
      <c r="D7" s="36">
        <f>+C7/3.3058</f>
        <v>5852.8525621634699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710310</v>
      </c>
      <c r="E25" s="59">
        <f t="shared" si="0"/>
        <v>2348140</v>
      </c>
    </row>
    <row r="26" spans="1:5" x14ac:dyDescent="0.3">
      <c r="B26" s="2">
        <v>3</v>
      </c>
      <c r="C26" s="35" t="s">
        <v>95</v>
      </c>
      <c r="D26" s="45">
        <f>+D66</f>
        <v>10320</v>
      </c>
      <c r="E26" s="59">
        <f t="shared" si="0"/>
        <v>34110</v>
      </c>
    </row>
    <row r="27" spans="1:5" x14ac:dyDescent="0.3">
      <c r="B27" s="2">
        <v>4</v>
      </c>
      <c r="C27" s="35" t="s">
        <v>96</v>
      </c>
      <c r="D27" s="45">
        <f>+D95</f>
        <v>189050</v>
      </c>
      <c r="E27" s="59">
        <f t="shared" si="0"/>
        <v>624960</v>
      </c>
    </row>
    <row r="28" spans="1:5" x14ac:dyDescent="0.3">
      <c r="B28" s="2">
        <v>5</v>
      </c>
      <c r="C28" s="35" t="s">
        <v>97</v>
      </c>
      <c r="D28" s="45">
        <f>+D119</f>
        <v>128740</v>
      </c>
      <c r="E28" s="59">
        <f t="shared" si="0"/>
        <v>425580</v>
      </c>
    </row>
    <row r="29" spans="1:5" x14ac:dyDescent="0.3">
      <c r="B29" s="2">
        <v>6</v>
      </c>
      <c r="C29" s="35" t="s">
        <v>98</v>
      </c>
      <c r="D29" s="45">
        <f>+D133</f>
        <v>40120</v>
      </c>
      <c r="E29" s="59">
        <f t="shared" si="0"/>
        <v>132620</v>
      </c>
    </row>
    <row r="30" spans="1:5" x14ac:dyDescent="0.3">
      <c r="B30" s="2">
        <v>7</v>
      </c>
      <c r="C30" s="35" t="s">
        <v>99</v>
      </c>
      <c r="D30" s="45">
        <f>+D146</f>
        <v>41460</v>
      </c>
      <c r="E30" s="59">
        <f t="shared" si="0"/>
        <v>137050</v>
      </c>
    </row>
    <row r="31" spans="1:5" x14ac:dyDescent="0.3">
      <c r="B31" s="2">
        <v>8</v>
      </c>
      <c r="C31" s="35" t="s">
        <v>100</v>
      </c>
      <c r="D31" s="45">
        <f>+D154</f>
        <v>19170</v>
      </c>
      <c r="E31" s="59">
        <f t="shared" si="0"/>
        <v>63370</v>
      </c>
    </row>
    <row r="32" spans="1:5" x14ac:dyDescent="0.3">
      <c r="B32" s="2">
        <v>9</v>
      </c>
      <c r="C32" s="35" t="s">
        <v>101</v>
      </c>
      <c r="D32" s="45">
        <f>+D161</f>
        <v>15940</v>
      </c>
      <c r="E32" s="59">
        <f t="shared" si="0"/>
        <v>52690</v>
      </c>
    </row>
    <row r="33" spans="1:7" x14ac:dyDescent="0.3">
      <c r="B33" s="2">
        <v>10</v>
      </c>
      <c r="C33" s="35" t="s">
        <v>154</v>
      </c>
      <c r="D33" s="53">
        <f>TRUNC(SUM(D24:D32)*0.275,-1)</f>
        <v>317650</v>
      </c>
      <c r="E33" s="60">
        <f t="shared" si="0"/>
        <v>1050080</v>
      </c>
    </row>
    <row r="34" spans="1:7" x14ac:dyDescent="0.3">
      <c r="C34" s="35" t="s">
        <v>112</v>
      </c>
      <c r="D34" s="44">
        <f>SUM(D24:D33)</f>
        <v>1472760</v>
      </c>
      <c r="E34" s="44">
        <f>SUM(E24:E33)</f>
        <v>4868600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TRUNC(36609,-1)</f>
        <v>36600</v>
      </c>
      <c r="E40" s="62">
        <f t="shared" ref="E40:E59" si="1">TRUNC(+D40*3.3058,-1)</f>
        <v>120990</v>
      </c>
    </row>
    <row r="41" spans="1:7" x14ac:dyDescent="0.3">
      <c r="A41" s="2">
        <v>2</v>
      </c>
      <c r="C41" s="38" t="s">
        <v>13</v>
      </c>
      <c r="D41" s="42">
        <v>93070</v>
      </c>
      <c r="E41" s="63">
        <f t="shared" si="1"/>
        <v>307670</v>
      </c>
    </row>
    <row r="42" spans="1:7" x14ac:dyDescent="0.3">
      <c r="A42" s="2">
        <v>3</v>
      </c>
      <c r="C42" s="38" t="s">
        <v>14</v>
      </c>
      <c r="D42" s="42">
        <f>TRUNC(6712,-1)</f>
        <v>6710</v>
      </c>
      <c r="E42" s="63">
        <f t="shared" si="1"/>
        <v>22180</v>
      </c>
    </row>
    <row r="43" spans="1:7" x14ac:dyDescent="0.3">
      <c r="A43" s="2">
        <v>4</v>
      </c>
      <c r="C43" s="38" t="s">
        <v>16</v>
      </c>
      <c r="D43" s="42">
        <f>TRUNC(28663,-1)</f>
        <v>28660</v>
      </c>
      <c r="E43" s="63">
        <f t="shared" si="1"/>
        <v>94740</v>
      </c>
    </row>
    <row r="44" spans="1:7" x14ac:dyDescent="0.3">
      <c r="A44" s="2">
        <v>5</v>
      </c>
      <c r="C44" s="38" t="s">
        <v>17</v>
      </c>
      <c r="D44" s="42">
        <f>TRUNC(10586,-1)</f>
        <v>10580</v>
      </c>
      <c r="E44" s="63">
        <f t="shared" si="1"/>
        <v>34970</v>
      </c>
    </row>
    <row r="45" spans="1:7" x14ac:dyDescent="0.3">
      <c r="A45" s="2">
        <v>6</v>
      </c>
      <c r="C45" s="38" t="s">
        <v>18</v>
      </c>
      <c r="D45" s="42">
        <f>TRUNC(6631,-1)</f>
        <v>6630</v>
      </c>
      <c r="E45" s="63">
        <f t="shared" si="1"/>
        <v>21910</v>
      </c>
    </row>
    <row r="46" spans="1:7" x14ac:dyDescent="0.3">
      <c r="A46" s="2">
        <v>7</v>
      </c>
      <c r="C46" s="38" t="s">
        <v>19</v>
      </c>
      <c r="D46" s="42">
        <v>36560</v>
      </c>
      <c r="E46" s="63">
        <f t="shared" si="1"/>
        <v>120860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TRUNC(42318,-1)</f>
        <v>42310</v>
      </c>
      <c r="E48" s="63">
        <f t="shared" si="1"/>
        <v>139860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TRUNC(16784,-1)</f>
        <v>16780</v>
      </c>
      <c r="E49" s="63">
        <f t="shared" si="1"/>
        <v>55470</v>
      </c>
    </row>
    <row r="50" spans="1:7" x14ac:dyDescent="0.3">
      <c r="A50" s="2">
        <v>11</v>
      </c>
      <c r="C50" s="38" t="s">
        <v>155</v>
      </c>
      <c r="D50" s="42">
        <f>TRUNC(43531,-1)</f>
        <v>43530</v>
      </c>
      <c r="E50" s="63">
        <f t="shared" si="1"/>
        <v>143900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TRUNC(8977,-1)</f>
        <v>8970</v>
      </c>
      <c r="E52" s="63">
        <f t="shared" si="1"/>
        <v>29650</v>
      </c>
    </row>
    <row r="53" spans="1:7" x14ac:dyDescent="0.3">
      <c r="A53" s="2">
        <v>14</v>
      </c>
      <c r="C53" s="38" t="s">
        <v>25</v>
      </c>
      <c r="D53" s="42">
        <f>TRUNC(47154,-1)</f>
        <v>47150</v>
      </c>
      <c r="E53" s="63">
        <f t="shared" si="1"/>
        <v>155860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TRUNC(32373+9397-814+7003,-1)</f>
        <v>47950</v>
      </c>
      <c r="E58" s="63">
        <f t="shared" si="1"/>
        <v>158510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TRUNC(284817,-1)</f>
        <v>284810</v>
      </c>
      <c r="E59" s="64">
        <f t="shared" si="1"/>
        <v>941520</v>
      </c>
    </row>
    <row r="60" spans="1:7" x14ac:dyDescent="0.3">
      <c r="A60" s="2">
        <v>21</v>
      </c>
      <c r="C60" s="27" t="s">
        <v>112</v>
      </c>
      <c r="D60" s="39">
        <f>SUM(D40:D59)</f>
        <v>710310</v>
      </c>
      <c r="E60" s="39">
        <f>SUM(E40:E59)</f>
        <v>2348090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TRUNC(10327,-1)</f>
        <v>10320</v>
      </c>
      <c r="E63" s="62">
        <f>TRUNC(+D63*3.3058,-1)</f>
        <v>34110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10320</v>
      </c>
      <c r="E66" s="65">
        <f>SUM(E63:E65)</f>
        <v>34110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7900</v>
      </c>
      <c r="E69" s="62">
        <f t="shared" ref="E69:E94" si="2">TRUNC(+D69*3.3058,-1)</f>
        <v>26110</v>
      </c>
    </row>
    <row r="70" spans="1:7" ht="16.5" customHeight="1" x14ac:dyDescent="0.3">
      <c r="A70" s="2">
        <v>2</v>
      </c>
      <c r="C70" s="38" t="s">
        <v>31</v>
      </c>
      <c r="D70" s="42">
        <f>TRUNC(2414,-1)</f>
        <v>2410</v>
      </c>
      <c r="E70" s="63">
        <f t="shared" si="2"/>
        <v>7960</v>
      </c>
    </row>
    <row r="71" spans="1:7" x14ac:dyDescent="0.3">
      <c r="A71" s="2">
        <v>3</v>
      </c>
      <c r="C71" s="38" t="s">
        <v>32</v>
      </c>
      <c r="D71" s="42">
        <f>TRUNC(2043,-1)</f>
        <v>2040</v>
      </c>
      <c r="E71" s="63">
        <f t="shared" si="2"/>
        <v>6740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TRUNC(16777,-1)</f>
        <v>16770</v>
      </c>
      <c r="E73" s="63">
        <f t="shared" si="2"/>
        <v>55430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32120</v>
      </c>
      <c r="E76" s="63">
        <f t="shared" si="2"/>
        <v>106180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TRUNC(5509,-1)</f>
        <v>5500</v>
      </c>
      <c r="E89" s="63">
        <f t="shared" si="2"/>
        <v>18180</v>
      </c>
    </row>
    <row r="90" spans="1:7" x14ac:dyDescent="0.3">
      <c r="A90" s="2">
        <v>22</v>
      </c>
      <c r="C90" s="38" t="s">
        <v>36</v>
      </c>
      <c r="D90" s="42">
        <f>TRUNC(419,-1)</f>
        <v>410</v>
      </c>
      <c r="E90" s="63">
        <f t="shared" si="2"/>
        <v>1350</v>
      </c>
    </row>
    <row r="91" spans="1:7" x14ac:dyDescent="0.3">
      <c r="A91" s="2">
        <v>23</v>
      </c>
      <c r="C91" s="38" t="s">
        <v>37</v>
      </c>
      <c r="D91" s="42">
        <f>TRUNC(5274,-1)</f>
        <v>5270</v>
      </c>
      <c r="E91" s="63">
        <f t="shared" si="2"/>
        <v>17420</v>
      </c>
    </row>
    <row r="92" spans="1:7" x14ac:dyDescent="0.3">
      <c r="A92" s="2">
        <v>24</v>
      </c>
      <c r="C92" s="38" t="s">
        <v>38</v>
      </c>
      <c r="D92" s="42">
        <f>TRUNC(7186,-1)</f>
        <v>7180</v>
      </c>
      <c r="E92" s="63">
        <f t="shared" si="2"/>
        <v>23730</v>
      </c>
    </row>
    <row r="93" spans="1:7" x14ac:dyDescent="0.3">
      <c r="A93" s="2">
        <v>25</v>
      </c>
      <c r="C93" s="38" t="s">
        <v>148</v>
      </c>
      <c r="D93" s="42">
        <f>TRUNC(99815,-1)</f>
        <v>99810</v>
      </c>
      <c r="E93" s="63">
        <f t="shared" si="2"/>
        <v>329950</v>
      </c>
    </row>
    <row r="94" spans="1:7" ht="17.25" thickBot="1" x14ac:dyDescent="0.35">
      <c r="A94" s="2">
        <v>26</v>
      </c>
      <c r="C94" s="38" t="s">
        <v>47</v>
      </c>
      <c r="D94" s="43">
        <f>TRUNC(9643,-1)</f>
        <v>9640</v>
      </c>
      <c r="E94" s="64">
        <f t="shared" si="2"/>
        <v>31860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189050</v>
      </c>
      <c r="E95" s="39">
        <f>SUM(E69:E94)</f>
        <v>624910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TRUNC(13263,-1)</f>
        <v>13260</v>
      </c>
      <c r="E98" s="62">
        <f t="shared" ref="E98:E118" si="3">TRUNC(+D98*3.3058,-1)</f>
        <v>43830</v>
      </c>
    </row>
    <row r="99" spans="1:7" x14ac:dyDescent="0.3">
      <c r="A99" s="2">
        <v>2</v>
      </c>
      <c r="C99" s="38" t="s">
        <v>40</v>
      </c>
      <c r="D99" s="42">
        <f>TRUNC(6272,-1)</f>
        <v>6270</v>
      </c>
      <c r="E99" s="63">
        <f t="shared" si="3"/>
        <v>20720</v>
      </c>
    </row>
    <row r="100" spans="1:7" x14ac:dyDescent="0.3">
      <c r="A100" s="2">
        <v>3</v>
      </c>
      <c r="C100" s="38" t="s">
        <v>41</v>
      </c>
      <c r="D100" s="42">
        <f>TRUNC(17788,-1)</f>
        <v>17780</v>
      </c>
      <c r="E100" s="63">
        <f t="shared" si="3"/>
        <v>58770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TRUNC(10298,-1)</f>
        <v>10290</v>
      </c>
      <c r="E102" s="63">
        <f t="shared" si="3"/>
        <v>34010</v>
      </c>
    </row>
    <row r="103" spans="1:7" x14ac:dyDescent="0.3">
      <c r="A103" s="2">
        <v>6</v>
      </c>
      <c r="C103" s="38" t="s">
        <v>44</v>
      </c>
      <c r="D103" s="42">
        <f>TRUNC(6094,-1)</f>
        <v>6090</v>
      </c>
      <c r="E103" s="63">
        <f t="shared" si="3"/>
        <v>20130</v>
      </c>
    </row>
    <row r="104" spans="1:7" x14ac:dyDescent="0.3">
      <c r="A104" s="2">
        <v>7</v>
      </c>
      <c r="C104" s="38" t="s">
        <v>45</v>
      </c>
      <c r="D104" s="42">
        <f>TRUNC(1558,-1)</f>
        <v>1550</v>
      </c>
      <c r="E104" s="63">
        <f t="shared" si="3"/>
        <v>5120</v>
      </c>
    </row>
    <row r="105" spans="1:7" x14ac:dyDescent="0.3">
      <c r="A105" s="2">
        <v>8</v>
      </c>
      <c r="C105" s="38" t="s">
        <v>46</v>
      </c>
      <c r="D105" s="42">
        <f>TRUNC(6867,-1)</f>
        <v>6860</v>
      </c>
      <c r="E105" s="63">
        <f t="shared" si="3"/>
        <v>22670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TRUNC(1586,-1)</f>
        <v>1580</v>
      </c>
      <c r="E114" s="63">
        <f t="shared" si="3"/>
        <v>5220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TRUNC(2787,-1)</f>
        <v>2780</v>
      </c>
      <c r="E116" s="63">
        <f t="shared" si="3"/>
        <v>9190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TRUNC(58325,-1)</f>
        <v>58320</v>
      </c>
      <c r="E117" s="63">
        <f t="shared" si="3"/>
        <v>192790</v>
      </c>
    </row>
    <row r="118" spans="1:7" ht="17.25" thickBot="1" x14ac:dyDescent="0.35">
      <c r="A118" s="2">
        <v>21</v>
      </c>
      <c r="C118" s="38" t="s">
        <v>47</v>
      </c>
      <c r="D118" s="43">
        <f>TRUNC(3969,-1)</f>
        <v>3960</v>
      </c>
      <c r="E118" s="64">
        <f t="shared" si="3"/>
        <v>13090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128740</v>
      </c>
      <c r="E119" s="39">
        <f>SUM(E98:E118)</f>
        <v>425540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TRUNC(1281,-1)</f>
        <v>1280</v>
      </c>
      <c r="E124" s="63">
        <f t="shared" si="4"/>
        <v>4230</v>
      </c>
    </row>
    <row r="125" spans="1:7" x14ac:dyDescent="0.3">
      <c r="A125" s="2">
        <v>4</v>
      </c>
      <c r="C125" s="38" t="s">
        <v>138</v>
      </c>
      <c r="D125" s="42">
        <f>TRUNC(4499,-1)</f>
        <v>4490</v>
      </c>
      <c r="E125" s="63">
        <f t="shared" si="4"/>
        <v>14840</v>
      </c>
    </row>
    <row r="126" spans="1:7" x14ac:dyDescent="0.3">
      <c r="A126" s="2">
        <v>5</v>
      </c>
      <c r="C126" s="38" t="s">
        <v>53</v>
      </c>
      <c r="D126" s="42">
        <f>TRUNC(1967,-1)</f>
        <v>1960</v>
      </c>
      <c r="E126" s="63">
        <f t="shared" si="4"/>
        <v>6470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TRUNC(5176,-1)</f>
        <v>5170</v>
      </c>
      <c r="E128" s="63">
        <f t="shared" si="4"/>
        <v>17090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11930</v>
      </c>
      <c r="E130" s="63">
        <f t="shared" si="4"/>
        <v>39430</v>
      </c>
    </row>
    <row r="131" spans="1:7" x14ac:dyDescent="0.3">
      <c r="A131" s="2">
        <v>10</v>
      </c>
      <c r="C131" s="38" t="s">
        <v>148</v>
      </c>
      <c r="D131" s="42">
        <v>13010</v>
      </c>
      <c r="E131" s="63">
        <f t="shared" si="4"/>
        <v>43000</v>
      </c>
    </row>
    <row r="132" spans="1:7" ht="18" thickBot="1" x14ac:dyDescent="0.35">
      <c r="A132" s="2">
        <v>11</v>
      </c>
      <c r="C132" s="38" t="s">
        <v>47</v>
      </c>
      <c r="D132" s="43">
        <f>TRUNC(2282,-1)</f>
        <v>2280</v>
      </c>
      <c r="E132" s="64">
        <f t="shared" si="4"/>
        <v>7530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40120</v>
      </c>
      <c r="E133" s="39">
        <f>SUM(E122:E132)</f>
        <v>132590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TRUNC(8196,-1)</f>
        <v>8190</v>
      </c>
      <c r="E137" s="63">
        <f t="shared" si="5"/>
        <v>27070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TRUNC(2541,-1)</f>
        <v>2540</v>
      </c>
      <c r="E140" s="63">
        <f t="shared" si="5"/>
        <v>8390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TRUNC(21037,-1)</f>
        <v>21030</v>
      </c>
      <c r="E142" s="63">
        <f t="shared" si="5"/>
        <v>69520</v>
      </c>
    </row>
    <row r="143" spans="1:7" x14ac:dyDescent="0.3">
      <c r="A143" s="2">
        <v>8</v>
      </c>
      <c r="C143" s="38" t="s">
        <v>62</v>
      </c>
      <c r="D143" s="42">
        <f>TRUNC(3859,-1)</f>
        <v>3850</v>
      </c>
      <c r="E143" s="63">
        <f t="shared" si="5"/>
        <v>12720</v>
      </c>
    </row>
    <row r="144" spans="1:7" x14ac:dyDescent="0.3">
      <c r="A144" s="2">
        <v>9</v>
      </c>
      <c r="C144" s="38" t="s">
        <v>63</v>
      </c>
      <c r="D144" s="42">
        <f>TRUNC(5859,-1)</f>
        <v>5850</v>
      </c>
      <c r="E144" s="63">
        <f t="shared" si="5"/>
        <v>19330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41460</v>
      </c>
      <c r="E146" s="39">
        <f>SUM(E136:E145)</f>
        <v>137030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TRUNC(4363+1484,-1)</f>
        <v>5840</v>
      </c>
      <c r="E149" s="62">
        <f>TRUNC(+D149*3.3058,-1)</f>
        <v>19300</v>
      </c>
    </row>
    <row r="150" spans="1:7" x14ac:dyDescent="0.3">
      <c r="A150" s="2">
        <v>2</v>
      </c>
      <c r="C150" s="38" t="s">
        <v>49</v>
      </c>
      <c r="D150" s="42">
        <f>TRUNC(9984,-1)</f>
        <v>9980</v>
      </c>
      <c r="E150" s="63">
        <f>TRUNC(+D150*3.3058,-1)</f>
        <v>32990</v>
      </c>
    </row>
    <row r="151" spans="1:7" x14ac:dyDescent="0.3">
      <c r="A151" s="2">
        <v>3</v>
      </c>
      <c r="C151" s="38" t="s">
        <v>50</v>
      </c>
      <c r="D151" s="42">
        <f>TRUNC(1986,-1)</f>
        <v>1980</v>
      </c>
      <c r="E151" s="63">
        <f>TRUNC(+D151*3.3058,-1)</f>
        <v>6540</v>
      </c>
    </row>
    <row r="152" spans="1:7" x14ac:dyDescent="0.3">
      <c r="A152" s="2">
        <v>4</v>
      </c>
      <c r="C152" s="38" t="s">
        <v>47</v>
      </c>
      <c r="D152" s="42">
        <f>TRUNC(685+685,-1)</f>
        <v>1370</v>
      </c>
      <c r="E152" s="63">
        <f>TRUNC(+D152*3.3058,-1)</f>
        <v>4520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19170</v>
      </c>
      <c r="E154" s="39">
        <f>SUM(E149:E153)</f>
        <v>63350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TRUNC(12818,-1)</f>
        <v>12810</v>
      </c>
      <c r="E157" s="62">
        <f>TRUNC(+D157*3.3058,-1)</f>
        <v>42340</v>
      </c>
    </row>
    <row r="158" spans="1:7" x14ac:dyDescent="0.3">
      <c r="A158" s="2">
        <v>2</v>
      </c>
      <c r="C158" s="38" t="s">
        <v>52</v>
      </c>
      <c r="D158" s="42">
        <f>TRUNC(2114,-1)</f>
        <v>2110</v>
      </c>
      <c r="E158" s="63">
        <f>TRUNC(+D158*3.3058,-1)</f>
        <v>6970</v>
      </c>
    </row>
    <row r="159" spans="1:7" x14ac:dyDescent="0.3">
      <c r="A159" s="2">
        <v>3</v>
      </c>
      <c r="C159" s="38" t="s">
        <v>47</v>
      </c>
      <c r="D159" s="42">
        <f>TRUNC(1023,-1)</f>
        <v>1020</v>
      </c>
      <c r="E159" s="63">
        <f>TRUNC(+D159*3.3058,-1)</f>
        <v>3370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15940</v>
      </c>
      <c r="E161" s="39">
        <f>SUM(E157:E160)</f>
        <v>52680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2020-12-07T10:02:16Z</dcterms:modified>
</cp:coreProperties>
</file>