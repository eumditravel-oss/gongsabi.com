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7" i="4" l="1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2" i="4"/>
  <c r="D91" i="4"/>
  <c r="D89" i="4"/>
  <c r="D73" i="4"/>
  <c r="D71" i="4"/>
  <c r="D69" i="4"/>
  <c r="D103" i="4"/>
  <c r="D102" i="4"/>
  <c r="D99" i="4"/>
  <c r="D114" i="4"/>
  <c r="D98" i="4"/>
  <c r="D116" i="4"/>
  <c r="D118" i="4"/>
  <c r="D105" i="4"/>
  <c r="D104" i="4"/>
  <c r="D128" i="4"/>
  <c r="D122" i="4"/>
  <c r="D130" i="4"/>
  <c r="D126" i="4"/>
  <c r="D137" i="4"/>
  <c r="D144" i="4"/>
  <c r="D143" i="4"/>
  <c r="D139" i="4"/>
  <c r="D138" i="4"/>
  <c r="D141" i="4"/>
  <c r="D142" i="4"/>
  <c r="D140" i="4"/>
  <c r="D63" i="4"/>
  <c r="D152" i="4"/>
  <c r="D151" i="4"/>
  <c r="D150" i="4"/>
  <c r="D149" i="4"/>
  <c r="D159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95" i="4"/>
  <c r="E119" i="4"/>
  <c r="E133" i="4"/>
  <c r="E146" i="4"/>
  <c r="E154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<sst xmlns="http://schemas.openxmlformats.org/spreadsheetml/2006/main" count="390" uniqueCount="267">
  <si>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</si>
  <si>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</si>
  <si>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</si>
  <si>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</si>
  <si>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</si>
  <si>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</si>
  <si>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</si>
  <si>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</si>
  <si>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</si>
  <si>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</si>
  <si>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</si>
  <si>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</si>
  <si>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</si>
  <si>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</si>
  <si>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</si>
  <si>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</si>
  <si>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</si>
  <si>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</si>
  <si>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</si>
  <si>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</si>
  <si>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</si>
  <si>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</si>
  <si>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</si>
  <si>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</si>
  <si>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</si>
  <si>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</si>
  <si>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</si>
  <si>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</si>
  <si>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</si>
  <si>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</si>
  <si>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</si>
  <si>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</si>
  <si>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</si>
  <si>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</si>
  <si>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</si>
  <si>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</si>
  <si>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</si>
  <si>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</si>
  <si>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</si>
  <si>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</si>
  <si>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</si>
  <si>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</si>
  <si>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</si>
  <si>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</si>
  <si>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</si>
  <si>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</si>
  <si>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</si>
  <si>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</si>
  <si>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</si>
  <si>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</si>
  <si>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</si>
  <si>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</si>
  <si>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</si>
  <si>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</si>
  <si>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</si>
  <si>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</si>
  <si>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</si>
  <si>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</si>
  <si>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</si>
  <si>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</si>
  <si>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</si>
  <si>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</si>
  <si>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</si>
  <si>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</si>
  <si>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</si>
  <si>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</si>
  <si>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</si>
  <si>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</si>
  <si>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</si>
  <si>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</si>
  <si>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</si>
  <si>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</si>
  <si>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</si>
  <si>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</si>
  <si>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</si>
  <si>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</si>
  <si>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</si>
  <si>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</si>
  <si>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</si>
  <si>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</si>
  <si>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</si>
  <si>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</si>
  <si>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</si>
  <si>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</si>
  <si>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</si>
  <si>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</si>
  <si>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</si>
  <si>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</si>
  <si>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</si>
  <si>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</si>
  <si>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</si>
  <si>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</si>
  <si>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</si>
  <si>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</si>
  <si>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</si>
  <si>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</si>
  <si>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</si>
  <si>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</si>
  <si>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</si>
  <si>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</si>
  <si>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</si>
  <si>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</si>
  <si>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</si>
  <si>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</si>
  <si>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</si>
  <si>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</si>
  <si>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</si>
  <si>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</si>
  <si>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</si>
  <si>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</si>
  <si>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</si>
  <si>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</si>
  <si>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</si>
  <si>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</si>
  <si>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</si>
  <si>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</si>
  <si>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</si>
  <si>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</si>
  <si>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</si>
  <si>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</si>
  <si>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</si>
  <si>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</si>
  <si>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</si>
  <si>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</si>
  <si>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</si>
  <si>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</si>
  <si>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</si>
  <si>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</si>
  <si>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</si>
  <si>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</si>
  <si>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</si>
  <si>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</si>
  <si>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</si>
  <si>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</si>
  <si>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</si>
  <si>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</si>
  <si>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</si>
  <si>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</si>
  <si>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</si>
  <si>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</si>
  <si>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</si>
  <si>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</si>
  <si>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</si>
  <si>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</si>
  <si>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</si>
  <si>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</si>
  <si>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</si>
  <si>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</si>
  <si>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</si>
  <si>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</si>
  <si>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</si>
  <si>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</si>
  <si>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</si>
  <si>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</si>
  <si>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</si>
  <si>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</si>
  <si>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</si>
  <si>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</si>
  <si>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</si>
  <si>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</si>
  <si>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</si>
  <si>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</si>
  <si>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</si>
  <si>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</si>
  <si>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</si>
  <si>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</si>
  <si>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</si>
  <si>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</si>
  <si>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</si>
  <si>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</si>
  <si>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</si>
  <si>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</si>
  <si>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</si>
  <si>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</si>
  <si>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</si>
  <si>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</si>
  <si>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</si>
  <si>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</si>
  <si>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</si>
  <si>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</si>
  <si>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</si>
  <si>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</si>
  <si>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</si>
  <si>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</si>
  <si>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</si>
  <si>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</si>
  <si>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</si>
  <si>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</si>
  <si>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</si>
  <si>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</si>
  <si>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</si>
  <si>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</si>
  <si>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</si>
  <si>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</si>
  <si>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</si>
  <si>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</si>
  <si>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</si>
  <si>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</si>
  <si>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</si>
  <si>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</si>
  <si>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</si>
  <si>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</si>
  <si>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</si>
  <si>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</si>
  <si>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</si>
  <si>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</si>
  <si>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</si>
  <si>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</si>
  <si>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</si>
  <si>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</si>
  <si>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</si>
  <si>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</si>
  <si>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</si>
  <si>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</si>
  <si>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</si>
  <si>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</si>
  <si>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</si>
  <si>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</si>
  <si>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</si>
  <si>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</si>
  <si>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</si>
  <si>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</si>
  <si>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</si>
  <si>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</si>
  <si>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</si>
  <si>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</si>
  <si>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</si>
  <si>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</si>
  <si>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</si>
  <si>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</si>
  <si>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</si>
  <si>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</si>
  <si>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</si>
  <si>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</si>
  <si>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</si>
  <si>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</si>
  <si>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</si>
  <si>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</si>
  <si>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</si>
  <si>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</si>
  <si>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</si>
  <si>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</si>
  <si>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</si>
  <si>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</si>
  <si>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</si>
  <si>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</si>
  <si>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</si>
  <si>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</si>
  <si>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충주기상과학관 신축공사</t>
    <phoneticPr fontId="2" type="noConversion"/>
  </si>
  <si>
    <t>문화및집회</t>
  </si>
  <si>
    <t>충청도</t>
  </si>
  <si>
    <t>포장공사,기타공사</t>
    <phoneticPr fontId="2" type="noConversion"/>
  </si>
  <si>
    <t>우수공사,오수공사</t>
    <phoneticPr fontId="2" type="noConversion"/>
  </si>
  <si>
    <t>상수도공사,운반비</t>
    <phoneticPr fontId="2" type="noConversion"/>
  </si>
  <si>
    <t>CATV 및 TV 설비공사</t>
    <phoneticPr fontId="2" type="noConversion"/>
  </si>
  <si>
    <t>전기인입 및 수변전 설비공사</t>
    <phoneticPr fontId="2" type="noConversion"/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</si>
  <si>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</si>
  <si>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</si>
  <si>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</si>
  <si>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기초공사,폐기물처리비,골재비및운반비,작업부산물,품질시험비,기타공사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</si>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</sst>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2872.09</v>
      </c>
      <c r="D7" s="36">
        <f>+C7/3.3058</f>
        <v>868.80331538508074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1082710</v>
      </c>
      <c r="E25" s="59">
        <f t="shared" si="0"/>
        <v>3579220</v>
      </c>
    </row>
    <row r="26" spans="1:5" x14ac:dyDescent="0.3">
      <c r="B26" s="2">
        <v>3</v>
      </c>
      <c r="C26" s="35" t="s">
        <v>95</v>
      </c>
      <c r="D26" s="45">
        <f>+D66</f>
        <v>30230</v>
      </c>
      <c r="E26" s="59">
        <f t="shared" si="0"/>
        <v>99930</v>
      </c>
    </row>
    <row r="27" spans="1:5" x14ac:dyDescent="0.3">
      <c r="B27" s="2">
        <v>4</v>
      </c>
      <c r="C27" s="35" t="s">
        <v>96</v>
      </c>
      <c r="D27" s="45">
        <f>+D95</f>
        <v>40830</v>
      </c>
      <c r="E27" s="59">
        <f t="shared" si="0"/>
        <v>134970</v>
      </c>
    </row>
    <row r="28" spans="1:5" x14ac:dyDescent="0.3">
      <c r="B28" s="2">
        <v>5</v>
      </c>
      <c r="C28" s="35" t="s">
        <v>97</v>
      </c>
      <c r="D28" s="45">
        <f>+D119</f>
        <v>286250</v>
      </c>
      <c r="E28" s="59">
        <f t="shared" si="0"/>
        <v>946280</v>
      </c>
    </row>
    <row r="29" spans="1:5" x14ac:dyDescent="0.3">
      <c r="B29" s="2">
        <v>6</v>
      </c>
      <c r="C29" s="35" t="s">
        <v>98</v>
      </c>
      <c r="D29" s="45">
        <f>+D133</f>
        <v>24220</v>
      </c>
      <c r="E29" s="59">
        <f t="shared" si="0"/>
        <v>80060</v>
      </c>
    </row>
    <row r="30" spans="1:5" x14ac:dyDescent="0.3">
      <c r="B30" s="2">
        <v>7</v>
      </c>
      <c r="C30" s="35" t="s">
        <v>99</v>
      </c>
      <c r="D30" s="45">
        <f>+D146</f>
        <v>89220</v>
      </c>
      <c r="E30" s="59">
        <f t="shared" si="0"/>
        <v>294940</v>
      </c>
    </row>
    <row r="31" spans="1:5" x14ac:dyDescent="0.3">
      <c r="B31" s="2">
        <v>8</v>
      </c>
      <c r="C31" s="35" t="s">
        <v>100</v>
      </c>
      <c r="D31" s="45">
        <f>+D154</f>
        <v>33330</v>
      </c>
      <c r="E31" s="59">
        <f t="shared" si="0"/>
        <v>110180</v>
      </c>
    </row>
    <row r="32" spans="1:5" x14ac:dyDescent="0.3">
      <c r="B32" s="2">
        <v>9</v>
      </c>
      <c r="C32" s="35" t="s">
        <v>101</v>
      </c>
      <c r="D32" s="45">
        <f>+D161</f>
        <v>35750</v>
      </c>
      <c r="E32" s="59">
        <f t="shared" si="0"/>
        <v>118180</v>
      </c>
    </row>
    <row r="33" spans="1:7" x14ac:dyDescent="0.3">
      <c r="B33" s="2">
        <v>10</v>
      </c>
      <c r="C33" s="35" t="s">
        <v>154</v>
      </c>
      <c r="D33" s="53">
        <f>TRUNC(SUM(D24:D32)*0.275,-1)</f>
        <v>446190</v>
      </c>
      <c r="E33" s="60">
        <f t="shared" si="0"/>
        <v>1475010</v>
      </c>
    </row>
    <row r="34" spans="1:7" x14ac:dyDescent="0.3">
      <c r="C34" s="35" t="s">
        <v>112</v>
      </c>
      <c r="D34" s="44">
        <f>SUM(D24:D33)</f>
        <v>2068730</v>
      </c>
      <c r="E34" s="44">
        <f>SUM(E24:E33)</f>
        <v>6838770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TRUNC(92889,-1)</f>
        <v>92880</v>
      </c>
      <c r="E40" s="62">
        <f t="shared" ref="E40:E59" si="1">TRUNC(+D40*3.3058,-1)</f>
        <v>307040</v>
      </c>
    </row>
    <row r="41" spans="1:7" x14ac:dyDescent="0.3">
      <c r="A41" s="2">
        <v>2</v>
      </c>
      <c r="C41" s="38" t="s">
        <v>13</v>
      </c>
      <c r="D41" s="42">
        <f>TRUNC(257663,-1)</f>
        <v>257660</v>
      </c>
      <c r="E41" s="63">
        <f t="shared" si="1"/>
        <v>851770</v>
      </c>
    </row>
    <row r="42" spans="1:7" x14ac:dyDescent="0.3">
      <c r="A42" s="2">
        <v>3</v>
      </c>
      <c r="C42" s="38" t="s">
        <v>14</v>
      </c>
      <c r="D42" s="42">
        <f>TRUNC(49204,-1)</f>
        <v>49200</v>
      </c>
      <c r="E42" s="63">
        <f t="shared" si="1"/>
        <v>162640</v>
      </c>
    </row>
    <row r="43" spans="1:7" x14ac:dyDescent="0.3">
      <c r="A43" s="2">
        <v>4</v>
      </c>
      <c r="C43" s="38" t="s">
        <v>16</v>
      </c>
      <c r="D43" s="42">
        <f>TRUNC(20643,-1)</f>
        <v>20640</v>
      </c>
      <c r="E43" s="63">
        <f t="shared" si="1"/>
        <v>68230</v>
      </c>
    </row>
    <row r="44" spans="1:7" x14ac:dyDescent="0.3">
      <c r="A44" s="2">
        <v>5</v>
      </c>
      <c r="C44" s="38" t="s">
        <v>17</v>
      </c>
      <c r="D44" s="42">
        <f>TRUNC(48371,-1)</f>
        <v>48370</v>
      </c>
      <c r="E44" s="63">
        <f t="shared" si="1"/>
        <v>159900</v>
      </c>
    </row>
    <row r="45" spans="1:7" x14ac:dyDescent="0.3">
      <c r="A45" s="2">
        <v>6</v>
      </c>
      <c r="C45" s="38" t="s">
        <v>18</v>
      </c>
      <c r="D45" s="42">
        <f>TRUNC(10581,-1)</f>
        <v>10580</v>
      </c>
      <c r="E45" s="63">
        <f t="shared" si="1"/>
        <v>34970</v>
      </c>
    </row>
    <row r="46" spans="1:7" x14ac:dyDescent="0.3">
      <c r="A46" s="2">
        <v>7</v>
      </c>
      <c r="C46" s="38" t="s">
        <v>19</v>
      </c>
      <c r="D46" s="42">
        <f>TRUNC(3439,-1)</f>
        <v>3430</v>
      </c>
      <c r="E46" s="63">
        <f t="shared" si="1"/>
        <v>11330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TRUNC(30832,-1)</f>
        <v>30830</v>
      </c>
      <c r="E48" s="63">
        <f t="shared" si="1"/>
        <v>101910</v>
      </c>
      <c r="F48" s="2" t="s">
        <v>256</v>
      </c>
    </row>
    <row r="49" spans="1:7" x14ac:dyDescent="0.3">
      <c r="A49" s="2">
        <v>10</v>
      </c>
      <c r="C49" s="38" t="s">
        <v>22</v>
      </c>
      <c r="D49" s="42">
        <f>TRUNC(8755,-1)</f>
        <v>8750</v>
      </c>
      <c r="E49" s="63">
        <f t="shared" si="1"/>
        <v>28920</v>
      </c>
    </row>
    <row r="50" spans="1:7" x14ac:dyDescent="0.3">
      <c r="A50" s="2">
        <v>11</v>
      </c>
      <c r="C50" s="38" t="s">
        <v>155</v>
      </c>
      <c r="D50" s="42">
        <f>TRUNC(26334,-1)</f>
        <v>26330</v>
      </c>
      <c r="E50" s="63">
        <f t="shared" si="1"/>
        <v>87040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TRUNC(4271,-1)</f>
        <v>4270</v>
      </c>
      <c r="E52" s="63">
        <f t="shared" si="1"/>
        <v>14110</v>
      </c>
    </row>
    <row r="53" spans="1:7" x14ac:dyDescent="0.3">
      <c r="A53" s="2">
        <v>14</v>
      </c>
      <c r="C53" s="38" t="s">
        <v>25</v>
      </c>
      <c r="D53" s="42">
        <f>TRUNC(56261,-1)</f>
        <v>56260</v>
      </c>
      <c r="E53" s="63">
        <f t="shared" si="1"/>
        <v>185980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TRUNC(1386+1309+9069-1065+3713+3466,-1)</f>
        <v>17870</v>
      </c>
      <c r="E58" s="63">
        <f t="shared" si="1"/>
        <v>59070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TRUNC(455648,-1)</f>
        <v>455640</v>
      </c>
      <c r="E59" s="64">
        <f t="shared" si="1"/>
        <v>1506250</v>
      </c>
    </row>
    <row r="60" spans="1:7" x14ac:dyDescent="0.3">
      <c r="A60" s="2">
        <v>21</v>
      </c>
      <c r="C60" s="27" t="s">
        <v>112</v>
      </c>
      <c r="D60" s="39">
        <f>SUM(D40:D59)</f>
        <v>1082710</v>
      </c>
      <c r="E60" s="39">
        <f>SUM(E40:E59)</f>
        <v>3579160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TRUNC(30230,-1)</f>
        <v>30230</v>
      </c>
      <c r="E63" s="62">
        <f>TRUNC(+D63*3.3058,-1)</f>
        <v>99930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30230</v>
      </c>
      <c r="E66" s="65">
        <f>SUM(E63:E65)</f>
        <v>99930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TRUNC(9852,-1)</f>
        <v>9850</v>
      </c>
      <c r="E69" s="62">
        <f t="shared" ref="E69:E94" si="2">TRUNC(+D69*3.3058,-1)</f>
        <v>32560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TRUNC(3112,-1)</f>
        <v>3110</v>
      </c>
      <c r="E71" s="63">
        <f t="shared" si="2"/>
        <v>10280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TRUNC(4752,-1)</f>
        <v>4750</v>
      </c>
      <c r="E73" s="63">
        <f t="shared" si="2"/>
        <v>15700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TRUNC(7101,-1)</f>
        <v>7100</v>
      </c>
      <c r="E89" s="63">
        <f t="shared" si="2"/>
        <v>23470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TRUNC(9107,-1)</f>
        <v>9100</v>
      </c>
      <c r="E91" s="63">
        <f t="shared" si="2"/>
        <v>30080</v>
      </c>
    </row>
    <row r="92" spans="1:7" x14ac:dyDescent="0.3">
      <c r="A92" s="2">
        <v>24</v>
      </c>
      <c r="C92" s="38" t="s">
        <v>38</v>
      </c>
      <c r="D92" s="42">
        <f>TRUNC(6922,-1)</f>
        <v>6920</v>
      </c>
      <c r="E92" s="63">
        <f t="shared" si="2"/>
        <v>22870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40830</v>
      </c>
      <c r="E95" s="39">
        <f>SUM(E69:E94)</f>
        <v>134960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TRUNC(18976,-1)</f>
        <v>18970</v>
      </c>
      <c r="E98" s="62">
        <f t="shared" ref="E98:E118" si="3">TRUNC(+D98*3.3058,-1)</f>
        <v>62710</v>
      </c>
    </row>
    <row r="99" spans="1:7" x14ac:dyDescent="0.3">
      <c r="A99" s="2">
        <v>2</v>
      </c>
      <c r="C99" s="38" t="s">
        <v>40</v>
      </c>
      <c r="D99" s="42">
        <f>TRUNC(5895,-1)</f>
        <v>5890</v>
      </c>
      <c r="E99" s="63">
        <f t="shared" si="3"/>
        <v>19470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TRUNC(10508,-1)</f>
        <v>10500</v>
      </c>
      <c r="E102" s="63">
        <f t="shared" si="3"/>
        <v>34710</v>
      </c>
    </row>
    <row r="103" spans="1:7" x14ac:dyDescent="0.3">
      <c r="A103" s="2">
        <v>6</v>
      </c>
      <c r="C103" s="38" t="s">
        <v>44</v>
      </c>
      <c r="D103" s="42">
        <f>TRUNC(9100,-1)</f>
        <v>9100</v>
      </c>
      <c r="E103" s="63">
        <f t="shared" si="3"/>
        <v>30080</v>
      </c>
    </row>
    <row r="104" spans="1:7" x14ac:dyDescent="0.3">
      <c r="A104" s="2">
        <v>7</v>
      </c>
      <c r="C104" s="38" t="s">
        <v>45</v>
      </c>
      <c r="D104" s="42">
        <f>TRUNC(8949,-1)</f>
        <v>8940</v>
      </c>
      <c r="E104" s="63">
        <f t="shared" si="3"/>
        <v>29550</v>
      </c>
    </row>
    <row r="105" spans="1:7" x14ac:dyDescent="0.3">
      <c r="A105" s="2">
        <v>8</v>
      </c>
      <c r="C105" s="38" t="s">
        <v>46</v>
      </c>
      <c r="D105" s="42">
        <f>TRUNC(5086,-1)</f>
        <v>5080</v>
      </c>
      <c r="E105" s="63">
        <f t="shared" si="3"/>
        <v>16790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TRUNC(23533,-1)</f>
        <v>23530</v>
      </c>
      <c r="E114" s="63">
        <f t="shared" si="3"/>
        <v>77780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TRUNC(13130,-1)</f>
        <v>13130</v>
      </c>
      <c r="E116" s="63">
        <f t="shared" si="3"/>
        <v>43400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TRUNC(184255,-1)</f>
        <v>184250</v>
      </c>
      <c r="E117" s="63">
        <f t="shared" si="3"/>
        <v>609090</v>
      </c>
    </row>
    <row r="118" spans="1:7" ht="17.25" thickBot="1" x14ac:dyDescent="0.35">
      <c r="A118" s="2">
        <v>21</v>
      </c>
      <c r="C118" s="38" t="s">
        <v>47</v>
      </c>
      <c r="D118" s="43">
        <f>TRUNC(6860,-1)</f>
        <v>6860</v>
      </c>
      <c r="E118" s="64">
        <f t="shared" si="3"/>
        <v>22670</v>
      </c>
    </row>
    <row r="119" spans="1:7" x14ac:dyDescent="0.3">
      <c r="A119" s="2">
        <v>22</v>
      </c>
      <c r="C119" s="27" t="s">
        <v>112</v>
      </c>
      <c r="D119" s="39">
        <f>SUM(D98:D118)</f>
        <v>286250</v>
      </c>
      <c r="E119" s="39">
        <f>SUM(E98:E118)</f>
        <v>946250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TRUNC(4521,-1)</f>
        <v>4520</v>
      </c>
      <c r="E122" s="62">
        <f t="shared" ref="E122:E132" si="4">TRUNC(+D122*3.3058,-1)</f>
        <v>14940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TRUNC(1795,-1)</f>
        <v>1790</v>
      </c>
      <c r="E126" s="63">
        <f t="shared" si="4"/>
        <v>5910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TRUNC(193,-1)</f>
        <v>190</v>
      </c>
      <c r="E128" s="63">
        <f t="shared" si="4"/>
        <v>620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TRUNC(17728,-1)</f>
        <v>17720</v>
      </c>
      <c r="E130" s="63">
        <f t="shared" si="4"/>
        <v>58570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24220</v>
      </c>
      <c r="E133" s="39">
        <f>SUM(E122:E132)</f>
        <v>80040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TRUNC(7487+986,-1)</f>
        <v>8470</v>
      </c>
      <c r="E137" s="63">
        <f t="shared" si="5"/>
        <v>28000</v>
      </c>
    </row>
    <row r="138" spans="1:7" x14ac:dyDescent="0.3">
      <c r="A138" s="2">
        <v>3</v>
      </c>
      <c r="C138" s="38" t="s">
        <v>60</v>
      </c>
      <c r="D138" s="42">
        <f>TRUNC(4626,-1)</f>
        <v>4620</v>
      </c>
      <c r="E138" s="63">
        <f t="shared" si="5"/>
        <v>15270</v>
      </c>
    </row>
    <row r="139" spans="1:7" x14ac:dyDescent="0.3">
      <c r="A139" s="2">
        <v>4</v>
      </c>
      <c r="C139" s="38" t="s">
        <v>61</v>
      </c>
      <c r="D139" s="42">
        <f>TRUNC(4007,-1)</f>
        <v>4000</v>
      </c>
      <c r="E139" s="63">
        <f t="shared" si="5"/>
        <v>13220</v>
      </c>
    </row>
    <row r="140" spans="1:7" x14ac:dyDescent="0.3">
      <c r="A140" s="2">
        <v>5</v>
      </c>
      <c r="C140" s="38" t="s">
        <v>57</v>
      </c>
      <c r="D140" s="42">
        <f>TRUNC(6422,-1)</f>
        <v>6420</v>
      </c>
      <c r="E140" s="63">
        <f t="shared" si="5"/>
        <v>21220</v>
      </c>
    </row>
    <row r="141" spans="1:7" x14ac:dyDescent="0.3">
      <c r="A141" s="2">
        <v>6</v>
      </c>
      <c r="C141" s="38" t="s">
        <v>59</v>
      </c>
      <c r="D141" s="42">
        <f>TRUNC(33724,-1)</f>
        <v>33720</v>
      </c>
      <c r="E141" s="63">
        <f t="shared" si="5"/>
        <v>111470</v>
      </c>
    </row>
    <row r="142" spans="1:7" x14ac:dyDescent="0.3">
      <c r="A142" s="2">
        <v>7</v>
      </c>
      <c r="C142" s="38" t="s">
        <v>58</v>
      </c>
      <c r="D142" s="42">
        <f>TRUNC(4720,-1)</f>
        <v>4720</v>
      </c>
      <c r="E142" s="63">
        <f t="shared" si="5"/>
        <v>15600</v>
      </c>
    </row>
    <row r="143" spans="1:7" x14ac:dyDescent="0.3">
      <c r="A143" s="2">
        <v>8</v>
      </c>
      <c r="C143" s="38" t="s">
        <v>62</v>
      </c>
      <c r="D143" s="42">
        <f>TRUNC(3223,-1)</f>
        <v>3220</v>
      </c>
      <c r="E143" s="63">
        <f t="shared" si="5"/>
        <v>10640</v>
      </c>
    </row>
    <row r="144" spans="1:7" x14ac:dyDescent="0.3">
      <c r="A144" s="2">
        <v>9</v>
      </c>
      <c r="C144" s="38" t="s">
        <v>63</v>
      </c>
      <c r="D144" s="42">
        <f>TRUNC(24055,-1)</f>
        <v>24050</v>
      </c>
      <c r="E144" s="63">
        <f t="shared" si="5"/>
        <v>79500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89220</v>
      </c>
      <c r="E146" s="39">
        <f>SUM(E136:E145)</f>
        <v>294920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TRUNC(10011+2936,-1)</f>
        <v>12940</v>
      </c>
      <c r="E149" s="62">
        <f>TRUNC(+D149*3.3058,-1)</f>
        <v>42770</v>
      </c>
      <c r="F149" s="2" t="s">
        <v>252</v>
      </c>
    </row>
    <row r="150" spans="1:7" x14ac:dyDescent="0.3">
      <c r="A150" s="2">
        <v>2</v>
      </c>
      <c r="C150" s="38" t="s">
        <v>49</v>
      </c>
      <c r="D150" s="42">
        <f>TRUNC(14017,-1)</f>
        <v>14010</v>
      </c>
      <c r="E150" s="63">
        <f>TRUNC(+D150*3.3058,-1)</f>
        <v>46310</v>
      </c>
    </row>
    <row r="151" spans="1:7" x14ac:dyDescent="0.3">
      <c r="A151" s="2">
        <v>3</v>
      </c>
      <c r="C151" s="38" t="s">
        <v>50</v>
      </c>
      <c r="D151" s="42">
        <f>TRUNC(4637,-1)</f>
        <v>4630</v>
      </c>
      <c r="E151" s="63">
        <f>TRUNC(+D151*3.3058,-1)</f>
        <v>15300</v>
      </c>
    </row>
    <row r="152" spans="1:7" x14ac:dyDescent="0.3">
      <c r="A152" s="2">
        <v>4</v>
      </c>
      <c r="C152" s="38" t="s">
        <v>47</v>
      </c>
      <c r="D152" s="42">
        <f>TRUNC(1731+24,-1)</f>
        <v>1750</v>
      </c>
      <c r="E152" s="63">
        <f>TRUNC(+D152*3.3058,-1)</f>
        <v>5780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33330</v>
      </c>
      <c r="E154" s="39">
        <f>SUM(E149:E153)</f>
        <v>110160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TRUNC(30909,-1)</f>
        <v>30900</v>
      </c>
      <c r="E157" s="62">
        <f>TRUNC(+D157*3.3058,-1)</f>
        <v>102140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TRUNC(4161+695,-1)</f>
        <v>4850</v>
      </c>
      <c r="E159" s="63">
        <f>TRUNC(+D159*3.3058,-1)</f>
        <v>16030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35750</v>
      </c>
      <c r="E161" s="39">
        <f>SUM(E157:E160)</f>
        <v>118170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2020-12-08T01:53:30Z</dcterms:modified>
</cp:coreProperties>
</file>