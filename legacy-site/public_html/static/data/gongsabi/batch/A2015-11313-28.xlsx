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5" i="4"/>
  <c r="D144" i="4"/>
  <c r="D143" i="4"/>
  <c r="D142" i="4"/>
  <c r="D140" i="4"/>
  <c r="D137" i="4"/>
  <c r="D132" i="4"/>
  <c r="D131" i="4"/>
  <c r="D130" i="4"/>
  <c r="D127" i="4"/>
  <c r="D126" i="4"/>
  <c r="D125" i="4"/>
  <c r="D122" i="4"/>
  <c r="D118" i="4"/>
  <c r="D114" i="4"/>
  <c r="D105" i="4"/>
  <c r="D104" i="4"/>
  <c r="D103" i="4"/>
  <c r="D102" i="4"/>
  <c r="D99" i="4"/>
  <c r="D98" i="4"/>
  <c r="D94" i="4"/>
  <c r="D93" i="4"/>
  <c r="D92" i="4"/>
  <c r="D91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<sst xmlns="http://schemas.openxmlformats.org/spreadsheetml/2006/main" count="393" uniqueCount="269">
  <si>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</si>
  <si>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</si>
  <si>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</si>
  <si>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</si>
  <si>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</si>
  <si>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</si>
  <si>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</si>
  <si>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</si>
  <si>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</si>
  <si>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</si>
  <si>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</si>
  <si>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</si>
  <si>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</si>
  <si>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</si>
  <si>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</si>
  <si>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</si>
  <si>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</si>
  <si>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</si>
  <si>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</si>
  <si>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</si>
  <si>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</si>
  <si>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</si>
  <si>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</si>
  <si>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</si>
  <si>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</si>
  <si>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</si>
  <si>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</si>
  <si>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</si>
  <si>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</si>
  <si>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</si>
  <si>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</si>
  <si>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</si>
  <si>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</si>
  <si>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</si>
  <si>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</si>
  <si>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</si>
  <si>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</si>
  <si>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</si>
  <si>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</si>
  <si>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</si>
  <si>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</si>
  <si>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</si>
  <si>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</si>
  <si>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</si>
  <si>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</si>
  <si>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</si>
  <si>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</si>
  <si>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</si>
  <si>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</si>
  <si>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</si>
  <si>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</si>
  <si>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</si>
  <si>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</si>
  <si>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</si>
  <si>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</si>
  <si>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</si>
  <si>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</si>
  <si>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</si>
  <si>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</si>
  <si>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</si>
  <si>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</si>
  <si>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</si>
  <si>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</si>
  <si>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</si>
  <si>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</si>
  <si>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</si>
  <si>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</si>
  <si>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</si>
  <si>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</si>
  <si>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</si>
  <si>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</si>
  <si>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</si>
  <si>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</si>
  <si>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</si>
  <si>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</si>
  <si>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</si>
  <si>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</si>
  <si>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</si>
  <si>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</si>
  <si>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</si>
  <si>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</si>
  <si>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</si>
  <si>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</si>
  <si>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</si>
  <si>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</si>
  <si>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</si>
  <si>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</si>
  <si>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</si>
  <si>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</si>
  <si>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</si>
  <si>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</si>
  <si>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</si>
  <si>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</si>
  <si>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</si>
  <si>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</si>
  <si>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</si>
  <si>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</si>
  <si>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</si>
  <si>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</si>
  <si>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</si>
  <si>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</si>
  <si>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</si>
  <si>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</si>
  <si>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</si>
  <si>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</si>
  <si>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</si>
  <si>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</si>
  <si>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</si>
  <si>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</si>
  <si>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</si>
  <si>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</si>
  <si>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</si>
  <si>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</si>
  <si>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</si>
  <si>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</si>
  <si>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</si>
  <si>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</si>
  <si>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</si>
  <si>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</si>
  <si>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</si>
  <si>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</si>
  <si>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</si>
  <si>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</si>
  <si>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</si>
  <si>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</si>
  <si>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</si>
  <si>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</si>
  <si>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</si>
  <si>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</si>
  <si>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</si>
  <si>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</si>
  <si>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</si>
  <si>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</si>
  <si>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</si>
  <si>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</si>
  <si>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</si>
  <si>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</si>
  <si>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</si>
  <si>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</si>
  <si>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</si>
  <si>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</si>
  <si>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</si>
  <si>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</si>
  <si>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</si>
  <si>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</si>
  <si>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</si>
  <si>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</si>
  <si>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</si>
  <si>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</si>
  <si>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</si>
  <si>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</si>
  <si>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</si>
  <si>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</si>
  <si>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</si>
  <si>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</si>
  <si>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</si>
  <si>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</si>
  <si>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</si>
  <si>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</si>
  <si>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</si>
  <si>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</si>
  <si>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</si>
  <si>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</si>
  <si>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</si>
  <si>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</si>
  <si>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</si>
  <si>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</si>
  <si>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</si>
  <si>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</si>
  <si>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</si>
  <si>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</si>
  <si>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</si>
  <si>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</si>
  <si>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</si>
  <si>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</si>
  <si>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</si>
  <si>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</si>
  <si>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</si>
  <si>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</si>
  <si>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</si>
  <si>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</si>
  <si>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</si>
  <si>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</si>
  <si>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</si>
  <si>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</si>
  <si>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</si>
  <si>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</si>
  <si>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</si>
  <si>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</si>
  <si>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</si>
  <si>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</si>
  <si>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</si>
  <si>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</si>
  <si>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</si>
  <si>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</si>
  <si>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</si>
  <si>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</si>
  <si>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</si>
  <si>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</si>
  <si>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</si>
  <si>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</si>
  <si>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</si>
  <si>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</si>
  <si>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</si>
  <si>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</si>
  <si>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</si>
  <si>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</si>
  <si>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</si>
  <si>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</si>
  <si>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</si>
  <si>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</si>
  <si>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</si>
  <si>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</si>
  <si>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</si>
  <si>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</si>
  <si>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</si>
  <si>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</si>
  <si>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</si>
  <si>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</si>
  <si>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</si>
  <si>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</si>
  <si>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</si>
  <si>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</si>
  <si>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</si>
  <si>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</si>
  <si>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</si>
  <si>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</si>
  <si>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</si>
  <si>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</si>
  <si>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</si>
  <si>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</si>
  <si>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</si>
  <si>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</si>
  <si>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</si>
  <si>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</si>
  <si>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</si>
  <si>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</si>
  <si>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</si>
  <si>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</si>
  <si>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</si>
  <si>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</si>
  <si>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</si>
  <si>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</si>
  <si>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</si>
  <si>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</si>
  <si>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</si>
  <si>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</si>
  <si>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</si>
  <si>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</si>
  <si>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</si>
  <si>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</si>
  <si>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</si>
  <si>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</si>
  <si>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</si>
  <si>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</si>
  <si>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</si>
  <si>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</si>
  <si>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</si>
  <si>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</si>
  <si>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전북대학교 농축산용미생물지원센터 신축공사</t>
    <phoneticPr fontId="2" type="noConversion"/>
  </si>
  <si>
    <t>전라도</t>
  </si>
  <si>
    <t>골재비및운반비, 작업부산물, 기타공사</t>
    <phoneticPr fontId="2" type="noConversion"/>
  </si>
  <si>
    <t>공조배관공사,우수처리시설공사,기타공사</t>
    <phoneticPr fontId="2" type="noConversion"/>
  </si>
  <si>
    <t>옥외보안등설비공사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</si>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</sst>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6386.5</v>
      </c>
      <c r="D7" s="36">
        <f>+C7/3.3058</f>
        <v>1931.9075564159962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844500</v>
      </c>
      <c r="E25" s="59">
        <f t="shared" si="0"/>
        <v>2791740</v>
      </c>
    </row>
    <row r="26" spans="1:5" x14ac:dyDescent="0.3">
      <c r="B26" s="2">
        <v>3</v>
      </c>
      <c r="C26" s="35" t="s">
        <v>95</v>
      </c>
      <c r="D26" s="45">
        <f>+D66</f>
        <v>14180</v>
      </c>
      <c r="E26" s="59">
        <f t="shared" si="0"/>
        <v>46870</v>
      </c>
    </row>
    <row r="27" spans="1:5" x14ac:dyDescent="0.3">
      <c r="B27" s="2">
        <v>4</v>
      </c>
      <c r="C27" s="35" t="s">
        <v>96</v>
      </c>
      <c r="D27" s="45">
        <f>+D95</f>
        <v>217930</v>
      </c>
      <c r="E27" s="59">
        <f t="shared" si="0"/>
        <v>720430</v>
      </c>
    </row>
    <row r="28" spans="1:5" x14ac:dyDescent="0.3">
      <c r="B28" s="2">
        <v>5</v>
      </c>
      <c r="C28" s="35" t="s">
        <v>97</v>
      </c>
      <c r="D28" s="45">
        <f>+D119</f>
        <v>234680</v>
      </c>
      <c r="E28" s="59">
        <f t="shared" si="0"/>
        <v>775800</v>
      </c>
    </row>
    <row r="29" spans="1:5" x14ac:dyDescent="0.3">
      <c r="B29" s="2">
        <v>6</v>
      </c>
      <c r="C29" s="35" t="s">
        <v>98</v>
      </c>
      <c r="D29" s="45">
        <f>+D133</f>
        <v>80330</v>
      </c>
      <c r="E29" s="59">
        <f t="shared" si="0"/>
        <v>265550</v>
      </c>
    </row>
    <row r="30" spans="1:5" x14ac:dyDescent="0.3">
      <c r="B30" s="2">
        <v>7</v>
      </c>
      <c r="C30" s="35" t="s">
        <v>99</v>
      </c>
      <c r="D30" s="45">
        <f>+D146</f>
        <v>27810</v>
      </c>
      <c r="E30" s="59">
        <f t="shared" si="0"/>
        <v>91930</v>
      </c>
    </row>
    <row r="31" spans="1:5" x14ac:dyDescent="0.3">
      <c r="B31" s="2">
        <v>8</v>
      </c>
      <c r="C31" s="35" t="s">
        <v>100</v>
      </c>
      <c r="D31" s="45">
        <f>+D154</f>
        <v>36580</v>
      </c>
      <c r="E31" s="59">
        <f t="shared" si="0"/>
        <v>120920</v>
      </c>
    </row>
    <row r="32" spans="1:5" x14ac:dyDescent="0.3">
      <c r="B32" s="2">
        <v>9</v>
      </c>
      <c r="C32" s="35" t="s">
        <v>101</v>
      </c>
      <c r="D32" s="45">
        <f>+D161</f>
        <v>56810</v>
      </c>
      <c r="E32" s="59">
        <f t="shared" si="0"/>
        <v>187800</v>
      </c>
    </row>
    <row r="33" spans="1:7" x14ac:dyDescent="0.3">
      <c r="B33" s="2">
        <v>10</v>
      </c>
      <c r="C33" s="35" t="s">
        <v>154</v>
      </c>
      <c r="D33" s="53">
        <f>TRUNC(SUM(D24:D32)*0.275,-1)</f>
        <v>416020</v>
      </c>
      <c r="E33" s="60">
        <f t="shared" si="0"/>
        <v>1375270</v>
      </c>
    </row>
    <row r="34" spans="1:7" x14ac:dyDescent="0.3">
      <c r="C34" s="35" t="s">
        <v>112</v>
      </c>
      <c r="D34" s="44">
        <f>SUM(D24:D33)</f>
        <v>1928840</v>
      </c>
      <c r="E34" s="44">
        <f>SUM(E24:E33)</f>
        <v>6376310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TRUNC(55497,-1)</f>
        <v>55490</v>
      </c>
      <c r="E40" s="62">
        <f t="shared" ref="E40:E59" si="1">TRUNC(+D40*3.3058,-1)</f>
        <v>183430</v>
      </c>
    </row>
    <row r="41" spans="1:7" x14ac:dyDescent="0.3">
      <c r="A41" s="2">
        <v>2</v>
      </c>
      <c r="C41" s="38" t="s">
        <v>13</v>
      </c>
      <c r="D41" s="42">
        <f>TRUNC(179531,-1)</f>
        <v>179530</v>
      </c>
      <c r="E41" s="63">
        <f t="shared" si="1"/>
        <v>593490</v>
      </c>
    </row>
    <row r="42" spans="1:7" x14ac:dyDescent="0.3">
      <c r="A42" s="2">
        <v>3</v>
      </c>
      <c r="C42" s="38" t="s">
        <v>14</v>
      </c>
      <c r="D42" s="42">
        <f>TRUNC(18708,-1)</f>
        <v>18700</v>
      </c>
      <c r="E42" s="63">
        <f t="shared" si="1"/>
        <v>61810</v>
      </c>
    </row>
    <row r="43" spans="1:7" x14ac:dyDescent="0.3">
      <c r="A43" s="2">
        <v>4</v>
      </c>
      <c r="C43" s="38" t="s">
        <v>16</v>
      </c>
      <c r="D43" s="42">
        <v>9090</v>
      </c>
      <c r="E43" s="63">
        <f t="shared" si="1"/>
        <v>30040</v>
      </c>
    </row>
    <row r="44" spans="1:7" x14ac:dyDescent="0.3">
      <c r="A44" s="2">
        <v>5</v>
      </c>
      <c r="C44" s="38" t="s">
        <v>17</v>
      </c>
      <c r="D44" s="42">
        <v>40480</v>
      </c>
      <c r="E44" s="63">
        <f t="shared" si="1"/>
        <v>133810</v>
      </c>
    </row>
    <row r="45" spans="1:7" x14ac:dyDescent="0.3">
      <c r="A45" s="2">
        <v>6</v>
      </c>
      <c r="C45" s="38" t="s">
        <v>18</v>
      </c>
      <c r="D45" s="42">
        <v>5790</v>
      </c>
      <c r="E45" s="63">
        <f t="shared" si="1"/>
        <v>19140</v>
      </c>
    </row>
    <row r="46" spans="1:7" x14ac:dyDescent="0.3">
      <c r="A46" s="2">
        <v>7</v>
      </c>
      <c r="C46" s="38" t="s">
        <v>19</v>
      </c>
      <c r="D46" s="42">
        <f>TRUNC(7565,-1)</f>
        <v>7560</v>
      </c>
      <c r="E46" s="63">
        <f t="shared" si="1"/>
        <v>24990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TRUNC(120838,-1)</f>
        <v>120830</v>
      </c>
      <c r="E48" s="63">
        <f t="shared" si="1"/>
        <v>399430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TRUNC(21762,-1)</f>
        <v>21760</v>
      </c>
      <c r="E49" s="63">
        <f t="shared" si="1"/>
        <v>71930</v>
      </c>
    </row>
    <row r="50" spans="1:7" x14ac:dyDescent="0.3">
      <c r="A50" s="2">
        <v>11</v>
      </c>
      <c r="C50" s="38" t="s">
        <v>155</v>
      </c>
      <c r="D50" s="42">
        <f>TRUNC(43123,-1)</f>
        <v>43120</v>
      </c>
      <c r="E50" s="63">
        <f t="shared" si="1"/>
        <v>142540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TRUNC(11246,-1)</f>
        <v>11240</v>
      </c>
      <c r="E52" s="63">
        <f t="shared" si="1"/>
        <v>37150</v>
      </c>
    </row>
    <row r="53" spans="1:7" x14ac:dyDescent="0.3">
      <c r="A53" s="2">
        <v>14</v>
      </c>
      <c r="C53" s="38" t="s">
        <v>25</v>
      </c>
      <c r="D53" s="42">
        <f>TRUNC(34315,-1)</f>
        <v>34310</v>
      </c>
      <c r="E53" s="63">
        <f t="shared" si="1"/>
        <v>113420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TRUNC(13935-463+39584,-1)</f>
        <v>53050</v>
      </c>
      <c r="E58" s="63">
        <f t="shared" si="1"/>
        <v>175370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TRUNC(243553,-1)</f>
        <v>243550</v>
      </c>
      <c r="E59" s="64">
        <f t="shared" si="1"/>
        <v>805120</v>
      </c>
    </row>
    <row r="60" spans="1:7" x14ac:dyDescent="0.3">
      <c r="A60" s="2">
        <v>21</v>
      </c>
      <c r="C60" s="27" t="s">
        <v>112</v>
      </c>
      <c r="D60" s="39">
        <f>SUM(D40:D59)</f>
        <v>844500</v>
      </c>
      <c r="E60" s="39">
        <f>SUM(E40:E59)</f>
        <v>2791670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TRUNC(14181,-1)</f>
        <v>14180</v>
      </c>
      <c r="E63" s="62">
        <f>TRUNC(+D63*3.3058,-1)</f>
        <v>46870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14180</v>
      </c>
      <c r="E66" s="65">
        <f>SUM(E63:E65)</f>
        <v>46870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TRUNC(11977,-1)</f>
        <v>11970</v>
      </c>
      <c r="E69" s="62">
        <f t="shared" ref="E69:E94" si="2">TRUNC(+D69*3.3058,-1)</f>
        <v>39570</v>
      </c>
    </row>
    <row r="70" spans="1:7" ht="16.5" customHeight="1" x14ac:dyDescent="0.3">
      <c r="A70" s="2">
        <v>2</v>
      </c>
      <c r="C70" s="38" t="s">
        <v>31</v>
      </c>
      <c r="D70" s="42">
        <f>TRUNC(1257,-1)</f>
        <v>1250</v>
      </c>
      <c r="E70" s="63">
        <f t="shared" si="2"/>
        <v>4130</v>
      </c>
    </row>
    <row r="71" spans="1:7" x14ac:dyDescent="0.3">
      <c r="A71" s="2">
        <v>3</v>
      </c>
      <c r="C71" s="38" t="s">
        <v>32</v>
      </c>
      <c r="D71" s="42">
        <f>TRUNC(3983,-1)</f>
        <v>3980</v>
      </c>
      <c r="E71" s="63">
        <f t="shared" si="2"/>
        <v>13150</v>
      </c>
    </row>
    <row r="72" spans="1:7" x14ac:dyDescent="0.3">
      <c r="A72" s="2">
        <v>4</v>
      </c>
      <c r="C72" s="38" t="s">
        <v>33</v>
      </c>
      <c r="D72" s="42">
        <f>TRUNC(14235,-1)</f>
        <v>14230</v>
      </c>
      <c r="E72" s="63">
        <f t="shared" si="2"/>
        <v>47040</v>
      </c>
    </row>
    <row r="73" spans="1:7" x14ac:dyDescent="0.3">
      <c r="A73" s="2">
        <v>5</v>
      </c>
      <c r="C73" s="38" t="s">
        <v>34</v>
      </c>
      <c r="D73" s="42">
        <f>TRUNC(5925,-1)</f>
        <v>5920</v>
      </c>
      <c r="E73" s="63">
        <f t="shared" si="2"/>
        <v>19570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TRUNC(60898,-1)</f>
        <v>60890</v>
      </c>
      <c r="E76" s="63">
        <f t="shared" si="2"/>
        <v>201290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TRUNC(5532,-1)</f>
        <v>5530</v>
      </c>
      <c r="E89" s="63">
        <f t="shared" si="2"/>
        <v>18280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TRUNC(9547,-1)</f>
        <v>9540</v>
      </c>
      <c r="E91" s="63">
        <f t="shared" si="2"/>
        <v>31530</v>
      </c>
    </row>
    <row r="92" spans="1:7" x14ac:dyDescent="0.3">
      <c r="A92" s="2">
        <v>24</v>
      </c>
      <c r="C92" s="38" t="s">
        <v>38</v>
      </c>
      <c r="D92" s="42">
        <f>TRUNC(8282,-1)</f>
        <v>8280</v>
      </c>
      <c r="E92" s="63">
        <f t="shared" si="2"/>
        <v>27370</v>
      </c>
    </row>
    <row r="93" spans="1:7" x14ac:dyDescent="0.3">
      <c r="A93" s="2">
        <v>25</v>
      </c>
      <c r="C93" s="38" t="s">
        <v>148</v>
      </c>
      <c r="D93" s="42">
        <f>TRUNC(71598,-1)</f>
        <v>71590</v>
      </c>
      <c r="E93" s="63">
        <f t="shared" si="2"/>
        <v>236660</v>
      </c>
    </row>
    <row r="94" spans="1:7" ht="17.25" thickBot="1" x14ac:dyDescent="0.35">
      <c r="A94" s="2">
        <v>26</v>
      </c>
      <c r="C94" s="38" t="s">
        <v>47</v>
      </c>
      <c r="D94" s="43">
        <f>TRUNC(6222+7836+10698,-1)</f>
        <v>24750</v>
      </c>
      <c r="E94" s="64">
        <f t="shared" si="2"/>
        <v>81810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217930</v>
      </c>
      <c r="E95" s="39">
        <f>SUM(E69:E94)</f>
        <v>720400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TRUNC(34794,-1)</f>
        <v>34790</v>
      </c>
      <c r="E98" s="62">
        <f t="shared" ref="E98:E118" si="3">TRUNC(+D98*3.3058,-1)</f>
        <v>115000</v>
      </c>
    </row>
    <row r="99" spans="1:7" x14ac:dyDescent="0.3">
      <c r="A99" s="2">
        <v>2</v>
      </c>
      <c r="C99" s="38" t="s">
        <v>40</v>
      </c>
      <c r="D99" s="42">
        <f>TRUNC(9375,-1)</f>
        <v>9370</v>
      </c>
      <c r="E99" s="63">
        <f t="shared" si="3"/>
        <v>30970</v>
      </c>
    </row>
    <row r="100" spans="1:7" x14ac:dyDescent="0.3">
      <c r="A100" s="2">
        <v>3</v>
      </c>
      <c r="C100" s="38" t="s">
        <v>41</v>
      </c>
      <c r="D100" s="42">
        <v>29050</v>
      </c>
      <c r="E100" s="63">
        <f t="shared" si="3"/>
        <v>96030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TRUNC(20064,-1)</f>
        <v>20060</v>
      </c>
      <c r="E102" s="63">
        <f t="shared" si="3"/>
        <v>66310</v>
      </c>
    </row>
    <row r="103" spans="1:7" x14ac:dyDescent="0.3">
      <c r="A103" s="2">
        <v>6</v>
      </c>
      <c r="C103" s="38" t="s">
        <v>44</v>
      </c>
      <c r="D103" s="42">
        <f>TRUNC(5252,-1)</f>
        <v>5250</v>
      </c>
      <c r="E103" s="63">
        <f t="shared" si="3"/>
        <v>17350</v>
      </c>
    </row>
    <row r="104" spans="1:7" x14ac:dyDescent="0.3">
      <c r="A104" s="2">
        <v>7</v>
      </c>
      <c r="C104" s="38" t="s">
        <v>45</v>
      </c>
      <c r="D104" s="42">
        <f>TRUNC(4871,-1)</f>
        <v>4870</v>
      </c>
      <c r="E104" s="63">
        <f t="shared" si="3"/>
        <v>16090</v>
      </c>
    </row>
    <row r="105" spans="1:7" x14ac:dyDescent="0.3">
      <c r="A105" s="2">
        <v>8</v>
      </c>
      <c r="C105" s="38" t="s">
        <v>46</v>
      </c>
      <c r="D105" s="42">
        <f>TRUNC(6882,-1)</f>
        <v>6880</v>
      </c>
      <c r="E105" s="63">
        <f t="shared" si="3"/>
        <v>22740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TRUNC(4507,-1)</f>
        <v>4500</v>
      </c>
      <c r="E114" s="63">
        <f t="shared" si="3"/>
        <v>14870</v>
      </c>
      <c r="F114" s="2" t="s">
        <v>263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9610</v>
      </c>
      <c r="E116" s="63">
        <f t="shared" si="3"/>
        <v>31760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TRUNC(110305,-1)</f>
        <v>110300</v>
      </c>
      <c r="E118" s="64">
        <f t="shared" si="3"/>
        <v>364620</v>
      </c>
    </row>
    <row r="119" spans="1:7" x14ac:dyDescent="0.3">
      <c r="A119" s="2">
        <v>22</v>
      </c>
      <c r="C119" s="27" t="s">
        <v>112</v>
      </c>
      <c r="D119" s="39">
        <f>SUM(D98:D118)</f>
        <v>234680</v>
      </c>
      <c r="E119" s="39">
        <f>SUM(E98:E118)</f>
        <v>775740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TRUNC(3306,-1)</f>
        <v>3300</v>
      </c>
      <c r="E122" s="62">
        <f t="shared" ref="E122:E132" si="4">TRUNC(+D122*3.3058,-1)</f>
        <v>10900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TRUNC(6005,-1)</f>
        <v>6000</v>
      </c>
      <c r="E125" s="63">
        <f t="shared" si="4"/>
        <v>19830</v>
      </c>
    </row>
    <row r="126" spans="1:7" x14ac:dyDescent="0.3">
      <c r="A126" s="2">
        <v>5</v>
      </c>
      <c r="C126" s="38" t="s">
        <v>53</v>
      </c>
      <c r="D126" s="42">
        <f>TRUNC(1455,-1)</f>
        <v>1450</v>
      </c>
      <c r="E126" s="63">
        <f t="shared" si="4"/>
        <v>4790</v>
      </c>
    </row>
    <row r="127" spans="1:7" x14ac:dyDescent="0.3">
      <c r="A127" s="2">
        <v>6</v>
      </c>
      <c r="C127" s="38" t="s">
        <v>56</v>
      </c>
      <c r="D127" s="42">
        <f>TRUNC(1397,-1)</f>
        <v>1390</v>
      </c>
      <c r="E127" s="63">
        <f t="shared" si="4"/>
        <v>4590</v>
      </c>
    </row>
    <row r="128" spans="1:7" x14ac:dyDescent="0.3">
      <c r="A128" s="2">
        <v>7</v>
      </c>
      <c r="C128" s="38" t="s">
        <v>46</v>
      </c>
      <c r="D128" s="42">
        <v>1970</v>
      </c>
      <c r="E128" s="63">
        <f t="shared" si="4"/>
        <v>6510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TRUNC(13575,-1)</f>
        <v>13570</v>
      </c>
      <c r="E130" s="63">
        <f t="shared" si="4"/>
        <v>44850</v>
      </c>
    </row>
    <row r="131" spans="1:7" x14ac:dyDescent="0.3">
      <c r="A131" s="2">
        <v>10</v>
      </c>
      <c r="C131" s="38" t="s">
        <v>148</v>
      </c>
      <c r="D131" s="42">
        <f>TRUNC(51146,-1)</f>
        <v>51140</v>
      </c>
      <c r="E131" s="63">
        <f t="shared" si="4"/>
        <v>169050</v>
      </c>
    </row>
    <row r="132" spans="1:7" ht="18" thickBot="1" x14ac:dyDescent="0.35">
      <c r="A132" s="2">
        <v>11</v>
      </c>
      <c r="C132" s="38" t="s">
        <v>47</v>
      </c>
      <c r="D132" s="43">
        <f>TRUNC(1519,-1)</f>
        <v>1510</v>
      </c>
      <c r="E132" s="64">
        <f t="shared" si="4"/>
        <v>4990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80330</v>
      </c>
      <c r="E133" s="39">
        <f>SUM(E122:E132)</f>
        <v>265510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TRUNC(503+2235,-1)</f>
        <v>2730</v>
      </c>
      <c r="E137" s="63">
        <f t="shared" si="5"/>
        <v>9020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TRUNC(1246,-1)</f>
        <v>1240</v>
      </c>
      <c r="E140" s="63">
        <f t="shared" si="5"/>
        <v>4090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TRUNC(4956,-1)</f>
        <v>4950</v>
      </c>
      <c r="E142" s="63">
        <f t="shared" si="5"/>
        <v>16360</v>
      </c>
    </row>
    <row r="143" spans="1:7" x14ac:dyDescent="0.3">
      <c r="A143" s="2">
        <v>8</v>
      </c>
      <c r="C143" s="38" t="s">
        <v>62</v>
      </c>
      <c r="D143" s="42">
        <f>TRUNC(4257,-1)</f>
        <v>4250</v>
      </c>
      <c r="E143" s="63">
        <f t="shared" si="5"/>
        <v>14040</v>
      </c>
    </row>
    <row r="144" spans="1:7" x14ac:dyDescent="0.3">
      <c r="A144" s="2">
        <v>9</v>
      </c>
      <c r="C144" s="38" t="s">
        <v>63</v>
      </c>
      <c r="D144" s="42">
        <f>TRUNC(13808,-1)</f>
        <v>13800</v>
      </c>
      <c r="E144" s="63">
        <f t="shared" si="5"/>
        <v>45620</v>
      </c>
    </row>
    <row r="145" spans="1:7" ht="17.25" thickBot="1" x14ac:dyDescent="0.35">
      <c r="A145" s="2">
        <v>10</v>
      </c>
      <c r="C145" s="38" t="s">
        <v>148</v>
      </c>
      <c r="D145" s="43">
        <f>TRUNC(841,-1)</f>
        <v>840</v>
      </c>
      <c r="E145" s="64">
        <f t="shared" si="5"/>
        <v>2770</v>
      </c>
    </row>
    <row r="146" spans="1:7" x14ac:dyDescent="0.3">
      <c r="A146" s="2">
        <v>11</v>
      </c>
      <c r="C146" s="27" t="s">
        <v>112</v>
      </c>
      <c r="D146" s="39">
        <f>SUM(D136:D145)</f>
        <v>27810</v>
      </c>
      <c r="E146" s="39">
        <f>SUM(E136:E145)</f>
        <v>91900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TRUNC(16128+4708,-1)</f>
        <v>20830</v>
      </c>
      <c r="E149" s="62">
        <f>TRUNC(+D149*3.3058,-1)</f>
        <v>68850</v>
      </c>
    </row>
    <row r="150" spans="1:7" x14ac:dyDescent="0.3">
      <c r="A150" s="2">
        <v>2</v>
      </c>
      <c r="C150" s="38" t="s">
        <v>49</v>
      </c>
      <c r="D150" s="42">
        <f>TRUNC(4815,-1)</f>
        <v>4810</v>
      </c>
      <c r="E150" s="63">
        <f>TRUNC(+D150*3.3058,-1)</f>
        <v>15900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TRUNC(2041+8904,-1)</f>
        <v>10940</v>
      </c>
      <c r="E152" s="63">
        <f>TRUNC(+D152*3.3058,-1)</f>
        <v>36160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36580</v>
      </c>
      <c r="E154" s="39">
        <f>SUM(E149:E153)</f>
        <v>120910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TRUNC(36231,-1)</f>
        <v>36230</v>
      </c>
      <c r="E157" s="62">
        <f>TRUNC(+D157*3.3058,-1)</f>
        <v>119760</v>
      </c>
    </row>
    <row r="158" spans="1:7" x14ac:dyDescent="0.3">
      <c r="A158" s="2">
        <v>2</v>
      </c>
      <c r="C158" s="38" t="s">
        <v>52</v>
      </c>
      <c r="D158" s="42">
        <f>TRUNC(4679,-1)</f>
        <v>4670</v>
      </c>
      <c r="E158" s="63">
        <f>TRUNC(+D158*3.3058,-1)</f>
        <v>15430</v>
      </c>
    </row>
    <row r="159" spans="1:7" x14ac:dyDescent="0.3">
      <c r="A159" s="2">
        <v>3</v>
      </c>
      <c r="C159" s="38" t="s">
        <v>47</v>
      </c>
      <c r="D159" s="42">
        <f>TRUNC(15912,-1)</f>
        <v>15910</v>
      </c>
      <c r="E159" s="63">
        <f>TRUNC(+D159*3.3058,-1)</f>
        <v>52590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56810</v>
      </c>
      <c r="E161" s="39">
        <f>SUM(E157:E160)</f>
        <v>187780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2020-12-07T10:14:40Z</dcterms:modified>
</cp:coreProperties>
</file>