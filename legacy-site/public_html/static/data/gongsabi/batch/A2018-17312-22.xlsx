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117" i="4"/>
  <c r="D131" i="4"/>
  <c r="D159" i="4"/>
  <c r="D158" i="4"/>
  <c r="D157" i="4"/>
  <c r="D152" i="4"/>
  <c r="D151" i="4"/>
  <c r="D150" i="4"/>
  <c r="D149" i="4"/>
  <c r="D144" i="4"/>
  <c r="D143" i="4"/>
  <c r="D139" i="4"/>
  <c r="D142" i="4"/>
  <c r="D128" i="4"/>
  <c r="D127" i="4"/>
  <c r="D132" i="4"/>
  <c r="D125" i="4"/>
  <c r="D122" i="4"/>
  <c r="D126" i="4"/>
  <c r="D105" i="4"/>
  <c r="D104" i="4"/>
  <c r="D103" i="4"/>
  <c r="D102" i="4"/>
  <c r="D101" i="4"/>
  <c r="D100" i="4"/>
  <c r="D99" i="4"/>
  <c r="D114" i="4"/>
  <c r="D98" i="4"/>
  <c r="D116" i="4"/>
  <c r="D75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<sst xmlns="http://schemas.openxmlformats.org/spreadsheetml/2006/main" count="393" uniqueCount="268">
  <si>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</si>
  <si>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</si>
  <si>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</si>
  <si>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</si>
  <si>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</si>
  <si>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</si>
  <si>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</si>
  <si>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</si>
  <si>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</si>
  <si>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</si>
  <si>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</si>
  <si>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</si>
  <si>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</si>
  <si>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</si>
  <si>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</si>
  <si>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</si>
  <si>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</si>
  <si>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</si>
  <si>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</si>
  <si>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</si>
  <si>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</si>
  <si>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</si>
  <si>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</si>
  <si>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</si>
  <si>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</si>
  <si>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</si>
  <si>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</si>
  <si>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</si>
  <si>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</si>
  <si>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</si>
  <si>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</si>
  <si>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</si>
  <si>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</si>
  <si>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</si>
  <si>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</si>
  <si>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</si>
  <si>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</si>
  <si>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</si>
  <si>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</si>
  <si>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</si>
  <si>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</si>
  <si>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</si>
  <si>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</si>
  <si>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</si>
  <si>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</si>
  <si>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</si>
  <si>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</si>
  <si>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</si>
  <si>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</si>
  <si>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</si>
  <si>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</si>
  <si>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</si>
  <si>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</si>
  <si>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</si>
  <si>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</si>
  <si>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</si>
  <si>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</si>
  <si>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</si>
  <si>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</si>
  <si>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</si>
  <si>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</si>
  <si>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</si>
  <si>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</si>
  <si>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</si>
  <si>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</si>
  <si>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</si>
  <si>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</si>
  <si>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</si>
  <si>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</si>
  <si>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</si>
  <si>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</si>
  <si>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</si>
  <si>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</si>
  <si>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</si>
  <si>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</si>
  <si>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</si>
  <si>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</si>
  <si>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</si>
  <si>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</si>
  <si>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</si>
  <si>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</si>
  <si>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</si>
  <si>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</si>
  <si>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</si>
  <si>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</si>
  <si>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</si>
  <si>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</si>
  <si>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</si>
  <si>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</si>
  <si>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</si>
  <si>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</si>
  <si>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</si>
  <si>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</si>
  <si>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</si>
  <si>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</si>
  <si>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</si>
  <si>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</si>
  <si>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</si>
  <si>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</si>
  <si>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</si>
  <si>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</si>
  <si>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</si>
  <si>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</si>
  <si>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</si>
  <si>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</si>
  <si>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</si>
  <si>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</si>
  <si>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</si>
  <si>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</si>
  <si>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</si>
  <si>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</si>
  <si>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</si>
  <si>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</si>
  <si>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</si>
  <si>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</si>
  <si>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</si>
  <si>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</si>
  <si>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</si>
  <si>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</si>
  <si>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</si>
  <si>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</si>
  <si>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</si>
  <si>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</si>
  <si>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</si>
  <si>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</si>
  <si>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</si>
  <si>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</si>
  <si>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</si>
  <si>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</si>
  <si>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</si>
  <si>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</si>
  <si>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</si>
  <si>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</si>
  <si>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</si>
  <si>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</si>
  <si>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</si>
  <si>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</si>
  <si>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</si>
  <si>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</si>
  <si>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</si>
  <si>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</si>
  <si>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</si>
  <si>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</si>
  <si>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</si>
  <si>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</si>
  <si>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</si>
  <si>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</si>
  <si>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</si>
  <si>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</si>
  <si>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</si>
  <si>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</si>
  <si>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</si>
  <si>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</si>
  <si>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</si>
  <si>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</si>
  <si>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</si>
  <si>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</si>
  <si>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</si>
  <si>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</si>
  <si>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</si>
  <si>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</si>
  <si>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</si>
  <si>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</si>
  <si>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</si>
  <si>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</si>
  <si>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</si>
  <si>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</si>
  <si>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</si>
  <si>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</si>
  <si>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</si>
  <si>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</si>
  <si>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</si>
  <si>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</si>
  <si>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</si>
  <si>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</si>
  <si>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</si>
  <si>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</si>
  <si>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</si>
  <si>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</si>
  <si>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</si>
  <si>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</si>
  <si>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</si>
  <si>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</si>
  <si>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</si>
  <si>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</si>
  <si>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</si>
  <si>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</si>
  <si>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</si>
  <si>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</si>
  <si>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</si>
  <si>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</si>
  <si>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</si>
  <si>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</si>
  <si>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</si>
  <si>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</si>
  <si>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</si>
  <si>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</si>
  <si>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</si>
  <si>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</si>
  <si>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</si>
  <si>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</si>
  <si>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</si>
  <si>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</si>
  <si>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</si>
  <si>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</si>
  <si>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</si>
  <si>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</si>
  <si>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</si>
  <si>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</si>
  <si>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</si>
  <si>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</si>
  <si>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</si>
  <si>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</si>
  <si>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</si>
  <si>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</si>
  <si>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</si>
  <si>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</si>
  <si>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</si>
  <si>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</si>
  <si>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</si>
  <si>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</si>
  <si>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</si>
  <si>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</si>
  <si>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</si>
  <si>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</si>
  <si>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</si>
  <si>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</si>
  <si>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</si>
  <si>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</si>
  <si>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</si>
  <si>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</si>
  <si>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</si>
  <si>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</si>
  <si>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</si>
  <si>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</si>
  <si>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</si>
  <si>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</si>
  <si>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</si>
  <si>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</si>
  <si>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</si>
  <si>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</si>
  <si>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</si>
  <si>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</si>
  <si>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</si>
  <si>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</si>
  <si>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</si>
  <si>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</si>
  <si>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</si>
  <si>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김천시 종합장사시설 건립공사</t>
    <phoneticPr fontId="2" type="noConversion"/>
  </si>
  <si>
    <t>기타</t>
  </si>
  <si>
    <t>경상도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</si>
  <si>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</si>
  <si>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</si>
  <si>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</si>
  <si>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</si>
  <si>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</si>
  <si>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</si>
  <si>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</si>
  <si>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우수공사</t>
    <phoneticPr fontId="2" type="noConversion"/>
  </si>
  <si>
    <t>상수도공사,사급자재비,운반비,기타공사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</si>
  <si>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</si>
  <si>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</si>
  <si>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공조배관공사,난방배관공사,우수처리시설공사,기타공사,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</si>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</sst>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9008.2099999999991</v>
      </c>
      <c r="D7" s="36">
        <f>+C7/3.3058</f>
        <v>2724.9712626293181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1504570</v>
      </c>
      <c r="E25" s="59">
        <f t="shared" si="0"/>
        <v>4973800</v>
      </c>
    </row>
    <row r="26" spans="1:5" x14ac:dyDescent="0.3">
      <c r="B26" s="2">
        <v>3</v>
      </c>
      <c r="C26" s="35" t="s">
        <v>95</v>
      </c>
      <c r="D26" s="45">
        <f>+D66</f>
        <v>392550</v>
      </c>
      <c r="E26" s="59">
        <f t="shared" si="0"/>
        <v>1297690</v>
      </c>
    </row>
    <row r="27" spans="1:5" x14ac:dyDescent="0.3">
      <c r="B27" s="2">
        <v>4</v>
      </c>
      <c r="C27" s="35" t="s">
        <v>96</v>
      </c>
      <c r="D27" s="45">
        <f>+D95</f>
        <v>188930</v>
      </c>
      <c r="E27" s="59">
        <f t="shared" si="0"/>
        <v>624560</v>
      </c>
    </row>
    <row r="28" spans="1:5" x14ac:dyDescent="0.3">
      <c r="B28" s="2">
        <v>5</v>
      </c>
      <c r="C28" s="35" t="s">
        <v>97</v>
      </c>
      <c r="D28" s="45">
        <f>+D119</f>
        <v>286520</v>
      </c>
      <c r="E28" s="59">
        <f t="shared" si="0"/>
        <v>947170</v>
      </c>
    </row>
    <row r="29" spans="1:5" x14ac:dyDescent="0.3">
      <c r="B29" s="2">
        <v>6</v>
      </c>
      <c r="C29" s="35" t="s">
        <v>98</v>
      </c>
      <c r="D29" s="45">
        <f>+D133</f>
        <v>89730</v>
      </c>
      <c r="E29" s="59">
        <f t="shared" si="0"/>
        <v>296620</v>
      </c>
    </row>
    <row r="30" spans="1:5" x14ac:dyDescent="0.3">
      <c r="B30" s="2">
        <v>7</v>
      </c>
      <c r="C30" s="35" t="s">
        <v>99</v>
      </c>
      <c r="D30" s="45">
        <f>+D146</f>
        <v>52790</v>
      </c>
      <c r="E30" s="59">
        <f t="shared" si="0"/>
        <v>174510</v>
      </c>
    </row>
    <row r="31" spans="1:5" x14ac:dyDescent="0.3">
      <c r="B31" s="2">
        <v>8</v>
      </c>
      <c r="C31" s="35" t="s">
        <v>100</v>
      </c>
      <c r="D31" s="45">
        <f>+D154</f>
        <v>152470</v>
      </c>
      <c r="E31" s="59">
        <f t="shared" si="0"/>
        <v>504030</v>
      </c>
    </row>
    <row r="32" spans="1:5" x14ac:dyDescent="0.3">
      <c r="B32" s="2">
        <v>9</v>
      </c>
      <c r="C32" s="35" t="s">
        <v>101</v>
      </c>
      <c r="D32" s="45">
        <f>+D161</f>
        <v>116230</v>
      </c>
      <c r="E32" s="59">
        <f t="shared" si="0"/>
        <v>384230</v>
      </c>
    </row>
    <row r="33" spans="1:7" x14ac:dyDescent="0.3">
      <c r="B33" s="2">
        <v>10</v>
      </c>
      <c r="C33" s="35" t="s">
        <v>154</v>
      </c>
      <c r="D33" s="53">
        <f>TRUNC(SUM(D24:D32)*0.275,-1)</f>
        <v>765540</v>
      </c>
      <c r="E33" s="60">
        <f t="shared" si="0"/>
        <v>2530720</v>
      </c>
    </row>
    <row r="34" spans="1:7" x14ac:dyDescent="0.3">
      <c r="C34" s="35" t="s">
        <v>112</v>
      </c>
      <c r="D34" s="44">
        <f>SUM(D24:D33)</f>
        <v>3549330</v>
      </c>
      <c r="E34" s="44">
        <f>SUM(E24:E33)</f>
        <v>11733330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TRUNC(71942,-1)</f>
        <v>71940</v>
      </c>
      <c r="E40" s="62">
        <f t="shared" ref="E40:E59" si="1">TRUNC(+D40*3.3058,-1)</f>
        <v>237810</v>
      </c>
    </row>
    <row r="41" spans="1:7" x14ac:dyDescent="0.3">
      <c r="A41" s="2">
        <v>2</v>
      </c>
      <c r="C41" s="38" t="s">
        <v>13</v>
      </c>
      <c r="D41" s="42">
        <f>TRUNC(196056,-1)</f>
        <v>196050</v>
      </c>
      <c r="E41" s="63">
        <f t="shared" si="1"/>
        <v>648100</v>
      </c>
    </row>
    <row r="42" spans="1:7" x14ac:dyDescent="0.3">
      <c r="A42" s="2">
        <v>3</v>
      </c>
      <c r="C42" s="38" t="s">
        <v>14</v>
      </c>
      <c r="D42" s="42">
        <f>TRUNC(13929,-1)</f>
        <v>13920</v>
      </c>
      <c r="E42" s="63">
        <f t="shared" si="1"/>
        <v>46010</v>
      </c>
    </row>
    <row r="43" spans="1:7" x14ac:dyDescent="0.3">
      <c r="A43" s="2">
        <v>4</v>
      </c>
      <c r="C43" s="38" t="s">
        <v>16</v>
      </c>
      <c r="D43" s="42">
        <f>TRUNC(124527,-1)</f>
        <v>124520</v>
      </c>
      <c r="E43" s="63">
        <f t="shared" si="1"/>
        <v>411630</v>
      </c>
    </row>
    <row r="44" spans="1:7" x14ac:dyDescent="0.3">
      <c r="A44" s="2">
        <v>5</v>
      </c>
      <c r="C44" s="38" t="s">
        <v>17</v>
      </c>
      <c r="D44" s="42">
        <f>TRUNC(43228,-1)</f>
        <v>43220</v>
      </c>
      <c r="E44" s="63">
        <f t="shared" si="1"/>
        <v>142870</v>
      </c>
    </row>
    <row r="45" spans="1:7" x14ac:dyDescent="0.3">
      <c r="A45" s="2">
        <v>6</v>
      </c>
      <c r="C45" s="38" t="s">
        <v>18</v>
      </c>
      <c r="D45" s="42">
        <f>TRUNC(17048,-1)</f>
        <v>17040</v>
      </c>
      <c r="E45" s="63">
        <f t="shared" si="1"/>
        <v>56330</v>
      </c>
    </row>
    <row r="46" spans="1:7" x14ac:dyDescent="0.3">
      <c r="A46" s="2">
        <v>7</v>
      </c>
      <c r="C46" s="38" t="s">
        <v>19</v>
      </c>
      <c r="D46" s="42">
        <f>TRUNC(107124,-1)</f>
        <v>107120</v>
      </c>
      <c r="E46" s="63">
        <f t="shared" si="1"/>
        <v>354110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TRUNC(86104,-1)</f>
        <v>86100</v>
      </c>
      <c r="E48" s="63">
        <f t="shared" si="1"/>
        <v>284620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TRUNC(8316,-1)</f>
        <v>8310</v>
      </c>
      <c r="E49" s="63">
        <f t="shared" si="1"/>
        <v>27470</v>
      </c>
    </row>
    <row r="50" spans="1:7" x14ac:dyDescent="0.3">
      <c r="A50" s="2">
        <v>11</v>
      </c>
      <c r="C50" s="38" t="s">
        <v>155</v>
      </c>
      <c r="D50" s="42">
        <f>TRUNC(85659,-1)</f>
        <v>85650</v>
      </c>
      <c r="E50" s="63">
        <f t="shared" si="1"/>
        <v>283140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TRUNC(24079,-1)</f>
        <v>24070</v>
      </c>
      <c r="E52" s="63">
        <f t="shared" si="1"/>
        <v>79570</v>
      </c>
    </row>
    <row r="53" spans="1:7" x14ac:dyDescent="0.3">
      <c r="A53" s="2">
        <v>14</v>
      </c>
      <c r="C53" s="38" t="s">
        <v>25</v>
      </c>
      <c r="D53" s="42">
        <f>TRUNC(59461,-1)</f>
        <v>59460</v>
      </c>
      <c r="E53" s="63">
        <f t="shared" si="1"/>
        <v>196560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TRUNC(568+7363-776+395+9403,-1)</f>
        <v>16950</v>
      </c>
      <c r="E58" s="63">
        <f t="shared" si="1"/>
        <v>56030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TRUNC(650229,-1)</f>
        <v>650220</v>
      </c>
      <c r="E59" s="64">
        <f t="shared" si="1"/>
        <v>2149490</v>
      </c>
    </row>
    <row r="60" spans="1:7" x14ac:dyDescent="0.3">
      <c r="A60" s="2">
        <v>21</v>
      </c>
      <c r="C60" s="27" t="s">
        <v>112</v>
      </c>
      <c r="D60" s="39">
        <f>SUM(D40:D59)</f>
        <v>1504570</v>
      </c>
      <c r="E60" s="39">
        <f>SUM(E40:E59)</f>
        <v>4973740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TRUNC(392554,-1)</f>
        <v>392550</v>
      </c>
      <c r="E63" s="62">
        <f>TRUNC(+D63*3.3058,-1)</f>
        <v>1297690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392550</v>
      </c>
      <c r="E66" s="65">
        <f>SUM(E63:E65)</f>
        <v>1297690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TRUNC(11656,-1)</f>
        <v>11650</v>
      </c>
      <c r="E69" s="62">
        <f t="shared" ref="E69:E94" si="2">TRUNC(+D69*3.3058,-1)</f>
        <v>38510</v>
      </c>
    </row>
    <row r="70" spans="1:7" ht="16.5" customHeight="1" x14ac:dyDescent="0.3">
      <c r="A70" s="2">
        <v>2</v>
      </c>
      <c r="C70" s="38" t="s">
        <v>31</v>
      </c>
      <c r="D70" s="42">
        <f>TRUNC(40,-1)</f>
        <v>40</v>
      </c>
      <c r="E70" s="63">
        <f t="shared" si="2"/>
        <v>130</v>
      </c>
    </row>
    <row r="71" spans="1:7" x14ac:dyDescent="0.3">
      <c r="A71" s="2">
        <v>3</v>
      </c>
      <c r="C71" s="38" t="s">
        <v>32</v>
      </c>
      <c r="D71" s="42">
        <f>TRUNC(21428,-1)</f>
        <v>21420</v>
      </c>
      <c r="E71" s="63">
        <f t="shared" si="2"/>
        <v>70810</v>
      </c>
    </row>
    <row r="72" spans="1:7" x14ac:dyDescent="0.3">
      <c r="A72" s="2">
        <v>4</v>
      </c>
      <c r="C72" s="38" t="s">
        <v>33</v>
      </c>
      <c r="D72" s="42">
        <f>TRUNC(1906,-1)</f>
        <v>1900</v>
      </c>
      <c r="E72" s="63">
        <f t="shared" si="2"/>
        <v>6280</v>
      </c>
    </row>
    <row r="73" spans="1:7" x14ac:dyDescent="0.3">
      <c r="A73" s="2">
        <v>5</v>
      </c>
      <c r="C73" s="38" t="s">
        <v>34</v>
      </c>
      <c r="D73" s="42">
        <f>TRUNC(7623,-1)</f>
        <v>7620</v>
      </c>
      <c r="E73" s="63">
        <f t="shared" si="2"/>
        <v>25190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TRUNC(1859,-1)</f>
        <v>1850</v>
      </c>
      <c r="E75" s="63">
        <f t="shared" si="2"/>
        <v>6110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TRUNC(20862,-1)</f>
        <v>20860</v>
      </c>
      <c r="E89" s="63">
        <f t="shared" si="2"/>
        <v>68950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TRUNC(54656,-1)</f>
        <v>54650</v>
      </c>
      <c r="E91" s="63">
        <f t="shared" si="2"/>
        <v>180660</v>
      </c>
    </row>
    <row r="92" spans="1:7" x14ac:dyDescent="0.3">
      <c r="A92" s="2">
        <v>24</v>
      </c>
      <c r="C92" s="38" t="s">
        <v>38</v>
      </c>
      <c r="D92" s="42">
        <f>TRUNC(3808,-1)</f>
        <v>3800</v>
      </c>
      <c r="E92" s="63">
        <f t="shared" si="2"/>
        <v>12560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TRUNC(17096+127+33543+12653+1728,-1)</f>
        <v>65140</v>
      </c>
      <c r="E94" s="64">
        <f t="shared" si="2"/>
        <v>215330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188930</v>
      </c>
      <c r="E95" s="39">
        <f>SUM(E69:E94)</f>
        <v>624530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TRUNC(33972,-1)</f>
        <v>33970</v>
      </c>
      <c r="E98" s="62">
        <f t="shared" ref="E98:E118" si="3">TRUNC(+D98*3.3058,-1)</f>
        <v>112290</v>
      </c>
    </row>
    <row r="99" spans="1:7" x14ac:dyDescent="0.3">
      <c r="A99" s="2">
        <v>2</v>
      </c>
      <c r="C99" s="38" t="s">
        <v>40</v>
      </c>
      <c r="D99" s="42">
        <f>TRUNC(11478,-1)</f>
        <v>11470</v>
      </c>
      <c r="E99" s="63">
        <f t="shared" si="3"/>
        <v>37910</v>
      </c>
    </row>
    <row r="100" spans="1:7" x14ac:dyDescent="0.3">
      <c r="A100" s="2">
        <v>3</v>
      </c>
      <c r="C100" s="38" t="s">
        <v>41</v>
      </c>
      <c r="D100" s="42">
        <f>TRUNC(41670,-1)</f>
        <v>41670</v>
      </c>
      <c r="E100" s="63">
        <f t="shared" si="3"/>
        <v>137750</v>
      </c>
    </row>
    <row r="101" spans="1:7" x14ac:dyDescent="0.3">
      <c r="A101" s="2">
        <v>4</v>
      </c>
      <c r="C101" s="38" t="s">
        <v>42</v>
      </c>
      <c r="D101" s="42">
        <f>TRUNC(2160,-1)</f>
        <v>2160</v>
      </c>
      <c r="E101" s="63">
        <f t="shared" si="3"/>
        <v>7140</v>
      </c>
    </row>
    <row r="102" spans="1:7" x14ac:dyDescent="0.3">
      <c r="A102" s="2">
        <v>5</v>
      </c>
      <c r="C102" s="38" t="s">
        <v>43</v>
      </c>
      <c r="D102" s="42">
        <f>TRUNC(8542,-1)</f>
        <v>8540</v>
      </c>
      <c r="E102" s="63">
        <f t="shared" si="3"/>
        <v>28230</v>
      </c>
    </row>
    <row r="103" spans="1:7" x14ac:dyDescent="0.3">
      <c r="A103" s="2">
        <v>6</v>
      </c>
      <c r="C103" s="38" t="s">
        <v>44</v>
      </c>
      <c r="D103" s="42">
        <f>TRUNC(4351,-1)</f>
        <v>4350</v>
      </c>
      <c r="E103" s="63">
        <f t="shared" si="3"/>
        <v>14380</v>
      </c>
    </row>
    <row r="104" spans="1:7" x14ac:dyDescent="0.3">
      <c r="A104" s="2">
        <v>7</v>
      </c>
      <c r="C104" s="38" t="s">
        <v>45</v>
      </c>
      <c r="D104" s="42">
        <f>TRUNC(2393,-1)</f>
        <v>2390</v>
      </c>
      <c r="E104" s="63">
        <f t="shared" si="3"/>
        <v>7900</v>
      </c>
    </row>
    <row r="105" spans="1:7" x14ac:dyDescent="0.3">
      <c r="A105" s="2">
        <v>8</v>
      </c>
      <c r="C105" s="38" t="s">
        <v>46</v>
      </c>
      <c r="D105" s="42">
        <f>TRUNC(2703,-1)</f>
        <v>2700</v>
      </c>
      <c r="E105" s="63">
        <f t="shared" si="3"/>
        <v>8920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TRUNC(5001,-1)</f>
        <v>5000</v>
      </c>
      <c r="E114" s="63">
        <f t="shared" si="3"/>
        <v>16520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TRUNC(13089,-1)</f>
        <v>13080</v>
      </c>
      <c r="E116" s="63">
        <f t="shared" si="3"/>
        <v>43230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TRUNC(161199,-1)</f>
        <v>161190</v>
      </c>
      <c r="E117" s="63">
        <f t="shared" si="3"/>
        <v>532860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286520</v>
      </c>
      <c r="E119" s="39">
        <f>SUM(E98:E118)</f>
        <v>947130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TRUNC(2032,-1)</f>
        <v>2030</v>
      </c>
      <c r="E122" s="62">
        <f t="shared" ref="E122:E132" si="4">TRUNC(+D122*3.3058,-1)</f>
        <v>6710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TRUNC(8351,-1)</f>
        <v>8350</v>
      </c>
      <c r="E125" s="63">
        <f t="shared" si="4"/>
        <v>27600</v>
      </c>
    </row>
    <row r="126" spans="1:7" x14ac:dyDescent="0.3">
      <c r="A126" s="2">
        <v>5</v>
      </c>
      <c r="C126" s="38" t="s">
        <v>53</v>
      </c>
      <c r="D126" s="42">
        <f>TRUNC(11136,-1)</f>
        <v>11130</v>
      </c>
      <c r="E126" s="63">
        <f t="shared" si="4"/>
        <v>36790</v>
      </c>
    </row>
    <row r="127" spans="1:7" x14ac:dyDescent="0.3">
      <c r="A127" s="2">
        <v>6</v>
      </c>
      <c r="C127" s="38" t="s">
        <v>56</v>
      </c>
      <c r="D127" s="42">
        <f>TRUNC(5184,-1)</f>
        <v>5180</v>
      </c>
      <c r="E127" s="63">
        <f t="shared" si="4"/>
        <v>17120</v>
      </c>
    </row>
    <row r="128" spans="1:7" x14ac:dyDescent="0.3">
      <c r="A128" s="2">
        <v>7</v>
      </c>
      <c r="C128" s="38" t="s">
        <v>46</v>
      </c>
      <c r="D128" s="42">
        <f>TRUNC(3250,-1)</f>
        <v>3250</v>
      </c>
      <c r="E128" s="63">
        <f t="shared" si="4"/>
        <v>10740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TRUNC(50701,-1)</f>
        <v>50700</v>
      </c>
      <c r="E131" s="63">
        <f t="shared" si="4"/>
        <v>167600</v>
      </c>
    </row>
    <row r="132" spans="1:7" ht="18" thickBot="1" x14ac:dyDescent="0.35">
      <c r="A132" s="2">
        <v>11</v>
      </c>
      <c r="C132" s="38" t="s">
        <v>47</v>
      </c>
      <c r="D132" s="43">
        <f>TRUNC(8510+587,-1)</f>
        <v>9090</v>
      </c>
      <c r="E132" s="64">
        <f t="shared" si="4"/>
        <v>30040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89730</v>
      </c>
      <c r="E133" s="39">
        <f>SUM(E122:E132)</f>
        <v>296600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TRUNC(1225,-1)</f>
        <v>1220</v>
      </c>
      <c r="E139" s="63">
        <f t="shared" si="5"/>
        <v>4030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TRUNC(16247,-1)</f>
        <v>16240</v>
      </c>
      <c r="E142" s="63">
        <f t="shared" si="5"/>
        <v>53680</v>
      </c>
    </row>
    <row r="143" spans="1:7" x14ac:dyDescent="0.3">
      <c r="A143" s="2">
        <v>8</v>
      </c>
      <c r="C143" s="38" t="s">
        <v>62</v>
      </c>
      <c r="D143" s="42">
        <f>TRUNC(5931,-1)</f>
        <v>5930</v>
      </c>
      <c r="E143" s="63">
        <f t="shared" si="5"/>
        <v>19600</v>
      </c>
    </row>
    <row r="144" spans="1:7" x14ac:dyDescent="0.3">
      <c r="A144" s="2">
        <v>9</v>
      </c>
      <c r="C144" s="38" t="s">
        <v>63</v>
      </c>
      <c r="D144" s="42">
        <f>TRUNC(29406,-1)</f>
        <v>29400</v>
      </c>
      <c r="E144" s="63">
        <f t="shared" si="5"/>
        <v>97190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52790</v>
      </c>
      <c r="E146" s="39">
        <f>SUM(E136:E145)</f>
        <v>174500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TRUNC(26781,-1)</f>
        <v>26780</v>
      </c>
      <c r="E149" s="62">
        <f>TRUNC(+D149*3.3058,-1)</f>
        <v>88520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TRUNC(14765,-1)</f>
        <v>14760</v>
      </c>
      <c r="E150" s="63">
        <f>TRUNC(+D150*3.3058,-1)</f>
        <v>48790</v>
      </c>
    </row>
    <row r="151" spans="1:7" x14ac:dyDescent="0.3">
      <c r="A151" s="2">
        <v>3</v>
      </c>
      <c r="C151" s="38" t="s">
        <v>50</v>
      </c>
      <c r="D151" s="42">
        <f>TRUNC(73529,-1)</f>
        <v>73520</v>
      </c>
      <c r="E151" s="63">
        <f>TRUNC(+D151*3.3058,-1)</f>
        <v>243040</v>
      </c>
    </row>
    <row r="152" spans="1:7" x14ac:dyDescent="0.3">
      <c r="A152" s="2">
        <v>4</v>
      </c>
      <c r="C152" s="38" t="s">
        <v>47</v>
      </c>
      <c r="D152" s="42">
        <f>TRUNC(4044+17991+2380+12998,-1)</f>
        <v>37410</v>
      </c>
      <c r="E152" s="63">
        <f>TRUNC(+D152*3.3058,-1)</f>
        <v>123660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152470</v>
      </c>
      <c r="E154" s="39">
        <f>SUM(E149:E153)</f>
        <v>504010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TRUNC(45407,-1)</f>
        <v>45400</v>
      </c>
      <c r="E157" s="62">
        <f>TRUNC(+D157*3.3058,-1)</f>
        <v>150080</v>
      </c>
    </row>
    <row r="158" spans="1:7" x14ac:dyDescent="0.3">
      <c r="A158" s="2">
        <v>2</v>
      </c>
      <c r="C158" s="38" t="s">
        <v>52</v>
      </c>
      <c r="D158" s="42">
        <f>TRUNC(35767,-1)</f>
        <v>35760</v>
      </c>
      <c r="E158" s="63">
        <f>TRUNC(+D158*3.3058,-1)</f>
        <v>118210</v>
      </c>
      <c r="F158" s="2" t="s">
        <v>260</v>
      </c>
    </row>
    <row r="159" spans="1:7" x14ac:dyDescent="0.3">
      <c r="A159" s="2">
        <v>3</v>
      </c>
      <c r="C159" s="38" t="s">
        <v>47</v>
      </c>
      <c r="D159" s="42">
        <f>TRUNC(34263+812,-1)</f>
        <v>35070</v>
      </c>
      <c r="E159" s="63">
        <f>TRUNC(+D159*3.3058,-1)</f>
        <v>115930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116230</v>
      </c>
      <c r="E161" s="39">
        <f>SUM(E157:E160)</f>
        <v>384220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2020-12-08T04:05:02Z</dcterms:modified>
</cp:coreProperties>
</file>