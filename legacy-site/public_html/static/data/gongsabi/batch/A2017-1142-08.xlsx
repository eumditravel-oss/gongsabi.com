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159" i="4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28" i="4"/>
  <c r="D127" i="4"/>
  <c r="D124" i="4"/>
  <c r="D125" i="4"/>
  <c r="D122" i="4"/>
  <c r="D130" i="4"/>
  <c r="D105" i="4"/>
  <c r="D104" i="4"/>
  <c r="D103" i="4"/>
  <c r="D102" i="4"/>
  <c r="D101" i="4"/>
  <c r="D100" i="4"/>
  <c r="D99" i="4"/>
  <c r="D114" i="4"/>
  <c r="D98" i="4"/>
  <c r="D116" i="4"/>
  <c r="D94" i="4"/>
  <c r="D75" i="4"/>
  <c r="D84" i="4"/>
  <c r="D92" i="4"/>
  <c r="D91" i="4"/>
  <c r="D89" i="4"/>
  <c r="D73" i="4"/>
  <c r="D72" i="4"/>
  <c r="D71" i="4"/>
  <c r="D70" i="4"/>
  <c r="D69" i="4"/>
  <c r="D65" i="4"/>
  <c r="D63" i="4"/>
  <c r="D40" i="4"/>
  <c r="D58" i="4"/>
  <c r="D53" i="4"/>
  <c r="D52" i="4"/>
  <c r="D50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<sst xmlns="http://schemas.openxmlformats.org/spreadsheetml/2006/main" count="394" uniqueCount="268">
  <si>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</si>
  <si>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</si>
  <si>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</si>
  <si>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</si>
  <si>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</si>
  <si>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</si>
  <si>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</si>
  <si>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</si>
  <si>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</si>
  <si>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</si>
  <si>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</si>
  <si>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</si>
  <si>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</si>
  <si>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</si>
  <si>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</si>
  <si>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</si>
  <si>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</si>
  <si>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</si>
  <si>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</si>
  <si>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</si>
  <si>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</si>
  <si>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</si>
  <si>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</si>
  <si>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</si>
  <si>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</si>
  <si>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</si>
  <si>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</si>
  <si>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</si>
  <si>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</si>
  <si>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</si>
  <si>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</si>
  <si>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</si>
  <si>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</si>
  <si>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</si>
  <si>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</si>
  <si>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</si>
  <si>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</si>
  <si>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</si>
  <si>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</si>
  <si>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</si>
  <si>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</si>
  <si>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</si>
  <si>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</si>
  <si>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</si>
  <si>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</si>
  <si>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</si>
  <si>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</si>
  <si>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</si>
  <si>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</si>
  <si>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</si>
  <si>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</si>
  <si>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</si>
  <si>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</si>
  <si>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</si>
  <si>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</si>
  <si>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</si>
  <si>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</si>
  <si>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</si>
  <si>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</si>
  <si>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</si>
  <si>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</si>
  <si>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</si>
  <si>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</si>
  <si>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</si>
  <si>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</si>
  <si>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</si>
  <si>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</si>
  <si>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</si>
  <si>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</si>
  <si>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</si>
  <si>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</si>
  <si>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</si>
  <si>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</si>
  <si>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</si>
  <si>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</si>
  <si>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</si>
  <si>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</si>
  <si>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</si>
  <si>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</si>
  <si>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</si>
  <si>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</si>
  <si>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</si>
  <si>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</si>
  <si>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</si>
  <si>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</si>
  <si>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</si>
  <si>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</si>
  <si>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</si>
  <si>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</si>
  <si>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</si>
  <si>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</si>
  <si>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</si>
  <si>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</si>
  <si>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</si>
  <si>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</si>
  <si>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</si>
  <si>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</si>
  <si>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</si>
  <si>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</si>
  <si>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</si>
  <si>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</si>
  <si>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</si>
  <si>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</si>
  <si>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</si>
  <si>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</si>
  <si>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</si>
  <si>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</si>
  <si>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</si>
  <si>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</si>
  <si>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</si>
  <si>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</si>
  <si>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</si>
  <si>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</si>
  <si>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</si>
  <si>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</si>
  <si>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</si>
  <si>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</si>
  <si>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</si>
  <si>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</si>
  <si>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</si>
  <si>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</si>
  <si>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</si>
  <si>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</si>
  <si>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</si>
  <si>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</si>
  <si>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</si>
  <si>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</si>
  <si>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</si>
  <si>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</si>
  <si>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</si>
  <si>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</si>
  <si>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</si>
  <si>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</si>
  <si>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</si>
  <si>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</si>
  <si>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</si>
  <si>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</si>
  <si>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</si>
  <si>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</si>
  <si>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</si>
  <si>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</si>
  <si>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</si>
  <si>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</si>
  <si>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</si>
  <si>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</si>
  <si>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</si>
  <si>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</si>
  <si>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</si>
  <si>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</si>
  <si>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</si>
  <si>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</si>
  <si>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</si>
  <si>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</si>
  <si>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</si>
  <si>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</si>
  <si>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</si>
  <si>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</si>
  <si>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</si>
  <si>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</si>
  <si>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</si>
  <si>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</si>
  <si>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</si>
  <si>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</si>
  <si>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</si>
  <si>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</si>
  <si>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</si>
  <si>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</si>
  <si>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</si>
  <si>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</si>
  <si>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</si>
  <si>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</si>
  <si>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</si>
  <si>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</si>
  <si>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</si>
  <si>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</si>
  <si>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</si>
  <si>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</si>
  <si>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</si>
  <si>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</si>
  <si>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</si>
  <si>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</si>
  <si>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</si>
  <si>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</si>
  <si>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</si>
  <si>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</si>
  <si>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</si>
  <si>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</si>
  <si>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</si>
  <si>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</si>
  <si>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</si>
  <si>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</si>
  <si>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</si>
  <si>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</si>
  <si>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</si>
  <si>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</si>
  <si>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</si>
  <si>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</si>
  <si>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</si>
  <si>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</si>
  <si>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</si>
  <si>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</si>
  <si>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</si>
  <si>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</si>
  <si>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</si>
  <si>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</si>
  <si>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</si>
  <si>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</si>
  <si>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</si>
  <si>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</si>
  <si>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</si>
  <si>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</si>
  <si>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</si>
  <si>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</si>
  <si>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</si>
  <si>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</si>
  <si>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</si>
  <si>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</si>
  <si>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</si>
  <si>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</si>
  <si>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</si>
  <si>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</si>
  <si>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</si>
  <si>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</si>
  <si>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</si>
  <si>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</si>
  <si>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</si>
  <si>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</si>
  <si>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</si>
  <si>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</si>
  <si>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</si>
  <si>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</si>
  <si>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</si>
  <si>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</si>
  <si>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</si>
  <si>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</si>
  <si>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</si>
  <si>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</si>
  <si>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</si>
  <si>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</si>
  <si>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</si>
  <si>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</si>
  <si>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</si>
  <si>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</si>
  <si>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</si>
  <si>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</si>
  <si>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</si>
  <si>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</si>
  <si>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</si>
  <si>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</si>
  <si>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</si>
  <si>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동탄2 제16초 이음터 신축공사</t>
    <phoneticPr fontId="2" type="noConversion"/>
  </si>
  <si>
    <t>교육연구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</si>
  <si>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</si>
  <si>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</si>
  <si>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</si>
  <si>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</si>
  <si>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난방배관공사,우수처리시설공사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</si>
  <si>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</si>
  <si>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</si>
  <si>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</si>
  <si>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옥외소화배관공사,펌프실배관공사,무선통신보조설비공사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</si>
  <si>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</si>
  <si>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</si>
  <si>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조경시설물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</si>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</sst>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238</v>
      </c>
    </row>
    <row r="7" spans="1:4" ht="17.25" thickBot="1" x14ac:dyDescent="0.35">
      <c r="C7" s="37">
        <v>10659.39</v>
      </c>
      <c r="D7" s="36">
        <f>+C7/3.3058</f>
        <v>3224.4509649706574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239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914440</v>
      </c>
      <c r="E25" s="59">
        <f t="shared" si="0"/>
        <v>3022950</v>
      </c>
    </row>
    <row r="26" spans="1:5" x14ac:dyDescent="0.3">
      <c r="B26" s="2">
        <v>3</v>
      </c>
      <c r="C26" s="35" t="s">
        <v>95</v>
      </c>
      <c r="D26" s="45">
        <f>+D66</f>
        <v>143990</v>
      </c>
      <c r="E26" s="59">
        <f t="shared" si="0"/>
        <v>476000</v>
      </c>
    </row>
    <row r="27" spans="1:5" x14ac:dyDescent="0.3">
      <c r="B27" s="2">
        <v>4</v>
      </c>
      <c r="C27" s="35" t="s">
        <v>96</v>
      </c>
      <c r="D27" s="45">
        <f>+D95</f>
        <v>34270</v>
      </c>
      <c r="E27" s="59">
        <f t="shared" si="0"/>
        <v>113280</v>
      </c>
    </row>
    <row r="28" spans="1:5" x14ac:dyDescent="0.3">
      <c r="B28" s="2">
        <v>5</v>
      </c>
      <c r="C28" s="35" t="s">
        <v>97</v>
      </c>
      <c r="D28" s="45">
        <f>+D119</f>
        <v>134510</v>
      </c>
      <c r="E28" s="59">
        <f t="shared" si="0"/>
        <v>444660</v>
      </c>
    </row>
    <row r="29" spans="1:5" x14ac:dyDescent="0.3">
      <c r="B29" s="2">
        <v>6</v>
      </c>
      <c r="C29" s="35" t="s">
        <v>98</v>
      </c>
      <c r="D29" s="45">
        <f>+D133</f>
        <v>98020</v>
      </c>
      <c r="E29" s="59">
        <f t="shared" si="0"/>
        <v>324030</v>
      </c>
    </row>
    <row r="30" spans="1:5" x14ac:dyDescent="0.3">
      <c r="B30" s="2">
        <v>7</v>
      </c>
      <c r="C30" s="35" t="s">
        <v>99</v>
      </c>
      <c r="D30" s="45">
        <f>+D146</f>
        <v>60940</v>
      </c>
      <c r="E30" s="59">
        <f t="shared" si="0"/>
        <v>201450</v>
      </c>
    </row>
    <row r="31" spans="1:5" x14ac:dyDescent="0.3">
      <c r="B31" s="2">
        <v>8</v>
      </c>
      <c r="C31" s="35" t="s">
        <v>100</v>
      </c>
      <c r="D31" s="45">
        <f>+D154</f>
        <v>6520</v>
      </c>
      <c r="E31" s="59">
        <f t="shared" si="0"/>
        <v>21550</v>
      </c>
    </row>
    <row r="32" spans="1:5" x14ac:dyDescent="0.3">
      <c r="B32" s="2">
        <v>9</v>
      </c>
      <c r="C32" s="35" t="s">
        <v>101</v>
      </c>
      <c r="D32" s="45">
        <f>+D161</f>
        <v>21690</v>
      </c>
      <c r="E32" s="59">
        <f t="shared" si="0"/>
        <v>71700</v>
      </c>
    </row>
    <row r="33" spans="1:7" x14ac:dyDescent="0.3">
      <c r="B33" s="2">
        <v>10</v>
      </c>
      <c r="C33" s="35" t="s">
        <v>155</v>
      </c>
      <c r="D33" s="53">
        <f>TRUNC(SUM(D24:D32)*0.275,-1)</f>
        <v>388950</v>
      </c>
      <c r="E33" s="60">
        <f t="shared" si="0"/>
        <v>1285790</v>
      </c>
    </row>
    <row r="34" spans="1:7" x14ac:dyDescent="0.3">
      <c r="C34" s="35" t="s">
        <v>112</v>
      </c>
      <c r="D34" s="44">
        <f>SUM(D24:D33)</f>
        <v>1803330</v>
      </c>
      <c r="E34" s="44">
        <f>SUM(E24:E33)</f>
        <v>5961410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240</v>
      </c>
      <c r="D36" s="57" t="s">
        <v>237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237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TRUNC(48879,-1)</f>
        <v>48870</v>
      </c>
      <c r="E40" s="62">
        <f t="shared" ref="E40:E59" si="1">TRUNC(+D40*3.3058,-1)</f>
        <v>161550</v>
      </c>
    </row>
    <row r="41" spans="1:7" x14ac:dyDescent="0.3">
      <c r="A41" s="2">
        <v>2</v>
      </c>
      <c r="C41" s="38" t="s">
        <v>13</v>
      </c>
      <c r="D41" s="42">
        <f>TRUNC(142222,-1)</f>
        <v>142220</v>
      </c>
      <c r="E41" s="63">
        <f t="shared" si="1"/>
        <v>470150</v>
      </c>
    </row>
    <row r="42" spans="1:7" x14ac:dyDescent="0.3">
      <c r="A42" s="2">
        <v>3</v>
      </c>
      <c r="C42" s="38" t="s">
        <v>14</v>
      </c>
      <c r="D42" s="42">
        <f>TRUNC(4207,-1)</f>
        <v>4200</v>
      </c>
      <c r="E42" s="63">
        <f t="shared" si="1"/>
        <v>13880</v>
      </c>
    </row>
    <row r="43" spans="1:7" x14ac:dyDescent="0.3">
      <c r="A43" s="2">
        <v>4</v>
      </c>
      <c r="C43" s="38" t="s">
        <v>16</v>
      </c>
      <c r="D43" s="42">
        <f>TRUNC(21410,-1)</f>
        <v>21410</v>
      </c>
      <c r="E43" s="63">
        <f t="shared" si="1"/>
        <v>70770</v>
      </c>
    </row>
    <row r="44" spans="1:7" x14ac:dyDescent="0.3">
      <c r="A44" s="2">
        <v>5</v>
      </c>
      <c r="C44" s="38" t="s">
        <v>17</v>
      </c>
      <c r="D44" s="42">
        <f>TRUNC(35229,-1)</f>
        <v>35220</v>
      </c>
      <c r="E44" s="63">
        <f t="shared" si="1"/>
        <v>116430</v>
      </c>
    </row>
    <row r="45" spans="1:7" x14ac:dyDescent="0.3">
      <c r="A45" s="2">
        <v>6</v>
      </c>
      <c r="C45" s="38" t="s">
        <v>18</v>
      </c>
      <c r="D45" s="42">
        <f>TRUNC(7592,-1)</f>
        <v>7590</v>
      </c>
      <c r="E45" s="63">
        <f t="shared" si="1"/>
        <v>25090</v>
      </c>
    </row>
    <row r="46" spans="1:7" x14ac:dyDescent="0.3">
      <c r="A46" s="2">
        <v>7</v>
      </c>
      <c r="C46" s="38" t="s">
        <v>19</v>
      </c>
      <c r="D46" s="42">
        <f>TRUNC(10574,-1)</f>
        <v>10570</v>
      </c>
      <c r="E46" s="63">
        <f t="shared" si="1"/>
        <v>34940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TRUNC(47536,-1)</f>
        <v>47530</v>
      </c>
      <c r="E48" s="63">
        <f t="shared" si="1"/>
        <v>157120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TRUNC(11035,-1)</f>
        <v>11030</v>
      </c>
      <c r="E49" s="63">
        <f t="shared" si="1"/>
        <v>36460</v>
      </c>
    </row>
    <row r="50" spans="1:7" x14ac:dyDescent="0.3">
      <c r="A50" s="2">
        <v>11</v>
      </c>
      <c r="C50" s="38" t="s">
        <v>156</v>
      </c>
      <c r="D50" s="42">
        <f>TRUNC(44567,-1)</f>
        <v>44560</v>
      </c>
      <c r="E50" s="63">
        <f t="shared" si="1"/>
        <v>147300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TRUNC(15992,-1)</f>
        <v>15990</v>
      </c>
      <c r="E52" s="63">
        <f t="shared" si="1"/>
        <v>52850</v>
      </c>
    </row>
    <row r="53" spans="1:7" x14ac:dyDescent="0.3">
      <c r="A53" s="2">
        <v>14</v>
      </c>
      <c r="C53" s="38" t="s">
        <v>25</v>
      </c>
      <c r="D53" s="42">
        <f>TRUNC(75740,-1)</f>
        <v>75740</v>
      </c>
      <c r="E53" s="63">
        <f t="shared" si="1"/>
        <v>250380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TRUNC(24884+75+8382-621+373+18840,-1)</f>
        <v>51930</v>
      </c>
      <c r="E58" s="63">
        <f t="shared" si="1"/>
        <v>171670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TRUNC(397583,-1)</f>
        <v>397580</v>
      </c>
      <c r="E59" s="64">
        <f t="shared" si="1"/>
        <v>1314310</v>
      </c>
    </row>
    <row r="60" spans="1:7" x14ac:dyDescent="0.3">
      <c r="A60" s="2">
        <v>21</v>
      </c>
      <c r="C60" s="27" t="s">
        <v>112</v>
      </c>
      <c r="D60" s="39">
        <f>SUM(D40:D59)</f>
        <v>914440</v>
      </c>
      <c r="E60" s="39">
        <f>SUM(E40:E59)</f>
        <v>3022900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241</v>
      </c>
      <c r="C62" s="56" t="s">
        <v>242</v>
      </c>
      <c r="D62" s="57" t="s">
        <v>239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TRUNC(21514,-1)</f>
        <v>21510</v>
      </c>
      <c r="E63" s="62">
        <f>TRUNC(+D63*3.3058,-1)</f>
        <v>71100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TRUNC(122483,-1)</f>
        <v>122480</v>
      </c>
      <c r="E65" s="64">
        <f>TRUNC(+D65*3.3058,-1)</f>
        <v>404890</v>
      </c>
    </row>
    <row r="66" spans="1:7" x14ac:dyDescent="0.3">
      <c r="A66" s="2">
        <v>4</v>
      </c>
      <c r="C66" s="27" t="s">
        <v>112</v>
      </c>
      <c r="D66" s="39">
        <f>SUM(D63:D65)</f>
        <v>143990</v>
      </c>
      <c r="E66" s="65">
        <f>SUM(E63:E65)</f>
        <v>475990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243</v>
      </c>
      <c r="C68" s="56" t="s">
        <v>244</v>
      </c>
      <c r="D68" s="57" t="s">
        <v>237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TRUNC(8172,-1)</f>
        <v>8170</v>
      </c>
      <c r="E69" s="62">
        <f t="shared" ref="E69:E94" si="2">TRUNC(+D69*3.3058,-1)</f>
        <v>27000</v>
      </c>
    </row>
    <row r="70" spans="1:7" ht="16.5" customHeight="1" x14ac:dyDescent="0.3">
      <c r="A70" s="2">
        <v>2</v>
      </c>
      <c r="C70" s="38" t="s">
        <v>31</v>
      </c>
      <c r="D70" s="42">
        <f>TRUNC(201,-1)</f>
        <v>200</v>
      </c>
      <c r="E70" s="63">
        <f t="shared" si="2"/>
        <v>660</v>
      </c>
    </row>
    <row r="71" spans="1:7" x14ac:dyDescent="0.3">
      <c r="A71" s="2">
        <v>3</v>
      </c>
      <c r="C71" s="38" t="s">
        <v>32</v>
      </c>
      <c r="D71" s="42">
        <f>TRUNC(2464,-1)</f>
        <v>2460</v>
      </c>
      <c r="E71" s="63">
        <f t="shared" si="2"/>
        <v>8130</v>
      </c>
    </row>
    <row r="72" spans="1:7" x14ac:dyDescent="0.3">
      <c r="A72" s="2">
        <v>4</v>
      </c>
      <c r="C72" s="38" t="s">
        <v>33</v>
      </c>
      <c r="D72" s="42">
        <f>TRUNC(3665,-1)</f>
        <v>3660</v>
      </c>
      <c r="E72" s="63">
        <f t="shared" si="2"/>
        <v>12090</v>
      </c>
    </row>
    <row r="73" spans="1:7" x14ac:dyDescent="0.3">
      <c r="A73" s="2">
        <v>5</v>
      </c>
      <c r="C73" s="38" t="s">
        <v>34</v>
      </c>
      <c r="D73" s="42">
        <f>TRUNC(4012,-1)</f>
        <v>4010</v>
      </c>
      <c r="E73" s="63">
        <f t="shared" si="2"/>
        <v>13250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TRUNC(122,-1)</f>
        <v>120</v>
      </c>
      <c r="E75" s="63">
        <f t="shared" si="2"/>
        <v>390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TRUNC(317,-1)</f>
        <v>310</v>
      </c>
      <c r="E84" s="63">
        <f t="shared" si="2"/>
        <v>1020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TRUNC(4663,-1)</f>
        <v>4660</v>
      </c>
      <c r="E89" s="63">
        <f t="shared" si="2"/>
        <v>15400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TRUNC(5035,-1)</f>
        <v>5030</v>
      </c>
      <c r="E91" s="63">
        <f t="shared" si="2"/>
        <v>16620</v>
      </c>
    </row>
    <row r="92" spans="1:7" x14ac:dyDescent="0.3">
      <c r="A92" s="2">
        <v>24</v>
      </c>
      <c r="C92" s="38" t="s">
        <v>38</v>
      </c>
      <c r="D92" s="42">
        <f>TRUNC(3784,-1)</f>
        <v>3780</v>
      </c>
      <c r="E92" s="63">
        <f t="shared" si="2"/>
        <v>12490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TRUNC(662+1216,-1)</f>
        <v>1870</v>
      </c>
      <c r="E94" s="64">
        <f t="shared" si="2"/>
        <v>6180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34270</v>
      </c>
      <c r="E95" s="39">
        <f>SUM(E69:E94)</f>
        <v>113230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245</v>
      </c>
      <c r="C97" s="56" t="s">
        <v>244</v>
      </c>
      <c r="D97" s="57" t="s">
        <v>237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TRUNC(7073,-1)</f>
        <v>7070</v>
      </c>
      <c r="E98" s="62">
        <f t="shared" ref="E98:E118" si="3">TRUNC(+D98*3.3058,-1)</f>
        <v>23370</v>
      </c>
    </row>
    <row r="99" spans="1:7" x14ac:dyDescent="0.3">
      <c r="A99" s="2">
        <v>2</v>
      </c>
      <c r="C99" s="38" t="s">
        <v>40</v>
      </c>
      <c r="D99" s="42">
        <f>TRUNC(2288,-1)</f>
        <v>2280</v>
      </c>
      <c r="E99" s="63">
        <f t="shared" si="3"/>
        <v>7530</v>
      </c>
    </row>
    <row r="100" spans="1:7" x14ac:dyDescent="0.3">
      <c r="A100" s="2">
        <v>3</v>
      </c>
      <c r="C100" s="38" t="s">
        <v>41</v>
      </c>
      <c r="D100" s="42">
        <f>TRUNC(24284,-1)</f>
        <v>24280</v>
      </c>
      <c r="E100" s="63">
        <f t="shared" si="3"/>
        <v>80260</v>
      </c>
    </row>
    <row r="101" spans="1:7" x14ac:dyDescent="0.3">
      <c r="A101" s="2">
        <v>4</v>
      </c>
      <c r="C101" s="38" t="s">
        <v>42</v>
      </c>
      <c r="D101" s="42">
        <f>TRUNC(6405,-1)</f>
        <v>6400</v>
      </c>
      <c r="E101" s="63">
        <f t="shared" si="3"/>
        <v>21150</v>
      </c>
    </row>
    <row r="102" spans="1:7" x14ac:dyDescent="0.3">
      <c r="A102" s="2">
        <v>5</v>
      </c>
      <c r="C102" s="38" t="s">
        <v>43</v>
      </c>
      <c r="D102" s="42">
        <f>TRUNC(8000,-1)</f>
        <v>8000</v>
      </c>
      <c r="E102" s="63">
        <f t="shared" si="3"/>
        <v>26440</v>
      </c>
    </row>
    <row r="103" spans="1:7" x14ac:dyDescent="0.3">
      <c r="A103" s="2">
        <v>6</v>
      </c>
      <c r="C103" s="38" t="s">
        <v>44</v>
      </c>
      <c r="D103" s="42">
        <f>TRUNC(3546,-1)</f>
        <v>3540</v>
      </c>
      <c r="E103" s="63">
        <f t="shared" si="3"/>
        <v>11700</v>
      </c>
    </row>
    <row r="104" spans="1:7" x14ac:dyDescent="0.3">
      <c r="A104" s="2">
        <v>7</v>
      </c>
      <c r="C104" s="38" t="s">
        <v>45</v>
      </c>
      <c r="D104" s="42">
        <f>TRUNC(1956,-1)</f>
        <v>1950</v>
      </c>
      <c r="E104" s="63">
        <f t="shared" si="3"/>
        <v>6440</v>
      </c>
    </row>
    <row r="105" spans="1:7" x14ac:dyDescent="0.3">
      <c r="A105" s="2">
        <v>8</v>
      </c>
      <c r="C105" s="38" t="s">
        <v>46</v>
      </c>
      <c r="D105" s="42">
        <f>TRUNC(3366,-1)</f>
        <v>3360</v>
      </c>
      <c r="E105" s="63">
        <f t="shared" si="3"/>
        <v>11100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TRUNC(674,-1)</f>
        <v>670</v>
      </c>
      <c r="E114" s="63">
        <f t="shared" si="3"/>
        <v>2210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TRUNC(2319,-1)</f>
        <v>2310</v>
      </c>
      <c r="E116" s="63">
        <f t="shared" si="3"/>
        <v>7630</v>
      </c>
      <c r="F116" s="2" t="s">
        <v>257</v>
      </c>
    </row>
    <row r="117" spans="1:7" x14ac:dyDescent="0.3">
      <c r="A117" s="2">
        <v>20</v>
      </c>
      <c r="C117" s="38" t="s">
        <v>149</v>
      </c>
      <c r="D117" s="42">
        <f>TRUNC(74658,-1)</f>
        <v>74650</v>
      </c>
      <c r="E117" s="63">
        <f t="shared" si="3"/>
        <v>246770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134510</v>
      </c>
      <c r="E119" s="39">
        <f>SUM(E98:E118)</f>
        <v>444600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246</v>
      </c>
      <c r="C121" s="56" t="s">
        <v>244</v>
      </c>
      <c r="D121" s="57" t="s">
        <v>237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TRUNC(2871,-1)</f>
        <v>2870</v>
      </c>
      <c r="E122" s="62">
        <f t="shared" ref="E122:E132" si="4">TRUNC(+D122*3.3058,-1)</f>
        <v>9480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TRUNC(2215,-1)</f>
        <v>2210</v>
      </c>
      <c r="E124" s="63">
        <f t="shared" si="4"/>
        <v>7300</v>
      </c>
    </row>
    <row r="125" spans="1:7" x14ac:dyDescent="0.3">
      <c r="A125" s="2">
        <v>4</v>
      </c>
      <c r="C125" s="38" t="s">
        <v>138</v>
      </c>
      <c r="D125" s="42">
        <f>TRUNC(6119,-1)</f>
        <v>6110</v>
      </c>
      <c r="E125" s="63">
        <f t="shared" si="4"/>
        <v>20190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TRUNC(3303,-1)</f>
        <v>3300</v>
      </c>
      <c r="E127" s="63">
        <f t="shared" si="4"/>
        <v>10900</v>
      </c>
    </row>
    <row r="128" spans="1:7" x14ac:dyDescent="0.3">
      <c r="A128" s="2">
        <v>7</v>
      </c>
      <c r="C128" s="38" t="s">
        <v>46</v>
      </c>
      <c r="D128" s="42">
        <f>TRUNC(2421,-1)</f>
        <v>2420</v>
      </c>
      <c r="E128" s="63">
        <f t="shared" si="4"/>
        <v>8000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TRUNC(9023,-1)</f>
        <v>9020</v>
      </c>
      <c r="E130" s="63">
        <f t="shared" si="4"/>
        <v>29810</v>
      </c>
    </row>
    <row r="131" spans="1:7" x14ac:dyDescent="0.3">
      <c r="A131" s="2">
        <v>10</v>
      </c>
      <c r="C131" s="38" t="s">
        <v>149</v>
      </c>
      <c r="D131" s="42">
        <f>TRUNC(68370,-1)</f>
        <v>68370</v>
      </c>
      <c r="E131" s="63">
        <f t="shared" si="4"/>
        <v>226010</v>
      </c>
    </row>
    <row r="132" spans="1:7" ht="18" thickBot="1" x14ac:dyDescent="0.35">
      <c r="A132" s="2">
        <v>11</v>
      </c>
      <c r="C132" s="38" t="s">
        <v>47</v>
      </c>
      <c r="D132" s="43">
        <f>TRUNC(1835+1888,-1)</f>
        <v>3720</v>
      </c>
      <c r="E132" s="64">
        <f t="shared" si="4"/>
        <v>12290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98020</v>
      </c>
      <c r="E133" s="39">
        <f>SUM(E122:E132)</f>
        <v>323980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247</v>
      </c>
      <c r="C135" s="56" t="s">
        <v>244</v>
      </c>
      <c r="D135" s="57" t="s">
        <v>237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TRUNC(178+3918+1188,-1)</f>
        <v>5280</v>
      </c>
      <c r="E137" s="63">
        <f t="shared" si="5"/>
        <v>17450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TRUNC(2390,-1)</f>
        <v>2390</v>
      </c>
      <c r="E139" s="63">
        <f t="shared" si="5"/>
        <v>7900</v>
      </c>
    </row>
    <row r="140" spans="1:7" x14ac:dyDescent="0.3">
      <c r="A140" s="2">
        <v>5</v>
      </c>
      <c r="C140" s="38" t="s">
        <v>57</v>
      </c>
      <c r="D140" s="42">
        <f>TRUNC(2909,-1)</f>
        <v>2900</v>
      </c>
      <c r="E140" s="63">
        <f t="shared" si="5"/>
        <v>9580</v>
      </c>
    </row>
    <row r="141" spans="1:7" x14ac:dyDescent="0.3">
      <c r="A141" s="2">
        <v>6</v>
      </c>
      <c r="C141" s="38" t="s">
        <v>59</v>
      </c>
      <c r="D141" s="42">
        <f>TRUNC(23959,-1)</f>
        <v>23950</v>
      </c>
      <c r="E141" s="63">
        <f t="shared" si="5"/>
        <v>79170</v>
      </c>
    </row>
    <row r="142" spans="1:7" x14ac:dyDescent="0.3">
      <c r="A142" s="2">
        <v>7</v>
      </c>
      <c r="C142" s="38" t="s">
        <v>58</v>
      </c>
      <c r="D142" s="42">
        <f>TRUNC(5330,-1)</f>
        <v>5330</v>
      </c>
      <c r="E142" s="63">
        <f t="shared" si="5"/>
        <v>17610</v>
      </c>
    </row>
    <row r="143" spans="1:7" x14ac:dyDescent="0.3">
      <c r="A143" s="2">
        <v>8</v>
      </c>
      <c r="C143" s="38" t="s">
        <v>62</v>
      </c>
      <c r="D143" s="42">
        <f>TRUNC(3112,-1)</f>
        <v>3110</v>
      </c>
      <c r="E143" s="63">
        <f t="shared" si="5"/>
        <v>10280</v>
      </c>
    </row>
    <row r="144" spans="1:7" x14ac:dyDescent="0.3">
      <c r="A144" s="2">
        <v>9</v>
      </c>
      <c r="C144" s="38" t="s">
        <v>63</v>
      </c>
      <c r="D144" s="42">
        <f>TRUNC(17984,-1)</f>
        <v>17980</v>
      </c>
      <c r="E144" s="63">
        <f t="shared" si="5"/>
        <v>59430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60940</v>
      </c>
      <c r="E146" s="39">
        <f>SUM(E136:E145)</f>
        <v>201420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248</v>
      </c>
      <c r="C148" s="56" t="s">
        <v>244</v>
      </c>
      <c r="D148" s="57" t="s">
        <v>237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TRUNC(2587+725,-1)</f>
        <v>3310</v>
      </c>
      <c r="E149" s="62">
        <f>TRUNC(+D149*3.3058,-1)</f>
        <v>10940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TRUNC(353,-1)</f>
        <v>350</v>
      </c>
      <c r="E150" s="63">
        <f>TRUNC(+D150*3.3058,-1)</f>
        <v>1150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TRUNC(824+2037,-1)</f>
        <v>2860</v>
      </c>
      <c r="E152" s="63">
        <f>TRUNC(+D152*3.3058,-1)</f>
        <v>9450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6520</v>
      </c>
      <c r="E154" s="39">
        <f>SUM(E149:E153)</f>
        <v>21540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249</v>
      </c>
      <c r="C156" s="56" t="s">
        <v>244</v>
      </c>
      <c r="D156" s="57" t="s">
        <v>237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TRUNC(14114,-1)</f>
        <v>14110</v>
      </c>
      <c r="E157" s="62">
        <f>TRUNC(+D157*3.3058,-1)</f>
        <v>46640</v>
      </c>
    </row>
    <row r="158" spans="1:7" x14ac:dyDescent="0.3">
      <c r="A158" s="2">
        <v>2</v>
      </c>
      <c r="C158" s="38" t="s">
        <v>52</v>
      </c>
      <c r="D158" s="42">
        <f>TRUNC(5931,-1)</f>
        <v>5930</v>
      </c>
      <c r="E158" s="63">
        <f>TRUNC(+D158*3.3058,-1)</f>
        <v>19600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TRUNC(1654,-1)</f>
        <v>1650</v>
      </c>
      <c r="E159" s="63">
        <f>TRUNC(+D159*3.3058,-1)</f>
        <v>5450</v>
      </c>
      <c r="F159" s="2" t="s">
        <v>264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21690</v>
      </c>
      <c r="E161" s="39">
        <f>SUM(E157:E160)</f>
        <v>71690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2020-12-08T01:38:22Z</dcterms:modified>
</cp:coreProperties>
</file>