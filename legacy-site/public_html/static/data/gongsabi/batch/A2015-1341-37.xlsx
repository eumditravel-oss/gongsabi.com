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39" i="4"/>
  <c r="E138" i="4"/>
  <c r="E136" i="4"/>
  <c r="E129" i="4"/>
  <c r="E126" i="4"/>
  <c r="E124" i="4"/>
  <c r="E123" i="4"/>
  <c r="E115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64" i="4"/>
  <c r="E57" i="4"/>
  <c r="E56" i="4"/>
  <c r="E55" i="4"/>
  <c r="E54" i="4"/>
  <c r="E51" i="4"/>
  <c r="E47" i="4"/>
  <c r="E42" i="4"/>
  <c r="E37" i="4"/>
  <c r="D159" i="4" l="1"/>
  <c r="E159" i="4" s="1"/>
  <c r="D158" i="4"/>
  <c r="E158" i="4" s="1"/>
  <c r="D157" i="4"/>
  <c r="D153" i="4"/>
  <c r="E153" i="4" s="1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6" i="4"/>
  <c r="E76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5" i="4"/>
  <c r="E65" i="4" s="1"/>
  <c r="D63" i="4"/>
  <c r="E63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24" i="4"/>
  <c r="D7" i="4"/>
  <c r="D66" i="4" l="1"/>
  <c r="D26" i="4" s="1"/>
  <c r="E26" i="4" s="1"/>
  <c r="D161" i="4"/>
  <c r="D32" i="4" s="1"/>
  <c r="E32" i="4" s="1"/>
  <c r="E157" i="4"/>
  <c r="E161" i="4" s="1"/>
  <c r="D60" i="4"/>
  <c r="D25" i="4" s="1"/>
  <c r="E25" i="4" s="1"/>
  <c r="E40" i="4"/>
  <c r="E60" i="4" s="1"/>
  <c r="D95" i="4"/>
  <c r="D27" i="4" s="1"/>
  <c r="E27" i="4" s="1"/>
  <c r="E69" i="4"/>
  <c r="E95" i="4" s="1"/>
  <c r="D146" i="4"/>
  <c r="D30" i="4" s="1"/>
  <c r="E30" i="4" s="1"/>
  <c r="E137" i="4"/>
  <c r="E146" i="4" s="1"/>
  <c r="D154" i="4"/>
  <c r="D31" i="4" s="1"/>
  <c r="E31" i="4" s="1"/>
  <c r="E149" i="4"/>
  <c r="E154" i="4" s="1"/>
  <c r="E24" i="4"/>
  <c r="E66" i="4"/>
  <c r="D119" i="4"/>
  <c r="D28" i="4" s="1"/>
  <c r="E28" i="4" s="1"/>
  <c r="E98" i="4"/>
  <c r="E119" i="4" s="1"/>
  <c r="D133" i="4"/>
  <c r="D29" i="4" s="1"/>
  <c r="E29" i="4" s="1"/>
  <c r="E12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<sst xmlns="http://schemas.openxmlformats.org/spreadsheetml/2006/main" count="395" uniqueCount="269">
  <si>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</si>
  <si>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</si>
  <si>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</si>
  <si>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</si>
  <si>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</si>
  <si>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</si>
  <si>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</si>
  <si>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</si>
  <si>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</si>
  <si>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</si>
  <si>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</si>
  <si>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</si>
  <si>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</si>
  <si>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</si>
  <si>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</si>
  <si>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</si>
  <si>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</si>
  <si>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</si>
  <si>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</si>
  <si>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</si>
  <si>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</si>
  <si>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</si>
  <si>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</si>
  <si>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</si>
  <si>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</si>
  <si>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</si>
  <si>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</si>
  <si>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</si>
  <si>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</si>
  <si>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</si>
  <si>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</si>
  <si>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</si>
  <si>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</si>
  <si>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</si>
  <si>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</si>
  <si>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</si>
  <si>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</si>
  <si>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</si>
  <si>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</si>
  <si>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</si>
  <si>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</si>
  <si>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</si>
  <si>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</si>
  <si>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</si>
  <si>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</si>
  <si>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</si>
  <si>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</si>
  <si>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</si>
  <si>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</si>
  <si>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</si>
  <si>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</si>
  <si>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</si>
  <si>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</si>
  <si>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</si>
  <si>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</si>
  <si>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</si>
  <si>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</si>
  <si>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</si>
  <si>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</si>
  <si>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</si>
  <si>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</si>
  <si>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</si>
  <si>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</si>
  <si>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</si>
  <si>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</si>
  <si>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</si>
  <si>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</si>
  <si>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</si>
  <si>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</si>
  <si>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</si>
  <si>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</si>
  <si>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</si>
  <si>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</si>
  <si>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</si>
  <si>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</si>
  <si>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</si>
  <si>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</si>
  <si>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</si>
  <si>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</si>
  <si>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</si>
  <si>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</si>
  <si>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</si>
  <si>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</si>
  <si>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</si>
  <si>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</si>
  <si>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</si>
  <si>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</si>
  <si>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</si>
  <si>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</si>
  <si>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</si>
  <si>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</si>
  <si>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</si>
  <si>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</si>
  <si>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</si>
  <si>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</si>
  <si>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</si>
  <si>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</si>
  <si>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</si>
  <si>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</si>
  <si>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</si>
  <si>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</si>
  <si>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</si>
  <si>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</si>
  <si>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</si>
  <si>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</si>
  <si>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</si>
  <si>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</si>
  <si>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</si>
  <si>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</si>
  <si>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</si>
  <si>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</si>
  <si>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</si>
  <si>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</si>
  <si>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</si>
  <si>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</si>
  <si>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</si>
  <si>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</si>
  <si>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</si>
  <si>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</si>
  <si>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</si>
  <si>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</si>
  <si>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</si>
  <si>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</si>
  <si>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</si>
  <si>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</si>
  <si>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</si>
  <si>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</si>
  <si>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</si>
  <si>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</si>
  <si>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</si>
  <si>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</si>
  <si>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</si>
  <si>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</si>
  <si>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</si>
  <si>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</si>
  <si>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</si>
  <si>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</si>
  <si>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</si>
  <si>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</si>
  <si>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</si>
  <si>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</si>
  <si>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</si>
  <si>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</si>
  <si>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</si>
  <si>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</si>
  <si>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</si>
  <si>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</si>
  <si>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</si>
  <si>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</si>
  <si>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</si>
  <si>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</si>
  <si>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</si>
  <si>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</si>
  <si>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</si>
  <si>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</si>
  <si>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</si>
  <si>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</si>
  <si>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</si>
  <si>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</si>
  <si>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</si>
  <si>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</si>
  <si>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</si>
  <si>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</si>
  <si>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</si>
  <si>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</si>
  <si>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</si>
  <si>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</si>
  <si>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</si>
  <si>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</si>
  <si>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</si>
  <si>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</si>
  <si>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</si>
  <si>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</si>
  <si>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</si>
  <si>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</si>
  <si>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</si>
  <si>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</si>
  <si>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</si>
  <si>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</si>
  <si>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</si>
  <si>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</si>
  <si>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</si>
  <si>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</si>
  <si>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</si>
  <si>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</si>
  <si>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</si>
  <si>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</si>
  <si>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</si>
  <si>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</si>
  <si>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</si>
  <si>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</si>
  <si>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</si>
  <si>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</si>
  <si>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</si>
  <si>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</si>
  <si>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</si>
  <si>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</si>
  <si>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</si>
  <si>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</si>
  <si>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</si>
  <si>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</si>
  <si>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</si>
  <si>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</si>
  <si>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</si>
  <si>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</si>
  <si>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</si>
  <si>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</si>
  <si>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</si>
  <si>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</si>
  <si>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</si>
  <si>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</si>
  <si>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</si>
  <si>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</si>
  <si>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</si>
  <si>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</si>
  <si>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</si>
  <si>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</si>
  <si>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</si>
  <si>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</si>
  <si>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</si>
  <si>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</si>
  <si>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</si>
  <si>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</si>
  <si>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</si>
  <si>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</si>
  <si>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</si>
  <si>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</si>
  <si>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</si>
  <si>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</si>
  <si>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</si>
  <si>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</si>
  <si>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</si>
  <si>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</si>
  <si>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</si>
  <si>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</si>
  <si>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</si>
  <si>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</si>
  <si>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</si>
  <si>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</si>
  <si>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</si>
  <si>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</si>
  <si>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</si>
  <si>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</si>
  <si>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</si>
  <si>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</si>
  <si>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</si>
  <si>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서울영동우체국 건립공사</t>
  </si>
  <si>
    <t>업무</t>
  </si>
  <si>
    <t>서울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</si>
  <si>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</si>
  <si>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</si>
  <si>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</si>
  <si>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</si>
  <si>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기초공사,해체및철거공사,골재비및운반비,품질시험비,기타공사</t>
    <phoneticPr fontId="2" type="noConversion"/>
  </si>
  <si>
    <t>공조배관공사,우수처리시설공사,바닥난방공사, 기타공사</t>
    <phoneticPr fontId="2" type="noConversion"/>
  </si>
  <si>
    <t>옥외보안등설비공사</t>
    <phoneticPr fontId="2" type="noConversion"/>
  </si>
  <si>
    <t xml:space="preserve"> 전기인입 및 수변전 설비공사</t>
    <phoneticPr fontId="2" type="noConversion"/>
  </si>
  <si>
    <t>원격검침 설비공사,기타공사</t>
    <phoneticPr fontId="2" type="noConversion"/>
  </si>
  <si>
    <t>CCTV설비공사</t>
    <phoneticPr fontId="2" type="noConversion"/>
  </si>
  <si>
    <t>옥외소화배관공사,펌프실배관공사,제연덕트설치공사,무선통신보조설비공사</t>
    <phoneticPr fontId="2" type="noConversion"/>
  </si>
  <si>
    <t>토목</t>
    <phoneticPr fontId="2" type="noConversion"/>
  </si>
  <si>
    <t>토목 상수도공사, 토목 사급자재비, 토목 운반비,토목 기타공사</t>
    <phoneticPr fontId="2" type="noConversion"/>
  </si>
  <si>
    <t>포장공사,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</si>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</sst>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85" zoomScaleNormal="85" workbookViewId="0">
      <selection activeCell="C18" sqref="C18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13631.15</v>
      </c>
      <c r="D7" s="36">
        <f>+C7/3.3058</f>
        <v>4123.4043196805615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809000</v>
      </c>
      <c r="E25" s="59">
        <f t="shared" si="0"/>
        <v>2674390</v>
      </c>
    </row>
    <row r="26" spans="1:5" x14ac:dyDescent="0.3">
      <c r="B26" s="2">
        <v>3</v>
      </c>
      <c r="C26" s="35" t="s">
        <v>95</v>
      </c>
      <c r="D26" s="45">
        <f>+D66</f>
        <v>180370</v>
      </c>
      <c r="E26" s="59">
        <f t="shared" si="0"/>
        <v>596260</v>
      </c>
    </row>
    <row r="27" spans="1:5" x14ac:dyDescent="0.3">
      <c r="B27" s="2">
        <v>4</v>
      </c>
      <c r="C27" s="35" t="s">
        <v>96</v>
      </c>
      <c r="D27" s="45">
        <f>+D95</f>
        <v>173750</v>
      </c>
      <c r="E27" s="59">
        <f t="shared" si="0"/>
        <v>574380</v>
      </c>
    </row>
    <row r="28" spans="1:5" x14ac:dyDescent="0.3">
      <c r="B28" s="2">
        <v>5</v>
      </c>
      <c r="C28" s="35" t="s">
        <v>97</v>
      </c>
      <c r="D28" s="45">
        <f>+D119</f>
        <v>205360</v>
      </c>
      <c r="E28" s="59">
        <f t="shared" si="0"/>
        <v>678870</v>
      </c>
    </row>
    <row r="29" spans="1:5" x14ac:dyDescent="0.3">
      <c r="B29" s="2">
        <v>6</v>
      </c>
      <c r="C29" s="35" t="s">
        <v>98</v>
      </c>
      <c r="D29" s="45">
        <f>+D133</f>
        <v>70020</v>
      </c>
      <c r="E29" s="59">
        <f t="shared" si="0"/>
        <v>231470</v>
      </c>
    </row>
    <row r="30" spans="1:5" x14ac:dyDescent="0.3">
      <c r="B30" s="2">
        <v>7</v>
      </c>
      <c r="C30" s="35" t="s">
        <v>99</v>
      </c>
      <c r="D30" s="45">
        <f>+D146</f>
        <v>65010</v>
      </c>
      <c r="E30" s="59">
        <f t="shared" si="0"/>
        <v>214910</v>
      </c>
    </row>
    <row r="31" spans="1:5" x14ac:dyDescent="0.3">
      <c r="B31" s="2">
        <v>8</v>
      </c>
      <c r="C31" s="35" t="s">
        <v>100</v>
      </c>
      <c r="D31" s="45">
        <f>+D154</f>
        <v>15380</v>
      </c>
      <c r="E31" s="59">
        <f t="shared" si="0"/>
        <v>50840</v>
      </c>
    </row>
    <row r="32" spans="1:5" x14ac:dyDescent="0.3">
      <c r="B32" s="2">
        <v>9</v>
      </c>
      <c r="C32" s="35" t="s">
        <v>101</v>
      </c>
      <c r="D32" s="45">
        <f>+D161</f>
        <v>11110</v>
      </c>
      <c r="E32" s="59">
        <f t="shared" si="0"/>
        <v>36720</v>
      </c>
    </row>
    <row r="33" spans="1:7" x14ac:dyDescent="0.3">
      <c r="B33" s="2">
        <v>10</v>
      </c>
      <c r="C33" s="35" t="s">
        <v>153</v>
      </c>
      <c r="D33" s="53">
        <f>TRUNC(SUM(D24:D32)*0.275,-1)</f>
        <v>420750</v>
      </c>
      <c r="E33" s="60">
        <f t="shared" si="0"/>
        <v>1390910</v>
      </c>
    </row>
    <row r="34" spans="1:7" x14ac:dyDescent="0.3">
      <c r="C34" s="35" t="s">
        <v>112</v>
      </c>
      <c r="D34" s="44">
        <f>SUM(D24:D33)</f>
        <v>1950750</v>
      </c>
      <c r="E34" s="44">
        <f>SUM(E24:E33)</f>
        <v>6448750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263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264</v>
      </c>
      <c r="E39" s="66" t="s">
        <v>265</v>
      </c>
      <c r="G39" s="67"/>
    </row>
    <row r="40" spans="1:7" x14ac:dyDescent="0.3">
      <c r="A40" s="2">
        <v>1</v>
      </c>
      <c r="C40" s="38" t="s">
        <v>15</v>
      </c>
      <c r="D40" s="40">
        <f>TRUNC(66758,-1)</f>
        <v>66750</v>
      </c>
      <c r="E40" s="62">
        <f t="shared" ref="E40:E59" si="1">TRUNC(+D40*3.3058,-1)</f>
        <v>220660</v>
      </c>
    </row>
    <row r="41" spans="1:7" x14ac:dyDescent="0.3">
      <c r="A41" s="2">
        <v>2</v>
      </c>
      <c r="C41" s="38" t="s">
        <v>13</v>
      </c>
      <c r="D41" s="42">
        <f>TRUNC(160791,-1)</f>
        <v>160790</v>
      </c>
      <c r="E41" s="63">
        <f t="shared" si="1"/>
        <v>531530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TRUNC(14497,-1)</f>
        <v>14490</v>
      </c>
      <c r="E43" s="63">
        <f t="shared" si="1"/>
        <v>47900</v>
      </c>
    </row>
    <row r="44" spans="1:7" x14ac:dyDescent="0.3">
      <c r="A44" s="2">
        <v>5</v>
      </c>
      <c r="C44" s="38" t="s">
        <v>17</v>
      </c>
      <c r="D44" s="42">
        <f>TRUNC(24314,-1)</f>
        <v>24310</v>
      </c>
      <c r="E44" s="63">
        <f t="shared" si="1"/>
        <v>80360</v>
      </c>
    </row>
    <row r="45" spans="1:7" x14ac:dyDescent="0.3">
      <c r="A45" s="2">
        <v>6</v>
      </c>
      <c r="C45" s="38" t="s">
        <v>18</v>
      </c>
      <c r="D45" s="42">
        <f>TRUNC(2401,-1)</f>
        <v>2400</v>
      </c>
      <c r="E45" s="63">
        <f t="shared" si="1"/>
        <v>7930</v>
      </c>
    </row>
    <row r="46" spans="1:7" x14ac:dyDescent="0.3">
      <c r="A46" s="2">
        <v>7</v>
      </c>
      <c r="C46" s="38" t="s">
        <v>19</v>
      </c>
      <c r="D46" s="42">
        <f>TRUNC(8198,-1)</f>
        <v>8190</v>
      </c>
      <c r="E46" s="63">
        <f t="shared" si="1"/>
        <v>27070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TRUNC(18280,-1)</f>
        <v>18280</v>
      </c>
      <c r="E48" s="63">
        <f t="shared" si="1"/>
        <v>60430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TRUNC(17330,-1)</f>
        <v>17330</v>
      </c>
      <c r="E49" s="63">
        <f t="shared" si="1"/>
        <v>57280</v>
      </c>
    </row>
    <row r="50" spans="1:7" x14ac:dyDescent="0.3">
      <c r="A50" s="2">
        <v>11</v>
      </c>
      <c r="C50" s="38" t="s">
        <v>154</v>
      </c>
      <c r="D50" s="42">
        <f>TRUNC(30939,-1)</f>
        <v>30930</v>
      </c>
      <c r="E50" s="63">
        <f t="shared" si="1"/>
        <v>102240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TRUNC(13919,-1)</f>
        <v>13910</v>
      </c>
      <c r="E52" s="63">
        <f t="shared" si="1"/>
        <v>45980</v>
      </c>
    </row>
    <row r="53" spans="1:7" x14ac:dyDescent="0.3">
      <c r="A53" s="2">
        <v>14</v>
      </c>
      <c r="C53" s="38" t="s">
        <v>25</v>
      </c>
      <c r="D53" s="42">
        <f>TRUNC(176678,-1)</f>
        <v>176670</v>
      </c>
      <c r="E53" s="63">
        <f t="shared" si="1"/>
        <v>584030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TRUNC(198+17202+3778+547+30025,-1)</f>
        <v>51750</v>
      </c>
      <c r="E58" s="63">
        <f t="shared" si="1"/>
        <v>171070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TRUNC(223205,-1)</f>
        <v>223200</v>
      </c>
      <c r="E59" s="64">
        <f t="shared" si="1"/>
        <v>737850</v>
      </c>
    </row>
    <row r="60" spans="1:7" x14ac:dyDescent="0.3">
      <c r="A60" s="2">
        <v>21</v>
      </c>
      <c r="C60" s="27" t="s">
        <v>112</v>
      </c>
      <c r="D60" s="39">
        <f>SUM(D40:D59)</f>
        <v>809000</v>
      </c>
      <c r="E60" s="39">
        <f>SUM(E40:E59)</f>
        <v>2674330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263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TRUNC(34068,-1)</f>
        <v>34060</v>
      </c>
      <c r="E63" s="62">
        <f>TRUNC(+D63*3.3058,-1)</f>
        <v>112590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TRUNC(146312,-1)</f>
        <v>146310</v>
      </c>
      <c r="E65" s="64">
        <f>TRUNC(+D65*3.3058,-1)</f>
        <v>483670</v>
      </c>
    </row>
    <row r="66" spans="1:7" x14ac:dyDescent="0.3">
      <c r="A66" s="2">
        <v>4</v>
      </c>
      <c r="C66" s="27" t="s">
        <v>112</v>
      </c>
      <c r="D66" s="57">
        <f>SUM(D63:D65)</f>
        <v>180370</v>
      </c>
      <c r="E66" s="57">
        <f>SUM(E63:E65)</f>
        <v>596260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263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TRUNC(9467,-1)</f>
        <v>9460</v>
      </c>
      <c r="E69" s="62">
        <f t="shared" ref="E69:E94" si="2">TRUNC(+D69*3.3058,-1)</f>
        <v>31270</v>
      </c>
    </row>
    <row r="70" spans="1:7" ht="16.5" customHeight="1" x14ac:dyDescent="0.3">
      <c r="A70" s="2">
        <v>2</v>
      </c>
      <c r="C70" s="38" t="s">
        <v>31</v>
      </c>
      <c r="D70" s="42">
        <f>TRUNC(34,-1)</f>
        <v>30</v>
      </c>
      <c r="E70" s="63">
        <f t="shared" si="2"/>
        <v>90</v>
      </c>
    </row>
    <row r="71" spans="1:7" x14ac:dyDescent="0.3">
      <c r="A71" s="2">
        <v>3</v>
      </c>
      <c r="C71" s="38" t="s">
        <v>32</v>
      </c>
      <c r="D71" s="42">
        <f>TRUNC(4457,-1)</f>
        <v>4450</v>
      </c>
      <c r="E71" s="63">
        <f t="shared" si="2"/>
        <v>14710</v>
      </c>
    </row>
    <row r="72" spans="1:7" x14ac:dyDescent="0.3">
      <c r="A72" s="2">
        <v>4</v>
      </c>
      <c r="C72" s="38" t="s">
        <v>33</v>
      </c>
      <c r="D72" s="42">
        <f>TRUNC(2167,-1)</f>
        <v>2160</v>
      </c>
      <c r="E72" s="63">
        <f t="shared" si="2"/>
        <v>7140</v>
      </c>
    </row>
    <row r="73" spans="1:7" x14ac:dyDescent="0.3">
      <c r="A73" s="2">
        <v>5</v>
      </c>
      <c r="C73" s="38" t="s">
        <v>34</v>
      </c>
      <c r="D73" s="42">
        <f>TRUNC(29040,-1)</f>
        <v>29040</v>
      </c>
      <c r="E73" s="63">
        <f t="shared" si="2"/>
        <v>96000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TRUNC(186,-1)</f>
        <v>180</v>
      </c>
      <c r="E75" s="63">
        <f t="shared" si="2"/>
        <v>590</v>
      </c>
    </row>
    <row r="76" spans="1:7" x14ac:dyDescent="0.3">
      <c r="A76" s="2">
        <v>8</v>
      </c>
      <c r="C76" s="38" t="s">
        <v>119</v>
      </c>
      <c r="D76" s="42">
        <f>TRUNC(11986,-1)</f>
        <v>11980</v>
      </c>
      <c r="E76" s="63">
        <f t="shared" si="2"/>
        <v>39600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TRUNC(22355,-1)</f>
        <v>22350</v>
      </c>
      <c r="E89" s="63">
        <f t="shared" si="2"/>
        <v>73880</v>
      </c>
    </row>
    <row r="90" spans="1:7" x14ac:dyDescent="0.3">
      <c r="A90" s="2">
        <v>22</v>
      </c>
      <c r="C90" s="38" t="s">
        <v>36</v>
      </c>
      <c r="D90" s="42">
        <f>TRUNC(2970,-1)</f>
        <v>2970</v>
      </c>
      <c r="E90" s="63">
        <f t="shared" si="2"/>
        <v>9810</v>
      </c>
    </row>
    <row r="91" spans="1:7" x14ac:dyDescent="0.3">
      <c r="A91" s="2">
        <v>23</v>
      </c>
      <c r="C91" s="38" t="s">
        <v>37</v>
      </c>
      <c r="D91" s="42">
        <f>TRUNC(6104,-1)</f>
        <v>6100</v>
      </c>
      <c r="E91" s="63">
        <f t="shared" si="2"/>
        <v>20160</v>
      </c>
    </row>
    <row r="92" spans="1:7" x14ac:dyDescent="0.3">
      <c r="A92" s="2">
        <v>24</v>
      </c>
      <c r="C92" s="38" t="s">
        <v>38</v>
      </c>
      <c r="D92" s="42">
        <f>TRUNC(8171,-1)</f>
        <v>8170</v>
      </c>
      <c r="E92" s="63">
        <f t="shared" si="2"/>
        <v>27000</v>
      </c>
    </row>
    <row r="93" spans="1:7" x14ac:dyDescent="0.3">
      <c r="A93" s="2">
        <v>25</v>
      </c>
      <c r="C93" s="38" t="s">
        <v>148</v>
      </c>
      <c r="D93" s="42">
        <f>TRUNC(59860,-1)</f>
        <v>59860</v>
      </c>
      <c r="E93" s="63">
        <f t="shared" si="2"/>
        <v>197880</v>
      </c>
    </row>
    <row r="94" spans="1:7" ht="17.25" thickBot="1" x14ac:dyDescent="0.35">
      <c r="A94" s="2">
        <v>26</v>
      </c>
      <c r="C94" s="38" t="s">
        <v>47</v>
      </c>
      <c r="D94" s="43">
        <f>TRUNC(1146+4888+7140+3829,-1)</f>
        <v>17000</v>
      </c>
      <c r="E94" s="64">
        <f t="shared" si="2"/>
        <v>56190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173750</v>
      </c>
      <c r="E95" s="39">
        <f>SUM(E69:E94)</f>
        <v>574320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263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TRUNC(22761,-1)</f>
        <v>22760</v>
      </c>
      <c r="E98" s="62">
        <f t="shared" ref="E98:E118" si="3">TRUNC(+D98*3.3058,-1)</f>
        <v>75240</v>
      </c>
    </row>
    <row r="99" spans="1:7" x14ac:dyDescent="0.3">
      <c r="A99" s="2">
        <v>2</v>
      </c>
      <c r="C99" s="38" t="s">
        <v>40</v>
      </c>
      <c r="D99" s="42">
        <f>TRUNC(4693,-1)</f>
        <v>4690</v>
      </c>
      <c r="E99" s="63">
        <f t="shared" si="3"/>
        <v>15500</v>
      </c>
    </row>
    <row r="100" spans="1:7" x14ac:dyDescent="0.3">
      <c r="A100" s="2">
        <v>3</v>
      </c>
      <c r="C100" s="38" t="s">
        <v>41</v>
      </c>
      <c r="D100" s="42">
        <f>TRUNC(11428,-1)</f>
        <v>11420</v>
      </c>
      <c r="E100" s="63">
        <f t="shared" si="3"/>
        <v>37750</v>
      </c>
    </row>
    <row r="101" spans="1:7" x14ac:dyDescent="0.3">
      <c r="A101" s="2">
        <v>4</v>
      </c>
      <c r="C101" s="38" t="s">
        <v>42</v>
      </c>
      <c r="D101" s="42">
        <f>TRUNC(397,-1)</f>
        <v>390</v>
      </c>
      <c r="E101" s="63">
        <f t="shared" si="3"/>
        <v>1280</v>
      </c>
    </row>
    <row r="102" spans="1:7" x14ac:dyDescent="0.3">
      <c r="A102" s="2">
        <v>5</v>
      </c>
      <c r="C102" s="38" t="s">
        <v>43</v>
      </c>
      <c r="D102" s="42">
        <f>TRUNC(4215,-1)</f>
        <v>4210</v>
      </c>
      <c r="E102" s="63">
        <f t="shared" si="3"/>
        <v>13910</v>
      </c>
    </row>
    <row r="103" spans="1:7" x14ac:dyDescent="0.3">
      <c r="A103" s="2">
        <v>6</v>
      </c>
      <c r="C103" s="38" t="s">
        <v>44</v>
      </c>
      <c r="D103" s="42">
        <f>TRUNC(1001,-1)</f>
        <v>1000</v>
      </c>
      <c r="E103" s="63">
        <f t="shared" si="3"/>
        <v>3300</v>
      </c>
    </row>
    <row r="104" spans="1:7" x14ac:dyDescent="0.3">
      <c r="A104" s="2">
        <v>7</v>
      </c>
      <c r="C104" s="38" t="s">
        <v>45</v>
      </c>
      <c r="D104" s="42">
        <f>TRUNC(2459,-1)</f>
        <v>2450</v>
      </c>
      <c r="E104" s="63">
        <f t="shared" si="3"/>
        <v>8090</v>
      </c>
    </row>
    <row r="105" spans="1:7" x14ac:dyDescent="0.3">
      <c r="A105" s="2">
        <v>8</v>
      </c>
      <c r="C105" s="38" t="s">
        <v>46</v>
      </c>
      <c r="D105" s="42">
        <f>TRUNC(6664,-1)</f>
        <v>6660</v>
      </c>
      <c r="E105" s="63">
        <f t="shared" si="3"/>
        <v>22010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TRUNC(113,-1)</f>
        <v>110</v>
      </c>
      <c r="E114" s="63">
        <f t="shared" si="3"/>
        <v>360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TRUNC(7059,-1)</f>
        <v>7050</v>
      </c>
      <c r="E116" s="63">
        <f t="shared" si="3"/>
        <v>23300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TRUNC(105922,-1)</f>
        <v>105920</v>
      </c>
      <c r="E117" s="63">
        <f t="shared" si="3"/>
        <v>350150</v>
      </c>
    </row>
    <row r="118" spans="1:7" ht="17.25" thickBot="1" x14ac:dyDescent="0.35">
      <c r="A118" s="2">
        <v>21</v>
      </c>
      <c r="C118" s="38" t="s">
        <v>47</v>
      </c>
      <c r="D118" s="43">
        <f>TRUNC(4071+34638,-1)</f>
        <v>38700</v>
      </c>
      <c r="E118" s="64">
        <f t="shared" si="3"/>
        <v>127930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205360</v>
      </c>
      <c r="E119" s="39">
        <f>SUM(E98:E118)</f>
        <v>678820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263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TRUNC(5614,-1)</f>
        <v>5610</v>
      </c>
      <c r="E122" s="62">
        <f t="shared" ref="E122:E132" si="4">TRUNC(+D122*3.3058,-1)</f>
        <v>18540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TRUNC(4919,-1)</f>
        <v>4910</v>
      </c>
      <c r="E125" s="63">
        <f t="shared" si="4"/>
        <v>16230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TRUNC(9509,-1)</f>
        <v>9500</v>
      </c>
      <c r="E127" s="63">
        <f t="shared" si="4"/>
        <v>31400</v>
      </c>
    </row>
    <row r="128" spans="1:7" x14ac:dyDescent="0.3">
      <c r="A128" s="2">
        <v>7</v>
      </c>
      <c r="C128" s="38" t="s">
        <v>46</v>
      </c>
      <c r="D128" s="42">
        <f>TRUNC(4713,-1)</f>
        <v>4710</v>
      </c>
      <c r="E128" s="63">
        <f t="shared" si="4"/>
        <v>15570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TRUNC(31486,-1)</f>
        <v>31480</v>
      </c>
      <c r="E130" s="63">
        <f t="shared" si="4"/>
        <v>104060</v>
      </c>
    </row>
    <row r="131" spans="1:7" x14ac:dyDescent="0.3">
      <c r="A131" s="2">
        <v>10</v>
      </c>
      <c r="C131" s="38" t="s">
        <v>148</v>
      </c>
      <c r="D131" s="42">
        <f>TRUNC(11103,-1)</f>
        <v>11100</v>
      </c>
      <c r="E131" s="63">
        <f t="shared" si="4"/>
        <v>36690</v>
      </c>
    </row>
    <row r="132" spans="1:7" ht="17.25" thickBot="1" x14ac:dyDescent="0.35">
      <c r="A132" s="2">
        <v>11</v>
      </c>
      <c r="C132" s="38" t="s">
        <v>47</v>
      </c>
      <c r="D132" s="43">
        <f>TRUNC(2713,-1)</f>
        <v>2710</v>
      </c>
      <c r="E132" s="64">
        <f t="shared" si="4"/>
        <v>8950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70020</v>
      </c>
      <c r="E133" s="39">
        <f>SUM(E122:E132)</f>
        <v>231440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263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TRUNC(155+2010+3497+9121,-1)</f>
        <v>14780</v>
      </c>
      <c r="E137" s="63">
        <f t="shared" si="5"/>
        <v>48850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TRUNC(657,-1)</f>
        <v>650</v>
      </c>
      <c r="E140" s="63">
        <f t="shared" si="5"/>
        <v>2140</v>
      </c>
    </row>
    <row r="141" spans="1:7" x14ac:dyDescent="0.3">
      <c r="A141" s="2">
        <v>6</v>
      </c>
      <c r="C141" s="38" t="s">
        <v>59</v>
      </c>
      <c r="D141" s="42">
        <f>TRUNC(25401,-1)</f>
        <v>25400</v>
      </c>
      <c r="E141" s="63">
        <f t="shared" si="5"/>
        <v>83960</v>
      </c>
    </row>
    <row r="142" spans="1:7" x14ac:dyDescent="0.3">
      <c r="A142" s="2">
        <v>7</v>
      </c>
      <c r="C142" s="38" t="s">
        <v>58</v>
      </c>
      <c r="D142" s="42">
        <f>TRUNC(8292,-1)</f>
        <v>8290</v>
      </c>
      <c r="E142" s="63">
        <f t="shared" si="5"/>
        <v>27400</v>
      </c>
    </row>
    <row r="143" spans="1:7" x14ac:dyDescent="0.3">
      <c r="A143" s="2">
        <v>8</v>
      </c>
      <c r="C143" s="38" t="s">
        <v>62</v>
      </c>
      <c r="D143" s="42">
        <f>TRUNC(2638,-1)</f>
        <v>2630</v>
      </c>
      <c r="E143" s="63">
        <f t="shared" si="5"/>
        <v>8690</v>
      </c>
    </row>
    <row r="144" spans="1:7" x14ac:dyDescent="0.3">
      <c r="A144" s="2">
        <v>9</v>
      </c>
      <c r="C144" s="38" t="s">
        <v>63</v>
      </c>
      <c r="D144" s="42">
        <f>TRUNC(13267,-1)</f>
        <v>13260</v>
      </c>
      <c r="E144" s="63">
        <f t="shared" si="5"/>
        <v>43830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65010</v>
      </c>
      <c r="E146" s="39">
        <f>SUM(E136:E145)</f>
        <v>214870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263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TRUNC(1122+372,-1)</f>
        <v>1490</v>
      </c>
      <c r="E149" s="62">
        <f>TRUNC(+D149*3.3058,-1)</f>
        <v>4920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TRUNC(371,-1)</f>
        <v>370</v>
      </c>
      <c r="E150" s="63">
        <f>TRUNC(+D150*3.3058,-1)</f>
        <v>1220</v>
      </c>
      <c r="F150" s="2" t="s">
        <v>260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TRUNC(47+1198+902+5566,-1)</f>
        <v>7710</v>
      </c>
      <c r="E152" s="63">
        <f>TRUNC(+D152*3.3058,-1)</f>
        <v>25480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TRUNC(5812,-1)</f>
        <v>5810</v>
      </c>
      <c r="E153" s="64">
        <f>TRUNC(+D153*3.3058,-1)</f>
        <v>19200</v>
      </c>
    </row>
    <row r="154" spans="1:7" x14ac:dyDescent="0.3">
      <c r="A154" s="2">
        <v>6</v>
      </c>
      <c r="C154" s="27" t="s">
        <v>112</v>
      </c>
      <c r="D154" s="39">
        <f>SUM(D149:D153)</f>
        <v>15380</v>
      </c>
      <c r="E154" s="39">
        <f>SUM(E149:E153)</f>
        <v>50820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263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TRUNC(2840,-1)</f>
        <v>2840</v>
      </c>
      <c r="E157" s="62">
        <f>TRUNC(+D157*3.3058,-1)</f>
        <v>9380</v>
      </c>
    </row>
    <row r="158" spans="1:7" x14ac:dyDescent="0.3">
      <c r="A158" s="2">
        <v>2</v>
      </c>
      <c r="C158" s="38" t="s">
        <v>52</v>
      </c>
      <c r="D158" s="42">
        <f>TRUNC(4640,-1)</f>
        <v>4640</v>
      </c>
      <c r="E158" s="63">
        <f>TRUNC(+D158*3.3058,-1)</f>
        <v>15330</v>
      </c>
    </row>
    <row r="159" spans="1:7" x14ac:dyDescent="0.3">
      <c r="A159" s="2">
        <v>3</v>
      </c>
      <c r="C159" s="38" t="s">
        <v>47</v>
      </c>
      <c r="D159" s="42">
        <f>TRUNC(3200+436,-1)</f>
        <v>3630</v>
      </c>
      <c r="E159" s="63">
        <f>TRUNC(+D159*3.3058,-1)</f>
        <v>12000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11110</v>
      </c>
      <c r="E161" s="39">
        <f>SUM(E157:E160)</f>
        <v>36710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2020-12-07T10:06:22Z</dcterms:modified>
</cp:coreProperties>
</file>