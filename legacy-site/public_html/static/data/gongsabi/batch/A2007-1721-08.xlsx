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152" i="4"/>
  <c r="D149" i="4"/>
  <c r="D159" i="4"/>
  <c r="D158" i="4"/>
  <c r="D157" i="4"/>
  <c r="D90" i="4"/>
  <c r="D94" i="4"/>
  <c r="D137" i="4"/>
  <c r="D72" i="4"/>
  <c r="D92" i="4"/>
  <c r="D79" i="4"/>
  <c r="D70" i="4"/>
  <c r="D71" i="4"/>
  <c r="D69" i="4"/>
  <c r="D118" i="4"/>
  <c r="D104" i="4"/>
  <c r="D102" i="4"/>
  <c r="D100" i="4"/>
  <c r="D108" i="4"/>
  <c r="D99" i="4"/>
  <c r="D98" i="4"/>
  <c r="D115" i="4"/>
  <c r="D151" i="4" l="1"/>
  <c r="D150" i="4"/>
  <c r="D63" i="4"/>
  <c r="D55" i="4"/>
  <c r="D53" i="4"/>
  <c r="D52" i="4"/>
  <c r="D51" i="4"/>
  <c r="D50" i="4"/>
  <c r="D49" i="4"/>
  <c r="D48" i="4"/>
  <c r="D47" i="4"/>
  <c r="D45" i="4"/>
  <c r="D46" i="4"/>
  <c r="D44" i="4"/>
  <c r="D43" i="4"/>
  <c r="D42" i="4"/>
  <c r="D41" i="4"/>
  <c r="D40" i="4"/>
  <c r="D59" i="4"/>
  <c r="D93" i="4"/>
  <c r="D117" i="4"/>
  <c r="D132" i="4"/>
  <c r="D125" i="4"/>
  <c r="D122" i="4"/>
  <c r="D123" i="4"/>
  <c r="D126" i="4"/>
  <c r="D13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95" i="4"/>
  <c r="E119" i="4"/>
  <c r="E154" i="4"/>
  <c r="E60" i="4"/>
  <c r="E133" i="4"/>
  <c r="D161" i="4"/>
  <c r="D32" i="4" s="1"/>
  <c r="E32" i="4" s="1"/>
  <c r="D154" i="4"/>
  <c r="D31" i="4" s="1"/>
  <c r="E31" i="4" s="1"/>
  <c r="D146" i="4"/>
  <c r="D133" i="4"/>
  <c r="D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<sst xmlns="http://schemas.openxmlformats.org/spreadsheetml/2006/main" count="394" uniqueCount="269">
  <si>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</si>
  <si>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</si>
  <si>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</si>
  <si>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</si>
  <si>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</si>
  <si>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</si>
  <si>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</si>
  <si>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</si>
  <si>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</si>
  <si>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</si>
  <si>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</si>
  <si>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</si>
  <si>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</si>
  <si>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</si>
  <si>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</si>
  <si>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</si>
  <si>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</si>
  <si>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</si>
  <si>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</si>
  <si>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</si>
  <si>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</si>
  <si>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</si>
  <si>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</si>
  <si>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</si>
  <si>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</si>
  <si>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</si>
  <si>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</si>
  <si>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</si>
  <si>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</si>
  <si>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</si>
  <si>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</si>
  <si>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</si>
  <si>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</si>
  <si>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</si>
  <si>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</si>
  <si>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</si>
  <si>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</si>
  <si>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</si>
  <si>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</si>
  <si>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</si>
  <si>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</si>
  <si>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</si>
  <si>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</si>
  <si>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</si>
  <si>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</si>
  <si>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</si>
  <si>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</si>
  <si>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</si>
  <si>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</si>
  <si>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</si>
  <si>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</si>
  <si>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</si>
  <si>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</si>
  <si>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</si>
  <si>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</si>
  <si>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</si>
  <si>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</si>
  <si>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</si>
  <si>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</si>
  <si>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</si>
  <si>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</si>
  <si>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</si>
  <si>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</si>
  <si>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</si>
  <si>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</si>
  <si>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</si>
  <si>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</si>
  <si>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</si>
  <si>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</si>
  <si>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</si>
  <si>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</si>
  <si>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</si>
  <si>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</si>
  <si>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</si>
  <si>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</si>
  <si>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</si>
  <si>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</si>
  <si>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</si>
  <si>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</si>
  <si>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</si>
  <si>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</si>
  <si>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</si>
  <si>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</si>
  <si>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</si>
  <si>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</si>
  <si>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</si>
  <si>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</si>
  <si>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</si>
  <si>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</si>
  <si>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</si>
  <si>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</si>
  <si>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</si>
  <si>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</si>
  <si>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</si>
  <si>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</si>
  <si>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</si>
  <si>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</si>
  <si>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</si>
  <si>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</si>
  <si>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</si>
  <si>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</si>
  <si>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</si>
  <si>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</si>
  <si>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</si>
  <si>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</si>
  <si>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</si>
  <si>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</si>
  <si>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</si>
  <si>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</si>
  <si>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</si>
  <si>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</si>
  <si>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</si>
  <si>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</si>
  <si>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</si>
  <si>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</si>
  <si>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</si>
  <si>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</si>
  <si>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</si>
  <si>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</si>
  <si>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</si>
  <si>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</si>
  <si>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</si>
  <si>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</si>
  <si>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</si>
  <si>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</si>
  <si>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</si>
  <si>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</si>
  <si>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</si>
  <si>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</si>
  <si>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</si>
  <si>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</si>
  <si>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</si>
  <si>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</si>
  <si>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</si>
  <si>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</si>
  <si>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</si>
  <si>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</si>
  <si>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</si>
  <si>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</si>
  <si>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</si>
  <si>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</si>
  <si>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</si>
  <si>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</si>
  <si>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</si>
  <si>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</si>
  <si>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</si>
  <si>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</si>
  <si>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</si>
  <si>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</si>
  <si>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</si>
  <si>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</si>
  <si>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</si>
  <si>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</si>
  <si>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</si>
  <si>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</si>
  <si>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</si>
  <si>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</si>
  <si>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</si>
  <si>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</si>
  <si>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</si>
  <si>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</si>
  <si>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</si>
  <si>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</si>
  <si>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</si>
  <si>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</si>
  <si>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</si>
  <si>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</si>
  <si>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</si>
  <si>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</si>
  <si>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</si>
  <si>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</si>
  <si>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</si>
  <si>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</si>
  <si>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</si>
  <si>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</si>
  <si>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</si>
  <si>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</si>
  <si>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</si>
  <si>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</si>
  <si>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</si>
  <si>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</si>
  <si>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</si>
  <si>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</si>
  <si>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</si>
  <si>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</si>
  <si>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</si>
  <si>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</si>
  <si>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</si>
  <si>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</si>
  <si>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</si>
  <si>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</si>
  <si>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</si>
  <si>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</si>
  <si>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</si>
  <si>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</si>
  <si>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</si>
  <si>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</si>
  <si>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</si>
  <si>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</si>
  <si>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</si>
  <si>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</si>
  <si>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</si>
  <si>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</si>
  <si>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</si>
  <si>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</si>
  <si>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</si>
  <si>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</si>
  <si>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</si>
  <si>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</si>
  <si>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</si>
  <si>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</si>
  <si>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</si>
  <si>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</si>
  <si>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</si>
  <si>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</si>
  <si>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</si>
  <si>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</si>
  <si>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</si>
  <si>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</si>
  <si>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</si>
  <si>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</si>
  <si>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</si>
  <si>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</si>
  <si>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</si>
  <si>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</si>
  <si>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</si>
  <si>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</si>
  <si>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</si>
  <si>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</si>
  <si>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</si>
  <si>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</si>
  <si>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</si>
  <si>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</si>
  <si>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</si>
  <si>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</si>
  <si>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</si>
  <si>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</si>
  <si>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</si>
  <si>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</si>
  <si>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</si>
  <si>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</si>
  <si>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</si>
  <si>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</si>
  <si>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</si>
  <si>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</si>
  <si>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</si>
  <si>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</si>
  <si>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</si>
  <si>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00노인종합복지관 신축공사</t>
  </si>
  <si>
    <t>기타</t>
  </si>
  <si>
    <t>서울</t>
  </si>
  <si>
    <t>전화 및 LAN설비공사</t>
  </si>
  <si>
    <t>CCTV설비공사</t>
  </si>
  <si>
    <t>우수공사,오수공사</t>
  </si>
  <si>
    <t>접지설비공사</t>
  </si>
  <si>
    <t>옥외전기설비공사</t>
  </si>
  <si>
    <t>환기덕트 설치공사</t>
  </si>
  <si>
    <t>전기 소방설비공사,기계 소화 배관공사</t>
    <phoneticPr fontId="2" type="noConversion"/>
  </si>
  <si>
    <t>난방배관공사,건식온돌설치공사,사우나설비공사</t>
    <phoneticPr fontId="2" type="noConversion"/>
  </si>
  <si>
    <t>수목식재공사</t>
  </si>
  <si>
    <t>포장공사</t>
    <phoneticPr fontId="2" type="noConversion"/>
  </si>
  <si>
    <t>옹벽공사(L형옹벽),철거공사,주요자재비,운반비,폐기물처리비</t>
    <phoneticPr fontId="2" type="noConversion"/>
  </si>
  <si>
    <t>토및지정공사,기타공사,골재비,작업부산물,운반비,지내력시험</t>
    <phoneticPr fontId="2" type="noConversion"/>
  </si>
  <si>
    <t>위생 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</si>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</sst>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2681</v>
      </c>
      <c r="D7" s="36">
        <f>+C7/3.3058</f>
        <v>810.99885050517275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766800</v>
      </c>
      <c r="E25" s="59">
        <f t="shared" si="0"/>
        <v>2534880</v>
      </c>
    </row>
    <row r="26" spans="1:5" x14ac:dyDescent="0.3">
      <c r="B26" s="2">
        <v>3</v>
      </c>
      <c r="C26" s="35" t="s">
        <v>95</v>
      </c>
      <c r="D26" s="45">
        <f>+D66</f>
        <v>113310</v>
      </c>
      <c r="E26" s="59">
        <f t="shared" si="0"/>
        <v>374580</v>
      </c>
    </row>
    <row r="27" spans="1:5" x14ac:dyDescent="0.3">
      <c r="B27" s="2">
        <v>4</v>
      </c>
      <c r="C27" s="35" t="s">
        <v>96</v>
      </c>
      <c r="D27" s="45">
        <f>+D95</f>
        <v>165760</v>
      </c>
      <c r="E27" s="59">
        <f t="shared" si="0"/>
        <v>547960</v>
      </c>
    </row>
    <row r="28" spans="1:5" x14ac:dyDescent="0.3">
      <c r="B28" s="2">
        <v>5</v>
      </c>
      <c r="C28" s="35" t="s">
        <v>97</v>
      </c>
      <c r="D28" s="45">
        <f>+D119</f>
        <v>122930</v>
      </c>
      <c r="E28" s="59">
        <f t="shared" si="0"/>
        <v>406380</v>
      </c>
    </row>
    <row r="29" spans="1:5" x14ac:dyDescent="0.3">
      <c r="B29" s="2">
        <v>6</v>
      </c>
      <c r="C29" s="35" t="s">
        <v>98</v>
      </c>
      <c r="D29" s="45">
        <f>+D133</f>
        <v>61770</v>
      </c>
      <c r="E29" s="59">
        <f t="shared" si="0"/>
        <v>204190</v>
      </c>
    </row>
    <row r="30" spans="1:5" x14ac:dyDescent="0.3">
      <c r="B30" s="2">
        <v>7</v>
      </c>
      <c r="C30" s="35" t="s">
        <v>99</v>
      </c>
      <c r="D30" s="45">
        <f>+D146</f>
        <v>38010</v>
      </c>
      <c r="E30" s="59">
        <f t="shared" si="0"/>
        <v>125650</v>
      </c>
    </row>
    <row r="31" spans="1:5" x14ac:dyDescent="0.3">
      <c r="B31" s="2">
        <v>8</v>
      </c>
      <c r="C31" s="35" t="s">
        <v>100</v>
      </c>
      <c r="D31" s="45">
        <f>+D154</f>
        <v>27960</v>
      </c>
      <c r="E31" s="59">
        <f t="shared" si="0"/>
        <v>92430</v>
      </c>
    </row>
    <row r="32" spans="1:5" x14ac:dyDescent="0.3">
      <c r="B32" s="2">
        <v>9</v>
      </c>
      <c r="C32" s="35" t="s">
        <v>101</v>
      </c>
      <c r="D32" s="45">
        <f>+D161</f>
        <v>74710</v>
      </c>
      <c r="E32" s="59">
        <f t="shared" si="0"/>
        <v>246970</v>
      </c>
    </row>
    <row r="33" spans="1:7" x14ac:dyDescent="0.3">
      <c r="B33" s="2">
        <v>10</v>
      </c>
      <c r="C33" s="35" t="s">
        <v>154</v>
      </c>
      <c r="D33" s="53">
        <f>TRUNC(SUM(D24:D32)*0.275,-1)</f>
        <v>377090</v>
      </c>
      <c r="E33" s="60">
        <f t="shared" si="0"/>
        <v>1246580</v>
      </c>
    </row>
    <row r="34" spans="1:7" x14ac:dyDescent="0.3">
      <c r="C34" s="35" t="s">
        <v>112</v>
      </c>
      <c r="D34" s="44">
        <f>SUM(D24:D33)</f>
        <v>1748340</v>
      </c>
      <c r="E34" s="44">
        <f>SUM(E24:E33)</f>
        <v>5779620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TRUNC(32221.664304364,-1)</f>
        <v>32220</v>
      </c>
      <c r="E40" s="62">
        <f t="shared" ref="E40:E59" si="1">TRUNC(+D40*3.3058,-1)</f>
        <v>106510</v>
      </c>
    </row>
    <row r="41" spans="1:7" x14ac:dyDescent="0.3">
      <c r="A41" s="2">
        <v>2</v>
      </c>
      <c r="C41" s="38" t="s">
        <v>13</v>
      </c>
      <c r="D41" s="42">
        <f>TRUNC(115557.213726222,-1)</f>
        <v>115550</v>
      </c>
      <c r="E41" s="63">
        <f t="shared" si="1"/>
        <v>381980</v>
      </c>
    </row>
    <row r="42" spans="1:7" x14ac:dyDescent="0.3">
      <c r="A42" s="2">
        <v>3</v>
      </c>
      <c r="C42" s="38" t="s">
        <v>14</v>
      </c>
      <c r="D42" s="42">
        <f>TRUNC(13236.2928011936,-1)</f>
        <v>13230</v>
      </c>
      <c r="E42" s="63">
        <f t="shared" si="1"/>
        <v>43730</v>
      </c>
    </row>
    <row r="43" spans="1:7" x14ac:dyDescent="0.3">
      <c r="A43" s="2">
        <v>4</v>
      </c>
      <c r="C43" s="38" t="s">
        <v>16</v>
      </c>
      <c r="D43" s="42">
        <f>TRUNC(8895.78739276389,-1)</f>
        <v>8890</v>
      </c>
      <c r="E43" s="63">
        <f t="shared" si="1"/>
        <v>29380</v>
      </c>
    </row>
    <row r="44" spans="1:7" x14ac:dyDescent="0.3">
      <c r="A44" s="2">
        <v>5</v>
      </c>
      <c r="C44" s="38" t="s">
        <v>17</v>
      </c>
      <c r="D44" s="42">
        <f>TRUNC(22824.2976501305,-1)</f>
        <v>22820</v>
      </c>
      <c r="E44" s="63">
        <f t="shared" si="1"/>
        <v>75430</v>
      </c>
    </row>
    <row r="45" spans="1:7" x14ac:dyDescent="0.3">
      <c r="A45" s="2">
        <v>6</v>
      </c>
      <c r="C45" s="38" t="s">
        <v>18</v>
      </c>
      <c r="D45" s="42">
        <f>TRUNC(11279.4710928758,-1)</f>
        <v>11270</v>
      </c>
      <c r="E45" s="63">
        <f t="shared" si="1"/>
        <v>37250</v>
      </c>
    </row>
    <row r="46" spans="1:7" x14ac:dyDescent="0.3">
      <c r="A46" s="2">
        <v>7</v>
      </c>
      <c r="C46" s="38" t="s">
        <v>19</v>
      </c>
      <c r="D46" s="42">
        <f>TRUNC(120661.39537486,-1)</f>
        <v>120660</v>
      </c>
      <c r="E46" s="63">
        <f t="shared" si="1"/>
        <v>398870</v>
      </c>
    </row>
    <row r="47" spans="1:7" x14ac:dyDescent="0.3">
      <c r="A47" s="2">
        <v>8</v>
      </c>
      <c r="C47" s="38" t="s">
        <v>20</v>
      </c>
      <c r="D47" s="42">
        <f>TRUNC(5692.02088772846,-1)</f>
        <v>5690</v>
      </c>
      <c r="E47" s="63">
        <f t="shared" si="1"/>
        <v>18810</v>
      </c>
    </row>
    <row r="48" spans="1:7" x14ac:dyDescent="0.3">
      <c r="A48" s="2">
        <v>9</v>
      </c>
      <c r="C48" s="38" t="s">
        <v>21</v>
      </c>
      <c r="D48" s="42">
        <f>TRUNC(24483.4393882879,-1)</f>
        <v>24480</v>
      </c>
      <c r="E48" s="63">
        <f t="shared" si="1"/>
        <v>80920</v>
      </c>
    </row>
    <row r="49" spans="1:7" x14ac:dyDescent="0.3">
      <c r="A49" s="2">
        <v>10</v>
      </c>
      <c r="C49" s="38" t="s">
        <v>22</v>
      </c>
      <c r="D49" s="42">
        <f>TRUNC(16766.1279373368,-1)</f>
        <v>16760</v>
      </c>
      <c r="E49" s="63">
        <f t="shared" si="1"/>
        <v>55400</v>
      </c>
    </row>
    <row r="50" spans="1:7" x14ac:dyDescent="0.3">
      <c r="A50" s="2">
        <v>11</v>
      </c>
      <c r="C50" s="38" t="s">
        <v>155</v>
      </c>
      <c r="D50" s="42">
        <f>TRUNC(19285.9932860873,-1)</f>
        <v>19280</v>
      </c>
      <c r="E50" s="63">
        <f t="shared" si="1"/>
        <v>63730</v>
      </c>
    </row>
    <row r="51" spans="1:7" x14ac:dyDescent="0.3">
      <c r="A51" s="2">
        <v>12</v>
      </c>
      <c r="C51" s="38" t="s">
        <v>23</v>
      </c>
      <c r="D51" s="42">
        <f>TRUNC(23314.7083177919,-1)</f>
        <v>23310</v>
      </c>
      <c r="E51" s="63">
        <f t="shared" si="1"/>
        <v>77050</v>
      </c>
    </row>
    <row r="52" spans="1:7" x14ac:dyDescent="0.3">
      <c r="A52" s="2">
        <v>13</v>
      </c>
      <c r="C52" s="38" t="s">
        <v>24</v>
      </c>
      <c r="D52" s="42">
        <f>TRUNC(7434.33345766505,-1)</f>
        <v>7430</v>
      </c>
      <c r="E52" s="63">
        <f t="shared" si="1"/>
        <v>24560</v>
      </c>
    </row>
    <row r="53" spans="1:7" x14ac:dyDescent="0.3">
      <c r="A53" s="2">
        <v>14</v>
      </c>
      <c r="C53" s="38" t="s">
        <v>25</v>
      </c>
      <c r="D53" s="42">
        <f>TRUNC(52686.1820216337,-1)</f>
        <v>52680</v>
      </c>
      <c r="E53" s="63">
        <f t="shared" si="1"/>
        <v>174140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TRUNC(2031.04252144722,-1)</f>
        <v>2030</v>
      </c>
      <c r="E55" s="63">
        <f t="shared" si="1"/>
        <v>6710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TRUNC(2145.48825065274+15919.8701976874+2831.03319656844-699.339798582618+2357.88325251772+238.716896680343,-1)</f>
        <v>22790</v>
      </c>
      <c r="E58" s="63">
        <f t="shared" si="1"/>
        <v>75330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TRUNC(146199.070869079+121514.363670272,-1)</f>
        <v>267710</v>
      </c>
      <c r="E59" s="64">
        <f t="shared" si="1"/>
        <v>884990</v>
      </c>
    </row>
    <row r="60" spans="1:7" x14ac:dyDescent="0.3">
      <c r="A60" s="2">
        <v>21</v>
      </c>
      <c r="C60" s="27" t="s">
        <v>112</v>
      </c>
      <c r="D60" s="39">
        <f>SUM(D40:D59)</f>
        <v>766800</v>
      </c>
      <c r="E60" s="39">
        <f>SUM(E40:E59)</f>
        <v>2534790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TRUNC(113311.66616934,-1)</f>
        <v>113310</v>
      </c>
      <c r="E63" s="62">
        <f>TRUNC(+D63*3.3058,-1)</f>
        <v>374580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113310</v>
      </c>
      <c r="E66" s="65">
        <f>SUM(E63:E65)</f>
        <v>374580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TRUNC(5928.30921298023,-1)</f>
        <v>5920</v>
      </c>
      <c r="E69" s="62">
        <f t="shared" ref="E69:E94" si="2">TRUNC(+D69*3.3058,-1)</f>
        <v>19570</v>
      </c>
    </row>
    <row r="70" spans="1:7" ht="16.5" customHeight="1" x14ac:dyDescent="0.3">
      <c r="A70" s="2">
        <v>2</v>
      </c>
      <c r="C70" s="38" t="s">
        <v>31</v>
      </c>
      <c r="D70" s="42">
        <f>TRUNC(1150.47706079821,-1)</f>
        <v>1150</v>
      </c>
      <c r="E70" s="63">
        <f t="shared" si="2"/>
        <v>3800</v>
      </c>
    </row>
    <row r="71" spans="1:7" x14ac:dyDescent="0.3">
      <c r="A71" s="2">
        <v>3</v>
      </c>
      <c r="C71" s="38" t="s">
        <v>32</v>
      </c>
      <c r="D71" s="42">
        <f>TRUNC(12199.2185751585,-1)</f>
        <v>12190</v>
      </c>
      <c r="E71" s="63">
        <f t="shared" si="2"/>
        <v>40290</v>
      </c>
    </row>
    <row r="72" spans="1:7" x14ac:dyDescent="0.3">
      <c r="A72" s="2">
        <v>4</v>
      </c>
      <c r="C72" s="38" t="s">
        <v>33</v>
      </c>
      <c r="D72" s="42">
        <f>TRUNC(9688.59007832898,-1)</f>
        <v>9680</v>
      </c>
      <c r="E72" s="63">
        <f t="shared" si="2"/>
        <v>32000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TRUNC(12175.4408802686,-1)</f>
        <v>12170</v>
      </c>
      <c r="E79" s="63">
        <f t="shared" si="2"/>
        <v>40230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TRUNC(1488.39239089892,-1)</f>
        <v>1480</v>
      </c>
      <c r="E90" s="63">
        <f t="shared" si="2"/>
        <v>4890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TRUNC(24436.4516971279,-1)</f>
        <v>24430</v>
      </c>
      <c r="E92" s="63">
        <f t="shared" si="2"/>
        <v>80760</v>
      </c>
      <c r="F92" s="2" t="s">
        <v>263</v>
      </c>
    </row>
    <row r="93" spans="1:7" x14ac:dyDescent="0.3">
      <c r="A93" s="2">
        <v>25</v>
      </c>
      <c r="C93" s="38" t="s">
        <v>148</v>
      </c>
      <c r="D93" s="42">
        <f>TRUNC(80030.3756061171,-1)</f>
        <v>80030</v>
      </c>
      <c r="E93" s="63">
        <f t="shared" si="2"/>
        <v>264560</v>
      </c>
    </row>
    <row r="94" spans="1:7" ht="17.25" thickBot="1" x14ac:dyDescent="0.35">
      <c r="A94" s="2">
        <v>26</v>
      </c>
      <c r="C94" s="38" t="s">
        <v>47</v>
      </c>
      <c r="D94" s="43">
        <f>TRUNC(5203.09921671018+4861.63744871317+8653.6851920925,-1)</f>
        <v>18710</v>
      </c>
      <c r="E94" s="64">
        <f t="shared" si="2"/>
        <v>61850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165760</v>
      </c>
      <c r="E95" s="39">
        <f>SUM(E69:E94)</f>
        <v>547950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TRUNC(11123.2771353972,-1)</f>
        <v>11120</v>
      </c>
      <c r="E98" s="62">
        <f t="shared" ref="E98:E118" si="3">TRUNC(+D98*3.3058,-1)</f>
        <v>36760</v>
      </c>
    </row>
    <row r="99" spans="1:7" x14ac:dyDescent="0.3">
      <c r="A99" s="2">
        <v>2</v>
      </c>
      <c r="C99" s="38" t="s">
        <v>40</v>
      </c>
      <c r="D99" s="42">
        <f>TRUNC(2877.61133905259,-1)</f>
        <v>2870</v>
      </c>
      <c r="E99" s="63">
        <f t="shared" si="3"/>
        <v>9480</v>
      </c>
    </row>
    <row r="100" spans="1:7" x14ac:dyDescent="0.3">
      <c r="A100" s="2">
        <v>3</v>
      </c>
      <c r="C100" s="38" t="s">
        <v>41</v>
      </c>
      <c r="D100" s="42">
        <f>TRUNC(22466.4830287205,-1)</f>
        <v>22460</v>
      </c>
      <c r="E100" s="63">
        <f t="shared" si="3"/>
        <v>74240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TRUNC(14748.5710555763,-1)</f>
        <v>14740</v>
      </c>
      <c r="E102" s="63">
        <f t="shared" si="3"/>
        <v>48720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TRUNC(720.024990675121,-1)</f>
        <v>720</v>
      </c>
      <c r="E104" s="63">
        <f t="shared" si="3"/>
        <v>2380</v>
      </c>
      <c r="F104" s="2" t="s">
        <v>254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TRUNC(2456.17083177919,-1)</f>
        <v>2450</v>
      </c>
      <c r="E108" s="63">
        <f t="shared" si="3"/>
        <v>8090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TRUNC(6817.85415889593,-1)</f>
        <v>6810</v>
      </c>
      <c r="E115" s="63">
        <f t="shared" si="3"/>
        <v>22510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TRUNC(35187.2435658336+21781.7978366281,-1)</f>
        <v>56960</v>
      </c>
      <c r="E117" s="63">
        <f t="shared" si="3"/>
        <v>188290</v>
      </c>
    </row>
    <row r="118" spans="1:7" ht="17.25" thickBot="1" x14ac:dyDescent="0.35">
      <c r="A118" s="2">
        <v>21</v>
      </c>
      <c r="C118" s="38" t="s">
        <v>47</v>
      </c>
      <c r="D118" s="43">
        <f>TRUNC(4801.97314434912,-1)</f>
        <v>4800</v>
      </c>
      <c r="E118" s="64">
        <f t="shared" si="3"/>
        <v>15860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122930</v>
      </c>
      <c r="E119" s="39">
        <f>SUM(E98:E118)</f>
        <v>406330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TRUNC(5201.15404699739,-1)</f>
        <v>5200</v>
      </c>
      <c r="E122" s="62">
        <f t="shared" ref="E122:E132" si="4">TRUNC(+D122*3.3058,-1)</f>
        <v>17190</v>
      </c>
    </row>
    <row r="123" spans="1:7" x14ac:dyDescent="0.3">
      <c r="A123" s="2">
        <v>2</v>
      </c>
      <c r="C123" s="38" t="s">
        <v>124</v>
      </c>
      <c r="D123" s="42">
        <f>TRUNC(12944.2916822081,-1)</f>
        <v>12940</v>
      </c>
      <c r="E123" s="63">
        <f t="shared" si="4"/>
        <v>42770</v>
      </c>
      <c r="F123" s="2" t="s">
        <v>251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TRUNC(4303.67586721373,-1)</f>
        <v>4300</v>
      </c>
      <c r="E125" s="63">
        <f t="shared" si="4"/>
        <v>14210</v>
      </c>
    </row>
    <row r="126" spans="1:7" x14ac:dyDescent="0.3">
      <c r="A126" s="2">
        <v>5</v>
      </c>
      <c r="C126" s="38" t="s">
        <v>53</v>
      </c>
      <c r="D126" s="42">
        <f>TRUNC(4047.57254755688,-1)</f>
        <v>4040</v>
      </c>
      <c r="E126" s="63">
        <f t="shared" si="4"/>
        <v>13350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TRUNC(33698.24692279,-1)</f>
        <v>33690</v>
      </c>
      <c r="E131" s="63">
        <f t="shared" si="4"/>
        <v>111370</v>
      </c>
    </row>
    <row r="132" spans="1:7" ht="18" thickBot="1" x14ac:dyDescent="0.35">
      <c r="A132" s="2">
        <v>11</v>
      </c>
      <c r="C132" s="38" t="s">
        <v>47</v>
      </c>
      <c r="D132" s="43">
        <f>TRUNC(1607.47892577396,-1)</f>
        <v>1600</v>
      </c>
      <c r="E132" s="64">
        <f t="shared" si="4"/>
        <v>5280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61770</v>
      </c>
      <c r="E133" s="39">
        <f>SUM(E122:E132)</f>
        <v>204170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TRUNC(10939.8269302499+27073.9093621783,-1)</f>
        <v>38010</v>
      </c>
      <c r="E137" s="63">
        <f t="shared" si="5"/>
        <v>125650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38010</v>
      </c>
      <c r="E146" s="39">
        <f>SUM(E136:E145)</f>
        <v>125650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TRUNC(14860.6363297277+3097.69339798583,-1)</f>
        <v>17950</v>
      </c>
      <c r="E149" s="62">
        <f>TRUNC(+D149*3.3058,-1)</f>
        <v>59330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TRUNC(2150.72286460276,-1)</f>
        <v>2150</v>
      </c>
      <c r="E150" s="63">
        <f>TRUNC(+D150*3.3058,-1)</f>
        <v>7100</v>
      </c>
    </row>
    <row r="151" spans="1:7" x14ac:dyDescent="0.3">
      <c r="A151" s="2">
        <v>3</v>
      </c>
      <c r="C151" s="38" t="s">
        <v>50</v>
      </c>
      <c r="D151" s="42">
        <f>TRUNC(4048.23535994032,-1)</f>
        <v>4040</v>
      </c>
      <c r="E151" s="63">
        <f>TRUNC(+D151*3.3058,-1)</f>
        <v>13350</v>
      </c>
    </row>
    <row r="152" spans="1:7" x14ac:dyDescent="0.3">
      <c r="A152" s="2">
        <v>4</v>
      </c>
      <c r="C152" s="38" t="s">
        <v>47</v>
      </c>
      <c r="D152" s="42">
        <f>TRUNC(1851.28757926147+122.380082058933+1202.53636702723+505.247668780306+145.468108914584,-1)</f>
        <v>3820</v>
      </c>
      <c r="E152" s="63">
        <f>TRUNC(+D152*3.3058,-1)</f>
        <v>12620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27960</v>
      </c>
      <c r="E154" s="39">
        <f>SUM(E149:E153)</f>
        <v>92400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TRUNC(9550.63446475196,-1)</f>
        <v>9550</v>
      </c>
      <c r="E157" s="62">
        <f>TRUNC(+D157*3.3058,-1)</f>
        <v>31570</v>
      </c>
      <c r="F157" s="2" t="s">
        <v>259</v>
      </c>
    </row>
    <row r="158" spans="1:7" x14ac:dyDescent="0.3">
      <c r="A158" s="2">
        <v>2</v>
      </c>
      <c r="C158" s="38" t="s">
        <v>52</v>
      </c>
      <c r="D158" s="42">
        <f>TRUNC(39338.2200671391,-1)</f>
        <v>39330</v>
      </c>
      <c r="E158" s="63">
        <f>TRUNC(+D158*3.3058,-1)</f>
        <v>130010</v>
      </c>
    </row>
    <row r="159" spans="1:7" x14ac:dyDescent="0.3">
      <c r="A159" s="2">
        <v>3</v>
      </c>
      <c r="C159" s="38" t="s">
        <v>47</v>
      </c>
      <c r="D159" s="42">
        <f>TRUNC(25832.4748228273,-1)</f>
        <v>25830</v>
      </c>
      <c r="E159" s="63">
        <f>TRUNC(+D159*3.3058,-1)</f>
        <v>85380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74710</v>
      </c>
      <c r="E161" s="39">
        <f>SUM(E157:E160)</f>
        <v>246960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2020-12-07T09:20:43Z</dcterms:modified>
</cp:coreProperties>
</file>