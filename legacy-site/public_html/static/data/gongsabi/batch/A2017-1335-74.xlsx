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3" i="4"/>
  <c r="D142" i="4"/>
  <c r="D141" i="4"/>
  <c r="D140" i="4"/>
  <c r="D138" i="4"/>
  <c r="D137" i="4"/>
  <c r="D132" i="4"/>
  <c r="D131" i="4"/>
  <c r="D130" i="4"/>
  <c r="D128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73" i="4"/>
  <c r="D91" i="4"/>
  <c r="D90" i="4"/>
  <c r="D89" i="4"/>
  <c r="D72" i="4"/>
  <c r="D71" i="4"/>
  <c r="D69" i="4"/>
  <c r="D65" i="4"/>
  <c r="D63" i="4"/>
  <c r="D59" i="4"/>
  <c r="D58" i="4"/>
  <c r="D53" i="4"/>
  <c r="D50" i="4"/>
  <c r="D49" i="4"/>
  <c r="D48" i="4"/>
  <c r="D46" i="4"/>
  <c r="D45" i="4"/>
  <c r="D44" i="4"/>
  <c r="D43" i="4"/>
  <c r="D42" i="4"/>
  <c r="D41" i="4"/>
  <c r="D40" i="4"/>
  <c r="E9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<sst xmlns="http://schemas.openxmlformats.org/spreadsheetml/2006/main" count="392" uniqueCount="268">
  <si>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</si>
  <si>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</si>
  <si>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</si>
  <si>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</si>
  <si>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</si>
  <si>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</si>
  <si>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</si>
  <si>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</si>
  <si>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</si>
  <si>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</si>
  <si>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</si>
  <si>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</si>
  <si>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</si>
  <si>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</si>
  <si>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</si>
  <si>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</si>
  <si>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</si>
  <si>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</si>
  <si>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</si>
  <si>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</si>
  <si>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</si>
  <si>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</si>
  <si>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</si>
  <si>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</si>
  <si>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</si>
  <si>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</si>
  <si>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</si>
  <si>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</si>
  <si>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</si>
  <si>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</si>
  <si>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</si>
  <si>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</si>
  <si>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</si>
  <si>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</si>
  <si>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</si>
  <si>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</si>
  <si>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</si>
  <si>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</si>
  <si>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</si>
  <si>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</si>
  <si>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</si>
  <si>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</si>
  <si>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</si>
  <si>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</si>
  <si>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</si>
  <si>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</si>
  <si>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</si>
  <si>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</si>
  <si>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</si>
  <si>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</si>
  <si>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</si>
  <si>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</si>
  <si>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</si>
  <si>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</si>
  <si>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</si>
  <si>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</si>
  <si>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</si>
  <si>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</si>
  <si>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</si>
  <si>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</si>
  <si>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</si>
  <si>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</si>
  <si>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</si>
  <si>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</si>
  <si>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</si>
  <si>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</si>
  <si>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</si>
  <si>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</si>
  <si>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</si>
  <si>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</si>
  <si>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</si>
  <si>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</si>
  <si>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</si>
  <si>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</si>
  <si>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</si>
  <si>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</si>
  <si>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</si>
  <si>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</si>
  <si>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</si>
  <si>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</si>
  <si>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</si>
  <si>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</si>
  <si>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</si>
  <si>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</si>
  <si>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</si>
  <si>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</si>
  <si>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</si>
  <si>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</si>
  <si>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</si>
  <si>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</si>
  <si>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</si>
  <si>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</si>
  <si>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</si>
  <si>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</si>
  <si>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</si>
  <si>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</si>
  <si>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</si>
  <si>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</si>
  <si>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</si>
  <si>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</si>
  <si>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</si>
  <si>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</si>
  <si>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</si>
  <si>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</si>
  <si>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</si>
  <si>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</si>
  <si>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</si>
  <si>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</si>
  <si>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</si>
  <si>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</si>
  <si>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</si>
  <si>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</si>
  <si>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</si>
  <si>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</si>
  <si>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</si>
  <si>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</si>
  <si>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</si>
  <si>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</si>
  <si>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</si>
  <si>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</si>
  <si>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</si>
  <si>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</si>
  <si>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</si>
  <si>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</si>
  <si>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</si>
  <si>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</si>
  <si>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</si>
  <si>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</si>
  <si>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</si>
  <si>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</si>
  <si>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</si>
  <si>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</si>
  <si>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</si>
  <si>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</si>
  <si>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</si>
  <si>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</si>
  <si>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</si>
  <si>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</si>
  <si>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</si>
  <si>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</si>
  <si>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</si>
  <si>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</si>
  <si>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</si>
  <si>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</si>
  <si>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</si>
  <si>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</si>
  <si>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</si>
  <si>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</si>
  <si>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</si>
  <si>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</si>
  <si>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</si>
  <si>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</si>
  <si>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</si>
  <si>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</si>
  <si>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</si>
  <si>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</si>
  <si>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</si>
  <si>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</si>
  <si>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</si>
  <si>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</si>
  <si>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</si>
  <si>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</si>
  <si>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</si>
  <si>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</si>
  <si>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</si>
  <si>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</si>
  <si>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</si>
  <si>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</si>
  <si>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</si>
  <si>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</si>
  <si>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</si>
  <si>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</si>
  <si>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</si>
  <si>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</si>
  <si>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</si>
  <si>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</si>
  <si>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</si>
  <si>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</si>
  <si>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</si>
  <si>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</si>
  <si>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</si>
  <si>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</si>
  <si>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</si>
  <si>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</si>
  <si>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</si>
  <si>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</si>
  <si>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</si>
  <si>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</si>
  <si>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</si>
  <si>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</si>
  <si>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</si>
  <si>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</si>
  <si>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</si>
  <si>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</si>
  <si>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</si>
  <si>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</si>
  <si>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</si>
  <si>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</si>
  <si>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</si>
  <si>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</si>
  <si>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</si>
  <si>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</si>
  <si>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</si>
  <si>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</si>
  <si>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</si>
  <si>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</si>
  <si>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</si>
  <si>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</si>
  <si>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</si>
  <si>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</si>
  <si>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</si>
  <si>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</si>
  <si>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</si>
  <si>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</si>
  <si>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</si>
  <si>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</si>
  <si>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</si>
  <si>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</si>
  <si>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</si>
  <si>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</si>
  <si>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</si>
  <si>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</si>
  <si>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</si>
  <si>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</si>
  <si>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</si>
  <si>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</si>
  <si>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</si>
  <si>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</si>
  <si>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</si>
  <si>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</si>
  <si>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</si>
  <si>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</si>
  <si>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</si>
  <si>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</si>
  <si>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</si>
  <si>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</si>
  <si>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</si>
  <si>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</si>
  <si>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</si>
  <si>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</si>
  <si>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</si>
  <si>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</si>
  <si>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</si>
  <si>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</si>
  <si>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</si>
  <si>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</si>
  <si>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</si>
  <si>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</si>
  <si>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</si>
  <si>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</si>
  <si>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</si>
  <si>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</si>
  <si>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</si>
  <si>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</si>
  <si>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</si>
  <si>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금강유역환경청 청사 신축사업</t>
    <phoneticPr fontId="2" type="noConversion"/>
  </si>
  <si>
    <t>업무</t>
  </si>
  <si>
    <t>대전시</t>
  </si>
  <si>
    <t>기초공사, 해체및철거공사, 골재비및운반비, 작업부산물, 품질시험비, 기타공사</t>
    <phoneticPr fontId="2" type="noConversion"/>
  </si>
  <si>
    <t>공조배관공사, 바닥난방공사, 기타공사</t>
    <phoneticPr fontId="2" type="noConversion"/>
  </si>
  <si>
    <t>옥외소화배관공사, 펌프실배관공사, 기타공사</t>
    <phoneticPr fontId="2" type="noConversion"/>
  </si>
  <si>
    <t xml:space="preserve"> 사급자재비, 운반비, 기타공사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</si>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</sst>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9162.06</v>
      </c>
      <c r="D7" s="36">
        <f>+C7/3.3058</f>
        <v>2771.5106782019479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922800</v>
      </c>
      <c r="E25" s="59">
        <f t="shared" si="0"/>
        <v>3050590</v>
      </c>
    </row>
    <row r="26" spans="1:5" x14ac:dyDescent="0.3">
      <c r="B26" s="2">
        <v>3</v>
      </c>
      <c r="C26" s="35" t="s">
        <v>95</v>
      </c>
      <c r="D26" s="45">
        <f>+D66</f>
        <v>44040</v>
      </c>
      <c r="E26" s="59">
        <f t="shared" si="0"/>
        <v>145580</v>
      </c>
    </row>
    <row r="27" spans="1:5" x14ac:dyDescent="0.3">
      <c r="B27" s="2">
        <v>4</v>
      </c>
      <c r="C27" s="35" t="s">
        <v>96</v>
      </c>
      <c r="D27" s="45">
        <f>+D95</f>
        <v>121550</v>
      </c>
      <c r="E27" s="59">
        <f t="shared" si="0"/>
        <v>401810</v>
      </c>
    </row>
    <row r="28" spans="1:5" x14ac:dyDescent="0.3">
      <c r="B28" s="2">
        <v>5</v>
      </c>
      <c r="C28" s="35" t="s">
        <v>97</v>
      </c>
      <c r="D28" s="45">
        <f>+D119</f>
        <v>180670</v>
      </c>
      <c r="E28" s="59">
        <f t="shared" si="0"/>
        <v>597250</v>
      </c>
    </row>
    <row r="29" spans="1:5" x14ac:dyDescent="0.3">
      <c r="B29" s="2">
        <v>6</v>
      </c>
      <c r="C29" s="35" t="s">
        <v>98</v>
      </c>
      <c r="D29" s="45">
        <f>+D133</f>
        <v>86680</v>
      </c>
      <c r="E29" s="59">
        <f t="shared" si="0"/>
        <v>286540</v>
      </c>
    </row>
    <row r="30" spans="1:5" x14ac:dyDescent="0.3">
      <c r="B30" s="2">
        <v>7</v>
      </c>
      <c r="C30" s="35" t="s">
        <v>99</v>
      </c>
      <c r="D30" s="45">
        <f>+D146</f>
        <v>38090</v>
      </c>
      <c r="E30" s="59">
        <f t="shared" si="0"/>
        <v>125910</v>
      </c>
    </row>
    <row r="31" spans="1:5" x14ac:dyDescent="0.3">
      <c r="B31" s="2">
        <v>8</v>
      </c>
      <c r="C31" s="35" t="s">
        <v>100</v>
      </c>
      <c r="D31" s="45">
        <f>+D154</f>
        <v>33490</v>
      </c>
      <c r="E31" s="59">
        <f t="shared" si="0"/>
        <v>110710</v>
      </c>
    </row>
    <row r="32" spans="1:5" x14ac:dyDescent="0.3">
      <c r="B32" s="2">
        <v>9</v>
      </c>
      <c r="C32" s="35" t="s">
        <v>101</v>
      </c>
      <c r="D32" s="45">
        <f>+D161</f>
        <v>43020</v>
      </c>
      <c r="E32" s="59">
        <f t="shared" si="0"/>
        <v>142210</v>
      </c>
    </row>
    <row r="33" spans="1:7" x14ac:dyDescent="0.3">
      <c r="B33" s="2">
        <v>10</v>
      </c>
      <c r="C33" s="35" t="s">
        <v>154</v>
      </c>
      <c r="D33" s="53">
        <f>TRUNC(SUM(D24:D32)*0.275,-1)</f>
        <v>404340</v>
      </c>
      <c r="E33" s="60">
        <f t="shared" si="0"/>
        <v>1336660</v>
      </c>
    </row>
    <row r="34" spans="1:7" x14ac:dyDescent="0.3">
      <c r="C34" s="35" t="s">
        <v>112</v>
      </c>
      <c r="D34" s="44">
        <f>SUM(D24:D33)</f>
        <v>1874680</v>
      </c>
      <c r="E34" s="44">
        <f>SUM(E24:E33)</f>
        <v>6197260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TRUNC(48198,-1)</f>
        <v>48190</v>
      </c>
      <c r="E40" s="62">
        <f t="shared" ref="E40:E59" si="1">TRUNC(+D40*3.3058,-1)</f>
        <v>159300</v>
      </c>
    </row>
    <row r="41" spans="1:7" x14ac:dyDescent="0.3">
      <c r="A41" s="2">
        <v>2</v>
      </c>
      <c r="C41" s="38" t="s">
        <v>13</v>
      </c>
      <c r="D41" s="42">
        <f>TRUNC(111316,-1)</f>
        <v>111310</v>
      </c>
      <c r="E41" s="63">
        <f t="shared" si="1"/>
        <v>367960</v>
      </c>
    </row>
    <row r="42" spans="1:7" x14ac:dyDescent="0.3">
      <c r="A42" s="2">
        <v>3</v>
      </c>
      <c r="C42" s="38" t="s">
        <v>14</v>
      </c>
      <c r="D42" s="42">
        <f>TRUNC(3563,-1)</f>
        <v>3560</v>
      </c>
      <c r="E42" s="63">
        <f t="shared" si="1"/>
        <v>11760</v>
      </c>
    </row>
    <row r="43" spans="1:7" x14ac:dyDescent="0.3">
      <c r="A43" s="2">
        <v>4</v>
      </c>
      <c r="C43" s="38" t="s">
        <v>16</v>
      </c>
      <c r="D43" s="42">
        <f>TRUNC(7948,-1)</f>
        <v>7940</v>
      </c>
      <c r="E43" s="63">
        <f t="shared" si="1"/>
        <v>26240</v>
      </c>
    </row>
    <row r="44" spans="1:7" x14ac:dyDescent="0.3">
      <c r="A44" s="2">
        <v>5</v>
      </c>
      <c r="C44" s="38" t="s">
        <v>17</v>
      </c>
      <c r="D44" s="42">
        <f>TRUNC(21645,-1)</f>
        <v>21640</v>
      </c>
      <c r="E44" s="63">
        <f t="shared" si="1"/>
        <v>71530</v>
      </c>
    </row>
    <row r="45" spans="1:7" x14ac:dyDescent="0.3">
      <c r="A45" s="2">
        <v>6</v>
      </c>
      <c r="C45" s="38" t="s">
        <v>18</v>
      </c>
      <c r="D45" s="42">
        <f>TRUNC(6855,-1)</f>
        <v>6850</v>
      </c>
      <c r="E45" s="63">
        <f t="shared" si="1"/>
        <v>22640</v>
      </c>
    </row>
    <row r="46" spans="1:7" x14ac:dyDescent="0.3">
      <c r="A46" s="2">
        <v>7</v>
      </c>
      <c r="C46" s="38" t="s">
        <v>19</v>
      </c>
      <c r="D46" s="42">
        <f>TRUNC(7095,-1)</f>
        <v>7090</v>
      </c>
      <c r="E46" s="63">
        <f t="shared" si="1"/>
        <v>23430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TRUNC(32201,-1)</f>
        <v>32200</v>
      </c>
      <c r="E48" s="63">
        <f t="shared" si="1"/>
        <v>106440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TRUNC(7012,-1)</f>
        <v>7010</v>
      </c>
      <c r="E49" s="63">
        <f t="shared" si="1"/>
        <v>23170</v>
      </c>
    </row>
    <row r="50" spans="1:7" x14ac:dyDescent="0.3">
      <c r="A50" s="2">
        <v>11</v>
      </c>
      <c r="C50" s="38" t="s">
        <v>155</v>
      </c>
      <c r="D50" s="42">
        <f>TRUNC(32724,-1)</f>
        <v>32720</v>
      </c>
      <c r="E50" s="63">
        <f t="shared" si="1"/>
        <v>108160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12980</v>
      </c>
      <c r="E52" s="63">
        <f t="shared" si="1"/>
        <v>42900</v>
      </c>
    </row>
    <row r="53" spans="1:7" x14ac:dyDescent="0.3">
      <c r="A53" s="2">
        <v>14</v>
      </c>
      <c r="C53" s="38" t="s">
        <v>25</v>
      </c>
      <c r="D53" s="42">
        <f>TRUNC(82112,-1)</f>
        <v>82110</v>
      </c>
      <c r="E53" s="63">
        <f t="shared" si="1"/>
        <v>271430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TRUNC(13918+25845+2516-1757+1012+15217,-1)</f>
        <v>56750</v>
      </c>
      <c r="E58" s="63">
        <f t="shared" si="1"/>
        <v>187600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TRUNC(492451,-1)</f>
        <v>492450</v>
      </c>
      <c r="E59" s="64">
        <f t="shared" si="1"/>
        <v>1627940</v>
      </c>
    </row>
    <row r="60" spans="1:7" x14ac:dyDescent="0.3">
      <c r="A60" s="2">
        <v>21</v>
      </c>
      <c r="C60" s="27" t="s">
        <v>112</v>
      </c>
      <c r="D60" s="39">
        <f>SUM(D40:D59)</f>
        <v>922800</v>
      </c>
      <c r="E60" s="39">
        <f>SUM(E40:E59)</f>
        <v>3050500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TRUNC(21423,-1)</f>
        <v>21420</v>
      </c>
      <c r="E63" s="62">
        <f>TRUNC(+D63*3.3058,-1)</f>
        <v>70810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TRUNC(22621,-1)</f>
        <v>22620</v>
      </c>
      <c r="E65" s="64">
        <f>TRUNC(+D65*3.3058,-1)</f>
        <v>74770</v>
      </c>
    </row>
    <row r="66" spans="1:7" x14ac:dyDescent="0.3">
      <c r="A66" s="2">
        <v>4</v>
      </c>
      <c r="C66" s="27" t="s">
        <v>112</v>
      </c>
      <c r="D66" s="39">
        <f>SUM(D63:D65)</f>
        <v>44040</v>
      </c>
      <c r="E66" s="65">
        <f>SUM(E63:E65)</f>
        <v>145580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TRUNC(9082,-1)</f>
        <v>9080</v>
      </c>
      <c r="E69" s="62">
        <f t="shared" ref="E69:E94" si="2">TRUNC(+D69*3.3058,-1)</f>
        <v>30010</v>
      </c>
    </row>
    <row r="70" spans="1:7" ht="16.5" customHeight="1" x14ac:dyDescent="0.3">
      <c r="A70" s="2">
        <v>2</v>
      </c>
      <c r="C70" s="38" t="s">
        <v>31</v>
      </c>
      <c r="D70" s="42">
        <v>490</v>
      </c>
      <c r="E70" s="63">
        <f t="shared" si="2"/>
        <v>1610</v>
      </c>
    </row>
    <row r="71" spans="1:7" x14ac:dyDescent="0.3">
      <c r="A71" s="2">
        <v>3</v>
      </c>
      <c r="C71" s="38" t="s">
        <v>32</v>
      </c>
      <c r="D71" s="42">
        <f>TRUNC(8711,-1)</f>
        <v>8710</v>
      </c>
      <c r="E71" s="63">
        <f t="shared" si="2"/>
        <v>28790</v>
      </c>
    </row>
    <row r="72" spans="1:7" x14ac:dyDescent="0.3">
      <c r="A72" s="2">
        <v>4</v>
      </c>
      <c r="C72" s="38" t="s">
        <v>33</v>
      </c>
      <c r="D72" s="42">
        <f>TRUNC(4271,-1)</f>
        <v>4270</v>
      </c>
      <c r="E72" s="63">
        <f t="shared" si="2"/>
        <v>14110</v>
      </c>
    </row>
    <row r="73" spans="1:7" x14ac:dyDescent="0.3">
      <c r="A73" s="2">
        <v>5</v>
      </c>
      <c r="C73" s="38" t="s">
        <v>34</v>
      </c>
      <c r="D73" s="42">
        <f>TRUNC(6313,-1)</f>
        <v>6310</v>
      </c>
      <c r="E73" s="63">
        <f t="shared" si="2"/>
        <v>20850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TRUNC(9211,-1)</f>
        <v>9210</v>
      </c>
      <c r="E89" s="63">
        <f t="shared" si="2"/>
        <v>30440</v>
      </c>
    </row>
    <row r="90" spans="1:7" x14ac:dyDescent="0.3">
      <c r="A90" s="2">
        <v>22</v>
      </c>
      <c r="C90" s="38" t="s">
        <v>36</v>
      </c>
      <c r="D90" s="42">
        <f>TRUNC(715,-1)</f>
        <v>710</v>
      </c>
      <c r="E90" s="63">
        <f t="shared" si="2"/>
        <v>2340</v>
      </c>
    </row>
    <row r="91" spans="1:7" x14ac:dyDescent="0.3">
      <c r="A91" s="2">
        <v>23</v>
      </c>
      <c r="C91" s="38" t="s">
        <v>37</v>
      </c>
      <c r="D91" s="42">
        <f>TRUNC(26685,-1)</f>
        <v>26680</v>
      </c>
      <c r="E91" s="63">
        <f t="shared" si="2"/>
        <v>88190</v>
      </c>
    </row>
    <row r="92" spans="1:7" x14ac:dyDescent="0.3">
      <c r="A92" s="2">
        <v>24</v>
      </c>
      <c r="C92" s="38" t="s">
        <v>38</v>
      </c>
      <c r="D92" s="42">
        <v>3770</v>
      </c>
      <c r="E92" s="63">
        <f t="shared" si="2"/>
        <v>12460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TRUNC(16983+570+34776,-1)</f>
        <v>52320</v>
      </c>
      <c r="E94" s="64">
        <f t="shared" si="2"/>
        <v>172950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121550</v>
      </c>
      <c r="E95" s="39">
        <f>SUM(E69:E94)</f>
        <v>401750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TRUNC(16033,-1)</f>
        <v>16030</v>
      </c>
      <c r="E98" s="62">
        <f t="shared" ref="E98:E118" si="3">TRUNC(+D98*3.3058,-1)</f>
        <v>52990</v>
      </c>
    </row>
    <row r="99" spans="1:7" x14ac:dyDescent="0.3">
      <c r="A99" s="2">
        <v>2</v>
      </c>
      <c r="C99" s="38" t="s">
        <v>40</v>
      </c>
      <c r="D99" s="42">
        <f>TRUNC(6167,-1)</f>
        <v>6160</v>
      </c>
      <c r="E99" s="63">
        <f t="shared" si="3"/>
        <v>20360</v>
      </c>
    </row>
    <row r="100" spans="1:7" x14ac:dyDescent="0.3">
      <c r="A100" s="2">
        <v>3</v>
      </c>
      <c r="C100" s="38" t="s">
        <v>41</v>
      </c>
      <c r="D100" s="42">
        <f>TRUNC(25488,-1)</f>
        <v>25480</v>
      </c>
      <c r="E100" s="63">
        <f t="shared" si="3"/>
        <v>84230</v>
      </c>
    </row>
    <row r="101" spans="1:7" x14ac:dyDescent="0.3">
      <c r="A101" s="2">
        <v>4</v>
      </c>
      <c r="C101" s="38" t="s">
        <v>42</v>
      </c>
      <c r="D101" s="42">
        <f>TRUNC(3883,-1)</f>
        <v>3880</v>
      </c>
      <c r="E101" s="63">
        <f t="shared" si="3"/>
        <v>12820</v>
      </c>
    </row>
    <row r="102" spans="1:7" x14ac:dyDescent="0.3">
      <c r="A102" s="2">
        <v>5</v>
      </c>
      <c r="C102" s="38" t="s">
        <v>43</v>
      </c>
      <c r="D102" s="42">
        <f>TRUNC(22248,-1)</f>
        <v>22240</v>
      </c>
      <c r="E102" s="63">
        <f t="shared" si="3"/>
        <v>73520</v>
      </c>
    </row>
    <row r="103" spans="1:7" x14ac:dyDescent="0.3">
      <c r="A103" s="2">
        <v>6</v>
      </c>
      <c r="C103" s="38" t="s">
        <v>44</v>
      </c>
      <c r="D103" s="42">
        <f>TRUNC(5329,-1)</f>
        <v>5320</v>
      </c>
      <c r="E103" s="63">
        <f t="shared" si="3"/>
        <v>17580</v>
      </c>
    </row>
    <row r="104" spans="1:7" x14ac:dyDescent="0.3">
      <c r="A104" s="2">
        <v>7</v>
      </c>
      <c r="C104" s="38" t="s">
        <v>45</v>
      </c>
      <c r="D104" s="42">
        <f>TRUNC(3289,-1)</f>
        <v>3280</v>
      </c>
      <c r="E104" s="63">
        <f t="shared" si="3"/>
        <v>10840</v>
      </c>
    </row>
    <row r="105" spans="1:7" x14ac:dyDescent="0.3">
      <c r="A105" s="2">
        <v>8</v>
      </c>
      <c r="C105" s="38" t="s">
        <v>46</v>
      </c>
      <c r="D105" s="42">
        <f>TRUNC(3773,-1)</f>
        <v>3770</v>
      </c>
      <c r="E105" s="63">
        <f t="shared" si="3"/>
        <v>12460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TRUNC(3145,-1)</f>
        <v>3140</v>
      </c>
      <c r="E114" s="63">
        <f t="shared" si="3"/>
        <v>10380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TRUNC(4066,-1)</f>
        <v>4060</v>
      </c>
      <c r="E116" s="63">
        <f t="shared" si="3"/>
        <v>13420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TRUNC(87093,-1)</f>
        <v>87090</v>
      </c>
      <c r="E117" s="63">
        <f t="shared" si="3"/>
        <v>287900</v>
      </c>
    </row>
    <row r="118" spans="1:7" ht="17.25" thickBot="1" x14ac:dyDescent="0.35">
      <c r="A118" s="2">
        <v>21</v>
      </c>
      <c r="C118" s="38" t="s">
        <v>47</v>
      </c>
      <c r="D118" s="43">
        <f>TRUNC(225,-1)</f>
        <v>220</v>
      </c>
      <c r="E118" s="64">
        <f t="shared" si="3"/>
        <v>720</v>
      </c>
    </row>
    <row r="119" spans="1:7" x14ac:dyDescent="0.3">
      <c r="A119" s="2">
        <v>22</v>
      </c>
      <c r="C119" s="27" t="s">
        <v>112</v>
      </c>
      <c r="D119" s="39">
        <f>SUM(D98:D118)</f>
        <v>180670</v>
      </c>
      <c r="E119" s="39">
        <f>SUM(E98:E118)</f>
        <v>597220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TRUNC(4335,-1)</f>
        <v>4330</v>
      </c>
      <c r="E122" s="62">
        <f t="shared" ref="E122:E132" si="4">TRUNC(+D122*3.3058,-1)</f>
        <v>14310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TRUNC(1046,-1)</f>
        <v>1040</v>
      </c>
      <c r="E124" s="63">
        <f t="shared" si="4"/>
        <v>3430</v>
      </c>
    </row>
    <row r="125" spans="1:7" x14ac:dyDescent="0.3">
      <c r="A125" s="2">
        <v>4</v>
      </c>
      <c r="C125" s="38" t="s">
        <v>138</v>
      </c>
      <c r="D125" s="42">
        <f>TRUNC(6896,-1)</f>
        <v>6890</v>
      </c>
      <c r="E125" s="63">
        <f t="shared" si="4"/>
        <v>22770</v>
      </c>
    </row>
    <row r="126" spans="1:7" x14ac:dyDescent="0.3">
      <c r="A126" s="2">
        <v>5</v>
      </c>
      <c r="C126" s="38" t="s">
        <v>53</v>
      </c>
      <c r="D126" s="42">
        <f>TRUNC(1096,-1)</f>
        <v>1090</v>
      </c>
      <c r="E126" s="63">
        <f t="shared" si="4"/>
        <v>3600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TRUNC(4106,-1)</f>
        <v>4100</v>
      </c>
      <c r="E128" s="63">
        <f t="shared" si="4"/>
        <v>13550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TRUNC(50253,-1)</f>
        <v>50250</v>
      </c>
      <c r="E130" s="63">
        <f t="shared" si="4"/>
        <v>166110</v>
      </c>
    </row>
    <row r="131" spans="1:7" x14ac:dyDescent="0.3">
      <c r="A131" s="2">
        <v>10</v>
      </c>
      <c r="C131" s="38" t="s">
        <v>148</v>
      </c>
      <c r="D131" s="42">
        <f>TRUNC(18808,-1)</f>
        <v>18800</v>
      </c>
      <c r="E131" s="63">
        <f t="shared" si="4"/>
        <v>62140</v>
      </c>
    </row>
    <row r="132" spans="1:7" ht="18" thickBot="1" x14ac:dyDescent="0.35">
      <c r="A132" s="2">
        <v>11</v>
      </c>
      <c r="C132" s="38" t="s">
        <v>47</v>
      </c>
      <c r="D132" s="43">
        <f>TRUNC(189,-1)</f>
        <v>180</v>
      </c>
      <c r="E132" s="64">
        <f t="shared" si="4"/>
        <v>590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86680</v>
      </c>
      <c r="E133" s="39">
        <f>SUM(E122:E132)</f>
        <v>286500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TRUNC(173+2240+189,-1)</f>
        <v>2600</v>
      </c>
      <c r="E137" s="63">
        <f t="shared" si="5"/>
        <v>8590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TRUNC(651,-1)</f>
        <v>650</v>
      </c>
      <c r="E138" s="63">
        <f t="shared" si="5"/>
        <v>2140</v>
      </c>
    </row>
    <row r="139" spans="1:7" x14ac:dyDescent="0.3">
      <c r="A139" s="2">
        <v>4</v>
      </c>
      <c r="C139" s="38" t="s">
        <v>61</v>
      </c>
      <c r="D139" s="42">
        <v>1440</v>
      </c>
      <c r="E139" s="63">
        <f t="shared" si="5"/>
        <v>4760</v>
      </c>
    </row>
    <row r="140" spans="1:7" x14ac:dyDescent="0.3">
      <c r="A140" s="2">
        <v>5</v>
      </c>
      <c r="C140" s="38" t="s">
        <v>57</v>
      </c>
      <c r="D140" s="42">
        <f>TRUNC(1444,-1)</f>
        <v>1440</v>
      </c>
      <c r="E140" s="63">
        <f t="shared" si="5"/>
        <v>4760</v>
      </c>
    </row>
    <row r="141" spans="1:7" x14ac:dyDescent="0.3">
      <c r="A141" s="2">
        <v>6</v>
      </c>
      <c r="C141" s="38" t="s">
        <v>59</v>
      </c>
      <c r="D141" s="42">
        <f>TRUNC(8705,-1)</f>
        <v>8700</v>
      </c>
      <c r="E141" s="63">
        <f t="shared" si="5"/>
        <v>28760</v>
      </c>
    </row>
    <row r="142" spans="1:7" x14ac:dyDescent="0.3">
      <c r="A142" s="2">
        <v>7</v>
      </c>
      <c r="C142" s="38" t="s">
        <v>58</v>
      </c>
      <c r="D142" s="42">
        <f>TRUNC(3443,-1)</f>
        <v>3440</v>
      </c>
      <c r="E142" s="63">
        <f t="shared" si="5"/>
        <v>11370</v>
      </c>
    </row>
    <row r="143" spans="1:7" x14ac:dyDescent="0.3">
      <c r="A143" s="2">
        <v>8</v>
      </c>
      <c r="C143" s="38" t="s">
        <v>62</v>
      </c>
      <c r="D143" s="42">
        <f>TRUNC(3963,-1)</f>
        <v>3960</v>
      </c>
      <c r="E143" s="63">
        <f t="shared" si="5"/>
        <v>13090</v>
      </c>
    </row>
    <row r="144" spans="1:7" x14ac:dyDescent="0.3">
      <c r="A144" s="2">
        <v>9</v>
      </c>
      <c r="C144" s="38" t="s">
        <v>63</v>
      </c>
      <c r="D144" s="42">
        <v>15860</v>
      </c>
      <c r="E144" s="63">
        <f t="shared" si="5"/>
        <v>52420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38090</v>
      </c>
      <c r="E146" s="39">
        <f>SUM(E136:E145)</f>
        <v>125890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TRUNC(8395+2963,-1)</f>
        <v>11350</v>
      </c>
      <c r="E149" s="62">
        <f>TRUNC(+D149*3.3058,-1)</f>
        <v>37520</v>
      </c>
    </row>
    <row r="150" spans="1:7" x14ac:dyDescent="0.3">
      <c r="A150" s="2">
        <v>2</v>
      </c>
      <c r="C150" s="38" t="s">
        <v>49</v>
      </c>
      <c r="D150" s="42">
        <f>TRUNC(12375,-1)</f>
        <v>12370</v>
      </c>
      <c r="E150" s="63">
        <f>TRUNC(+D150*3.3058,-1)</f>
        <v>40890</v>
      </c>
    </row>
    <row r="151" spans="1:7" x14ac:dyDescent="0.3">
      <c r="A151" s="2">
        <v>3</v>
      </c>
      <c r="C151" s="38" t="s">
        <v>50</v>
      </c>
      <c r="D151" s="42">
        <f>TRUNC(4068,-1)</f>
        <v>4060</v>
      </c>
      <c r="E151" s="63">
        <f>TRUNC(+D151*3.3058,-1)</f>
        <v>13420</v>
      </c>
    </row>
    <row r="152" spans="1:7" x14ac:dyDescent="0.3">
      <c r="A152" s="2">
        <v>4</v>
      </c>
      <c r="C152" s="38" t="s">
        <v>47</v>
      </c>
      <c r="D152" s="42">
        <f>TRUNC(4217+152+1343,-1)</f>
        <v>5710</v>
      </c>
      <c r="E152" s="63">
        <f>TRUNC(+D152*3.3058,-1)</f>
        <v>18870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33490</v>
      </c>
      <c r="E154" s="39">
        <f>SUM(E149:E153)</f>
        <v>110700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TRUNC(18381,-1)</f>
        <v>18380</v>
      </c>
      <c r="E157" s="62">
        <f>TRUNC(+D157*3.3058,-1)</f>
        <v>60760</v>
      </c>
    </row>
    <row r="158" spans="1:7" x14ac:dyDescent="0.3">
      <c r="A158" s="2">
        <v>2</v>
      </c>
      <c r="C158" s="38" t="s">
        <v>52</v>
      </c>
      <c r="D158" s="42">
        <f>TRUNC(16071,-1)</f>
        <v>16070</v>
      </c>
      <c r="E158" s="63">
        <f>TRUNC(+D158*3.3058,-1)</f>
        <v>53120</v>
      </c>
    </row>
    <row r="159" spans="1:7" x14ac:dyDescent="0.3">
      <c r="A159" s="2">
        <v>3</v>
      </c>
      <c r="C159" s="38" t="s">
        <v>47</v>
      </c>
      <c r="D159" s="42">
        <f>TRUNC(7136+1437,-1)</f>
        <v>8570</v>
      </c>
      <c r="E159" s="63">
        <f>TRUNC(+D159*3.3058,-1)</f>
        <v>28330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43020</v>
      </c>
      <c r="E161" s="39">
        <f>SUM(E157:E160)</f>
        <v>142210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2020-12-08T01:43:49Z</dcterms:modified>
</cp:coreProperties>
</file>