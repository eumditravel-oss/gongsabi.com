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29" i="4"/>
  <c r="E126" i="4"/>
  <c r="E124" i="4"/>
  <c r="E123" i="4"/>
  <c r="E113" i="4"/>
  <c r="E112" i="4"/>
  <c r="E111" i="4"/>
  <c r="E110" i="4"/>
  <c r="E109" i="4"/>
  <c r="E108" i="4"/>
  <c r="E107" i="4"/>
  <c r="E106" i="4"/>
  <c r="E103" i="4"/>
  <c r="E91" i="4"/>
  <c r="E88" i="4"/>
  <c r="E87" i="4"/>
  <c r="E86" i="4"/>
  <c r="E85" i="4"/>
  <c r="E84" i="4"/>
  <c r="E83" i="4"/>
  <c r="E82" i="4"/>
  <c r="E81" i="4"/>
  <c r="E80" i="4"/>
  <c r="E79" i="4"/>
  <c r="E77" i="4"/>
  <c r="E76" i="4"/>
  <c r="E75" i="4"/>
  <c r="E74" i="4"/>
  <c r="E65" i="4"/>
  <c r="E64" i="4"/>
  <c r="E63" i="4"/>
  <c r="E66" i="4" s="1"/>
  <c r="E57" i="4"/>
  <c r="E56" i="4"/>
  <c r="E54" i="4"/>
  <c r="E51" i="4"/>
  <c r="E146" i="4" l="1"/>
  <c r="D159" i="4"/>
  <c r="E159" i="4" s="1"/>
  <c r="E161" i="4" s="1"/>
  <c r="D152" i="4"/>
  <c r="E152" i="4" s="1"/>
  <c r="E154" i="4" s="1"/>
  <c r="D132" i="4"/>
  <c r="E132" i="4" s="1"/>
  <c r="D131" i="4"/>
  <c r="E131" i="4" s="1"/>
  <c r="D130" i="4"/>
  <c r="E130" i="4" s="1"/>
  <c r="D128" i="4"/>
  <c r="E128" i="4" s="1"/>
  <c r="D127" i="4"/>
  <c r="E127" i="4" s="1"/>
  <c r="D125" i="4"/>
  <c r="E125" i="4" s="1"/>
  <c r="D122" i="4"/>
  <c r="E122" i="4" s="1"/>
  <c r="D118" i="4"/>
  <c r="E118" i="4" s="1"/>
  <c r="D117" i="4"/>
  <c r="E117" i="4" s="1"/>
  <c r="D116" i="4"/>
  <c r="E116" i="4" s="1"/>
  <c r="D115" i="4"/>
  <c r="E115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90" i="4"/>
  <c r="E90" i="4" s="1"/>
  <c r="D89" i="4"/>
  <c r="E89" i="4" s="1"/>
  <c r="D78" i="4"/>
  <c r="E78" i="4" s="1"/>
  <c r="D73" i="4"/>
  <c r="E73" i="4" s="1"/>
  <c r="D72" i="4"/>
  <c r="E72" i="4" s="1"/>
  <c r="D71" i="4"/>
  <c r="E71" i="4" s="1"/>
  <c r="D70" i="4"/>
  <c r="E70" i="4" s="1"/>
  <c r="D69" i="4"/>
  <c r="E69" i="4" s="1"/>
  <c r="D58" i="4"/>
  <c r="E58" i="4" s="1"/>
  <c r="D59" i="4"/>
  <c r="E59" i="4" s="1"/>
  <c r="D55" i="4"/>
  <c r="E55" i="4" s="1"/>
  <c r="D53" i="4"/>
  <c r="E53" i="4" s="1"/>
  <c r="D52" i="4"/>
  <c r="E52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E95" i="4" l="1"/>
  <c r="E119" i="4"/>
  <c r="E133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<sst xmlns="http://schemas.openxmlformats.org/spreadsheetml/2006/main" count="391" uniqueCount="266">
  <si>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</si>
  <si>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</si>
  <si>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</si>
  <si>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</si>
  <si>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</si>
  <si>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</si>
  <si>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</si>
  <si>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</si>
  <si>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</si>
  <si>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</si>
  <si>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</si>
  <si>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</si>
  <si>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</si>
  <si>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</si>
  <si>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</si>
  <si>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</si>
  <si>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</si>
  <si>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</si>
  <si>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</si>
  <si>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</si>
  <si>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</si>
  <si>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</si>
  <si>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</si>
  <si>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</si>
  <si>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</si>
  <si>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</si>
  <si>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</si>
  <si>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</si>
  <si>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</si>
  <si>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</si>
  <si>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</si>
  <si>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</si>
  <si>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</si>
  <si>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</si>
  <si>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</si>
  <si>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</si>
  <si>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</si>
  <si>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</si>
  <si>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</si>
  <si>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</si>
  <si>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</si>
  <si>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</si>
  <si>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</si>
  <si>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</si>
  <si>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</si>
  <si>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</si>
  <si>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</si>
  <si>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</si>
  <si>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</si>
  <si>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</si>
  <si>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</si>
  <si>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</si>
  <si>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</si>
  <si>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</si>
  <si>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</si>
  <si>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</si>
  <si>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</si>
  <si>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</si>
  <si>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</si>
  <si>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</si>
  <si>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</si>
  <si>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</si>
  <si>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</si>
  <si>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</si>
  <si>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</si>
  <si>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</si>
  <si>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</si>
  <si>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</si>
  <si>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</si>
  <si>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</si>
  <si>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</si>
  <si>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</si>
  <si>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</si>
  <si>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</si>
  <si>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</si>
  <si>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</si>
  <si>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</si>
  <si>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</si>
  <si>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</si>
  <si>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</si>
  <si>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</si>
  <si>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</si>
  <si>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</si>
  <si>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</si>
  <si>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</si>
  <si>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</si>
  <si>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</si>
  <si>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</si>
  <si>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</si>
  <si>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</si>
  <si>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</si>
  <si>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</si>
  <si>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</si>
  <si>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</si>
  <si>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</si>
  <si>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</si>
  <si>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</si>
  <si>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</si>
  <si>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</si>
  <si>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</si>
  <si>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</si>
  <si>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</si>
  <si>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</si>
  <si>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</si>
  <si>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</si>
  <si>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</si>
  <si>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</si>
  <si>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</si>
  <si>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</si>
  <si>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</si>
  <si>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</si>
  <si>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</si>
  <si>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</si>
  <si>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</si>
  <si>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</si>
  <si>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</si>
  <si>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</si>
  <si>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</si>
  <si>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</si>
  <si>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</si>
  <si>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</si>
  <si>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</si>
  <si>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</si>
  <si>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</si>
  <si>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</si>
  <si>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</si>
  <si>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</si>
  <si>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</si>
  <si>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</si>
  <si>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</si>
  <si>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</si>
  <si>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</si>
  <si>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</si>
  <si>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</si>
  <si>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</si>
  <si>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</si>
  <si>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</si>
  <si>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</si>
  <si>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</si>
  <si>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</si>
  <si>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</si>
  <si>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</si>
  <si>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</si>
  <si>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</si>
  <si>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</si>
  <si>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</si>
  <si>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</si>
  <si>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</si>
  <si>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</si>
  <si>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</si>
  <si>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</si>
  <si>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</si>
  <si>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</si>
  <si>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</si>
  <si>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</si>
  <si>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</si>
  <si>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</si>
  <si>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</si>
  <si>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</si>
  <si>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</si>
  <si>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</si>
  <si>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</si>
  <si>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</si>
  <si>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</si>
  <si>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</si>
  <si>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</si>
  <si>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</si>
  <si>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</si>
  <si>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</si>
  <si>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</si>
  <si>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</si>
  <si>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</si>
  <si>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</si>
  <si>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</si>
  <si>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</si>
  <si>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</si>
  <si>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</si>
  <si>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</si>
  <si>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</si>
  <si>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</si>
  <si>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</si>
  <si>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</si>
  <si>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</si>
  <si>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</si>
  <si>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</si>
  <si>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</si>
  <si>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</si>
  <si>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</si>
  <si>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</si>
  <si>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</si>
  <si>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</si>
  <si>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</si>
  <si>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</si>
  <si>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</si>
  <si>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</si>
  <si>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</si>
  <si>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</si>
  <si>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</si>
  <si>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</si>
  <si>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</si>
  <si>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</si>
  <si>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</si>
  <si>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</si>
  <si>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</si>
  <si>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</si>
  <si>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</si>
  <si>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</si>
  <si>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</si>
  <si>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</si>
  <si>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</si>
  <si>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</si>
  <si>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</si>
  <si>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</si>
  <si>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</si>
  <si>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</si>
  <si>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</si>
  <si>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</si>
  <si>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</si>
  <si>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</si>
  <si>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</si>
  <si>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</si>
  <si>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</si>
  <si>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</si>
  <si>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</si>
  <si>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</si>
  <si>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</si>
  <si>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</si>
  <si>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</si>
  <si>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</si>
  <si>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</si>
  <si>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</si>
  <si>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</si>
  <si>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</si>
  <si>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</si>
  <si>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</si>
  <si>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</si>
  <si>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</si>
  <si>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</si>
  <si>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</si>
  <si>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</si>
  <si>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</si>
  <si>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</si>
  <si>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</si>
  <si>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</si>
  <si>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</si>
  <si>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</si>
  <si>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</si>
  <si>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</si>
  <si>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00000000000 피겨쇼트트랙경기장 건설공사</t>
    <phoneticPr fontId="2" type="noConversion"/>
  </si>
  <si>
    <t>문화및집회</t>
  </si>
  <si>
    <t>강원도</t>
  </si>
  <si>
    <t>부대조경공사</t>
    <phoneticPr fontId="2" type="noConversion"/>
  </si>
  <si>
    <t>부대공사,부대토목공사</t>
    <phoneticPr fontId="2" type="noConversion"/>
  </si>
  <si>
    <t>창호및유리공사</t>
    <phoneticPr fontId="2" type="noConversion"/>
  </si>
  <si>
    <t>토및지정공사,기타공사,골재대</t>
    <phoneticPr fontId="2" type="noConversion"/>
  </si>
  <si>
    <t>공조배관공사,사이포닉우수설치공사,우수처리시설공사,패브릭덕트설치공사</t>
    <phoneticPr fontId="2" type="noConversion"/>
  </si>
  <si>
    <t>전력제어설비공사,조명제어설비공사</t>
    <phoneticPr fontId="2" type="noConversion"/>
  </si>
  <si>
    <t>주경기장조명설비공사,보조경기장조명설비공사,태양광설비공사,가설사무소,경관조명설비공사</t>
    <phoneticPr fontId="2" type="noConversion"/>
  </si>
  <si>
    <t>CCTV설비공사,주차관제설비공사,시계설비공사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</si>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</sst>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32184</v>
      </c>
      <c r="D7" s="36">
        <f>+C7/3.3058</f>
        <v>9735.6161897271468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19620</v>
      </c>
      <c r="E24" s="58">
        <f t="shared" ref="E24:E33" si="0">TRUNC(+D24*3.3058,-1)</f>
        <v>64850</v>
      </c>
    </row>
    <row r="25" spans="1:5" x14ac:dyDescent="0.3">
      <c r="B25" s="2">
        <v>2</v>
      </c>
      <c r="C25" s="35" t="s">
        <v>111</v>
      </c>
      <c r="D25" s="45">
        <f>+D60</f>
        <v>1590550</v>
      </c>
      <c r="E25" s="59">
        <f t="shared" si="0"/>
        <v>5258040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395440</v>
      </c>
      <c r="E27" s="59">
        <f t="shared" si="0"/>
        <v>1307240</v>
      </c>
    </row>
    <row r="28" spans="1:5" x14ac:dyDescent="0.3">
      <c r="B28" s="2">
        <v>5</v>
      </c>
      <c r="C28" s="35" t="s">
        <v>97</v>
      </c>
      <c r="D28" s="45">
        <f>+D119</f>
        <v>358200</v>
      </c>
      <c r="E28" s="59">
        <f t="shared" si="0"/>
        <v>1184130</v>
      </c>
    </row>
    <row r="29" spans="1:5" x14ac:dyDescent="0.3">
      <c r="B29" s="2">
        <v>6</v>
      </c>
      <c r="C29" s="35" t="s">
        <v>98</v>
      </c>
      <c r="D29" s="45">
        <f>+D133</f>
        <v>126760</v>
      </c>
      <c r="E29" s="59">
        <f t="shared" si="0"/>
        <v>419040</v>
      </c>
    </row>
    <row r="30" spans="1:5" x14ac:dyDescent="0.3">
      <c r="B30" s="2">
        <v>7</v>
      </c>
      <c r="C30" s="35" t="s">
        <v>99</v>
      </c>
      <c r="D30" s="45">
        <f>+D146</f>
        <v>58060</v>
      </c>
      <c r="E30" s="59">
        <f t="shared" si="0"/>
        <v>191930</v>
      </c>
    </row>
    <row r="31" spans="1:5" x14ac:dyDescent="0.3">
      <c r="B31" s="2">
        <v>8</v>
      </c>
      <c r="C31" s="35" t="s">
        <v>100</v>
      </c>
      <c r="D31" s="45">
        <f>+D154</f>
        <v>75130</v>
      </c>
      <c r="E31" s="59">
        <f t="shared" si="0"/>
        <v>248360</v>
      </c>
    </row>
    <row r="32" spans="1:5" x14ac:dyDescent="0.3">
      <c r="B32" s="2">
        <v>9</v>
      </c>
      <c r="C32" s="35" t="s">
        <v>101</v>
      </c>
      <c r="D32" s="45">
        <f>+D161</f>
        <v>47710</v>
      </c>
      <c r="E32" s="59">
        <f t="shared" si="0"/>
        <v>157710</v>
      </c>
    </row>
    <row r="33" spans="1:7" x14ac:dyDescent="0.3">
      <c r="B33" s="2">
        <v>10</v>
      </c>
      <c r="C33" s="35" t="s">
        <v>154</v>
      </c>
      <c r="D33" s="53">
        <f>TRUNC(SUM(D24:D32)*0.275,-1)</f>
        <v>734650</v>
      </c>
      <c r="E33" s="60">
        <f t="shared" si="0"/>
        <v>2428600</v>
      </c>
    </row>
    <row r="34" spans="1:7" x14ac:dyDescent="0.3">
      <c r="C34" s="35" t="s">
        <v>112</v>
      </c>
      <c r="D34" s="44">
        <f>SUM(D24:D33)</f>
        <v>3406120</v>
      </c>
      <c r="E34" s="44">
        <f>SUM(E24:E33)</f>
        <v>11259900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TRUNC(19626,-1)</f>
        <v>19620</v>
      </c>
      <c r="E37" s="61">
        <f>TRUNC(+D37*3.3058,-1)</f>
        <v>64850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TRUNC(50399,-1)</f>
        <v>50390</v>
      </c>
      <c r="E40" s="62">
        <f t="shared" ref="E40:E59" si="1">TRUNC(+D40*3.3058,-1)</f>
        <v>166570</v>
      </c>
    </row>
    <row r="41" spans="1:7" x14ac:dyDescent="0.3">
      <c r="A41" s="2">
        <v>2</v>
      </c>
      <c r="C41" s="38" t="s">
        <v>13</v>
      </c>
      <c r="D41" s="42">
        <f>TRUNC(118454,-1)</f>
        <v>118450</v>
      </c>
      <c r="E41" s="63">
        <f t="shared" si="1"/>
        <v>391570</v>
      </c>
    </row>
    <row r="42" spans="1:7" x14ac:dyDescent="0.3">
      <c r="A42" s="2">
        <v>3</v>
      </c>
      <c r="C42" s="38" t="s">
        <v>14</v>
      </c>
      <c r="D42" s="42">
        <f>TRUNC(172458,-1)</f>
        <v>172450</v>
      </c>
      <c r="E42" s="63">
        <f t="shared" si="1"/>
        <v>570080</v>
      </c>
    </row>
    <row r="43" spans="1:7" x14ac:dyDescent="0.3">
      <c r="A43" s="2">
        <v>4</v>
      </c>
      <c r="C43" s="38" t="s">
        <v>16</v>
      </c>
      <c r="D43" s="42">
        <f>TRUNC(17374,-1)</f>
        <v>17370</v>
      </c>
      <c r="E43" s="63">
        <f t="shared" si="1"/>
        <v>57420</v>
      </c>
    </row>
    <row r="44" spans="1:7" x14ac:dyDescent="0.3">
      <c r="A44" s="2">
        <v>5</v>
      </c>
      <c r="C44" s="38" t="s">
        <v>17</v>
      </c>
      <c r="D44" s="42">
        <f>TRUNC(20285,-1)</f>
        <v>20280</v>
      </c>
      <c r="E44" s="63">
        <f t="shared" si="1"/>
        <v>67040</v>
      </c>
    </row>
    <row r="45" spans="1:7" x14ac:dyDescent="0.3">
      <c r="A45" s="2">
        <v>6</v>
      </c>
      <c r="C45" s="38" t="s">
        <v>18</v>
      </c>
      <c r="D45" s="42">
        <f>TRUNC(5320,-1)</f>
        <v>5320</v>
      </c>
      <c r="E45" s="63">
        <f t="shared" si="1"/>
        <v>17580</v>
      </c>
    </row>
    <row r="46" spans="1:7" x14ac:dyDescent="0.3">
      <c r="A46" s="2">
        <v>7</v>
      </c>
      <c r="C46" s="38" t="s">
        <v>19</v>
      </c>
      <c r="D46" s="42">
        <f>TRUNC(3706,-1)</f>
        <v>3700</v>
      </c>
      <c r="E46" s="63">
        <f t="shared" si="1"/>
        <v>12230</v>
      </c>
    </row>
    <row r="47" spans="1:7" x14ac:dyDescent="0.3">
      <c r="A47" s="2">
        <v>8</v>
      </c>
      <c r="C47" s="38" t="s">
        <v>20</v>
      </c>
      <c r="D47" s="42">
        <f>TRUNC(4167,-1)</f>
        <v>4160</v>
      </c>
      <c r="E47" s="63">
        <f t="shared" si="1"/>
        <v>13750</v>
      </c>
    </row>
    <row r="48" spans="1:7" x14ac:dyDescent="0.3">
      <c r="A48" s="2">
        <v>9</v>
      </c>
      <c r="C48" s="38" t="s">
        <v>21</v>
      </c>
      <c r="D48" s="42">
        <f>TRUNC(63133,-1)</f>
        <v>63130</v>
      </c>
      <c r="E48" s="63">
        <f t="shared" si="1"/>
        <v>208690</v>
      </c>
    </row>
    <row r="49" spans="1:7" x14ac:dyDescent="0.3">
      <c r="A49" s="2">
        <v>10</v>
      </c>
      <c r="C49" s="38" t="s">
        <v>22</v>
      </c>
      <c r="D49" s="42">
        <f>TRUNC(14416,-1)</f>
        <v>14410</v>
      </c>
      <c r="E49" s="63">
        <f t="shared" si="1"/>
        <v>47630</v>
      </c>
    </row>
    <row r="50" spans="1:7" x14ac:dyDescent="0.3">
      <c r="A50" s="2">
        <v>11</v>
      </c>
      <c r="C50" s="38" t="s">
        <v>155</v>
      </c>
      <c r="D50" s="42">
        <f>TRUNC(41063,-1)</f>
        <v>41060</v>
      </c>
      <c r="E50" s="63">
        <f t="shared" si="1"/>
        <v>135730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TRUNC(14407,-1)</f>
        <v>14400</v>
      </c>
      <c r="E52" s="63">
        <f t="shared" si="1"/>
        <v>47600</v>
      </c>
    </row>
    <row r="53" spans="1:7" x14ac:dyDescent="0.3">
      <c r="A53" s="2">
        <v>14</v>
      </c>
      <c r="C53" s="38" t="s">
        <v>25</v>
      </c>
      <c r="D53" s="42">
        <f>TRUNC(107656,-1)</f>
        <v>107650</v>
      </c>
      <c r="E53" s="63">
        <f t="shared" si="1"/>
        <v>355860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TRUNC(64649,-1)</f>
        <v>64640</v>
      </c>
      <c r="E55" s="63">
        <f t="shared" si="1"/>
        <v>213680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TRUNC(31177+97889+961,-1)</f>
        <v>130020</v>
      </c>
      <c r="E58" s="63">
        <f t="shared" si="1"/>
        <v>429820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TRUNC(763124,-1)</f>
        <v>763120</v>
      </c>
      <c r="E59" s="64">
        <f t="shared" si="1"/>
        <v>2522720</v>
      </c>
    </row>
    <row r="60" spans="1:7" x14ac:dyDescent="0.3">
      <c r="A60" s="2">
        <v>21</v>
      </c>
      <c r="C60" s="27" t="s">
        <v>112</v>
      </c>
      <c r="D60" s="39">
        <f>SUM(D40:D59)</f>
        <v>1590550</v>
      </c>
      <c r="E60" s="39">
        <f>SUM(E40:E59)</f>
        <v>5257970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TRUNC(7080,-1)</f>
        <v>7080</v>
      </c>
      <c r="E69" s="62">
        <f t="shared" ref="E69:E94" si="2">TRUNC(+D69*3.3058,-1)</f>
        <v>23400</v>
      </c>
    </row>
    <row r="70" spans="1:7" ht="16.5" customHeight="1" x14ac:dyDescent="0.3">
      <c r="A70" s="2">
        <v>2</v>
      </c>
      <c r="C70" s="38" t="s">
        <v>31</v>
      </c>
      <c r="D70" s="42">
        <f>TRUNC(28,-1)</f>
        <v>20</v>
      </c>
      <c r="E70" s="63">
        <f t="shared" si="2"/>
        <v>60</v>
      </c>
    </row>
    <row r="71" spans="1:7" x14ac:dyDescent="0.3">
      <c r="A71" s="2">
        <v>3</v>
      </c>
      <c r="C71" s="38" t="s">
        <v>32</v>
      </c>
      <c r="D71" s="42">
        <f>TRUNC(17491,-1)</f>
        <v>17490</v>
      </c>
      <c r="E71" s="63">
        <f t="shared" si="2"/>
        <v>57810</v>
      </c>
    </row>
    <row r="72" spans="1:7" x14ac:dyDescent="0.3">
      <c r="A72" s="2">
        <v>4</v>
      </c>
      <c r="C72" s="38" t="s">
        <v>33</v>
      </c>
      <c r="D72" s="42">
        <f>TRUNC(1883,-1)</f>
        <v>1880</v>
      </c>
      <c r="E72" s="63">
        <f t="shared" si="2"/>
        <v>6210</v>
      </c>
    </row>
    <row r="73" spans="1:7" x14ac:dyDescent="0.3">
      <c r="A73" s="2">
        <v>5</v>
      </c>
      <c r="C73" s="38" t="s">
        <v>34</v>
      </c>
      <c r="D73" s="42">
        <f>TRUNC(4458,-1)</f>
        <v>4450</v>
      </c>
      <c r="E73" s="63">
        <f t="shared" si="2"/>
        <v>14710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TRUNC(44182,-1)</f>
        <v>44180</v>
      </c>
      <c r="E78" s="63">
        <f t="shared" si="2"/>
        <v>146050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TRUNC(2844,-1)</f>
        <v>2840</v>
      </c>
      <c r="E89" s="63">
        <f t="shared" si="2"/>
        <v>9380</v>
      </c>
    </row>
    <row r="90" spans="1:7" x14ac:dyDescent="0.3">
      <c r="A90" s="2">
        <v>22</v>
      </c>
      <c r="C90" s="38" t="s">
        <v>36</v>
      </c>
      <c r="D90" s="42">
        <f>TRUNC(1738,-1)</f>
        <v>1730</v>
      </c>
      <c r="E90" s="63">
        <f t="shared" si="2"/>
        <v>5710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TRUNC(4599,-1)</f>
        <v>4590</v>
      </c>
      <c r="E92" s="63">
        <f t="shared" si="2"/>
        <v>15170</v>
      </c>
    </row>
    <row r="93" spans="1:7" x14ac:dyDescent="0.3">
      <c r="A93" s="2">
        <v>25</v>
      </c>
      <c r="C93" s="38" t="s">
        <v>148</v>
      </c>
      <c r="D93" s="42">
        <f>TRUNC(277846,-1)</f>
        <v>277840</v>
      </c>
      <c r="E93" s="63">
        <f t="shared" si="2"/>
        <v>918480</v>
      </c>
    </row>
    <row r="94" spans="1:7" ht="17.25" thickBot="1" x14ac:dyDescent="0.35">
      <c r="A94" s="2">
        <v>26</v>
      </c>
      <c r="C94" s="38" t="s">
        <v>47</v>
      </c>
      <c r="D94" s="43">
        <f>TRUNC(16917+8015+2992+5424,-1)</f>
        <v>33340</v>
      </c>
      <c r="E94" s="64">
        <f t="shared" si="2"/>
        <v>110210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395440</v>
      </c>
      <c r="E95" s="39">
        <f>SUM(E69:E94)</f>
        <v>1307190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TRUNC(48371,-1)</f>
        <v>48370</v>
      </c>
      <c r="E98" s="62">
        <f t="shared" ref="E98:E118" si="3">TRUNC(+D98*3.3058,-1)</f>
        <v>159900</v>
      </c>
    </row>
    <row r="99" spans="1:7" x14ac:dyDescent="0.3">
      <c r="A99" s="2">
        <v>2</v>
      </c>
      <c r="C99" s="38" t="s">
        <v>40</v>
      </c>
      <c r="D99" s="42">
        <f>TRUNC(10258,-1)</f>
        <v>10250</v>
      </c>
      <c r="E99" s="63">
        <f t="shared" si="3"/>
        <v>33880</v>
      </c>
    </row>
    <row r="100" spans="1:7" x14ac:dyDescent="0.3">
      <c r="A100" s="2">
        <v>3</v>
      </c>
      <c r="C100" s="38" t="s">
        <v>41</v>
      </c>
      <c r="D100" s="42">
        <f>TRUNC(26466,-1)</f>
        <v>26460</v>
      </c>
      <c r="E100" s="63">
        <f t="shared" si="3"/>
        <v>87470</v>
      </c>
    </row>
    <row r="101" spans="1:7" x14ac:dyDescent="0.3">
      <c r="A101" s="2">
        <v>4</v>
      </c>
      <c r="C101" s="38" t="s">
        <v>42</v>
      </c>
      <c r="D101" s="42">
        <f>TRUNC(530+2217,-1)</f>
        <v>2740</v>
      </c>
      <c r="E101" s="63">
        <f t="shared" si="3"/>
        <v>9050</v>
      </c>
      <c r="F101" s="2" t="s">
        <v>256</v>
      </c>
    </row>
    <row r="102" spans="1:7" x14ac:dyDescent="0.3">
      <c r="A102" s="2">
        <v>5</v>
      </c>
      <c r="C102" s="38" t="s">
        <v>43</v>
      </c>
      <c r="D102" s="42">
        <f>TRUNC(7702,-1)</f>
        <v>7700</v>
      </c>
      <c r="E102" s="63">
        <f t="shared" si="3"/>
        <v>25450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TRUNC(3113,-1)</f>
        <v>3110</v>
      </c>
      <c r="E104" s="63">
        <f t="shared" si="3"/>
        <v>10280</v>
      </c>
    </row>
    <row r="105" spans="1:7" x14ac:dyDescent="0.3">
      <c r="A105" s="2">
        <v>8</v>
      </c>
      <c r="C105" s="38" t="s">
        <v>46</v>
      </c>
      <c r="D105" s="42">
        <f>TRUNC(8066,-1)</f>
        <v>8060</v>
      </c>
      <c r="E105" s="63">
        <f t="shared" si="3"/>
        <v>26640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TRUNC(5263,-1)</f>
        <v>5260</v>
      </c>
      <c r="E114" s="63">
        <f t="shared" si="3"/>
        <v>17380</v>
      </c>
    </row>
    <row r="115" spans="1:7" x14ac:dyDescent="0.3">
      <c r="A115" s="2">
        <v>18</v>
      </c>
      <c r="C115" s="38" t="s">
        <v>116</v>
      </c>
      <c r="D115" s="42">
        <f>TRUNC(20541,-1)</f>
        <v>20540</v>
      </c>
      <c r="E115" s="63">
        <f t="shared" si="3"/>
        <v>67900</v>
      </c>
    </row>
    <row r="116" spans="1:7" x14ac:dyDescent="0.3">
      <c r="A116" s="2">
        <v>19</v>
      </c>
      <c r="C116" s="38" t="s">
        <v>115</v>
      </c>
      <c r="D116" s="42">
        <f>TRUNC(942,-1)</f>
        <v>940</v>
      </c>
      <c r="E116" s="63">
        <f t="shared" si="3"/>
        <v>3100</v>
      </c>
    </row>
    <row r="117" spans="1:7" x14ac:dyDescent="0.3">
      <c r="A117" s="2">
        <v>20</v>
      </c>
      <c r="C117" s="38" t="s">
        <v>148</v>
      </c>
      <c r="D117" s="42">
        <f>TRUNC(219826,-1)</f>
        <v>219820</v>
      </c>
      <c r="E117" s="63">
        <f t="shared" si="3"/>
        <v>726680</v>
      </c>
    </row>
    <row r="118" spans="1:7" ht="17.25" thickBot="1" x14ac:dyDescent="0.35">
      <c r="A118" s="2">
        <v>21</v>
      </c>
      <c r="C118" s="38" t="s">
        <v>47</v>
      </c>
      <c r="D118" s="43">
        <f>TRUNC(523+1518+61+249+2605,-1)</f>
        <v>4950</v>
      </c>
      <c r="E118" s="64">
        <f t="shared" si="3"/>
        <v>16360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358200</v>
      </c>
      <c r="E119" s="39">
        <f>SUM(E98:E118)</f>
        <v>1184090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TRUNC(2434,-1)</f>
        <v>2430</v>
      </c>
      <c r="E122" s="62">
        <f t="shared" ref="E122:E132" si="4">TRUNC(+D122*3.3058,-1)</f>
        <v>8030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TRUNC(3960,-1)</f>
        <v>3960</v>
      </c>
      <c r="E125" s="63">
        <f t="shared" si="4"/>
        <v>13090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TRUNC(3168,-1)</f>
        <v>3160</v>
      </c>
      <c r="E127" s="63">
        <f t="shared" si="4"/>
        <v>10440</v>
      </c>
    </row>
    <row r="128" spans="1:7" x14ac:dyDescent="0.3">
      <c r="A128" s="2">
        <v>7</v>
      </c>
      <c r="C128" s="38" t="s">
        <v>46</v>
      </c>
      <c r="D128" s="42">
        <f>TRUNC(6605,-1)</f>
        <v>6600</v>
      </c>
      <c r="E128" s="63">
        <f t="shared" si="4"/>
        <v>21810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TRUNC(14151,-1)</f>
        <v>14150</v>
      </c>
      <c r="E130" s="63">
        <f t="shared" si="4"/>
        <v>46770</v>
      </c>
    </row>
    <row r="131" spans="1:7" x14ac:dyDescent="0.3">
      <c r="A131" s="2">
        <v>10</v>
      </c>
      <c r="C131" s="38" t="s">
        <v>148</v>
      </c>
      <c r="D131" s="42">
        <f>TRUNC(93724,-1)</f>
        <v>93720</v>
      </c>
      <c r="E131" s="63">
        <f t="shared" si="4"/>
        <v>309810</v>
      </c>
    </row>
    <row r="132" spans="1:7" ht="18" thickBot="1" x14ac:dyDescent="0.35">
      <c r="A132" s="2">
        <v>11</v>
      </c>
      <c r="C132" s="38" t="s">
        <v>47</v>
      </c>
      <c r="D132" s="43">
        <f>TRUNC(1925+701+115,-1)</f>
        <v>2740</v>
      </c>
      <c r="E132" s="64">
        <f t="shared" si="4"/>
        <v>9050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126760</v>
      </c>
      <c r="E133" s="39">
        <f>SUM(E122:E132)</f>
        <v>419000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TRUNC(35944,-1)</f>
        <v>35940</v>
      </c>
      <c r="E136" s="62">
        <f t="shared" ref="E136:E145" si="5">TRUNC(+D136*3.3058,-1)</f>
        <v>118810</v>
      </c>
      <c r="F136" s="2" t="s">
        <v>260</v>
      </c>
    </row>
    <row r="137" spans="1:7" x14ac:dyDescent="0.3">
      <c r="A137" s="2">
        <v>2</v>
      </c>
      <c r="C137" s="38" t="s">
        <v>47</v>
      </c>
      <c r="D137" s="42">
        <f>TRUNC(22124,-1)</f>
        <v>22120</v>
      </c>
      <c r="E137" s="63">
        <f t="shared" si="5"/>
        <v>73120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58060</v>
      </c>
      <c r="E146" s="39">
        <f>SUM(E136:E145)</f>
        <v>191930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TRUNC(2412+72725,-1)</f>
        <v>75130</v>
      </c>
      <c r="E152" s="63">
        <f>TRUNC(+D152*3.3058,-1)</f>
        <v>248360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75130</v>
      </c>
      <c r="E154" s="39">
        <f>SUM(E149:E153)</f>
        <v>248360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TRUNC(47712,-1)</f>
        <v>47710</v>
      </c>
      <c r="E159" s="63">
        <f>TRUNC(+D159*3.3058,-1)</f>
        <v>157710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47710</v>
      </c>
      <c r="E161" s="39">
        <f>SUM(E157:E160)</f>
        <v>157710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2020-12-07T09:52:36Z</dcterms:modified>
</cp:coreProperties>
</file>