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28" i="4"/>
  <c r="D125" i="4"/>
  <c r="D122" i="4"/>
  <c r="D123" i="4"/>
  <c r="D132" i="4"/>
  <c r="D118" i="4"/>
  <c r="D104" i="4"/>
  <c r="D108" i="4"/>
  <c r="D101" i="4"/>
  <c r="D100" i="4"/>
  <c r="D102" i="4"/>
  <c r="D99" i="4"/>
  <c r="D105" i="4"/>
  <c r="D98" i="4"/>
  <c r="D116" i="4"/>
  <c r="D84" i="4"/>
  <c r="D72" i="4"/>
  <c r="D91" i="4"/>
  <c r="D89" i="4"/>
  <c r="D73" i="4"/>
  <c r="D69" i="4"/>
  <c r="D58" i="4"/>
  <c r="D55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7" i="4"/>
  <c r="D137" i="4"/>
  <c r="D136" i="4"/>
  <c r="D152" i="4"/>
  <c r="D1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19" i="4"/>
  <c r="E95" i="4"/>
  <c r="E60" i="4"/>
  <c r="E146" i="4"/>
  <c r="E154" i="4"/>
  <c r="D161" i="4"/>
  <c r="D32" i="4" s="1"/>
  <c r="E32" i="4" s="1"/>
  <c r="D154" i="4"/>
  <c r="D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<sst xmlns="http://schemas.openxmlformats.org/spreadsheetml/2006/main" count="398" uniqueCount="273">
  <si>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</si>
  <si>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</si>
  <si>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</si>
  <si>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</si>
  <si>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</si>
  <si>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</si>
  <si>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</si>
  <si>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</si>
  <si>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</si>
  <si>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</si>
  <si>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</si>
  <si>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</si>
  <si>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</si>
  <si>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</si>
  <si>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</si>
  <si>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</si>
  <si>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</si>
  <si>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</si>
  <si>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</si>
  <si>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</si>
  <si>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</si>
  <si>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</si>
  <si>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</si>
  <si>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</si>
  <si>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</si>
  <si>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</si>
  <si>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</si>
  <si>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</si>
  <si>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</si>
  <si>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</si>
  <si>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</si>
  <si>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</si>
  <si>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</si>
  <si>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</si>
  <si>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</si>
  <si>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</si>
  <si>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</si>
  <si>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</si>
  <si>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</si>
  <si>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</si>
  <si>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</si>
  <si>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</si>
  <si>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</si>
  <si>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</si>
  <si>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</si>
  <si>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</si>
  <si>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</si>
  <si>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</si>
  <si>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</si>
  <si>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</si>
  <si>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</si>
  <si>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</si>
  <si>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</si>
  <si>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</si>
  <si>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</si>
  <si>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</si>
  <si>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</si>
  <si>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</si>
  <si>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</si>
  <si>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</si>
  <si>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</si>
  <si>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</si>
  <si>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</si>
  <si>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</si>
  <si>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</si>
  <si>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</si>
  <si>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</si>
  <si>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</si>
  <si>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</si>
  <si>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</si>
  <si>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</si>
  <si>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</si>
  <si>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</si>
  <si>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</si>
  <si>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</si>
  <si>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</si>
  <si>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</si>
  <si>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</si>
  <si>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</si>
  <si>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</si>
  <si>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</si>
  <si>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</si>
  <si>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</si>
  <si>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</si>
  <si>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</si>
  <si>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</si>
  <si>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</si>
  <si>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</si>
  <si>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</si>
  <si>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</si>
  <si>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</si>
  <si>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</si>
  <si>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</si>
  <si>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</si>
  <si>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</si>
  <si>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</si>
  <si>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</si>
  <si>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</si>
  <si>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</si>
  <si>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</si>
  <si>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</si>
  <si>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</si>
  <si>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</si>
  <si>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</si>
  <si>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</si>
  <si>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</si>
  <si>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</si>
  <si>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</si>
  <si>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</si>
  <si>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</si>
  <si>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</si>
  <si>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</si>
  <si>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</si>
  <si>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</si>
  <si>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</si>
  <si>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</si>
  <si>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</si>
  <si>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</si>
  <si>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</si>
  <si>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</si>
  <si>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</si>
  <si>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</si>
  <si>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</si>
  <si>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</si>
  <si>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</si>
  <si>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</si>
  <si>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</si>
  <si>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</si>
  <si>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</si>
  <si>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</si>
  <si>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</si>
  <si>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</si>
  <si>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</si>
  <si>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</si>
  <si>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</si>
  <si>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</si>
  <si>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</si>
  <si>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</si>
  <si>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</si>
  <si>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</si>
  <si>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</si>
  <si>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</si>
  <si>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</si>
  <si>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</si>
  <si>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</si>
  <si>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</si>
  <si>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</si>
  <si>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</si>
  <si>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</si>
  <si>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</si>
  <si>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</si>
  <si>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</si>
  <si>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</si>
  <si>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</si>
  <si>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</si>
  <si>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</si>
  <si>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</si>
  <si>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</si>
  <si>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</si>
  <si>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</si>
  <si>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</si>
  <si>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</si>
  <si>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</si>
  <si>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</si>
  <si>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</si>
  <si>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</si>
  <si>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</si>
  <si>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</si>
  <si>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</si>
  <si>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</si>
  <si>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</si>
  <si>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</si>
  <si>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</si>
  <si>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</si>
  <si>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</si>
  <si>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</si>
  <si>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</si>
  <si>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</si>
  <si>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</si>
  <si>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</si>
  <si>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</si>
  <si>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</si>
  <si>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</si>
  <si>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</si>
  <si>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</si>
  <si>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</si>
  <si>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</si>
  <si>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</si>
  <si>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</si>
  <si>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</si>
  <si>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</si>
  <si>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</si>
  <si>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</si>
  <si>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</si>
  <si>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</si>
  <si>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</si>
  <si>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</si>
  <si>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</si>
  <si>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</si>
  <si>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</si>
  <si>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</si>
  <si>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</si>
  <si>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</si>
  <si>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</si>
  <si>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</si>
  <si>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</si>
  <si>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</si>
  <si>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</si>
  <si>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</si>
  <si>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</si>
  <si>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</si>
  <si>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</si>
  <si>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</si>
  <si>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</si>
  <si>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</si>
  <si>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</si>
  <si>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</si>
  <si>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</si>
  <si>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</si>
  <si>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</si>
  <si>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</si>
  <si>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</si>
  <si>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</si>
  <si>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</si>
  <si>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</si>
  <si>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</si>
  <si>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</si>
  <si>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</si>
  <si>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</si>
  <si>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</si>
  <si>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</si>
  <si>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</si>
  <si>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</si>
  <si>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</si>
  <si>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</si>
  <si>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</si>
  <si>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</si>
  <si>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</si>
  <si>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</si>
  <si>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</si>
  <si>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</si>
  <si>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</si>
  <si>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</si>
  <si>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</si>
  <si>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</si>
  <si>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</si>
  <si>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</si>
  <si>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</si>
  <si>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00중학교 신축공사</t>
    <phoneticPr fontId="2" type="noConversion"/>
  </si>
  <si>
    <t>교육연구</t>
  </si>
  <si>
    <t>제주도</t>
  </si>
  <si>
    <t>기계 소화설비공사</t>
    <phoneticPr fontId="2" type="noConversion"/>
  </si>
  <si>
    <t>전기 소방공사</t>
    <phoneticPr fontId="2" type="noConversion"/>
  </si>
  <si>
    <t>부대토목공사</t>
    <phoneticPr fontId="2" type="noConversion"/>
  </si>
  <si>
    <t>부대조경공사</t>
    <phoneticPr fontId="2" type="noConversion"/>
  </si>
  <si>
    <t>지붕및홈통공사,지붕패널설치공사</t>
    <phoneticPr fontId="2" type="noConversion"/>
  </si>
  <si>
    <t>강당마루·강당무대·시청각실무대설치공사,건설폐기물상차비,부대공사,운반비,토및지정공사,판넬공사,품질시험비,EXPANSIONJOINTCOVER공사</t>
    <phoneticPr fontId="2" type="noConversion"/>
  </si>
  <si>
    <t>장비및위생도기설치공사</t>
    <phoneticPr fontId="2" type="noConversion"/>
  </si>
  <si>
    <t>덕트및환기배관공사</t>
    <phoneticPr fontId="2" type="noConversion"/>
  </si>
  <si>
    <t>냉난방설치부대공사</t>
    <phoneticPr fontId="2" type="noConversion"/>
  </si>
  <si>
    <t>우수처리시설설치공사,다목적강당디바이더설치공사,가설공사</t>
    <phoneticPr fontId="2" type="noConversion"/>
  </si>
  <si>
    <t>특고압인입설비공사</t>
    <phoneticPr fontId="2" type="noConversion"/>
  </si>
  <si>
    <t>조명및일반부하제어설비공사</t>
    <phoneticPr fontId="2" type="noConversion"/>
  </si>
  <si>
    <t>냉난방전원설비공사</t>
    <phoneticPr fontId="2" type="noConversion"/>
  </si>
  <si>
    <t>선풍기설비공사,주차관제설비공사,태양광발전설비공사,태양광발전장치구조물설치공사</t>
    <phoneticPr fontId="2" type="noConversion"/>
  </si>
  <si>
    <t>통신설비간선공사,음향및영상설비배관·배선공사,CCTV배관·배선공사</t>
    <phoneticPr fontId="2" type="noConversion"/>
  </si>
  <si>
    <t>전화설비공사,유선LAN설비공사,무선LAN설비공사</t>
    <phoneticPr fontId="2" type="noConversion"/>
  </si>
  <si>
    <t>전관방송설비공사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</si>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</sst>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13692</v>
      </c>
      <c r="D7" s="36">
        <f>+C7/3.3058</f>
        <v>4141.8113618488715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271</v>
      </c>
    </row>
    <row r="19" spans="1:5" x14ac:dyDescent="0.3">
      <c r="A19" s="2">
        <v>9</v>
      </c>
      <c r="B19" s="2" t="s">
        <v>272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1610</v>
      </c>
      <c r="E24" s="58">
        <f t="shared" ref="E24:E33" si="0">TRUNC(+D24*3.3058,-1)</f>
        <v>5320</v>
      </c>
    </row>
    <row r="25" spans="1:5" x14ac:dyDescent="0.3">
      <c r="B25" s="2">
        <v>2</v>
      </c>
      <c r="C25" s="35" t="s">
        <v>111</v>
      </c>
      <c r="D25" s="45">
        <f>+D60</f>
        <v>478940</v>
      </c>
      <c r="E25" s="59">
        <f t="shared" si="0"/>
        <v>1583270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52220</v>
      </c>
      <c r="E27" s="59">
        <f t="shared" si="0"/>
        <v>172620</v>
      </c>
    </row>
    <row r="28" spans="1:5" x14ac:dyDescent="0.3">
      <c r="B28" s="2">
        <v>5</v>
      </c>
      <c r="C28" s="35" t="s">
        <v>97</v>
      </c>
      <c r="D28" s="45">
        <f>+D119</f>
        <v>76650</v>
      </c>
      <c r="E28" s="59">
        <f t="shared" si="0"/>
        <v>253380</v>
      </c>
    </row>
    <row r="29" spans="1:5" x14ac:dyDescent="0.3">
      <c r="B29" s="2">
        <v>6</v>
      </c>
      <c r="C29" s="35" t="s">
        <v>98</v>
      </c>
      <c r="D29" s="45">
        <f>+D133</f>
        <v>29390</v>
      </c>
      <c r="E29" s="59">
        <f t="shared" si="0"/>
        <v>97150</v>
      </c>
    </row>
    <row r="30" spans="1:5" x14ac:dyDescent="0.3">
      <c r="B30" s="2">
        <v>7</v>
      </c>
      <c r="C30" s="35" t="s">
        <v>99</v>
      </c>
      <c r="D30" s="45">
        <f>+D146</f>
        <v>32340</v>
      </c>
      <c r="E30" s="59">
        <f t="shared" si="0"/>
        <v>106900</v>
      </c>
    </row>
    <row r="31" spans="1:5" x14ac:dyDescent="0.3">
      <c r="B31" s="2">
        <v>8</v>
      </c>
      <c r="C31" s="35" t="s">
        <v>100</v>
      </c>
      <c r="D31" s="45">
        <f>+D154</f>
        <v>30760</v>
      </c>
      <c r="E31" s="59">
        <f t="shared" si="0"/>
        <v>101680</v>
      </c>
    </row>
    <row r="32" spans="1:5" x14ac:dyDescent="0.3">
      <c r="B32" s="2">
        <v>9</v>
      </c>
      <c r="C32" s="35" t="s">
        <v>101</v>
      </c>
      <c r="D32" s="45">
        <f>+D161</f>
        <v>36080</v>
      </c>
      <c r="E32" s="59">
        <f t="shared" si="0"/>
        <v>119270</v>
      </c>
    </row>
    <row r="33" spans="1:7" x14ac:dyDescent="0.3">
      <c r="B33" s="2">
        <v>10</v>
      </c>
      <c r="C33" s="35" t="s">
        <v>154</v>
      </c>
      <c r="D33" s="53">
        <f>TRUNC(SUM(D24:D32)*0.275,-1)</f>
        <v>202940</v>
      </c>
      <c r="E33" s="60">
        <f t="shared" si="0"/>
        <v>670870</v>
      </c>
    </row>
    <row r="34" spans="1:7" x14ac:dyDescent="0.3">
      <c r="C34" s="35" t="s">
        <v>112</v>
      </c>
      <c r="D34" s="44">
        <f>SUM(D24:D33)</f>
        <v>940930</v>
      </c>
      <c r="E34" s="44">
        <f>SUM(E24:E33)</f>
        <v>3110460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TRUNC(1612,-1)</f>
        <v>1610</v>
      </c>
      <c r="E37" s="61">
        <f>TRUNC(+D37*3.3058,-1)</f>
        <v>5320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268</v>
      </c>
      <c r="E39" s="67" t="s">
        <v>269</v>
      </c>
      <c r="G39" s="68"/>
    </row>
    <row r="40" spans="1:7" x14ac:dyDescent="0.3">
      <c r="A40" s="2">
        <v>1</v>
      </c>
      <c r="C40" s="38" t="s">
        <v>15</v>
      </c>
      <c r="D40" s="40">
        <f>TRUNC(24441,-1)</f>
        <v>24440</v>
      </c>
      <c r="E40" s="62">
        <f t="shared" ref="E40:E59" si="1">TRUNC(+D40*3.3058,-1)</f>
        <v>80790</v>
      </c>
    </row>
    <row r="41" spans="1:7" x14ac:dyDescent="0.3">
      <c r="A41" s="2">
        <v>2</v>
      </c>
      <c r="C41" s="38" t="s">
        <v>13</v>
      </c>
      <c r="D41" s="42">
        <f>TRUNC(92579,-1)</f>
        <v>92570</v>
      </c>
      <c r="E41" s="63">
        <f t="shared" si="1"/>
        <v>306010</v>
      </c>
    </row>
    <row r="42" spans="1:7" x14ac:dyDescent="0.3">
      <c r="A42" s="2">
        <v>3</v>
      </c>
      <c r="C42" s="38" t="s">
        <v>14</v>
      </c>
      <c r="D42" s="42">
        <f>TRUNC(5871,-1)</f>
        <v>5870</v>
      </c>
      <c r="E42" s="63">
        <f t="shared" si="1"/>
        <v>19400</v>
      </c>
    </row>
    <row r="43" spans="1:7" x14ac:dyDescent="0.3">
      <c r="A43" s="2">
        <v>4</v>
      </c>
      <c r="C43" s="38" t="s">
        <v>16</v>
      </c>
      <c r="D43" s="42">
        <f>TRUNC(30004,-1)</f>
        <v>30000</v>
      </c>
      <c r="E43" s="63">
        <f t="shared" si="1"/>
        <v>99170</v>
      </c>
    </row>
    <row r="44" spans="1:7" x14ac:dyDescent="0.3">
      <c r="A44" s="2">
        <v>5</v>
      </c>
      <c r="C44" s="38" t="s">
        <v>17</v>
      </c>
      <c r="D44" s="42">
        <f>TRUNC(16549,-1)</f>
        <v>16540</v>
      </c>
      <c r="E44" s="63">
        <f t="shared" si="1"/>
        <v>54670</v>
      </c>
    </row>
    <row r="45" spans="1:7" x14ac:dyDescent="0.3">
      <c r="A45" s="2">
        <v>6</v>
      </c>
      <c r="C45" s="38" t="s">
        <v>18</v>
      </c>
      <c r="D45" s="42">
        <f>TRUNC(26193,-1)</f>
        <v>26190</v>
      </c>
      <c r="E45" s="63">
        <f t="shared" si="1"/>
        <v>86570</v>
      </c>
    </row>
    <row r="46" spans="1:7" x14ac:dyDescent="0.3">
      <c r="A46" s="2">
        <v>7</v>
      </c>
      <c r="C46" s="38" t="s">
        <v>19</v>
      </c>
      <c r="D46" s="42">
        <f>TRUNC(14846,-1)</f>
        <v>14840</v>
      </c>
      <c r="E46" s="63">
        <f t="shared" si="1"/>
        <v>49050</v>
      </c>
    </row>
    <row r="47" spans="1:7" x14ac:dyDescent="0.3">
      <c r="A47" s="2">
        <v>8</v>
      </c>
      <c r="C47" s="38" t="s">
        <v>20</v>
      </c>
      <c r="D47" s="42">
        <f>TRUNC(8815,-1)</f>
        <v>8810</v>
      </c>
      <c r="E47" s="63">
        <f t="shared" si="1"/>
        <v>29120</v>
      </c>
    </row>
    <row r="48" spans="1:7" x14ac:dyDescent="0.3">
      <c r="A48" s="2">
        <v>9</v>
      </c>
      <c r="C48" s="38" t="s">
        <v>21</v>
      </c>
      <c r="D48" s="42">
        <f>TRUNC(27005,-1)</f>
        <v>27000</v>
      </c>
      <c r="E48" s="63">
        <f t="shared" si="1"/>
        <v>89250</v>
      </c>
    </row>
    <row r="49" spans="1:7" x14ac:dyDescent="0.3">
      <c r="A49" s="2">
        <v>10</v>
      </c>
      <c r="C49" s="38" t="s">
        <v>22</v>
      </c>
      <c r="D49" s="42">
        <f>TRUNC(14570,-1)</f>
        <v>14570</v>
      </c>
      <c r="E49" s="63">
        <f t="shared" si="1"/>
        <v>48160</v>
      </c>
    </row>
    <row r="50" spans="1:7" x14ac:dyDescent="0.3">
      <c r="A50" s="2">
        <v>11</v>
      </c>
      <c r="C50" s="38" t="s">
        <v>155</v>
      </c>
      <c r="D50" s="42">
        <f>TRUNC(33200,-1)</f>
        <v>33200</v>
      </c>
      <c r="E50" s="63">
        <f t="shared" si="1"/>
        <v>109750</v>
      </c>
    </row>
    <row r="51" spans="1:7" x14ac:dyDescent="0.3">
      <c r="A51" s="2">
        <v>12</v>
      </c>
      <c r="C51" s="38" t="s">
        <v>23</v>
      </c>
      <c r="D51" s="42">
        <f>TRUNC(12784,-1)</f>
        <v>12780</v>
      </c>
      <c r="E51" s="63">
        <f t="shared" si="1"/>
        <v>42240</v>
      </c>
    </row>
    <row r="52" spans="1:7" x14ac:dyDescent="0.3">
      <c r="A52" s="2">
        <v>13</v>
      </c>
      <c r="C52" s="38" t="s">
        <v>24</v>
      </c>
      <c r="D52" s="42">
        <f>TRUNC(7631,-1)</f>
        <v>7630</v>
      </c>
      <c r="E52" s="63">
        <f t="shared" si="1"/>
        <v>25220</v>
      </c>
    </row>
    <row r="53" spans="1:7" x14ac:dyDescent="0.3">
      <c r="A53" s="2">
        <v>14</v>
      </c>
      <c r="C53" s="38" t="s">
        <v>25</v>
      </c>
      <c r="D53" s="42">
        <f>TRUNC(56748,-1)</f>
        <v>56740</v>
      </c>
      <c r="E53" s="63">
        <f t="shared" si="1"/>
        <v>187570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TRUNC(4255+10079,-1)</f>
        <v>14330</v>
      </c>
      <c r="E55" s="63">
        <f t="shared" si="1"/>
        <v>47370</v>
      </c>
      <c r="F55" s="2" t="s">
        <v>255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TRUNC(7652+49+3218+2189+35770+40608+1247+2699,-1)</f>
        <v>93430</v>
      </c>
      <c r="E58" s="63">
        <f t="shared" si="1"/>
        <v>308860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478940</v>
      </c>
      <c r="E60" s="39">
        <f>SUM(E40:E59)</f>
        <v>1583200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TRUNC(10939,-1)</f>
        <v>10930</v>
      </c>
      <c r="E69" s="62">
        <f t="shared" ref="E69:E94" si="2">TRUNC(+D69*3.3058,-1)</f>
        <v>36130</v>
      </c>
      <c r="F69" s="2" t="s">
        <v>257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TRUNC(414,-1)</f>
        <v>410</v>
      </c>
      <c r="E72" s="63">
        <f t="shared" si="2"/>
        <v>1350</v>
      </c>
    </row>
    <row r="73" spans="1:7" x14ac:dyDescent="0.3">
      <c r="A73" s="2">
        <v>5</v>
      </c>
      <c r="C73" s="38" t="s">
        <v>34</v>
      </c>
      <c r="D73" s="42">
        <f>TRUNC(19233,-1)</f>
        <v>19230</v>
      </c>
      <c r="E73" s="63">
        <f t="shared" si="2"/>
        <v>63570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TRUNC(3257,-1)</f>
        <v>3250</v>
      </c>
      <c r="E84" s="63">
        <f t="shared" si="2"/>
        <v>10740</v>
      </c>
      <c r="F84" s="2" t="s">
        <v>259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TRUNC(6620,-1)</f>
        <v>6620</v>
      </c>
      <c r="E89" s="63">
        <f t="shared" si="2"/>
        <v>21880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TRUNC(8052,-1)</f>
        <v>8050</v>
      </c>
      <c r="E91" s="63">
        <f t="shared" si="2"/>
        <v>26610</v>
      </c>
      <c r="F91" s="2" t="s">
        <v>258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TRUNC(2246+1393+94,-1)</f>
        <v>3730</v>
      </c>
      <c r="E94" s="64">
        <f t="shared" si="2"/>
        <v>12330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52220</v>
      </c>
      <c r="E95" s="39">
        <f>SUM(E69:E94)</f>
        <v>172610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TRUNC(8566,-1)</f>
        <v>8560</v>
      </c>
      <c r="E98" s="62">
        <f t="shared" ref="E98:E118" si="3">TRUNC(+D98*3.3058,-1)</f>
        <v>28290</v>
      </c>
    </row>
    <row r="99" spans="1:7" x14ac:dyDescent="0.3">
      <c r="A99" s="2">
        <v>2</v>
      </c>
      <c r="C99" s="38" t="s">
        <v>40</v>
      </c>
      <c r="D99" s="42">
        <f>TRUNC(2260,-1)</f>
        <v>2260</v>
      </c>
      <c r="E99" s="63">
        <f t="shared" si="3"/>
        <v>7470</v>
      </c>
    </row>
    <row r="100" spans="1:7" x14ac:dyDescent="0.3">
      <c r="A100" s="2">
        <v>3</v>
      </c>
      <c r="C100" s="38" t="s">
        <v>41</v>
      </c>
      <c r="D100" s="42">
        <f>TRUNC(23586,-1)</f>
        <v>23580</v>
      </c>
      <c r="E100" s="63">
        <f t="shared" si="3"/>
        <v>77950</v>
      </c>
    </row>
    <row r="101" spans="1:7" x14ac:dyDescent="0.3">
      <c r="A101" s="2">
        <v>4</v>
      </c>
      <c r="C101" s="38" t="s">
        <v>42</v>
      </c>
      <c r="D101" s="42">
        <f>TRUNC(820,-1)</f>
        <v>820</v>
      </c>
      <c r="E101" s="63">
        <f t="shared" si="3"/>
        <v>2710</v>
      </c>
      <c r="F101" s="2" t="s">
        <v>262</v>
      </c>
    </row>
    <row r="102" spans="1:7" x14ac:dyDescent="0.3">
      <c r="A102" s="2">
        <v>5</v>
      </c>
      <c r="C102" s="38" t="s">
        <v>43</v>
      </c>
      <c r="D102" s="42">
        <f>TRUNC(11513,-1)</f>
        <v>11510</v>
      </c>
      <c r="E102" s="63">
        <f t="shared" si="3"/>
        <v>38040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TRUNC(2827,-1)</f>
        <v>2820</v>
      </c>
      <c r="E104" s="63">
        <f t="shared" si="3"/>
        <v>9320</v>
      </c>
    </row>
    <row r="105" spans="1:7" x14ac:dyDescent="0.3">
      <c r="A105" s="2">
        <v>8</v>
      </c>
      <c r="C105" s="38" t="s">
        <v>46</v>
      </c>
      <c r="D105" s="42">
        <f>TRUNC(3480,-1)</f>
        <v>3480</v>
      </c>
      <c r="E105" s="63">
        <f t="shared" si="3"/>
        <v>11500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TRUNC(2614,-1)</f>
        <v>2610</v>
      </c>
      <c r="E108" s="63">
        <f t="shared" si="3"/>
        <v>8620</v>
      </c>
      <c r="F108" s="2" t="s">
        <v>263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TRUNC(1175,-1)</f>
        <v>1170</v>
      </c>
      <c r="E116" s="63">
        <f t="shared" si="3"/>
        <v>3860</v>
      </c>
      <c r="F116" s="2" t="s">
        <v>261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TRUNC(4528+504+2498+12318,-1)</f>
        <v>19840</v>
      </c>
      <c r="E118" s="64">
        <f t="shared" si="3"/>
        <v>65580</v>
      </c>
      <c r="F118" s="2" t="s">
        <v>264</v>
      </c>
    </row>
    <row r="119" spans="1:7" x14ac:dyDescent="0.3">
      <c r="A119" s="2">
        <v>22</v>
      </c>
      <c r="C119" s="27" t="s">
        <v>112</v>
      </c>
      <c r="D119" s="39">
        <f>SUM(D98:D118)</f>
        <v>76650</v>
      </c>
      <c r="E119" s="39">
        <f>SUM(E98:E118)</f>
        <v>253340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TRUNC(2005,-1)</f>
        <v>2000</v>
      </c>
      <c r="E122" s="62">
        <f t="shared" ref="E122:E132" si="4">TRUNC(+D122*3.3058,-1)</f>
        <v>6610</v>
      </c>
    </row>
    <row r="123" spans="1:7" x14ac:dyDescent="0.3">
      <c r="A123" s="2">
        <v>2</v>
      </c>
      <c r="C123" s="38" t="s">
        <v>124</v>
      </c>
      <c r="D123" s="42">
        <f>TRUNC(4682+3685+1310,-1)</f>
        <v>9670</v>
      </c>
      <c r="E123" s="63">
        <f t="shared" si="4"/>
        <v>31960</v>
      </c>
      <c r="F123" s="2" t="s">
        <v>266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TRUNC(4917,-1)</f>
        <v>4910</v>
      </c>
      <c r="E125" s="63">
        <f t="shared" si="4"/>
        <v>16230</v>
      </c>
      <c r="F125" s="2" t="s">
        <v>267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TRUNC(3372,-1)</f>
        <v>3370</v>
      </c>
      <c r="E128" s="63">
        <f t="shared" si="4"/>
        <v>11140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TRUNC(5461+2162+1820,-1)</f>
        <v>9440</v>
      </c>
      <c r="E132" s="64">
        <f t="shared" si="4"/>
        <v>31200</v>
      </c>
      <c r="F132" s="54" t="s">
        <v>265</v>
      </c>
    </row>
    <row r="133" spans="1:7" x14ac:dyDescent="0.3">
      <c r="A133" s="2">
        <v>12</v>
      </c>
      <c r="C133" s="27" t="s">
        <v>112</v>
      </c>
      <c r="D133" s="39">
        <f>SUM(D122:D132)</f>
        <v>29390</v>
      </c>
      <c r="E133" s="39">
        <f>SUM(E122:E132)</f>
        <v>97140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TRUNC(19127,-1)</f>
        <v>19120</v>
      </c>
      <c r="E136" s="62">
        <f t="shared" ref="E136:E145" si="5">TRUNC(+D136*3.3058,-1)</f>
        <v>63200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TRUNC(13224,-1)</f>
        <v>13220</v>
      </c>
      <c r="E137" s="63">
        <f t="shared" si="5"/>
        <v>43700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32340</v>
      </c>
      <c r="E146" s="39">
        <f>SUM(E136:E145)</f>
        <v>106900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TRUNC(30765,-1)</f>
        <v>30760</v>
      </c>
      <c r="E152" s="63">
        <f>TRUNC(+D152*3.3058,-1)</f>
        <v>101680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30760</v>
      </c>
      <c r="E154" s="39">
        <f>SUM(E149:E153)</f>
        <v>101680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TRUNC(36089,-1)</f>
        <v>36080</v>
      </c>
      <c r="E159" s="63">
        <f>TRUNC(+D159*3.3058,-1)</f>
        <v>119270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36080</v>
      </c>
      <c r="E161" s="39">
        <f>SUM(E157:E160)</f>
        <v>119270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2020-12-07T09:50:19Z</dcterms:modified>
</cp:coreProperties>
</file>