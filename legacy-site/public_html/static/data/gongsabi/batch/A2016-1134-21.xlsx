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44" i="4"/>
  <c r="D143" i="4"/>
  <c r="D142" i="4"/>
  <c r="D141" i="4"/>
  <c r="D140" i="4"/>
  <c r="D137" i="4"/>
  <c r="D132" i="4"/>
  <c r="D130" i="4"/>
  <c r="D128" i="4"/>
  <c r="D117" i="4"/>
  <c r="D114" i="4"/>
  <c r="D105" i="4"/>
  <c r="D104" i="4"/>
  <c r="D103" i="4"/>
  <c r="D102" i="4"/>
  <c r="D100" i="4"/>
  <c r="D99" i="4"/>
  <c r="D98" i="4"/>
  <c r="D94" i="4"/>
  <c r="D93" i="4"/>
  <c r="D92" i="4"/>
  <c r="D91" i="4"/>
  <c r="D89" i="4"/>
  <c r="D73" i="4"/>
  <c r="D72" i="4"/>
  <c r="D71" i="4"/>
  <c r="D70" i="4"/>
  <c r="D69" i="4"/>
  <c r="D65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4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<sst xmlns="http://schemas.openxmlformats.org/spreadsheetml/2006/main" count="388" uniqueCount="263">
  <si>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</si>
  <si>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</si>
  <si>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</si>
  <si>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</si>
  <si>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</si>
  <si>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</si>
  <si>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</si>
  <si>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</si>
  <si>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</si>
  <si>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</si>
  <si>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</si>
  <si>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</si>
  <si>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</si>
  <si>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</si>
  <si>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</si>
  <si>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</si>
  <si>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</si>
  <si>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</si>
  <si>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</si>
  <si>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</si>
  <si>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</si>
  <si>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</si>
  <si>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</si>
  <si>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</si>
  <si>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</si>
  <si>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</si>
  <si>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</si>
  <si>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</si>
  <si>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</si>
  <si>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</si>
  <si>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</si>
  <si>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</si>
  <si>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</si>
  <si>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</si>
  <si>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</si>
  <si>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</si>
  <si>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</si>
  <si>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</si>
  <si>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</si>
  <si>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</si>
  <si>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</si>
  <si>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</si>
  <si>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</si>
  <si>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</si>
  <si>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</si>
  <si>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</si>
  <si>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</si>
  <si>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</si>
  <si>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</si>
  <si>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</si>
  <si>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</si>
  <si>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</si>
  <si>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</si>
  <si>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</si>
  <si>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</si>
  <si>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</si>
  <si>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</si>
  <si>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</si>
  <si>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</si>
  <si>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</si>
  <si>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</si>
  <si>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</si>
  <si>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</si>
  <si>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</si>
  <si>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</si>
  <si>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</si>
  <si>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</si>
  <si>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</si>
  <si>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</si>
  <si>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</si>
  <si>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</si>
  <si>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</si>
  <si>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</si>
  <si>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</si>
  <si>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</si>
  <si>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</si>
  <si>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</si>
  <si>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</si>
  <si>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</si>
  <si>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</si>
  <si>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</si>
  <si>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</si>
  <si>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</si>
  <si>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</si>
  <si>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</si>
  <si>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</si>
  <si>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</si>
  <si>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</si>
  <si>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</si>
  <si>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</si>
  <si>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</si>
  <si>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</si>
  <si>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</si>
  <si>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</si>
  <si>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</si>
  <si>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</si>
  <si>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</si>
  <si>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</si>
  <si>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</si>
  <si>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</si>
  <si>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</si>
  <si>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</si>
  <si>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</si>
  <si>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</si>
  <si>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</si>
  <si>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</si>
  <si>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</si>
  <si>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</si>
  <si>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</si>
  <si>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</si>
  <si>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</si>
  <si>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</si>
  <si>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</si>
  <si>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</si>
  <si>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</si>
  <si>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</si>
  <si>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</si>
  <si>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</si>
  <si>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</si>
  <si>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</si>
  <si>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</si>
  <si>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</si>
  <si>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</si>
  <si>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</si>
  <si>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</si>
  <si>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</si>
  <si>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</si>
  <si>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</si>
  <si>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</si>
  <si>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</si>
  <si>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</si>
  <si>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</si>
  <si>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</si>
  <si>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</si>
  <si>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</si>
  <si>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</si>
  <si>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</si>
  <si>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</si>
  <si>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</si>
  <si>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</si>
  <si>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</si>
  <si>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</si>
  <si>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</si>
  <si>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</si>
  <si>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</si>
  <si>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</si>
  <si>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</si>
  <si>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</si>
  <si>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</si>
  <si>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</si>
  <si>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</si>
  <si>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</si>
  <si>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</si>
  <si>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</si>
  <si>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</si>
  <si>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</si>
  <si>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</si>
  <si>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</si>
  <si>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</si>
  <si>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</si>
  <si>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</si>
  <si>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</si>
  <si>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</si>
  <si>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</si>
  <si>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</si>
  <si>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</si>
  <si>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</si>
  <si>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</si>
  <si>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</si>
  <si>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</si>
  <si>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</si>
  <si>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</si>
  <si>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</si>
  <si>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</si>
  <si>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</si>
  <si>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</si>
  <si>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</si>
  <si>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</si>
  <si>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</si>
  <si>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</si>
  <si>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</si>
  <si>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</si>
  <si>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</si>
  <si>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</si>
  <si>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</si>
  <si>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</si>
  <si>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</si>
  <si>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</si>
  <si>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</si>
  <si>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</si>
  <si>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</si>
  <si>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</si>
  <si>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</si>
  <si>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</si>
  <si>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</si>
  <si>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</si>
  <si>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</si>
  <si>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</si>
  <si>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</si>
  <si>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</si>
  <si>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</si>
  <si>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</si>
  <si>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</si>
  <si>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</si>
  <si>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</si>
  <si>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</si>
  <si>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</si>
  <si>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</si>
  <si>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</si>
  <si>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</si>
  <si>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</si>
  <si>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</si>
  <si>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</si>
  <si>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</si>
  <si>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</si>
  <si>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</si>
  <si>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</si>
  <si>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</si>
  <si>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</si>
  <si>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</si>
  <si>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</si>
  <si>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</si>
  <si>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</si>
  <si>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</si>
  <si>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</si>
  <si>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</si>
  <si>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</si>
  <si>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</si>
  <si>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</si>
  <si>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</si>
  <si>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</si>
  <si>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</si>
  <si>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</si>
  <si>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</si>
  <si>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</si>
  <si>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</si>
  <si>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</si>
  <si>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</si>
  <si>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</si>
  <si>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</si>
  <si>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</si>
  <si>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</si>
  <si>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</si>
  <si>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</si>
  <si>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</si>
  <si>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</si>
  <si>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</si>
  <si>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</si>
  <si>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</si>
  <si>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융복합 실험실습강의동 신축공사</t>
    <phoneticPr fontId="2" type="noConversion"/>
  </si>
  <si>
    <t>부산시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</si>
  <si>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</si>
  <si>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</si>
  <si>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</si>
  <si>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골재비및운반비, 작업부산물, 기타공사</t>
    <phoneticPr fontId="2" type="noConversion"/>
  </si>
  <si>
    <t>공조배관공사, 우수처리시설공사, 기타공사</t>
    <phoneticPr fontId="2" type="noConversion"/>
  </si>
  <si>
    <t>펌프실배관공사, 제연덕트설치공사, 기타공사</t>
    <phoneticPr fontId="2" type="noConversion"/>
  </si>
  <si>
    <t>포장공사,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</si>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</sst>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260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9556.5400000000009</v>
      </c>
      <c r="D7" s="36">
        <f>+C7/3.3058</f>
        <v>2890.8403412184648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261</v>
      </c>
    </row>
    <row r="19" spans="1:5" x14ac:dyDescent="0.3">
      <c r="A19" s="2">
        <v>9</v>
      </c>
      <c r="B19" s="2" t="s">
        <v>262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808420</v>
      </c>
      <c r="E25" s="59">
        <f t="shared" si="0"/>
        <v>2672470</v>
      </c>
    </row>
    <row r="26" spans="1:5" x14ac:dyDescent="0.3">
      <c r="B26" s="2">
        <v>3</v>
      </c>
      <c r="C26" s="35" t="s">
        <v>95</v>
      </c>
      <c r="D26" s="45">
        <f>+D66</f>
        <v>29830</v>
      </c>
      <c r="E26" s="59">
        <f t="shared" si="0"/>
        <v>98610</v>
      </c>
    </row>
    <row r="27" spans="1:5" x14ac:dyDescent="0.3">
      <c r="B27" s="2">
        <v>4</v>
      </c>
      <c r="C27" s="35" t="s">
        <v>96</v>
      </c>
      <c r="D27" s="45">
        <f>+D95</f>
        <v>132210</v>
      </c>
      <c r="E27" s="59">
        <f t="shared" si="0"/>
        <v>437050</v>
      </c>
    </row>
    <row r="28" spans="1:5" x14ac:dyDescent="0.3">
      <c r="B28" s="2">
        <v>5</v>
      </c>
      <c r="C28" s="35" t="s">
        <v>97</v>
      </c>
      <c r="D28" s="45">
        <f>+D119</f>
        <v>254160</v>
      </c>
      <c r="E28" s="59">
        <f t="shared" si="0"/>
        <v>840200</v>
      </c>
    </row>
    <row r="29" spans="1:5" x14ac:dyDescent="0.3">
      <c r="B29" s="2">
        <v>6</v>
      </c>
      <c r="C29" s="35" t="s">
        <v>98</v>
      </c>
      <c r="D29" s="45">
        <f>+D133</f>
        <v>27730</v>
      </c>
      <c r="E29" s="59">
        <f t="shared" si="0"/>
        <v>91660</v>
      </c>
    </row>
    <row r="30" spans="1:5" x14ac:dyDescent="0.3">
      <c r="B30" s="2">
        <v>7</v>
      </c>
      <c r="C30" s="35" t="s">
        <v>99</v>
      </c>
      <c r="D30" s="45">
        <f>+D146</f>
        <v>76370</v>
      </c>
      <c r="E30" s="59">
        <f t="shared" si="0"/>
        <v>252460</v>
      </c>
    </row>
    <row r="31" spans="1:5" x14ac:dyDescent="0.3">
      <c r="B31" s="2">
        <v>8</v>
      </c>
      <c r="C31" s="35" t="s">
        <v>100</v>
      </c>
      <c r="D31" s="45">
        <f>+D154</f>
        <v>10970</v>
      </c>
      <c r="E31" s="59">
        <f t="shared" si="0"/>
        <v>36260</v>
      </c>
    </row>
    <row r="32" spans="1:5" x14ac:dyDescent="0.3">
      <c r="B32" s="2">
        <v>9</v>
      </c>
      <c r="C32" s="35" t="s">
        <v>101</v>
      </c>
      <c r="D32" s="45">
        <f>+D161</f>
        <v>10780</v>
      </c>
      <c r="E32" s="59">
        <f t="shared" si="0"/>
        <v>35630</v>
      </c>
    </row>
    <row r="33" spans="1:7" x14ac:dyDescent="0.3">
      <c r="B33" s="2">
        <v>10</v>
      </c>
      <c r="C33" s="35" t="s">
        <v>154</v>
      </c>
      <c r="D33" s="53">
        <f>TRUNC(SUM(D24:D32)*0.275,-1)</f>
        <v>371370</v>
      </c>
      <c r="E33" s="60">
        <f t="shared" si="0"/>
        <v>1227670</v>
      </c>
    </row>
    <row r="34" spans="1:7" x14ac:dyDescent="0.3">
      <c r="C34" s="35" t="s">
        <v>112</v>
      </c>
      <c r="D34" s="44">
        <f>SUM(D24:D33)</f>
        <v>1721840</v>
      </c>
      <c r="E34" s="44">
        <f>SUM(E24:E33)</f>
        <v>5692010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258</v>
      </c>
      <c r="E39" s="67" t="s">
        <v>259</v>
      </c>
      <c r="G39" s="68"/>
    </row>
    <row r="40" spans="1:7" x14ac:dyDescent="0.3">
      <c r="A40" s="2">
        <v>1</v>
      </c>
      <c r="C40" s="38" t="s">
        <v>15</v>
      </c>
      <c r="D40" s="40">
        <f>TRUNC(74165,-1)</f>
        <v>74160</v>
      </c>
      <c r="E40" s="62">
        <f t="shared" ref="E40:E59" si="1">TRUNC(+D40*3.3058,-1)</f>
        <v>245150</v>
      </c>
    </row>
    <row r="41" spans="1:7" x14ac:dyDescent="0.3">
      <c r="A41" s="2">
        <v>2</v>
      </c>
      <c r="C41" s="38" t="s">
        <v>13</v>
      </c>
      <c r="D41" s="42">
        <f>TRUNC(157537,-1)</f>
        <v>157530</v>
      </c>
      <c r="E41" s="63">
        <f t="shared" si="1"/>
        <v>520760</v>
      </c>
    </row>
    <row r="42" spans="1:7" x14ac:dyDescent="0.3">
      <c r="A42" s="2">
        <v>3</v>
      </c>
      <c r="C42" s="38" t="s">
        <v>14</v>
      </c>
      <c r="D42" s="42">
        <f>TRUNC(9717,-1)</f>
        <v>9710</v>
      </c>
      <c r="E42" s="63">
        <f t="shared" si="1"/>
        <v>32090</v>
      </c>
    </row>
    <row r="43" spans="1:7" x14ac:dyDescent="0.3">
      <c r="A43" s="2">
        <v>4</v>
      </c>
      <c r="C43" s="38" t="s">
        <v>16</v>
      </c>
      <c r="D43" s="42">
        <f>TRUNC(25627,-1)</f>
        <v>25620</v>
      </c>
      <c r="E43" s="63">
        <f t="shared" si="1"/>
        <v>84690</v>
      </c>
    </row>
    <row r="44" spans="1:7" x14ac:dyDescent="0.3">
      <c r="A44" s="2">
        <v>5</v>
      </c>
      <c r="C44" s="38" t="s">
        <v>17</v>
      </c>
      <c r="D44" s="42">
        <f>TRUNC(17752,-1)</f>
        <v>17750</v>
      </c>
      <c r="E44" s="63">
        <f t="shared" si="1"/>
        <v>58670</v>
      </c>
    </row>
    <row r="45" spans="1:7" x14ac:dyDescent="0.3">
      <c r="A45" s="2">
        <v>6</v>
      </c>
      <c r="C45" s="38" t="s">
        <v>18</v>
      </c>
      <c r="D45" s="42">
        <f>TRUNC(14315,-1)</f>
        <v>14310</v>
      </c>
      <c r="E45" s="63">
        <f t="shared" si="1"/>
        <v>47300</v>
      </c>
    </row>
    <row r="46" spans="1:7" x14ac:dyDescent="0.3">
      <c r="A46" s="2">
        <v>7</v>
      </c>
      <c r="C46" s="38" t="s">
        <v>19</v>
      </c>
      <c r="D46" s="42">
        <f>TRUNC(38333,-1)</f>
        <v>38330</v>
      </c>
      <c r="E46" s="63">
        <f t="shared" si="1"/>
        <v>126710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TRUNC(31427,-1)</f>
        <v>31420</v>
      </c>
      <c r="E48" s="63">
        <f t="shared" si="1"/>
        <v>103860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TRUNC(25405,-1)</f>
        <v>25400</v>
      </c>
      <c r="E49" s="63">
        <f t="shared" si="1"/>
        <v>83960</v>
      </c>
    </row>
    <row r="50" spans="1:7" x14ac:dyDescent="0.3">
      <c r="A50" s="2">
        <v>11</v>
      </c>
      <c r="C50" s="38" t="s">
        <v>155</v>
      </c>
      <c r="D50" s="42">
        <f>TRUNC(62574,-1)</f>
        <v>62570</v>
      </c>
      <c r="E50" s="63">
        <f t="shared" si="1"/>
        <v>206840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TRUNC(18566,-1)</f>
        <v>18560</v>
      </c>
      <c r="E52" s="63">
        <f t="shared" si="1"/>
        <v>61350</v>
      </c>
    </row>
    <row r="53" spans="1:7" x14ac:dyDescent="0.3">
      <c r="A53" s="2">
        <v>14</v>
      </c>
      <c r="C53" s="38" t="s">
        <v>25</v>
      </c>
      <c r="D53" s="42">
        <f>TRUNC(74957,-1)</f>
        <v>74950</v>
      </c>
      <c r="E53" s="63">
        <f t="shared" si="1"/>
        <v>247760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TRUNC(12706+3610-292+3347,-1)</f>
        <v>19370</v>
      </c>
      <c r="E58" s="63">
        <f t="shared" si="1"/>
        <v>64030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TRUNC(238743,-1)</f>
        <v>238740</v>
      </c>
      <c r="E59" s="64">
        <f t="shared" si="1"/>
        <v>789220</v>
      </c>
    </row>
    <row r="60" spans="1:7" x14ac:dyDescent="0.3">
      <c r="A60" s="2">
        <v>21</v>
      </c>
      <c r="C60" s="27" t="s">
        <v>112</v>
      </c>
      <c r="D60" s="39">
        <f>SUM(D40:D59)</f>
        <v>808420</v>
      </c>
      <c r="E60" s="39">
        <f>SUM(E40:E59)</f>
        <v>2672390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TRUNC(2119,-1)</f>
        <v>2110</v>
      </c>
      <c r="E63" s="62">
        <f>TRUNC(+D63*3.3058,-1)</f>
        <v>6970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TRUNC(27724,-1)</f>
        <v>27720</v>
      </c>
      <c r="E65" s="64">
        <f>TRUNC(+D65*3.3058,-1)</f>
        <v>91630</v>
      </c>
    </row>
    <row r="66" spans="1:7" x14ac:dyDescent="0.3">
      <c r="A66" s="2">
        <v>4</v>
      </c>
      <c r="C66" s="27" t="s">
        <v>112</v>
      </c>
      <c r="D66" s="39">
        <f>SUM(D63:D65)</f>
        <v>29830</v>
      </c>
      <c r="E66" s="65">
        <f>SUM(E63:E65)</f>
        <v>98600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TRUNC(8325,-1)</f>
        <v>8320</v>
      </c>
      <c r="E69" s="62">
        <f t="shared" ref="E69:E94" si="2">TRUNC(+D69*3.3058,-1)</f>
        <v>27500</v>
      </c>
    </row>
    <row r="70" spans="1:7" ht="16.5" customHeight="1" x14ac:dyDescent="0.3">
      <c r="A70" s="2">
        <v>2</v>
      </c>
      <c r="C70" s="38" t="s">
        <v>31</v>
      </c>
      <c r="D70" s="42">
        <f>TRUNC(1004,-1)</f>
        <v>1000</v>
      </c>
      <c r="E70" s="63">
        <f t="shared" si="2"/>
        <v>3300</v>
      </c>
    </row>
    <row r="71" spans="1:7" x14ac:dyDescent="0.3">
      <c r="A71" s="2">
        <v>3</v>
      </c>
      <c r="C71" s="38" t="s">
        <v>32</v>
      </c>
      <c r="D71" s="42">
        <f>TRUNC(4619,-1)</f>
        <v>4610</v>
      </c>
      <c r="E71" s="63">
        <f t="shared" si="2"/>
        <v>15230</v>
      </c>
    </row>
    <row r="72" spans="1:7" x14ac:dyDescent="0.3">
      <c r="A72" s="2">
        <v>4</v>
      </c>
      <c r="C72" s="38" t="s">
        <v>33</v>
      </c>
      <c r="D72" s="42">
        <f>TRUNC(2086,-1)</f>
        <v>2080</v>
      </c>
      <c r="E72" s="63">
        <f t="shared" si="2"/>
        <v>6870</v>
      </c>
    </row>
    <row r="73" spans="1:7" x14ac:dyDescent="0.3">
      <c r="A73" s="2">
        <v>5</v>
      </c>
      <c r="C73" s="38" t="s">
        <v>34</v>
      </c>
      <c r="D73" s="42">
        <f>TRUNC(10211,-1)</f>
        <v>10210</v>
      </c>
      <c r="E73" s="63">
        <f t="shared" si="2"/>
        <v>33750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TRUNC(16068,-1)</f>
        <v>16060</v>
      </c>
      <c r="E89" s="63">
        <f t="shared" si="2"/>
        <v>53090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TRUNC(28361,-1)</f>
        <v>28360</v>
      </c>
      <c r="E91" s="63">
        <f t="shared" si="2"/>
        <v>93750</v>
      </c>
    </row>
    <row r="92" spans="1:7" x14ac:dyDescent="0.3">
      <c r="A92" s="2">
        <v>24</v>
      </c>
      <c r="C92" s="38" t="s">
        <v>38</v>
      </c>
      <c r="D92" s="42">
        <f>TRUNC(12278,-1)</f>
        <v>12270</v>
      </c>
      <c r="E92" s="63">
        <f t="shared" si="2"/>
        <v>40560</v>
      </c>
    </row>
    <row r="93" spans="1:7" x14ac:dyDescent="0.3">
      <c r="A93" s="2">
        <v>25</v>
      </c>
      <c r="C93" s="38" t="s">
        <v>148</v>
      </c>
      <c r="D93" s="42">
        <f>TRUNC(38841,-1)</f>
        <v>38840</v>
      </c>
      <c r="E93" s="63">
        <f t="shared" si="2"/>
        <v>128390</v>
      </c>
    </row>
    <row r="94" spans="1:7" ht="17.25" thickBot="1" x14ac:dyDescent="0.35">
      <c r="A94" s="2">
        <v>26</v>
      </c>
      <c r="C94" s="38" t="s">
        <v>47</v>
      </c>
      <c r="D94" s="43">
        <f>TRUNC(3048+293+7127,-1)</f>
        <v>10460</v>
      </c>
      <c r="E94" s="64">
        <f t="shared" si="2"/>
        <v>34570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132210</v>
      </c>
      <c r="E95" s="39">
        <f>SUM(E69:E94)</f>
        <v>437010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TRUNC(48922,-1)</f>
        <v>48920</v>
      </c>
      <c r="E98" s="62">
        <f t="shared" ref="E98:E118" si="3">TRUNC(+D98*3.3058,-1)</f>
        <v>161710</v>
      </c>
    </row>
    <row r="99" spans="1:7" x14ac:dyDescent="0.3">
      <c r="A99" s="2">
        <v>2</v>
      </c>
      <c r="C99" s="38" t="s">
        <v>40</v>
      </c>
      <c r="D99" s="42">
        <f>TRUNC(8411,-1)</f>
        <v>8410</v>
      </c>
      <c r="E99" s="63">
        <f t="shared" si="3"/>
        <v>27800</v>
      </c>
    </row>
    <row r="100" spans="1:7" x14ac:dyDescent="0.3">
      <c r="A100" s="2">
        <v>3</v>
      </c>
      <c r="C100" s="38" t="s">
        <v>41</v>
      </c>
      <c r="D100" s="42">
        <f>TRUNC(42189,-1)</f>
        <v>42180</v>
      </c>
      <c r="E100" s="63">
        <f t="shared" si="3"/>
        <v>139430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TRUNC(25964,-1)</f>
        <v>25960</v>
      </c>
      <c r="E102" s="63">
        <f t="shared" si="3"/>
        <v>85810</v>
      </c>
    </row>
    <row r="103" spans="1:7" x14ac:dyDescent="0.3">
      <c r="A103" s="2">
        <v>6</v>
      </c>
      <c r="C103" s="38" t="s">
        <v>44</v>
      </c>
      <c r="D103" s="42">
        <f>TRUNC(7532,-1)</f>
        <v>7530</v>
      </c>
      <c r="E103" s="63">
        <f t="shared" si="3"/>
        <v>24890</v>
      </c>
    </row>
    <row r="104" spans="1:7" x14ac:dyDescent="0.3">
      <c r="A104" s="2">
        <v>7</v>
      </c>
      <c r="C104" s="38" t="s">
        <v>45</v>
      </c>
      <c r="D104" s="42">
        <f>TRUNC(4117,-1)</f>
        <v>4110</v>
      </c>
      <c r="E104" s="63">
        <f t="shared" si="3"/>
        <v>13580</v>
      </c>
    </row>
    <row r="105" spans="1:7" x14ac:dyDescent="0.3">
      <c r="A105" s="2">
        <v>8</v>
      </c>
      <c r="C105" s="38" t="s">
        <v>46</v>
      </c>
      <c r="D105" s="42">
        <f>TRUNC(15567,-1)</f>
        <v>15560</v>
      </c>
      <c r="E105" s="63">
        <f t="shared" si="3"/>
        <v>51430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TRUNC(954,-1)</f>
        <v>950</v>
      </c>
      <c r="E114" s="63">
        <f t="shared" si="3"/>
        <v>3140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TRUNC(97816,-1)</f>
        <v>97810</v>
      </c>
      <c r="E117" s="63">
        <f t="shared" si="3"/>
        <v>323340</v>
      </c>
    </row>
    <row r="118" spans="1:7" ht="17.25" thickBot="1" x14ac:dyDescent="0.35">
      <c r="A118" s="2">
        <v>21</v>
      </c>
      <c r="C118" s="38" t="s">
        <v>47</v>
      </c>
      <c r="D118" s="43">
        <v>2730</v>
      </c>
      <c r="E118" s="64">
        <f t="shared" si="3"/>
        <v>9020</v>
      </c>
    </row>
    <row r="119" spans="1:7" x14ac:dyDescent="0.3">
      <c r="A119" s="2">
        <v>22</v>
      </c>
      <c r="C119" s="27" t="s">
        <v>112</v>
      </c>
      <c r="D119" s="39">
        <f>SUM(D98:D118)</f>
        <v>254160</v>
      </c>
      <c r="E119" s="39">
        <f>SUM(E98:E118)</f>
        <v>840150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3600</v>
      </c>
      <c r="E122" s="62">
        <f t="shared" ref="E122:E132" si="4">TRUNC(+D122*3.3058,-1)</f>
        <v>11900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4810</v>
      </c>
      <c r="E125" s="63">
        <f t="shared" si="4"/>
        <v>15900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TRUNC(7394,-1)</f>
        <v>7390</v>
      </c>
      <c r="E128" s="63">
        <f t="shared" si="4"/>
        <v>24420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TRUNC(11162,-1)</f>
        <v>11160</v>
      </c>
      <c r="E130" s="63">
        <f t="shared" si="4"/>
        <v>36890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TRUNC(778,-1)</f>
        <v>770</v>
      </c>
      <c r="E132" s="64">
        <f t="shared" si="4"/>
        <v>2540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27730</v>
      </c>
      <c r="E133" s="39">
        <f>SUM(E122:E132)</f>
        <v>91650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TRUNC(362+11872+6669,-1)</f>
        <v>18900</v>
      </c>
      <c r="E137" s="63">
        <f t="shared" si="5"/>
        <v>62470</v>
      </c>
      <c r="F137" s="2" t="s">
        <v>256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11140</v>
      </c>
      <c r="E139" s="63">
        <f t="shared" si="5"/>
        <v>36820</v>
      </c>
    </row>
    <row r="140" spans="1:7" x14ac:dyDescent="0.3">
      <c r="A140" s="2">
        <v>5</v>
      </c>
      <c r="C140" s="38" t="s">
        <v>57</v>
      </c>
      <c r="D140" s="42">
        <f>TRUNC(675,-1)</f>
        <v>670</v>
      </c>
      <c r="E140" s="63">
        <f t="shared" si="5"/>
        <v>2210</v>
      </c>
    </row>
    <row r="141" spans="1:7" x14ac:dyDescent="0.3">
      <c r="A141" s="2">
        <v>6</v>
      </c>
      <c r="C141" s="38" t="s">
        <v>59</v>
      </c>
      <c r="D141" s="42">
        <f>TRUNC(23528,-1)</f>
        <v>23520</v>
      </c>
      <c r="E141" s="63">
        <f t="shared" si="5"/>
        <v>77750</v>
      </c>
    </row>
    <row r="142" spans="1:7" x14ac:dyDescent="0.3">
      <c r="A142" s="2">
        <v>7</v>
      </c>
      <c r="C142" s="38" t="s">
        <v>58</v>
      </c>
      <c r="D142" s="42">
        <f>TRUNC(6289,-1)</f>
        <v>6280</v>
      </c>
      <c r="E142" s="63">
        <f t="shared" si="5"/>
        <v>20760</v>
      </c>
    </row>
    <row r="143" spans="1:7" x14ac:dyDescent="0.3">
      <c r="A143" s="2">
        <v>8</v>
      </c>
      <c r="C143" s="38" t="s">
        <v>62</v>
      </c>
      <c r="D143" s="42">
        <f>TRUNC(4757,-1)</f>
        <v>4750</v>
      </c>
      <c r="E143" s="63">
        <f t="shared" si="5"/>
        <v>15700</v>
      </c>
    </row>
    <row r="144" spans="1:7" x14ac:dyDescent="0.3">
      <c r="A144" s="2">
        <v>9</v>
      </c>
      <c r="C144" s="38" t="s">
        <v>63</v>
      </c>
      <c r="D144" s="42">
        <f>TRUNC(11113,-1)</f>
        <v>11110</v>
      </c>
      <c r="E144" s="63">
        <f t="shared" si="5"/>
        <v>36720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76370</v>
      </c>
      <c r="E146" s="39">
        <f>SUM(E136:E145)</f>
        <v>252430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1403+57</f>
        <v>1460</v>
      </c>
      <c r="E149" s="62">
        <f>TRUNC(+D149*3.3058,-1)</f>
        <v>4820</v>
      </c>
    </row>
    <row r="150" spans="1:7" x14ac:dyDescent="0.3">
      <c r="A150" s="2">
        <v>2</v>
      </c>
      <c r="C150" s="38" t="s">
        <v>49</v>
      </c>
      <c r="D150" s="42">
        <v>1220</v>
      </c>
      <c r="E150" s="63">
        <f>TRUNC(+D150*3.3058,-1)</f>
        <v>4030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TRUNC(17,-1)</f>
        <v>10</v>
      </c>
      <c r="E152" s="63">
        <f>TRUNC(+D152*3.3058,-1)</f>
        <v>30</v>
      </c>
    </row>
    <row r="153" spans="1:7" ht="17.25" thickBot="1" x14ac:dyDescent="0.35">
      <c r="A153" s="2">
        <v>5</v>
      </c>
      <c r="C153" s="38" t="s">
        <v>148</v>
      </c>
      <c r="D153" s="43">
        <f>TRUNC(8288,-1)</f>
        <v>8280</v>
      </c>
      <c r="E153" s="64">
        <f>TRUNC(+D153*3.3058,-1)</f>
        <v>27370</v>
      </c>
    </row>
    <row r="154" spans="1:7" x14ac:dyDescent="0.3">
      <c r="A154" s="2">
        <v>6</v>
      </c>
      <c r="C154" s="27" t="s">
        <v>112</v>
      </c>
      <c r="D154" s="39">
        <f>SUM(D149:D153)</f>
        <v>10970</v>
      </c>
      <c r="E154" s="39">
        <f>SUM(E149:E153)</f>
        <v>36250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TRUNC(5171,-1)</f>
        <v>5170</v>
      </c>
      <c r="E157" s="62">
        <f>TRUNC(+D157*3.3058,-1)</f>
        <v>17090</v>
      </c>
    </row>
    <row r="158" spans="1:7" x14ac:dyDescent="0.3">
      <c r="A158" s="2">
        <v>2</v>
      </c>
      <c r="C158" s="38" t="s">
        <v>52</v>
      </c>
      <c r="D158" s="42">
        <f>TRUNC(1314,-1)</f>
        <v>1310</v>
      </c>
      <c r="E158" s="63">
        <f>TRUNC(+D158*3.3058,-1)</f>
        <v>4330</v>
      </c>
    </row>
    <row r="159" spans="1:7" x14ac:dyDescent="0.3">
      <c r="A159" s="2">
        <v>3</v>
      </c>
      <c r="C159" s="38" t="s">
        <v>47</v>
      </c>
      <c r="D159" s="42">
        <f>TRUNC(1363+2940,-1)</f>
        <v>4300</v>
      </c>
      <c r="E159" s="63">
        <f>TRUNC(+D159*3.3058,-1)</f>
        <v>14210</v>
      </c>
      <c r="F159" s="2" t="s">
        <v>257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10780</v>
      </c>
      <c r="E161" s="39">
        <f>SUM(E157:E160)</f>
        <v>35630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2020-12-08T01:12:44Z</dcterms:modified>
</cp:coreProperties>
</file>