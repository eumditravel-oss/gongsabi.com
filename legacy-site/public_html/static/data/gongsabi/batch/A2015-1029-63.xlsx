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1" i="4"/>
  <c r="E150" i="4"/>
  <c r="E145" i="4"/>
  <c r="E143" i="4"/>
  <c r="E142" i="4"/>
  <c r="E139" i="4"/>
  <c r="E138" i="4"/>
  <c r="E137" i="4"/>
  <c r="E136" i="4"/>
  <c r="E130" i="4"/>
  <c r="E129" i="4"/>
  <c r="E128" i="4"/>
  <c r="E127" i="4"/>
  <c r="E126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105" i="4"/>
  <c r="E104" i="4"/>
  <c r="E100" i="4"/>
  <c r="E99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1" i="4"/>
  <c r="E65" i="4"/>
  <c r="E64" i="4"/>
  <c r="E63" i="4"/>
  <c r="E66" i="4" s="1"/>
  <c r="E57" i="4"/>
  <c r="E56" i="4"/>
  <c r="E55" i="4"/>
  <c r="E54" i="4"/>
  <c r="E53" i="4"/>
  <c r="E51" i="4"/>
  <c r="E47" i="4"/>
  <c r="E37" i="4"/>
  <c r="D157" i="4" l="1"/>
  <c r="E157" i="4" s="1"/>
  <c r="E161" i="4" s="1"/>
  <c r="D153" i="4"/>
  <c r="E153" i="4" s="1"/>
  <c r="D152" i="4"/>
  <c r="E152" i="4" s="1"/>
  <c r="D149" i="4"/>
  <c r="E149" i="4" s="1"/>
  <c r="E154" i="4" s="1"/>
  <c r="D144" i="4"/>
  <c r="E144" i="4" s="1"/>
  <c r="D141" i="4"/>
  <c r="E141" i="4" s="1"/>
  <c r="D140" i="4"/>
  <c r="E140" i="4" s="1"/>
  <c r="E146" i="4" s="1"/>
  <c r="D132" i="4"/>
  <c r="E132" i="4" s="1"/>
  <c r="D131" i="4"/>
  <c r="E131" i="4" s="1"/>
  <c r="D125" i="4"/>
  <c r="E125" i="4" s="1"/>
  <c r="D122" i="4"/>
  <c r="E122" i="4" s="1"/>
  <c r="D118" i="4"/>
  <c r="E118" i="4" s="1"/>
  <c r="D117" i="4"/>
  <c r="E117" i="4" s="1"/>
  <c r="D114" i="4"/>
  <c r="E114" i="4" s="1"/>
  <c r="D103" i="4"/>
  <c r="E103" i="4" s="1"/>
  <c r="D102" i="4"/>
  <c r="E102" i="4" s="1"/>
  <c r="D101" i="4"/>
  <c r="E101" i="4" s="1"/>
  <c r="E119" i="4" s="1"/>
  <c r="D98" i="4"/>
  <c r="E98" i="4" s="1"/>
  <c r="D94" i="4"/>
  <c r="E94" i="4" s="1"/>
  <c r="D93" i="4"/>
  <c r="E93" i="4" s="1"/>
  <c r="D92" i="4"/>
  <c r="E92" i="4" s="1"/>
  <c r="D91" i="4"/>
  <c r="E91" i="4" s="1"/>
  <c r="D75" i="4"/>
  <c r="E75" i="4" s="1"/>
  <c r="D73" i="4"/>
  <c r="E73" i="4" s="1"/>
  <c r="D72" i="4"/>
  <c r="E72" i="4" s="1"/>
  <c r="D70" i="4"/>
  <c r="E70" i="4" s="1"/>
  <c r="D69" i="4"/>
  <c r="E69" i="4" s="1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l="1"/>
  <c r="E133" i="4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<sst xmlns="http://schemas.openxmlformats.org/spreadsheetml/2006/main" count="395" uniqueCount="265">
  <si>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</si>
  <si>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</si>
  <si>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</si>
  <si>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</si>
  <si>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</si>
  <si>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</si>
  <si>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</si>
  <si>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</si>
  <si>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</si>
  <si>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</si>
  <si>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</si>
  <si>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</si>
  <si>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</si>
  <si>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</si>
  <si>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</si>
  <si>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</si>
  <si>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</si>
  <si>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</si>
  <si>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</si>
  <si>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</si>
  <si>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</si>
  <si>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</si>
  <si>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</si>
  <si>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</si>
  <si>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</si>
  <si>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</si>
  <si>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</si>
  <si>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</si>
  <si>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</si>
  <si>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</si>
  <si>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</si>
  <si>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</si>
  <si>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</si>
  <si>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</si>
  <si>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</si>
  <si>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</si>
  <si>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</si>
  <si>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</si>
  <si>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</si>
  <si>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</si>
  <si>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</si>
  <si>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</si>
  <si>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</si>
  <si>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</si>
  <si>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</si>
  <si>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</si>
  <si>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</si>
  <si>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</si>
  <si>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</si>
  <si>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</si>
  <si>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</si>
  <si>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</si>
  <si>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</si>
  <si>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</si>
  <si>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</si>
  <si>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</si>
  <si>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</si>
  <si>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</si>
  <si>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</si>
  <si>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</si>
  <si>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</si>
  <si>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</si>
  <si>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</si>
  <si>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</si>
  <si>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</si>
  <si>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</si>
  <si>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</si>
  <si>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</si>
  <si>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</si>
  <si>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</si>
  <si>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</si>
  <si>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</si>
  <si>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</si>
  <si>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</si>
  <si>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</si>
  <si>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</si>
  <si>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</si>
  <si>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</si>
  <si>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</si>
  <si>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</si>
  <si>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</si>
  <si>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</si>
  <si>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</si>
  <si>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</si>
  <si>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</si>
  <si>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</si>
  <si>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</si>
  <si>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</si>
  <si>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</si>
  <si>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</si>
  <si>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</si>
  <si>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</si>
  <si>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</si>
  <si>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</si>
  <si>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</si>
  <si>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</si>
  <si>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</si>
  <si>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</si>
  <si>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</si>
  <si>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</si>
  <si>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</si>
  <si>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</si>
  <si>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</si>
  <si>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</si>
  <si>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</si>
  <si>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</si>
  <si>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</si>
  <si>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</si>
  <si>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</si>
  <si>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</si>
  <si>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</si>
  <si>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</si>
  <si>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</si>
  <si>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</si>
  <si>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</si>
  <si>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</si>
  <si>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</si>
  <si>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</si>
  <si>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</si>
  <si>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</si>
  <si>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</si>
  <si>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</si>
  <si>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</si>
  <si>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</si>
  <si>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</si>
  <si>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</si>
  <si>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</si>
  <si>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</si>
  <si>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</si>
  <si>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</si>
  <si>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</si>
  <si>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</si>
  <si>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</si>
  <si>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</si>
  <si>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</si>
  <si>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</si>
  <si>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</si>
  <si>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</si>
  <si>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</si>
  <si>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</si>
  <si>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</si>
  <si>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</si>
  <si>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</si>
  <si>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</si>
  <si>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</si>
  <si>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</si>
  <si>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</si>
  <si>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</si>
  <si>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</si>
  <si>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</si>
  <si>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</si>
  <si>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</si>
  <si>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</si>
  <si>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</si>
  <si>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</si>
  <si>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</si>
  <si>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</si>
  <si>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</si>
  <si>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</si>
  <si>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</si>
  <si>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</si>
  <si>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</si>
  <si>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</si>
  <si>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</si>
  <si>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</si>
  <si>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</si>
  <si>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</si>
  <si>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</si>
  <si>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</si>
  <si>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</si>
  <si>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</si>
  <si>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</si>
  <si>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</si>
  <si>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</si>
  <si>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</si>
  <si>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</si>
  <si>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</si>
  <si>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</si>
  <si>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</si>
  <si>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</si>
  <si>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</si>
  <si>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</si>
  <si>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</si>
  <si>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</si>
  <si>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</si>
  <si>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</si>
  <si>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</si>
  <si>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</si>
  <si>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</si>
  <si>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</si>
  <si>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</si>
  <si>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</si>
  <si>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</si>
  <si>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</si>
  <si>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</si>
  <si>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</si>
  <si>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</si>
  <si>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</si>
  <si>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</si>
  <si>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</si>
  <si>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</si>
  <si>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</si>
  <si>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</si>
  <si>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</si>
  <si>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</si>
  <si>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</si>
  <si>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</si>
  <si>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</si>
  <si>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</si>
  <si>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</si>
  <si>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</si>
  <si>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</si>
  <si>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</si>
  <si>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</si>
  <si>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</si>
  <si>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</si>
  <si>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</si>
  <si>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</si>
  <si>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</si>
  <si>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</si>
  <si>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</si>
  <si>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</si>
  <si>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</si>
  <si>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</si>
  <si>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</si>
  <si>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</si>
  <si>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</si>
  <si>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</si>
  <si>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</si>
  <si>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</si>
  <si>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</si>
  <si>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</si>
  <si>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</si>
  <si>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</si>
  <si>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</si>
  <si>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</si>
  <si>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</si>
  <si>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</si>
  <si>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</si>
  <si>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</si>
  <si>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</si>
  <si>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</si>
  <si>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</si>
  <si>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</si>
  <si>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</si>
  <si>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</si>
  <si>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</si>
  <si>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</si>
  <si>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</si>
  <si>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</si>
  <si>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</si>
  <si>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</si>
  <si>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</si>
  <si>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</si>
  <si>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</si>
  <si>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전문진료센터 증축공사</t>
    <phoneticPr fontId="2" type="noConversion"/>
  </si>
  <si>
    <t>의료</t>
  </si>
  <si>
    <t>광주시</t>
  </si>
  <si>
    <t>기초공사,해체및철거공사,골재비및운반비, 작업부산물, 기타공사</t>
    <phoneticPr fontId="2" type="noConversion"/>
  </si>
  <si>
    <t>토목 운반비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</si>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</sst>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3379.98</v>
      </c>
      <c r="D7" s="36">
        <f>+C7/3.3058</f>
        <v>1022.4393490229294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744170</v>
      </c>
      <c r="E25" s="58">
        <f t="shared" si="0"/>
        <v>2460070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8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275590</v>
      </c>
      <c r="E27" s="58">
        <f t="shared" si="0"/>
        <v>911040</v>
      </c>
    </row>
    <row r="28" spans="1:5" x14ac:dyDescent="0.3">
      <c r="B28" s="2">
        <v>5</v>
      </c>
      <c r="C28" s="35" t="s">
        <v>97</v>
      </c>
      <c r="D28" s="45">
        <f>+D119</f>
        <v>214610</v>
      </c>
      <c r="E28" s="58">
        <f t="shared" si="0"/>
        <v>709450</v>
      </c>
    </row>
    <row r="29" spans="1:5" x14ac:dyDescent="0.3">
      <c r="B29" s="2">
        <v>6</v>
      </c>
      <c r="C29" s="35" t="s">
        <v>98</v>
      </c>
      <c r="D29" s="45">
        <f>+D133</f>
        <v>56620</v>
      </c>
      <c r="E29" s="58">
        <f t="shared" si="0"/>
        <v>187170</v>
      </c>
    </row>
    <row r="30" spans="1:5" x14ac:dyDescent="0.3">
      <c r="B30" s="2">
        <v>7</v>
      </c>
      <c r="C30" s="35" t="s">
        <v>99</v>
      </c>
      <c r="D30" s="45">
        <f>+D146</f>
        <v>66470</v>
      </c>
      <c r="E30" s="58">
        <f t="shared" si="0"/>
        <v>219730</v>
      </c>
    </row>
    <row r="31" spans="1:5" x14ac:dyDescent="0.3">
      <c r="B31" s="2">
        <v>8</v>
      </c>
      <c r="C31" s="35" t="s">
        <v>100</v>
      </c>
      <c r="D31" s="45">
        <f>+D154</f>
        <v>2590</v>
      </c>
      <c r="E31" s="58">
        <f t="shared" si="0"/>
        <v>8560</v>
      </c>
    </row>
    <row r="32" spans="1:5" x14ac:dyDescent="0.3">
      <c r="B32" s="2">
        <v>9</v>
      </c>
      <c r="C32" s="35" t="s">
        <v>101</v>
      </c>
      <c r="D32" s="45">
        <f>+D161</f>
        <v>2560</v>
      </c>
      <c r="E32" s="58">
        <f t="shared" si="0"/>
        <v>8460</v>
      </c>
    </row>
    <row r="33" spans="1:7" x14ac:dyDescent="0.3">
      <c r="B33" s="2">
        <v>10</v>
      </c>
      <c r="C33" s="35" t="s">
        <v>154</v>
      </c>
      <c r="D33" s="53">
        <f>TRUNC(SUM(D24:D32)*0.275,-1)</f>
        <v>374710</v>
      </c>
      <c r="E33" s="59">
        <f t="shared" si="0"/>
        <v>1238710</v>
      </c>
    </row>
    <row r="34" spans="1:7" x14ac:dyDescent="0.3">
      <c r="C34" s="35" t="s">
        <v>112</v>
      </c>
      <c r="D34" s="44">
        <f>SUM(D24:D33)</f>
        <v>1737320</v>
      </c>
      <c r="E34" s="44">
        <f>SUM(E24:E33)</f>
        <v>5743190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f>TRUNC(104366,-1)</f>
        <v>104360</v>
      </c>
      <c r="E40" s="61">
        <f t="shared" ref="E40:E59" si="1">TRUNC(+D40*3.3058,-1)</f>
        <v>344990</v>
      </c>
    </row>
    <row r="41" spans="1:7" x14ac:dyDescent="0.3">
      <c r="A41" s="2">
        <v>2</v>
      </c>
      <c r="C41" s="38" t="s">
        <v>13</v>
      </c>
      <c r="D41" s="42">
        <f>TRUNC(134053,-1)</f>
        <v>134050</v>
      </c>
      <c r="E41" s="62">
        <f t="shared" si="1"/>
        <v>443140</v>
      </c>
    </row>
    <row r="42" spans="1:7" x14ac:dyDescent="0.3">
      <c r="A42" s="2">
        <v>3</v>
      </c>
      <c r="C42" s="38" t="s">
        <v>14</v>
      </c>
      <c r="D42" s="42">
        <f>TRUNC(24276,-1)</f>
        <v>24270</v>
      </c>
      <c r="E42" s="62">
        <f t="shared" si="1"/>
        <v>80230</v>
      </c>
    </row>
    <row r="43" spans="1:7" x14ac:dyDescent="0.3">
      <c r="A43" s="2">
        <v>4</v>
      </c>
      <c r="C43" s="38" t="s">
        <v>16</v>
      </c>
      <c r="D43" s="42">
        <f>TRUNC(10637,-1)</f>
        <v>10630</v>
      </c>
      <c r="E43" s="62">
        <f t="shared" si="1"/>
        <v>35140</v>
      </c>
    </row>
    <row r="44" spans="1:7" x14ac:dyDescent="0.3">
      <c r="A44" s="2">
        <v>5</v>
      </c>
      <c r="C44" s="38" t="s">
        <v>17</v>
      </c>
      <c r="D44" s="42">
        <f>TRUNC(34827,-1)</f>
        <v>34820</v>
      </c>
      <c r="E44" s="62">
        <f t="shared" si="1"/>
        <v>115100</v>
      </c>
    </row>
    <row r="45" spans="1:7" x14ac:dyDescent="0.3">
      <c r="A45" s="2">
        <v>6</v>
      </c>
      <c r="C45" s="38" t="s">
        <v>18</v>
      </c>
      <c r="D45" s="42">
        <f>TRUNC(3682,-1)</f>
        <v>3680</v>
      </c>
      <c r="E45" s="62">
        <f t="shared" si="1"/>
        <v>12160</v>
      </c>
    </row>
    <row r="46" spans="1:7" x14ac:dyDescent="0.3">
      <c r="A46" s="2">
        <v>7</v>
      </c>
      <c r="C46" s="38" t="s">
        <v>19</v>
      </c>
      <c r="D46" s="42">
        <f>TRUNC(21368,-1)</f>
        <v>21360</v>
      </c>
      <c r="E46" s="62">
        <f t="shared" si="1"/>
        <v>70610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TRUNC(63149,-1)</f>
        <v>63140</v>
      </c>
      <c r="E48" s="62">
        <f t="shared" si="1"/>
        <v>208720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TRUNC(12935,-1)</f>
        <v>12930</v>
      </c>
      <c r="E49" s="62">
        <f t="shared" si="1"/>
        <v>42740</v>
      </c>
    </row>
    <row r="50" spans="1:7" x14ac:dyDescent="0.3">
      <c r="A50" s="2">
        <v>11</v>
      </c>
      <c r="C50" s="38" t="s">
        <v>155</v>
      </c>
      <c r="D50" s="42">
        <f>TRUNC(36903,-1)</f>
        <v>36900</v>
      </c>
      <c r="E50" s="62">
        <f t="shared" si="1"/>
        <v>121980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TRUNC(11675,-1)</f>
        <v>11670</v>
      </c>
      <c r="E52" s="62">
        <f t="shared" si="1"/>
        <v>38570</v>
      </c>
    </row>
    <row r="53" spans="1:7" x14ac:dyDescent="0.3">
      <c r="A53" s="2">
        <v>14</v>
      </c>
      <c r="C53" s="38" t="s">
        <v>25</v>
      </c>
      <c r="D53" s="42">
        <v>56850</v>
      </c>
      <c r="E53" s="62">
        <f t="shared" si="1"/>
        <v>187930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TRUNC(4315+13620+7075-1822+4003,-1)</f>
        <v>27190</v>
      </c>
      <c r="E58" s="62">
        <f t="shared" si="1"/>
        <v>89880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TRUNC(202323,-1)</f>
        <v>202320</v>
      </c>
      <c r="E59" s="63">
        <f t="shared" si="1"/>
        <v>668820</v>
      </c>
    </row>
    <row r="60" spans="1:7" x14ac:dyDescent="0.3">
      <c r="A60" s="2">
        <v>21</v>
      </c>
      <c r="C60" s="27" t="s">
        <v>112</v>
      </c>
      <c r="D60" s="39">
        <f>SUM(D40:D59)</f>
        <v>744170</v>
      </c>
      <c r="E60" s="39">
        <f>SUM(E40:E59)</f>
        <v>2460010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1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4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TRUNC(478,-1)</f>
        <v>470</v>
      </c>
      <c r="E69" s="61">
        <f t="shared" ref="E69:E94" si="2">TRUNC(+D69*3.3058,-1)</f>
        <v>1550</v>
      </c>
    </row>
    <row r="70" spans="1:7" ht="16.5" customHeight="1" x14ac:dyDescent="0.3">
      <c r="A70" s="2">
        <v>2</v>
      </c>
      <c r="C70" s="38" t="s">
        <v>31</v>
      </c>
      <c r="D70" s="42">
        <f>TRUNC(852,-1)</f>
        <v>850</v>
      </c>
      <c r="E70" s="62">
        <f t="shared" si="2"/>
        <v>2800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f>TRUNC(5515,-1)</f>
        <v>5510</v>
      </c>
      <c r="E72" s="62">
        <f t="shared" si="2"/>
        <v>18210</v>
      </c>
    </row>
    <row r="73" spans="1:7" x14ac:dyDescent="0.3">
      <c r="A73" s="2">
        <v>5</v>
      </c>
      <c r="C73" s="38" t="s">
        <v>34</v>
      </c>
      <c r="D73" s="42">
        <f>TRUNC(15707,-1)</f>
        <v>15700</v>
      </c>
      <c r="E73" s="62">
        <f t="shared" si="2"/>
        <v>51900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TRUNC(13843,-1)</f>
        <v>13840</v>
      </c>
      <c r="E75" s="62">
        <f t="shared" si="2"/>
        <v>45750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v>4970</v>
      </c>
      <c r="E89" s="62">
        <f t="shared" si="2"/>
        <v>16420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TRUNC(69269,-1)</f>
        <v>69260</v>
      </c>
      <c r="E91" s="62">
        <f t="shared" si="2"/>
        <v>228950</v>
      </c>
    </row>
    <row r="92" spans="1:7" x14ac:dyDescent="0.3">
      <c r="A92" s="2">
        <v>24</v>
      </c>
      <c r="C92" s="38" t="s">
        <v>38</v>
      </c>
      <c r="D92" s="42">
        <f>TRUNC(4926,-1)</f>
        <v>4920</v>
      </c>
      <c r="E92" s="62">
        <f t="shared" si="2"/>
        <v>16260</v>
      </c>
    </row>
    <row r="93" spans="1:7" x14ac:dyDescent="0.3">
      <c r="A93" s="2">
        <v>25</v>
      </c>
      <c r="C93" s="38" t="s">
        <v>148</v>
      </c>
      <c r="D93" s="42">
        <f>TRUNC(132192,-1)</f>
        <v>132190</v>
      </c>
      <c r="E93" s="62">
        <f t="shared" si="2"/>
        <v>436990</v>
      </c>
    </row>
    <row r="94" spans="1:7" ht="17.25" thickBot="1" x14ac:dyDescent="0.35">
      <c r="A94" s="2">
        <v>26</v>
      </c>
      <c r="C94" s="38" t="s">
        <v>47</v>
      </c>
      <c r="D94" s="43">
        <f>TRUNC(27889,-1)</f>
        <v>27880</v>
      </c>
      <c r="E94" s="63">
        <f t="shared" si="2"/>
        <v>92160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275590</v>
      </c>
      <c r="E95" s="39">
        <f>SUM(E69:E94)</f>
        <v>910990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TRUNC(34592,-1)</f>
        <v>34590</v>
      </c>
      <c r="E98" s="61">
        <f t="shared" ref="E98:E118" si="3">TRUNC(+D98*3.3058,-1)</f>
        <v>114340</v>
      </c>
    </row>
    <row r="99" spans="1:7" x14ac:dyDescent="0.3">
      <c r="A99" s="2">
        <v>2</v>
      </c>
      <c r="C99" s="38" t="s">
        <v>40</v>
      </c>
      <c r="D99" s="42">
        <v>0</v>
      </c>
      <c r="E99" s="62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2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TRUNC(37587,-1)</f>
        <v>37580</v>
      </c>
      <c r="E101" s="62">
        <f t="shared" si="3"/>
        <v>124230</v>
      </c>
    </row>
    <row r="102" spans="1:7" x14ac:dyDescent="0.3">
      <c r="A102" s="2">
        <v>5</v>
      </c>
      <c r="C102" s="38" t="s">
        <v>43</v>
      </c>
      <c r="D102" s="42">
        <f>TRUNC(10832,-1)</f>
        <v>10830</v>
      </c>
      <c r="E102" s="62">
        <f t="shared" si="3"/>
        <v>35800</v>
      </c>
    </row>
    <row r="103" spans="1:7" x14ac:dyDescent="0.3">
      <c r="A103" s="2">
        <v>6</v>
      </c>
      <c r="C103" s="38" t="s">
        <v>44</v>
      </c>
      <c r="D103" s="42">
        <f>TRUNC(2366,-1)</f>
        <v>2360</v>
      </c>
      <c r="E103" s="62">
        <f t="shared" si="3"/>
        <v>7800</v>
      </c>
    </row>
    <row r="104" spans="1:7" x14ac:dyDescent="0.3">
      <c r="A104" s="2">
        <v>7</v>
      </c>
      <c r="C104" s="38" t="s">
        <v>45</v>
      </c>
      <c r="D104" s="42">
        <v>0</v>
      </c>
      <c r="E104" s="62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TRUNC(1882,-1)</f>
        <v>1880</v>
      </c>
      <c r="E114" s="62">
        <f t="shared" si="3"/>
        <v>6210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TRUNC(124651,-1)</f>
        <v>124650</v>
      </c>
      <c r="E117" s="62">
        <f t="shared" si="3"/>
        <v>412060</v>
      </c>
    </row>
    <row r="118" spans="1:7" ht="17.25" thickBot="1" x14ac:dyDescent="0.35">
      <c r="A118" s="2">
        <v>21</v>
      </c>
      <c r="C118" s="38" t="s">
        <v>47</v>
      </c>
      <c r="D118" s="43">
        <f>TRUNC(2729,-1)</f>
        <v>2720</v>
      </c>
      <c r="E118" s="63">
        <f t="shared" si="3"/>
        <v>8990</v>
      </c>
    </row>
    <row r="119" spans="1:7" x14ac:dyDescent="0.3">
      <c r="A119" s="2">
        <v>22</v>
      </c>
      <c r="C119" s="27" t="s">
        <v>112</v>
      </c>
      <c r="D119" s="39">
        <f>SUM(D98:D118)</f>
        <v>214610</v>
      </c>
      <c r="E119" s="39">
        <f>SUM(E98:E118)</f>
        <v>709430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TRUNC(20212,-1)</f>
        <v>20210</v>
      </c>
      <c r="E122" s="61">
        <f t="shared" ref="E122:E132" si="4">TRUNC(+D122*3.3058,-1)</f>
        <v>66810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TRUNC(14218,-1)</f>
        <v>14210</v>
      </c>
      <c r="E125" s="62">
        <f t="shared" si="4"/>
        <v>46970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2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TRUNC(16473,-1)</f>
        <v>16470</v>
      </c>
      <c r="E131" s="62">
        <f t="shared" si="4"/>
        <v>54440</v>
      </c>
    </row>
    <row r="132" spans="1:7" ht="17.25" thickBot="1" x14ac:dyDescent="0.35">
      <c r="A132" s="2">
        <v>11</v>
      </c>
      <c r="C132" s="38" t="s">
        <v>47</v>
      </c>
      <c r="D132" s="43">
        <f>TRUNC(4769+969,-1)</f>
        <v>5730</v>
      </c>
      <c r="E132" s="63">
        <f t="shared" si="4"/>
        <v>18940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56620</v>
      </c>
      <c r="E133" s="39">
        <f>SUM(E122:E132)</f>
        <v>187160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2680</v>
      </c>
      <c r="E137" s="62">
        <f t="shared" si="5"/>
        <v>8850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TRUNC(20734,-1)</f>
        <v>20730</v>
      </c>
      <c r="E140" s="62">
        <f t="shared" si="5"/>
        <v>68520</v>
      </c>
    </row>
    <row r="141" spans="1:7" x14ac:dyDescent="0.3">
      <c r="A141" s="2">
        <v>6</v>
      </c>
      <c r="C141" s="38" t="s">
        <v>59</v>
      </c>
      <c r="D141" s="42">
        <f>TRUNC(29298,-1)</f>
        <v>29290</v>
      </c>
      <c r="E141" s="62">
        <f t="shared" si="5"/>
        <v>96820</v>
      </c>
    </row>
    <row r="142" spans="1:7" x14ac:dyDescent="0.3">
      <c r="A142" s="2">
        <v>7</v>
      </c>
      <c r="C142" s="38" t="s">
        <v>58</v>
      </c>
      <c r="D142" s="42">
        <v>0</v>
      </c>
      <c r="E142" s="62">
        <f t="shared" si="5"/>
        <v>0</v>
      </c>
    </row>
    <row r="143" spans="1:7" x14ac:dyDescent="0.3">
      <c r="A143" s="2">
        <v>8</v>
      </c>
      <c r="C143" s="38" t="s">
        <v>62</v>
      </c>
      <c r="D143" s="42">
        <v>4660</v>
      </c>
      <c r="E143" s="62">
        <f t="shared" si="5"/>
        <v>15400</v>
      </c>
    </row>
    <row r="144" spans="1:7" x14ac:dyDescent="0.3">
      <c r="A144" s="2">
        <v>9</v>
      </c>
      <c r="C144" s="38" t="s">
        <v>63</v>
      </c>
      <c r="D144" s="42">
        <f>TRUNC(9114,-1)</f>
        <v>9110</v>
      </c>
      <c r="E144" s="62">
        <f t="shared" si="5"/>
        <v>30110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66470</v>
      </c>
      <c r="E146" s="39">
        <f>SUM(E136:E145)</f>
        <v>219700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TRUNC(926+1520,-1)</f>
        <v>2440</v>
      </c>
      <c r="E149" s="61">
        <f>TRUNC(+D149*3.3058,-1)</f>
        <v>8060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v>0</v>
      </c>
      <c r="E150" s="62">
        <f>TRUNC(+D150*3.3058,-1)</f>
        <v>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TRUNC(3,-1)</f>
        <v>0</v>
      </c>
      <c r="E152" s="62">
        <f>TRUNC(+D152*3.3058,-1)</f>
        <v>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TRUNC(152,-1)</f>
        <v>150</v>
      </c>
      <c r="E153" s="63">
        <f>TRUNC(+D153*3.3058,-1)</f>
        <v>490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2590</v>
      </c>
      <c r="E154" s="39">
        <f>SUM(E149:E153)</f>
        <v>8550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TRUNC(2569,-1)</f>
        <v>2560</v>
      </c>
      <c r="E157" s="61">
        <f>TRUNC(+D157*3.3058,-1)</f>
        <v>8460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2560</v>
      </c>
      <c r="E161" s="39">
        <f>SUM(E157:E160)</f>
        <v>8460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2020-12-07T09:57:30Z</dcterms:modified>
</cp:coreProperties>
</file>