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0" i="4"/>
  <c r="D149" i="4"/>
  <c r="D144" i="4"/>
  <c r="D143" i="4"/>
  <c r="D142" i="4"/>
  <c r="D141" i="4"/>
  <c r="D139" i="4"/>
  <c r="D137" i="4"/>
  <c r="D132" i="4"/>
  <c r="D131" i="4"/>
  <c r="D130" i="4"/>
  <c r="D126" i="4"/>
  <c r="D125" i="4"/>
  <c r="D117" i="4"/>
  <c r="D114" i="4"/>
  <c r="D103" i="4"/>
  <c r="D102" i="4"/>
  <c r="D100" i="4"/>
  <c r="D98" i="4"/>
  <c r="D94" i="4"/>
  <c r="D92" i="4"/>
  <c r="D89" i="4"/>
  <c r="D73" i="4"/>
  <c r="D72" i="4"/>
  <c r="D63" i="4"/>
  <c r="D59" i="4"/>
  <c r="D58" i="4"/>
  <c r="D53" i="4"/>
  <c r="D50" i="4"/>
  <c r="D52" i="4"/>
  <c r="D49" i="4"/>
  <c r="D48" i="4"/>
  <c r="D45" i="4"/>
  <c r="D44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<sst xmlns="http://schemas.openxmlformats.org/spreadsheetml/2006/main" count="388" uniqueCount="262">
  <si>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</si>
  <si>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</si>
  <si>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</si>
  <si>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</si>
  <si>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</si>
  <si>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</si>
  <si>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</si>
  <si>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</si>
  <si>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</si>
  <si>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</si>
  <si>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</si>
  <si>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</si>
  <si>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</si>
  <si>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</si>
  <si>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</si>
  <si>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</si>
  <si>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</si>
  <si>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</si>
  <si>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</si>
  <si>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</si>
  <si>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</si>
  <si>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</si>
  <si>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</si>
  <si>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</si>
  <si>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</si>
  <si>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</si>
  <si>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</si>
  <si>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</si>
  <si>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</si>
  <si>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</si>
  <si>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</si>
  <si>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</si>
  <si>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</si>
  <si>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</si>
  <si>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</si>
  <si>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</si>
  <si>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</si>
  <si>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</si>
  <si>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</si>
  <si>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</si>
  <si>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</si>
  <si>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</si>
  <si>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</si>
  <si>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</si>
  <si>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</si>
  <si>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</si>
  <si>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</si>
  <si>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</si>
  <si>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</si>
  <si>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</si>
  <si>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</si>
  <si>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</si>
  <si>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</si>
  <si>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</si>
  <si>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</si>
  <si>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</si>
  <si>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</si>
  <si>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</si>
  <si>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</si>
  <si>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</si>
  <si>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</si>
  <si>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</si>
  <si>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</si>
  <si>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</si>
  <si>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</si>
  <si>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</si>
  <si>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</si>
  <si>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</si>
  <si>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</si>
  <si>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</si>
  <si>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</si>
  <si>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</si>
  <si>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</si>
  <si>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</si>
  <si>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</si>
  <si>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</si>
  <si>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</si>
  <si>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</si>
  <si>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</si>
  <si>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</si>
  <si>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</si>
  <si>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</si>
  <si>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</si>
  <si>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</si>
  <si>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</si>
  <si>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</si>
  <si>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</si>
  <si>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</si>
  <si>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</si>
  <si>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</si>
  <si>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</si>
  <si>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</si>
  <si>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</si>
  <si>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</si>
  <si>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</si>
  <si>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</si>
  <si>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</si>
  <si>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</si>
  <si>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</si>
  <si>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</si>
  <si>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</si>
  <si>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</si>
  <si>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</si>
  <si>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</si>
  <si>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</si>
  <si>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</si>
  <si>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</si>
  <si>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</si>
  <si>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</si>
  <si>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</si>
  <si>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</si>
  <si>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</si>
  <si>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</si>
  <si>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</si>
  <si>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</si>
  <si>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</si>
  <si>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</si>
  <si>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</si>
  <si>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</si>
  <si>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</si>
  <si>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</si>
  <si>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</si>
  <si>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</si>
  <si>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</si>
  <si>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</si>
  <si>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</si>
  <si>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</si>
  <si>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</si>
  <si>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</si>
  <si>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</si>
  <si>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</si>
  <si>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</si>
  <si>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</si>
  <si>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</si>
  <si>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</si>
  <si>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</si>
  <si>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</si>
  <si>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</si>
  <si>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</si>
  <si>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</si>
  <si>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</si>
  <si>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</si>
  <si>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</si>
  <si>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</si>
  <si>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</si>
  <si>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</si>
  <si>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</si>
  <si>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</si>
  <si>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</si>
  <si>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</si>
  <si>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</si>
  <si>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</si>
  <si>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</si>
  <si>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</si>
  <si>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</si>
  <si>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</si>
  <si>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</si>
  <si>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</si>
  <si>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</si>
  <si>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</si>
  <si>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</si>
  <si>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</si>
  <si>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</si>
  <si>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</si>
  <si>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</si>
  <si>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</si>
  <si>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</si>
  <si>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</si>
  <si>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</si>
  <si>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</si>
  <si>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</si>
  <si>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</si>
  <si>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</si>
  <si>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</si>
  <si>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</si>
  <si>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</si>
  <si>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</si>
  <si>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</si>
  <si>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</si>
  <si>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</si>
  <si>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</si>
  <si>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</si>
  <si>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</si>
  <si>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</si>
  <si>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</si>
  <si>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</si>
  <si>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</si>
  <si>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</si>
  <si>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</si>
  <si>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</si>
  <si>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</si>
  <si>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</si>
  <si>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</si>
  <si>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</si>
  <si>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</si>
  <si>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</si>
  <si>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</si>
  <si>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</si>
  <si>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</si>
  <si>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</si>
  <si>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</si>
  <si>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</si>
  <si>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</si>
  <si>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</si>
  <si>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</si>
  <si>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</si>
  <si>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</si>
  <si>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</si>
  <si>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</si>
  <si>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</si>
  <si>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</si>
  <si>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</si>
  <si>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</si>
  <si>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</si>
  <si>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</si>
  <si>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</si>
  <si>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</si>
  <si>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</si>
  <si>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</si>
  <si>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</si>
  <si>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</si>
  <si>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</si>
  <si>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</si>
  <si>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</si>
  <si>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</si>
  <si>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</si>
  <si>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</si>
  <si>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</si>
  <si>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</si>
  <si>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</si>
  <si>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</si>
  <si>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</si>
  <si>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</si>
  <si>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</si>
  <si>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</si>
  <si>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</si>
  <si>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</si>
  <si>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</si>
  <si>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</si>
  <si>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</si>
  <si>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</si>
  <si>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</si>
  <si>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</si>
  <si>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</si>
  <si>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</si>
  <si>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</si>
  <si>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</si>
  <si>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</si>
  <si>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</si>
  <si>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</si>
  <si>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</si>
  <si>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</si>
  <si>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</si>
  <si>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국립등산학교 건설공사</t>
    <phoneticPr fontId="2" type="noConversion"/>
  </si>
  <si>
    <t>강원도</t>
  </si>
  <si>
    <t>기초공사, 골재비및운반비, 기타공사</t>
    <phoneticPr fontId="2" type="noConversion"/>
  </si>
  <si>
    <t>CCTV설비공사</t>
    <phoneticPr fontId="2" type="noConversion"/>
  </si>
  <si>
    <t>사급자재비, 기타공사</t>
    <phoneticPr fontId="2" type="noConversion"/>
  </si>
  <si>
    <t>문화및집회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</si>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</sst>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258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2277.84</v>
      </c>
      <c r="D7" s="36">
        <f>+C7/3.3058</f>
        <v>689.04349930425315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1116080</v>
      </c>
      <c r="E25" s="59">
        <f t="shared" si="0"/>
        <v>3689530</v>
      </c>
    </row>
    <row r="26" spans="1:5" x14ac:dyDescent="0.3">
      <c r="B26" s="2">
        <v>3</v>
      </c>
      <c r="C26" s="35" t="s">
        <v>95</v>
      </c>
      <c r="D26" s="45">
        <f>+D66</f>
        <v>2680</v>
      </c>
      <c r="E26" s="59">
        <f t="shared" si="0"/>
        <v>8850</v>
      </c>
    </row>
    <row r="27" spans="1:5" x14ac:dyDescent="0.3">
      <c r="B27" s="2">
        <v>4</v>
      </c>
      <c r="C27" s="35" t="s">
        <v>96</v>
      </c>
      <c r="D27" s="45">
        <f>+D95</f>
        <v>53410</v>
      </c>
      <c r="E27" s="59">
        <f t="shared" si="0"/>
        <v>176560</v>
      </c>
    </row>
    <row r="28" spans="1:5" x14ac:dyDescent="0.3">
      <c r="B28" s="2">
        <v>5</v>
      </c>
      <c r="C28" s="35" t="s">
        <v>97</v>
      </c>
      <c r="D28" s="45">
        <f>+D119</f>
        <v>162550</v>
      </c>
      <c r="E28" s="59">
        <f t="shared" si="0"/>
        <v>537350</v>
      </c>
    </row>
    <row r="29" spans="1:5" x14ac:dyDescent="0.3">
      <c r="B29" s="2">
        <v>6</v>
      </c>
      <c r="C29" s="35" t="s">
        <v>98</v>
      </c>
      <c r="D29" s="45">
        <f>+D133</f>
        <v>30880</v>
      </c>
      <c r="E29" s="59">
        <f t="shared" si="0"/>
        <v>102080</v>
      </c>
    </row>
    <row r="30" spans="1:5" x14ac:dyDescent="0.3">
      <c r="B30" s="2">
        <v>7</v>
      </c>
      <c r="C30" s="35" t="s">
        <v>99</v>
      </c>
      <c r="D30" s="45">
        <f>+D146</f>
        <v>65350</v>
      </c>
      <c r="E30" s="59">
        <f t="shared" si="0"/>
        <v>216030</v>
      </c>
    </row>
    <row r="31" spans="1:5" x14ac:dyDescent="0.3">
      <c r="B31" s="2">
        <v>8</v>
      </c>
      <c r="C31" s="35" t="s">
        <v>100</v>
      </c>
      <c r="D31" s="45">
        <f>+D154</f>
        <v>9970</v>
      </c>
      <c r="E31" s="59">
        <f t="shared" si="0"/>
        <v>32950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396250</v>
      </c>
      <c r="E33" s="60">
        <f t="shared" si="0"/>
        <v>1309920</v>
      </c>
    </row>
    <row r="34" spans="1:7" x14ac:dyDescent="0.3">
      <c r="C34" s="35" t="s">
        <v>112</v>
      </c>
      <c r="D34" s="44">
        <f>SUM(D24:D33)</f>
        <v>1837170</v>
      </c>
      <c r="E34" s="44">
        <f>SUM(E24:E33)</f>
        <v>6073270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TRUNC(46245,-1)</f>
        <v>46240</v>
      </c>
      <c r="E40" s="62">
        <f t="shared" ref="E40:E59" si="1">TRUNC(+D40*3.3058,-1)</f>
        <v>152860</v>
      </c>
    </row>
    <row r="41" spans="1:7" x14ac:dyDescent="0.3">
      <c r="A41" s="2">
        <v>2</v>
      </c>
      <c r="C41" s="38" t="s">
        <v>13</v>
      </c>
      <c r="D41" s="42">
        <f>TRUNC(210643,-1)</f>
        <v>210640</v>
      </c>
      <c r="E41" s="63">
        <f t="shared" si="1"/>
        <v>696330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23430</v>
      </c>
      <c r="E43" s="63">
        <f t="shared" si="1"/>
        <v>77450</v>
      </c>
    </row>
    <row r="44" spans="1:7" x14ac:dyDescent="0.3">
      <c r="A44" s="2">
        <v>5</v>
      </c>
      <c r="C44" s="38" t="s">
        <v>17</v>
      </c>
      <c r="D44" s="42">
        <f>TRUNC(21894,-1)</f>
        <v>21890</v>
      </c>
      <c r="E44" s="63">
        <f t="shared" si="1"/>
        <v>72360</v>
      </c>
    </row>
    <row r="45" spans="1:7" x14ac:dyDescent="0.3">
      <c r="A45" s="2">
        <v>6</v>
      </c>
      <c r="C45" s="38" t="s">
        <v>18</v>
      </c>
      <c r="D45" s="42">
        <f>TRUNC(18486,-1)</f>
        <v>18480</v>
      </c>
      <c r="E45" s="63">
        <f t="shared" si="1"/>
        <v>61090</v>
      </c>
    </row>
    <row r="46" spans="1:7" x14ac:dyDescent="0.3">
      <c r="A46" s="2">
        <v>7</v>
      </c>
      <c r="C46" s="38" t="s">
        <v>19</v>
      </c>
      <c r="D46" s="42">
        <v>16750</v>
      </c>
      <c r="E46" s="63">
        <f t="shared" si="1"/>
        <v>55370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TRUNC(109269,-1)</f>
        <v>109260</v>
      </c>
      <c r="E48" s="63">
        <f t="shared" si="1"/>
        <v>361190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TRUNC(34063,-1)</f>
        <v>34060</v>
      </c>
      <c r="E49" s="63">
        <f t="shared" si="1"/>
        <v>112590</v>
      </c>
    </row>
    <row r="50" spans="1:7" x14ac:dyDescent="0.3">
      <c r="A50" s="2">
        <v>11</v>
      </c>
      <c r="C50" s="38" t="s">
        <v>156</v>
      </c>
      <c r="D50" s="42">
        <f>TRUNC(55861,-1)</f>
        <v>55860</v>
      </c>
      <c r="E50" s="63">
        <f t="shared" si="1"/>
        <v>184660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TRUNC(10486,-1)</f>
        <v>10480</v>
      </c>
      <c r="E52" s="63">
        <f t="shared" si="1"/>
        <v>34640</v>
      </c>
    </row>
    <row r="53" spans="1:7" x14ac:dyDescent="0.3">
      <c r="A53" s="2">
        <v>14</v>
      </c>
      <c r="C53" s="38" t="s">
        <v>25</v>
      </c>
      <c r="D53" s="42">
        <f>TRUNC(146126,-1)</f>
        <v>146120</v>
      </c>
      <c r="E53" s="63">
        <f t="shared" si="1"/>
        <v>483040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TRUNC(4132+6981+13015,-1)</f>
        <v>24120</v>
      </c>
      <c r="E58" s="63">
        <f t="shared" si="1"/>
        <v>79730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f>TRUNC(398754,-1)</f>
        <v>398750</v>
      </c>
      <c r="E59" s="64">
        <f t="shared" si="1"/>
        <v>1318180</v>
      </c>
    </row>
    <row r="60" spans="1:7" x14ac:dyDescent="0.3">
      <c r="A60" s="2">
        <v>21</v>
      </c>
      <c r="C60" s="27" t="s">
        <v>112</v>
      </c>
      <c r="D60" s="39">
        <f>SUM(D40:D59)</f>
        <v>1116080</v>
      </c>
      <c r="E60" s="39">
        <f>SUM(E40:E59)</f>
        <v>3689490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TRUNC(2682,-1)</f>
        <v>2680</v>
      </c>
      <c r="E63" s="62">
        <f>TRUNC(+D63*3.3058,-1)</f>
        <v>8850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2680</v>
      </c>
      <c r="E66" s="65">
        <f>SUM(E63:E65)</f>
        <v>8850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6820</v>
      </c>
      <c r="E69" s="62">
        <f t="shared" ref="E69:E94" si="2">TRUNC(+D69*3.3058,-1)</f>
        <v>22540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TRUNC(2976,-1)</f>
        <v>2970</v>
      </c>
      <c r="E72" s="63">
        <f t="shared" si="2"/>
        <v>9810</v>
      </c>
    </row>
    <row r="73" spans="1:7" x14ac:dyDescent="0.3">
      <c r="A73" s="2">
        <v>5</v>
      </c>
      <c r="C73" s="38" t="s">
        <v>34</v>
      </c>
      <c r="D73" s="42">
        <f>TRUNC(12841,-1)</f>
        <v>12840</v>
      </c>
      <c r="E73" s="63">
        <f t="shared" si="2"/>
        <v>42440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TRUNC(9063,-1)</f>
        <v>9060</v>
      </c>
      <c r="E89" s="63">
        <f t="shared" si="2"/>
        <v>29950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TRUNC(20039,-1)</f>
        <v>20030</v>
      </c>
      <c r="E92" s="63">
        <f t="shared" si="2"/>
        <v>66210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TRUNC(1692,-1)</f>
        <v>1690</v>
      </c>
      <c r="E94" s="64">
        <f t="shared" si="2"/>
        <v>5580</v>
      </c>
    </row>
    <row r="95" spans="1:7" x14ac:dyDescent="0.3">
      <c r="A95" s="2">
        <v>27</v>
      </c>
      <c r="C95" s="27" t="s">
        <v>112</v>
      </c>
      <c r="D95" s="39">
        <f>SUM(D69:D94)</f>
        <v>53410</v>
      </c>
      <c r="E95" s="39">
        <f>SUM(E69:E94)</f>
        <v>176530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TRUNC(23467,-1)</f>
        <v>23460</v>
      </c>
      <c r="E98" s="62">
        <f t="shared" ref="E98:E118" si="3">TRUNC(+D98*3.3058,-1)</f>
        <v>77550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TRUNC(28373,-1)</f>
        <v>28370</v>
      </c>
      <c r="E100" s="63">
        <f t="shared" si="3"/>
        <v>93780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TRUNC(18048,-1)</f>
        <v>18040</v>
      </c>
      <c r="E102" s="63">
        <f t="shared" si="3"/>
        <v>59630</v>
      </c>
    </row>
    <row r="103" spans="1:7" x14ac:dyDescent="0.3">
      <c r="A103" s="2">
        <v>6</v>
      </c>
      <c r="C103" s="38" t="s">
        <v>44</v>
      </c>
      <c r="D103" s="42">
        <f>TRUNC(3476,-1)</f>
        <v>3470</v>
      </c>
      <c r="E103" s="63">
        <f t="shared" si="3"/>
        <v>11470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TRUNC(548,-1)</f>
        <v>540</v>
      </c>
      <c r="E114" s="63">
        <f t="shared" si="3"/>
        <v>1780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TRUNC(88672,-1)</f>
        <v>88670</v>
      </c>
      <c r="E117" s="63">
        <f t="shared" si="3"/>
        <v>293120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162550</v>
      </c>
      <c r="E119" s="39">
        <f>SUM(E98:E118)</f>
        <v>537330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TRUNC(6417,-1)</f>
        <v>6410</v>
      </c>
      <c r="E125" s="63">
        <f t="shared" si="4"/>
        <v>21190</v>
      </c>
    </row>
    <row r="126" spans="1:7" x14ac:dyDescent="0.3">
      <c r="A126" s="2">
        <v>5</v>
      </c>
      <c r="C126" s="38" t="s">
        <v>53</v>
      </c>
      <c r="D126" s="42">
        <f>TRUNC(5944,-1)</f>
        <v>5940</v>
      </c>
      <c r="E126" s="63">
        <f t="shared" si="4"/>
        <v>19630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TRUNC(15704,-1)</f>
        <v>15700</v>
      </c>
      <c r="E130" s="63">
        <f t="shared" si="4"/>
        <v>51900</v>
      </c>
    </row>
    <row r="131" spans="1:7" x14ac:dyDescent="0.3">
      <c r="A131" s="2">
        <v>10</v>
      </c>
      <c r="C131" s="38" t="s">
        <v>149</v>
      </c>
      <c r="D131" s="42">
        <f>TRUNC(2013,-1)</f>
        <v>2010</v>
      </c>
      <c r="E131" s="63">
        <f t="shared" si="4"/>
        <v>6640</v>
      </c>
    </row>
    <row r="132" spans="1:7" ht="18" thickBot="1" x14ac:dyDescent="0.35">
      <c r="A132" s="2">
        <v>11</v>
      </c>
      <c r="C132" s="38" t="s">
        <v>47</v>
      </c>
      <c r="D132" s="43">
        <f>TRUNC(825,-1)</f>
        <v>820</v>
      </c>
      <c r="E132" s="64">
        <f t="shared" si="4"/>
        <v>2710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30880</v>
      </c>
      <c r="E133" s="39">
        <f>SUM(E122:E132)</f>
        <v>102070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TRUNC(3261,-1)</f>
        <v>3260</v>
      </c>
      <c r="E137" s="63">
        <f t="shared" si="5"/>
        <v>10770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TRUNC(6671,-1)</f>
        <v>6670</v>
      </c>
      <c r="E139" s="63">
        <f t="shared" si="5"/>
        <v>22040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TRUNC(23834,-1)</f>
        <v>23830</v>
      </c>
      <c r="E141" s="63">
        <f t="shared" si="5"/>
        <v>78770</v>
      </c>
    </row>
    <row r="142" spans="1:7" x14ac:dyDescent="0.3">
      <c r="A142" s="2">
        <v>7</v>
      </c>
      <c r="C142" s="38" t="s">
        <v>58</v>
      </c>
      <c r="D142" s="42">
        <f>TRUNC(4935,-1)</f>
        <v>4930</v>
      </c>
      <c r="E142" s="63">
        <f t="shared" si="5"/>
        <v>16290</v>
      </c>
    </row>
    <row r="143" spans="1:7" x14ac:dyDescent="0.3">
      <c r="A143" s="2">
        <v>8</v>
      </c>
      <c r="C143" s="38" t="s">
        <v>62</v>
      </c>
      <c r="D143" s="42">
        <f>TRUNC(5489,-1)</f>
        <v>5480</v>
      </c>
      <c r="E143" s="63">
        <f t="shared" si="5"/>
        <v>18110</v>
      </c>
    </row>
    <row r="144" spans="1:7" x14ac:dyDescent="0.3">
      <c r="A144" s="2">
        <v>9</v>
      </c>
      <c r="C144" s="38" t="s">
        <v>63</v>
      </c>
      <c r="D144" s="42">
        <f>TRUNC(21188,-1)</f>
        <v>21180</v>
      </c>
      <c r="E144" s="63">
        <f t="shared" si="5"/>
        <v>70010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65350</v>
      </c>
      <c r="E146" s="39">
        <f>SUM(E136:E145)</f>
        <v>215990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TRUNC(2848,-1)</f>
        <v>2840</v>
      </c>
      <c r="E149" s="62">
        <f>TRUNC(+D149*3.3058,-1)</f>
        <v>9380</v>
      </c>
    </row>
    <row r="150" spans="1:7" x14ac:dyDescent="0.3">
      <c r="A150" s="2">
        <v>2</v>
      </c>
      <c r="C150" s="38" t="s">
        <v>49</v>
      </c>
      <c r="D150" s="42">
        <f>TRUNC(3189,-1)</f>
        <v>3180</v>
      </c>
      <c r="E150" s="63">
        <f>TRUNC(+D150*3.3058,-1)</f>
        <v>10510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TRUNC(3471+488,-1)</f>
        <v>3950</v>
      </c>
      <c r="E152" s="63">
        <f>TRUNC(+D152*3.3058,-1)</f>
        <v>13050</v>
      </c>
      <c r="F152" s="2" t="s">
        <v>257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9970</v>
      </c>
      <c r="E154" s="39">
        <f>SUM(E149:E153)</f>
        <v>32940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2020-12-08T01:25:37Z</dcterms:modified>
</cp:coreProperties>
</file>