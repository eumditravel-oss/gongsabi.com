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0" i="4"/>
  <c r="D149" i="4"/>
  <c r="D143" i="4"/>
  <c r="D137" i="4"/>
  <c r="D130" i="4"/>
  <c r="D126" i="4"/>
  <c r="D125" i="4"/>
  <c r="D122" i="4"/>
  <c r="D117" i="4"/>
  <c r="D103" i="4"/>
  <c r="D102" i="4"/>
  <c r="D100" i="4"/>
  <c r="D99" i="4"/>
  <c r="D98" i="4"/>
  <c r="D94" i="4"/>
  <c r="D92" i="4"/>
  <c r="D89" i="4"/>
  <c r="D72" i="4"/>
  <c r="D69" i="4"/>
  <c r="D63" i="4"/>
  <c r="D59" i="4"/>
  <c r="D58" i="4"/>
  <c r="D53" i="4"/>
  <c r="D52" i="4"/>
  <c r="D50" i="4"/>
  <c r="D48" i="4"/>
  <c r="D46" i="4"/>
  <c r="D45" i="4"/>
  <c r="D44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<sst xmlns="http://schemas.openxmlformats.org/spreadsheetml/2006/main" count="389" uniqueCount="263">
  <si>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</si>
  <si>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</si>
  <si>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</si>
  <si>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</si>
  <si>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</si>
  <si>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</si>
  <si>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</si>
  <si>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</si>
  <si>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</si>
  <si>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</si>
  <si>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</si>
  <si>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</si>
  <si>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</si>
  <si>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</si>
  <si>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</si>
  <si>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</si>
  <si>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</si>
  <si>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</si>
  <si>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</si>
  <si>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</si>
  <si>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</si>
  <si>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</si>
  <si>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</si>
  <si>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</si>
  <si>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</si>
  <si>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</si>
  <si>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</si>
  <si>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</si>
  <si>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</si>
  <si>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</si>
  <si>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</si>
  <si>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</si>
  <si>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</si>
  <si>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</si>
  <si>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</si>
  <si>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</si>
  <si>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</si>
  <si>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</si>
  <si>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</si>
  <si>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</si>
  <si>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</si>
  <si>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</si>
  <si>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</si>
  <si>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</si>
  <si>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</si>
  <si>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</si>
  <si>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</si>
  <si>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</si>
  <si>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</si>
  <si>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</si>
  <si>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</si>
  <si>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</si>
  <si>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</si>
  <si>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</si>
  <si>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</si>
  <si>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</si>
  <si>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</si>
  <si>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</si>
  <si>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</si>
  <si>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</si>
  <si>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</si>
  <si>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</si>
  <si>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</si>
  <si>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</si>
  <si>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</si>
  <si>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</si>
  <si>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</si>
  <si>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</si>
  <si>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</si>
  <si>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</si>
  <si>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</si>
  <si>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</si>
  <si>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</si>
  <si>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</si>
  <si>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</si>
  <si>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</si>
  <si>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</si>
  <si>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</si>
  <si>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</si>
  <si>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</si>
  <si>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</si>
  <si>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</si>
  <si>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</si>
  <si>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</si>
  <si>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</si>
  <si>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</si>
  <si>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</si>
  <si>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</si>
  <si>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</si>
  <si>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</si>
  <si>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</si>
  <si>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</si>
  <si>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</si>
  <si>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</si>
  <si>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</si>
  <si>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</si>
  <si>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</si>
  <si>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</si>
  <si>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</si>
  <si>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</si>
  <si>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</si>
  <si>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</si>
  <si>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</si>
  <si>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</si>
  <si>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</si>
  <si>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</si>
  <si>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</si>
  <si>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</si>
  <si>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</si>
  <si>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</si>
  <si>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</si>
  <si>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</si>
  <si>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</si>
  <si>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</si>
  <si>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</si>
  <si>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</si>
  <si>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</si>
  <si>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</si>
  <si>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</si>
  <si>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</si>
  <si>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</si>
  <si>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</si>
  <si>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</si>
  <si>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</si>
  <si>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</si>
  <si>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</si>
  <si>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</si>
  <si>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</si>
  <si>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</si>
  <si>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</si>
  <si>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</si>
  <si>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</si>
  <si>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</si>
  <si>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</si>
  <si>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</si>
  <si>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</si>
  <si>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</si>
  <si>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</si>
  <si>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</si>
  <si>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</si>
  <si>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</si>
  <si>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</si>
  <si>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</si>
  <si>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</si>
  <si>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</si>
  <si>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</si>
  <si>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</si>
  <si>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</si>
  <si>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</si>
  <si>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</si>
  <si>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</si>
  <si>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</si>
  <si>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</si>
  <si>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</si>
  <si>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</si>
  <si>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</si>
  <si>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</si>
  <si>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</si>
  <si>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</si>
  <si>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</si>
  <si>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</si>
  <si>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</si>
  <si>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</si>
  <si>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</si>
  <si>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</si>
  <si>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</si>
  <si>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</si>
  <si>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</si>
  <si>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</si>
  <si>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</si>
  <si>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</si>
  <si>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</si>
  <si>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</si>
  <si>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</si>
  <si>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</si>
  <si>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</si>
  <si>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</si>
  <si>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</si>
  <si>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</si>
  <si>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</si>
  <si>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</si>
  <si>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</si>
  <si>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</si>
  <si>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</si>
  <si>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</si>
  <si>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</si>
  <si>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</si>
  <si>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</si>
  <si>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</si>
  <si>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</si>
  <si>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</si>
  <si>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</si>
  <si>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</si>
  <si>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</si>
  <si>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</si>
  <si>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</si>
  <si>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</si>
  <si>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</si>
  <si>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</si>
  <si>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</si>
  <si>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</si>
  <si>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</si>
  <si>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</si>
  <si>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</si>
  <si>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</si>
  <si>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</si>
  <si>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</si>
  <si>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</si>
  <si>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</si>
  <si>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</si>
  <si>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</si>
  <si>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</si>
  <si>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</si>
  <si>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</si>
  <si>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</si>
  <si>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</si>
  <si>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</si>
  <si>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</si>
  <si>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</si>
  <si>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</si>
  <si>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</si>
  <si>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</si>
  <si>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</si>
  <si>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</si>
  <si>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</si>
  <si>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</si>
  <si>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</si>
  <si>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</si>
  <si>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</si>
  <si>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</si>
  <si>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</si>
  <si>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</si>
  <si>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</si>
  <si>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</si>
  <si>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</si>
  <si>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</si>
  <si>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</si>
  <si>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</si>
  <si>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</si>
  <si>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</si>
  <si>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</si>
  <si>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</si>
  <si>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</si>
  <si>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</si>
  <si>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</si>
  <si>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</si>
  <si>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</si>
  <si>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</si>
  <si>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</si>
  <si>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</si>
  <si>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</si>
  <si>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</si>
  <si>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</si>
  <si>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</si>
  <si>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사급자재비, 운반비, 기타공사</t>
    <phoneticPr fontId="2" type="noConversion"/>
  </si>
  <si>
    <t>업무</t>
  </si>
  <si>
    <t xml:space="preserve"> 국민건강보험공단 영광함평지사 사옥 신축공사</t>
    <phoneticPr fontId="2" type="noConversion"/>
  </si>
  <si>
    <t>전라도</t>
  </si>
  <si>
    <t>기초공사, 폐기물처리비, 골재비및운반비, 작업부산물, 기타공사</t>
    <phoneticPr fontId="2" type="noConversion"/>
  </si>
  <si>
    <t>난방배관공사,바닥난방공사,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</si>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</sst>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1779.19</v>
      </c>
      <c r="D7" s="36">
        <f>+C7/3.3058</f>
        <v>538.20255308851108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1463330</v>
      </c>
      <c r="E25" s="59">
        <f t="shared" si="0"/>
        <v>4837470</v>
      </c>
    </row>
    <row r="26" spans="1:5" x14ac:dyDescent="0.3">
      <c r="B26" s="2">
        <v>3</v>
      </c>
      <c r="C26" s="35" t="s">
        <v>95</v>
      </c>
      <c r="D26" s="45">
        <f>+D66</f>
        <v>2270</v>
      </c>
      <c r="E26" s="59">
        <f t="shared" si="0"/>
        <v>7500</v>
      </c>
    </row>
    <row r="27" spans="1:5" x14ac:dyDescent="0.3">
      <c r="B27" s="2">
        <v>4</v>
      </c>
      <c r="C27" s="35" t="s">
        <v>96</v>
      </c>
      <c r="D27" s="45">
        <f>+D95</f>
        <v>54130</v>
      </c>
      <c r="E27" s="59">
        <f t="shared" si="0"/>
        <v>178940</v>
      </c>
    </row>
    <row r="28" spans="1:5" x14ac:dyDescent="0.3">
      <c r="B28" s="2">
        <v>5</v>
      </c>
      <c r="C28" s="35" t="s">
        <v>97</v>
      </c>
      <c r="D28" s="45">
        <f>+D119</f>
        <v>198710</v>
      </c>
      <c r="E28" s="59">
        <f t="shared" si="0"/>
        <v>656890</v>
      </c>
    </row>
    <row r="29" spans="1:5" x14ac:dyDescent="0.3">
      <c r="B29" s="2">
        <v>6</v>
      </c>
      <c r="C29" s="35" t="s">
        <v>98</v>
      </c>
      <c r="D29" s="45">
        <f>+D133</f>
        <v>82690</v>
      </c>
      <c r="E29" s="59">
        <f t="shared" si="0"/>
        <v>273350</v>
      </c>
    </row>
    <row r="30" spans="1:5" x14ac:dyDescent="0.3">
      <c r="B30" s="2">
        <v>7</v>
      </c>
      <c r="C30" s="35" t="s">
        <v>99</v>
      </c>
      <c r="D30" s="45">
        <f>+D146</f>
        <v>32980</v>
      </c>
      <c r="E30" s="59">
        <f t="shared" si="0"/>
        <v>109020</v>
      </c>
    </row>
    <row r="31" spans="1:5" x14ac:dyDescent="0.3">
      <c r="B31" s="2">
        <v>8</v>
      </c>
      <c r="C31" s="35" t="s">
        <v>100</v>
      </c>
      <c r="D31" s="45">
        <f>+D154</f>
        <v>62990</v>
      </c>
      <c r="E31" s="59">
        <f t="shared" si="0"/>
        <v>208230</v>
      </c>
    </row>
    <row r="32" spans="1:5" x14ac:dyDescent="0.3">
      <c r="B32" s="2">
        <v>9</v>
      </c>
      <c r="C32" s="35" t="s">
        <v>101</v>
      </c>
      <c r="D32" s="45">
        <f>+D161</f>
        <v>54070</v>
      </c>
      <c r="E32" s="59">
        <f t="shared" si="0"/>
        <v>178740</v>
      </c>
    </row>
    <row r="33" spans="1:7" x14ac:dyDescent="0.3">
      <c r="B33" s="2">
        <v>10</v>
      </c>
      <c r="C33" s="35" t="s">
        <v>155</v>
      </c>
      <c r="D33" s="53">
        <f>TRUNC(SUM(D24:D32)*0.275,-1)</f>
        <v>536570</v>
      </c>
      <c r="E33" s="60">
        <f t="shared" si="0"/>
        <v>1773790</v>
      </c>
    </row>
    <row r="34" spans="1:7" x14ac:dyDescent="0.3">
      <c r="C34" s="35" t="s">
        <v>112</v>
      </c>
      <c r="D34" s="44">
        <f>SUM(D24:D33)</f>
        <v>2487740</v>
      </c>
      <c r="E34" s="44">
        <f>SUM(E24:E33)</f>
        <v>8223930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TRUNC(67662,-1)</f>
        <v>67660</v>
      </c>
      <c r="E40" s="62">
        <f t="shared" ref="E40:E59" si="1">TRUNC(+D40*3.3058,-1)</f>
        <v>223670</v>
      </c>
    </row>
    <row r="41" spans="1:7" x14ac:dyDescent="0.3">
      <c r="A41" s="2">
        <v>2</v>
      </c>
      <c r="C41" s="38" t="s">
        <v>13</v>
      </c>
      <c r="D41" s="42">
        <f>TRUNC(175247,-1)</f>
        <v>175240</v>
      </c>
      <c r="E41" s="63">
        <f t="shared" si="1"/>
        <v>579300</v>
      </c>
    </row>
    <row r="42" spans="1:7" x14ac:dyDescent="0.3">
      <c r="A42" s="2">
        <v>3</v>
      </c>
      <c r="C42" s="38" t="s">
        <v>14</v>
      </c>
      <c r="D42" s="42">
        <f>TRUNC(8627,-1)</f>
        <v>8620</v>
      </c>
      <c r="E42" s="63">
        <f t="shared" si="1"/>
        <v>28490</v>
      </c>
    </row>
    <row r="43" spans="1:7" x14ac:dyDescent="0.3">
      <c r="A43" s="2">
        <v>4</v>
      </c>
      <c r="C43" s="38" t="s">
        <v>16</v>
      </c>
      <c r="D43" s="42">
        <v>16060</v>
      </c>
      <c r="E43" s="63">
        <f t="shared" si="1"/>
        <v>53090</v>
      </c>
    </row>
    <row r="44" spans="1:7" x14ac:dyDescent="0.3">
      <c r="A44" s="2">
        <v>5</v>
      </c>
      <c r="C44" s="38" t="s">
        <v>17</v>
      </c>
      <c r="D44" s="42">
        <f>TRUNC(34349,-1)</f>
        <v>34340</v>
      </c>
      <c r="E44" s="63">
        <f t="shared" si="1"/>
        <v>113520</v>
      </c>
    </row>
    <row r="45" spans="1:7" x14ac:dyDescent="0.3">
      <c r="A45" s="2">
        <v>6</v>
      </c>
      <c r="C45" s="38" t="s">
        <v>18</v>
      </c>
      <c r="D45" s="42">
        <f>TRUNC(18539,-1)</f>
        <v>18530</v>
      </c>
      <c r="E45" s="63">
        <f t="shared" si="1"/>
        <v>61250</v>
      </c>
    </row>
    <row r="46" spans="1:7" x14ac:dyDescent="0.3">
      <c r="A46" s="2">
        <v>7</v>
      </c>
      <c r="C46" s="38" t="s">
        <v>19</v>
      </c>
      <c r="D46" s="42">
        <f>TRUNC(143736,-1)</f>
        <v>143730</v>
      </c>
      <c r="E46" s="63">
        <f t="shared" si="1"/>
        <v>475140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TRUNC(58038,-1)</f>
        <v>58030</v>
      </c>
      <c r="E48" s="63">
        <f t="shared" si="1"/>
        <v>191830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v>17460</v>
      </c>
      <c r="E49" s="63">
        <f t="shared" si="1"/>
        <v>57710</v>
      </c>
    </row>
    <row r="50" spans="1:7" x14ac:dyDescent="0.3">
      <c r="A50" s="2">
        <v>11</v>
      </c>
      <c r="C50" s="38" t="s">
        <v>156</v>
      </c>
      <c r="D50" s="42">
        <f>TRUNC(65988,-1)</f>
        <v>65980</v>
      </c>
      <c r="E50" s="63">
        <f t="shared" si="1"/>
        <v>218110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TRUNC(5854,-1)</f>
        <v>5850</v>
      </c>
      <c r="E52" s="63">
        <f t="shared" si="1"/>
        <v>19330</v>
      </c>
    </row>
    <row r="53" spans="1:7" x14ac:dyDescent="0.3">
      <c r="A53" s="2">
        <v>14</v>
      </c>
      <c r="C53" s="38" t="s">
        <v>25</v>
      </c>
      <c r="D53" s="42">
        <f>TRUNC(179928,-1)</f>
        <v>179920</v>
      </c>
      <c r="E53" s="63">
        <f t="shared" si="1"/>
        <v>594770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TRUNC(76791+982+6017-307+53501,-1)</f>
        <v>136980</v>
      </c>
      <c r="E58" s="63">
        <f t="shared" si="1"/>
        <v>452820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TRUNC(534932,-1)</f>
        <v>534930</v>
      </c>
      <c r="E59" s="64">
        <f t="shared" si="1"/>
        <v>1768370</v>
      </c>
    </row>
    <row r="60" spans="1:7" x14ac:dyDescent="0.3">
      <c r="A60" s="2">
        <v>21</v>
      </c>
      <c r="C60" s="27" t="s">
        <v>112</v>
      </c>
      <c r="D60" s="39">
        <f>SUM(D40:D59)</f>
        <v>1463330</v>
      </c>
      <c r="E60" s="39">
        <f>SUM(E40:E59)</f>
        <v>4837400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TRUNC(2279,-1)</f>
        <v>2270</v>
      </c>
      <c r="E63" s="62">
        <f>TRUNC(+D63*3.3058,-1)</f>
        <v>7500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2270</v>
      </c>
      <c r="E66" s="65">
        <f>SUM(E63:E65)</f>
        <v>7500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TRUNC(10566,-1)</f>
        <v>10560</v>
      </c>
      <c r="E69" s="62">
        <f t="shared" ref="E69:E94" si="2">TRUNC(+D69*3.3058,-1)</f>
        <v>34900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TRUNC(6561,-1)</f>
        <v>6560</v>
      </c>
      <c r="E72" s="63">
        <f t="shared" si="2"/>
        <v>21680</v>
      </c>
    </row>
    <row r="73" spans="1:7" x14ac:dyDescent="0.3">
      <c r="A73" s="2">
        <v>5</v>
      </c>
      <c r="C73" s="38" t="s">
        <v>34</v>
      </c>
      <c r="D73" s="42">
        <v>11830</v>
      </c>
      <c r="E73" s="63">
        <f t="shared" si="2"/>
        <v>39100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TRUNC(7313,-1)</f>
        <v>7310</v>
      </c>
      <c r="E89" s="63">
        <f t="shared" si="2"/>
        <v>24160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2030</v>
      </c>
      <c r="E91" s="63">
        <f t="shared" si="2"/>
        <v>6710</v>
      </c>
    </row>
    <row r="92" spans="1:7" x14ac:dyDescent="0.3">
      <c r="A92" s="2">
        <v>24</v>
      </c>
      <c r="C92" s="38" t="s">
        <v>38</v>
      </c>
      <c r="D92" s="42">
        <f>TRUNC(14439,-1)</f>
        <v>14430</v>
      </c>
      <c r="E92" s="63">
        <f t="shared" si="2"/>
        <v>47700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TRUNC(1418,-1)</f>
        <v>1410</v>
      </c>
      <c r="E94" s="64">
        <f t="shared" si="2"/>
        <v>4660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54130</v>
      </c>
      <c r="E95" s="39">
        <f>SUM(E69:E94)</f>
        <v>178910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TRUNC(30191,-1)</f>
        <v>30190</v>
      </c>
      <c r="E98" s="62">
        <f t="shared" ref="E98:E118" si="3">TRUNC(+D98*3.3058,-1)</f>
        <v>99800</v>
      </c>
    </row>
    <row r="99" spans="1:7" x14ac:dyDescent="0.3">
      <c r="A99" s="2">
        <v>2</v>
      </c>
      <c r="C99" s="38" t="s">
        <v>40</v>
      </c>
      <c r="D99" s="42">
        <f>TRUNC(824,-1)</f>
        <v>820</v>
      </c>
      <c r="E99" s="63">
        <f t="shared" si="3"/>
        <v>2710</v>
      </c>
    </row>
    <row r="100" spans="1:7" x14ac:dyDescent="0.3">
      <c r="A100" s="2">
        <v>3</v>
      </c>
      <c r="C100" s="38" t="s">
        <v>41</v>
      </c>
      <c r="D100" s="42">
        <f>TRUNC(34776,-1)</f>
        <v>34770</v>
      </c>
      <c r="E100" s="63">
        <f t="shared" si="3"/>
        <v>114940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TRUNC(20065,-1)</f>
        <v>20060</v>
      </c>
      <c r="E102" s="63">
        <f t="shared" si="3"/>
        <v>66310</v>
      </c>
    </row>
    <row r="103" spans="1:7" x14ac:dyDescent="0.3">
      <c r="A103" s="2">
        <v>6</v>
      </c>
      <c r="C103" s="38" t="s">
        <v>44</v>
      </c>
      <c r="D103" s="42">
        <f>TRUNC(7052,-1)</f>
        <v>7050</v>
      </c>
      <c r="E103" s="63">
        <f t="shared" si="3"/>
        <v>23300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TRUNC(105829,-1)</f>
        <v>105820</v>
      </c>
      <c r="E117" s="63">
        <f t="shared" si="3"/>
        <v>349810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198710</v>
      </c>
      <c r="E119" s="39">
        <f>SUM(E98:E118)</f>
        <v>656870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TRUNC(4594,-1)</f>
        <v>4590</v>
      </c>
      <c r="E122" s="62">
        <f t="shared" ref="E122:E132" si="4">TRUNC(+D122*3.3058,-1)</f>
        <v>15170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TRUNC(8678,-1)</f>
        <v>8670</v>
      </c>
      <c r="E125" s="63">
        <f t="shared" si="4"/>
        <v>28660</v>
      </c>
    </row>
    <row r="126" spans="1:7" x14ac:dyDescent="0.3">
      <c r="A126" s="2">
        <v>5</v>
      </c>
      <c r="C126" s="38" t="s">
        <v>53</v>
      </c>
      <c r="D126" s="42">
        <f>TRUNC(6167,-1)</f>
        <v>6160</v>
      </c>
      <c r="E126" s="63">
        <f t="shared" si="4"/>
        <v>20360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TRUNC(35191,-1)</f>
        <v>35190</v>
      </c>
      <c r="E130" s="63">
        <f t="shared" si="4"/>
        <v>116330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28080</v>
      </c>
      <c r="E132" s="64">
        <f t="shared" si="4"/>
        <v>92820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82690</v>
      </c>
      <c r="E133" s="39">
        <f>SUM(E122:E132)</f>
        <v>273340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TRUNC(9829,-1)</f>
        <v>9820</v>
      </c>
      <c r="E137" s="63">
        <f t="shared" si="5"/>
        <v>32460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TRUNC(8229,-1)</f>
        <v>8220</v>
      </c>
      <c r="E143" s="63">
        <f t="shared" si="5"/>
        <v>27170</v>
      </c>
    </row>
    <row r="144" spans="1:7" x14ac:dyDescent="0.3">
      <c r="A144" s="2">
        <v>9</v>
      </c>
      <c r="C144" s="38" t="s">
        <v>63</v>
      </c>
      <c r="D144" s="42">
        <v>14940</v>
      </c>
      <c r="E144" s="63">
        <f t="shared" si="5"/>
        <v>49380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32980</v>
      </c>
      <c r="E146" s="39">
        <f>SUM(E136:E145)</f>
        <v>109010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TRUNC(1536+8101,-1)</f>
        <v>9630</v>
      </c>
      <c r="E149" s="62">
        <f>TRUNC(+D149*3.3058,-1)</f>
        <v>31830</v>
      </c>
    </row>
    <row r="150" spans="1:7" x14ac:dyDescent="0.3">
      <c r="A150" s="2">
        <v>2</v>
      </c>
      <c r="C150" s="38" t="s">
        <v>49</v>
      </c>
      <c r="D150" s="42">
        <f>TRUNC(8887,-1)</f>
        <v>8880</v>
      </c>
      <c r="E150" s="63">
        <f>TRUNC(+D150*3.3058,-1)</f>
        <v>29350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TRUNC(32404+375+11707,-1)</f>
        <v>44480</v>
      </c>
      <c r="E152" s="63">
        <f>TRUNC(+D152*3.3058,-1)</f>
        <v>147040</v>
      </c>
      <c r="F152" s="2" t="s">
        <v>254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62990</v>
      </c>
      <c r="E154" s="39">
        <f>SUM(E149:E153)</f>
        <v>208220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TRUNC(38178,-1)</f>
        <v>38170</v>
      </c>
      <c r="E157" s="62">
        <f>TRUNC(+D157*3.3058,-1)</f>
        <v>126180</v>
      </c>
    </row>
    <row r="158" spans="1:7" x14ac:dyDescent="0.3">
      <c r="A158" s="2">
        <v>2</v>
      </c>
      <c r="C158" s="38" t="s">
        <v>52</v>
      </c>
      <c r="D158" s="42">
        <f>TRUNC(15901,-1)</f>
        <v>15900</v>
      </c>
      <c r="E158" s="63">
        <f>TRUNC(+D158*3.3058,-1)</f>
        <v>52560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54070</v>
      </c>
      <c r="E161" s="39">
        <f>SUM(E157:E160)</f>
        <v>178740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2020-12-08T01:29:11Z</dcterms:modified>
</cp:coreProperties>
</file>