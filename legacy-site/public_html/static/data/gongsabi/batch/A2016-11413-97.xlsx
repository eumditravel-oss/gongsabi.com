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2" i="4"/>
  <c r="D140" i="4"/>
  <c r="D137" i="4"/>
  <c r="D132" i="4"/>
  <c r="D131" i="4"/>
  <c r="D130" i="4"/>
  <c r="D126" i="4"/>
  <c r="D122" i="4"/>
  <c r="D118" i="4"/>
  <c r="D117" i="4"/>
  <c r="D103" i="4"/>
  <c r="D102" i="4"/>
  <c r="D100" i="4"/>
  <c r="D99" i="4"/>
  <c r="D98" i="4"/>
  <c r="D94" i="4"/>
  <c r="D92" i="4"/>
  <c r="D91" i="4"/>
  <c r="D89" i="4"/>
  <c r="D76" i="4"/>
  <c r="D73" i="4"/>
  <c r="D72" i="4"/>
  <c r="D70" i="4"/>
  <c r="D65" i="4"/>
  <c r="D63" i="4"/>
  <c r="D59" i="4"/>
  <c r="D58" i="4"/>
  <c r="D53" i="4"/>
  <c r="D52" i="4"/>
  <c r="D50" i="4"/>
  <c r="D49" i="4"/>
  <c r="D48" i="4"/>
  <c r="D46" i="4"/>
  <c r="D45" i="4"/>
  <c r="D44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<sst xmlns="http://schemas.openxmlformats.org/spreadsheetml/2006/main" count="390" uniqueCount="264">
  <si>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</si>
  <si>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</si>
  <si>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</si>
  <si>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</si>
  <si>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</si>
  <si>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</si>
  <si>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</si>
  <si>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</si>
  <si>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</si>
  <si>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</si>
  <si>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</si>
  <si>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</si>
  <si>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</si>
  <si>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</si>
  <si>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</si>
  <si>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</si>
  <si>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</si>
  <si>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</si>
  <si>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</si>
  <si>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</si>
  <si>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</si>
  <si>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</si>
  <si>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</si>
  <si>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</si>
  <si>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</si>
  <si>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</si>
  <si>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</si>
  <si>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</si>
  <si>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</si>
  <si>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</si>
  <si>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</si>
  <si>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</si>
  <si>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</si>
  <si>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</si>
  <si>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</si>
  <si>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</si>
  <si>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</si>
  <si>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</si>
  <si>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</si>
  <si>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</si>
  <si>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</si>
  <si>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</si>
  <si>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</si>
  <si>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</si>
  <si>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</si>
  <si>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</si>
  <si>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</si>
  <si>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</si>
  <si>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</si>
  <si>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</si>
  <si>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</si>
  <si>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</si>
  <si>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</si>
  <si>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</si>
  <si>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</si>
  <si>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</si>
  <si>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</si>
  <si>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</si>
  <si>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</si>
  <si>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</si>
  <si>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</si>
  <si>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</si>
  <si>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</si>
  <si>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</si>
  <si>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</si>
  <si>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</si>
  <si>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</si>
  <si>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</si>
  <si>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</si>
  <si>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</si>
  <si>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</si>
  <si>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</si>
  <si>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</si>
  <si>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</si>
  <si>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</si>
  <si>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</si>
  <si>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</si>
  <si>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</si>
  <si>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</si>
  <si>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</si>
  <si>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</si>
  <si>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</si>
  <si>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</si>
  <si>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</si>
  <si>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</si>
  <si>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</si>
  <si>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</si>
  <si>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</si>
  <si>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</si>
  <si>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</si>
  <si>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</si>
  <si>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</si>
  <si>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</si>
  <si>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</si>
  <si>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</si>
  <si>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</si>
  <si>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</si>
  <si>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</si>
  <si>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</si>
  <si>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</si>
  <si>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</si>
  <si>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</si>
  <si>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</si>
  <si>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</si>
  <si>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</si>
  <si>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</si>
  <si>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</si>
  <si>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</si>
  <si>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</si>
  <si>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</si>
  <si>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</si>
  <si>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</si>
  <si>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</si>
  <si>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</si>
  <si>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</si>
  <si>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</si>
  <si>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</si>
  <si>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</si>
  <si>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</si>
  <si>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</si>
  <si>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</si>
  <si>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</si>
  <si>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</si>
  <si>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</si>
  <si>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</si>
  <si>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</si>
  <si>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</si>
  <si>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</si>
  <si>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</si>
  <si>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</si>
  <si>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</si>
  <si>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</si>
  <si>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</si>
  <si>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</si>
  <si>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</si>
  <si>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</si>
  <si>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</si>
  <si>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</si>
  <si>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</si>
  <si>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</si>
  <si>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</si>
  <si>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</si>
  <si>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</si>
  <si>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</si>
  <si>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</si>
  <si>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</si>
  <si>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</si>
  <si>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</si>
  <si>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</si>
  <si>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</si>
  <si>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</si>
  <si>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</si>
  <si>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</si>
  <si>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</si>
  <si>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</si>
  <si>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</si>
  <si>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</si>
  <si>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</si>
  <si>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</si>
  <si>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</si>
  <si>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</si>
  <si>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</si>
  <si>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</si>
  <si>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</si>
  <si>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</si>
  <si>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</si>
  <si>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</si>
  <si>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</si>
  <si>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</si>
  <si>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</si>
  <si>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</si>
  <si>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</si>
  <si>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</si>
  <si>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</si>
  <si>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</si>
  <si>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</si>
  <si>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</si>
  <si>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</si>
  <si>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</si>
  <si>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</si>
  <si>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</si>
  <si>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</si>
  <si>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</si>
  <si>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</si>
  <si>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</si>
  <si>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</si>
  <si>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</si>
  <si>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</si>
  <si>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</si>
  <si>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</si>
  <si>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</si>
  <si>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</si>
  <si>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</si>
  <si>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</si>
  <si>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</si>
  <si>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</si>
  <si>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</si>
  <si>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</si>
  <si>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</si>
  <si>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</si>
  <si>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</si>
  <si>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</si>
  <si>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</si>
  <si>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</si>
  <si>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</si>
  <si>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</si>
  <si>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</si>
  <si>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</si>
  <si>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</si>
  <si>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</si>
  <si>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</si>
  <si>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</si>
  <si>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</si>
  <si>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</si>
  <si>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</si>
  <si>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</si>
  <si>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</si>
  <si>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</si>
  <si>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</si>
  <si>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</si>
  <si>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</si>
  <si>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</si>
  <si>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</si>
  <si>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</si>
  <si>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</si>
  <si>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</si>
  <si>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</si>
  <si>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</si>
  <si>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</si>
  <si>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</si>
  <si>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</si>
  <si>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</si>
  <si>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</si>
  <si>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</si>
  <si>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</si>
  <si>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</si>
  <si>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</si>
  <si>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</si>
  <si>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</si>
  <si>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</si>
  <si>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</si>
  <si>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</si>
  <si>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</si>
  <si>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</si>
  <si>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</si>
  <si>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</si>
  <si>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</si>
  <si>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</si>
  <si>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</si>
  <si>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</si>
  <si>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</si>
  <si>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</si>
  <si>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</si>
  <si>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</si>
  <si>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</si>
  <si>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함평 거점고등학교 교사 이설공사</t>
    <phoneticPr fontId="2" type="noConversion"/>
  </si>
  <si>
    <t>전라도</t>
  </si>
  <si>
    <t>기초공사, 해체및철거공사, 골재비및운반비, 작업부산물, 품질시험비, 기타공사</t>
    <phoneticPr fontId="2" type="noConversion"/>
  </si>
  <si>
    <t>공조배관공사, 난방배관공사,우수처리시설공사, 기타공사</t>
    <phoneticPr fontId="2" type="noConversion"/>
  </si>
  <si>
    <t>CCTV설비공사,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</si>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</sst>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15383.24</v>
      </c>
      <c r="D7" s="36">
        <f>+C7/3.3058</f>
        <v>4653.4091596587814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1171470</v>
      </c>
      <c r="E25" s="59">
        <f t="shared" si="0"/>
        <v>3872640</v>
      </c>
    </row>
    <row r="26" spans="1:5" x14ac:dyDescent="0.3">
      <c r="B26" s="2">
        <v>3</v>
      </c>
      <c r="C26" s="35" t="s">
        <v>95</v>
      </c>
      <c r="D26" s="45">
        <f>+D66</f>
        <v>23640</v>
      </c>
      <c r="E26" s="59">
        <f t="shared" si="0"/>
        <v>78140</v>
      </c>
    </row>
    <row r="27" spans="1:5" x14ac:dyDescent="0.3">
      <c r="B27" s="2">
        <v>4</v>
      </c>
      <c r="C27" s="35" t="s">
        <v>96</v>
      </c>
      <c r="D27" s="45">
        <f>+D95</f>
        <v>109770</v>
      </c>
      <c r="E27" s="59">
        <f t="shared" si="0"/>
        <v>362870</v>
      </c>
    </row>
    <row r="28" spans="1:5" x14ac:dyDescent="0.3">
      <c r="B28" s="2">
        <v>5</v>
      </c>
      <c r="C28" s="35" t="s">
        <v>97</v>
      </c>
      <c r="D28" s="45">
        <f>+D119</f>
        <v>133360</v>
      </c>
      <c r="E28" s="59">
        <f t="shared" si="0"/>
        <v>440860</v>
      </c>
    </row>
    <row r="29" spans="1:5" x14ac:dyDescent="0.3">
      <c r="B29" s="2">
        <v>6</v>
      </c>
      <c r="C29" s="35" t="s">
        <v>98</v>
      </c>
      <c r="D29" s="45">
        <f>+D133</f>
        <v>68460</v>
      </c>
      <c r="E29" s="59">
        <f t="shared" si="0"/>
        <v>226310</v>
      </c>
    </row>
    <row r="30" spans="1:5" x14ac:dyDescent="0.3">
      <c r="B30" s="2">
        <v>7</v>
      </c>
      <c r="C30" s="35" t="s">
        <v>99</v>
      </c>
      <c r="D30" s="45">
        <f>+D146</f>
        <v>35030</v>
      </c>
      <c r="E30" s="59">
        <f t="shared" si="0"/>
        <v>115800</v>
      </c>
    </row>
    <row r="31" spans="1:5" x14ac:dyDescent="0.3">
      <c r="B31" s="2">
        <v>8</v>
      </c>
      <c r="C31" s="35" t="s">
        <v>100</v>
      </c>
      <c r="D31" s="45">
        <f>+D154</f>
        <v>65630</v>
      </c>
      <c r="E31" s="59">
        <f t="shared" si="0"/>
        <v>216950</v>
      </c>
    </row>
    <row r="32" spans="1:5" x14ac:dyDescent="0.3">
      <c r="B32" s="2">
        <v>9</v>
      </c>
      <c r="C32" s="35" t="s">
        <v>101</v>
      </c>
      <c r="D32" s="45">
        <f>+D161</f>
        <v>32220</v>
      </c>
      <c r="E32" s="59">
        <f t="shared" si="0"/>
        <v>106510</v>
      </c>
    </row>
    <row r="33" spans="1:7" x14ac:dyDescent="0.3">
      <c r="B33" s="2">
        <v>10</v>
      </c>
      <c r="C33" s="35" t="s">
        <v>155</v>
      </c>
      <c r="D33" s="53">
        <f>TRUNC(SUM(D24:D32)*0.275,-1)</f>
        <v>450880</v>
      </c>
      <c r="E33" s="60">
        <f t="shared" si="0"/>
        <v>1490510</v>
      </c>
    </row>
    <row r="34" spans="1:7" x14ac:dyDescent="0.3">
      <c r="C34" s="35" t="s">
        <v>112</v>
      </c>
      <c r="D34" s="44">
        <f>SUM(D24:D33)</f>
        <v>2090460</v>
      </c>
      <c r="E34" s="44">
        <f>SUM(E24:E33)</f>
        <v>6910590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TRUNC(67288,-1)</f>
        <v>67280</v>
      </c>
      <c r="E40" s="62">
        <f t="shared" ref="E40:E59" si="1">TRUNC(+D40*3.3058,-1)</f>
        <v>222410</v>
      </c>
    </row>
    <row r="41" spans="1:7" x14ac:dyDescent="0.3">
      <c r="A41" s="2">
        <v>2</v>
      </c>
      <c r="C41" s="38" t="s">
        <v>13</v>
      </c>
      <c r="D41" s="42">
        <f>TRUNC(193653,-1)</f>
        <v>193650</v>
      </c>
      <c r="E41" s="63">
        <f t="shared" si="1"/>
        <v>640160</v>
      </c>
    </row>
    <row r="42" spans="1:7" x14ac:dyDescent="0.3">
      <c r="A42" s="2">
        <v>3</v>
      </c>
      <c r="C42" s="38" t="s">
        <v>14</v>
      </c>
      <c r="D42" s="42">
        <f>TRUNC(8174,-1)</f>
        <v>8170</v>
      </c>
      <c r="E42" s="63">
        <f t="shared" si="1"/>
        <v>27000</v>
      </c>
    </row>
    <row r="43" spans="1:7" x14ac:dyDescent="0.3">
      <c r="A43" s="2">
        <v>4</v>
      </c>
      <c r="C43" s="38" t="s">
        <v>16</v>
      </c>
      <c r="D43" s="42">
        <v>26660</v>
      </c>
      <c r="E43" s="63">
        <f t="shared" si="1"/>
        <v>88130</v>
      </c>
    </row>
    <row r="44" spans="1:7" x14ac:dyDescent="0.3">
      <c r="A44" s="2">
        <v>5</v>
      </c>
      <c r="C44" s="38" t="s">
        <v>17</v>
      </c>
      <c r="D44" s="42">
        <f>TRUNC(21167,-1)</f>
        <v>21160</v>
      </c>
      <c r="E44" s="63">
        <f t="shared" si="1"/>
        <v>69950</v>
      </c>
    </row>
    <row r="45" spans="1:7" x14ac:dyDescent="0.3">
      <c r="A45" s="2">
        <v>6</v>
      </c>
      <c r="C45" s="38" t="s">
        <v>18</v>
      </c>
      <c r="D45" s="42">
        <f>TRUNC(13903,-1)</f>
        <v>13900</v>
      </c>
      <c r="E45" s="63">
        <f t="shared" si="1"/>
        <v>45950</v>
      </c>
    </row>
    <row r="46" spans="1:7" x14ac:dyDescent="0.3">
      <c r="A46" s="2">
        <v>7</v>
      </c>
      <c r="C46" s="38" t="s">
        <v>19</v>
      </c>
      <c r="D46" s="42">
        <f>TRUNC(33352,-1)</f>
        <v>33350</v>
      </c>
      <c r="E46" s="63">
        <f t="shared" si="1"/>
        <v>110240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TRUNC(57403,-1)</f>
        <v>57400</v>
      </c>
      <c r="E48" s="63">
        <f t="shared" si="1"/>
        <v>189750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TRUNC(23837,-1)</f>
        <v>23830</v>
      </c>
      <c r="E49" s="63">
        <f t="shared" si="1"/>
        <v>78770</v>
      </c>
    </row>
    <row r="50" spans="1:7" x14ac:dyDescent="0.3">
      <c r="A50" s="2">
        <v>11</v>
      </c>
      <c r="C50" s="38" t="s">
        <v>156</v>
      </c>
      <c r="D50" s="42">
        <f>TRUNC(64089,-1)</f>
        <v>64080</v>
      </c>
      <c r="E50" s="63">
        <f t="shared" si="1"/>
        <v>211830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TRUNC(11873,-1)</f>
        <v>11870</v>
      </c>
      <c r="E52" s="63">
        <f t="shared" si="1"/>
        <v>39230</v>
      </c>
    </row>
    <row r="53" spans="1:7" x14ac:dyDescent="0.3">
      <c r="A53" s="2">
        <v>14</v>
      </c>
      <c r="C53" s="38" t="s">
        <v>25</v>
      </c>
      <c r="D53" s="42">
        <f>TRUNC(73227,-1)</f>
        <v>73220</v>
      </c>
      <c r="E53" s="63">
        <f t="shared" si="1"/>
        <v>242050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TRUNC(14031+25911+5944-608+166+17044,-1)</f>
        <v>62480</v>
      </c>
      <c r="E58" s="63">
        <f t="shared" si="1"/>
        <v>206540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TRUNC(514421,-1)</f>
        <v>514420</v>
      </c>
      <c r="E59" s="64">
        <f t="shared" si="1"/>
        <v>1700560</v>
      </c>
    </row>
    <row r="60" spans="1:7" x14ac:dyDescent="0.3">
      <c r="A60" s="2">
        <v>21</v>
      </c>
      <c r="C60" s="27" t="s">
        <v>112</v>
      </c>
      <c r="D60" s="39">
        <f>SUM(D40:D59)</f>
        <v>1171470</v>
      </c>
      <c r="E60" s="39">
        <f>SUM(E40:E59)</f>
        <v>3872570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TRUNC(2943,-1)</f>
        <v>2940</v>
      </c>
      <c r="E63" s="62">
        <f>TRUNC(+D63*3.3058,-1)</f>
        <v>9710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TRUNC(20709,-1)</f>
        <v>20700</v>
      </c>
      <c r="E65" s="64">
        <f>TRUNC(+D65*3.3058,-1)</f>
        <v>68430</v>
      </c>
    </row>
    <row r="66" spans="1:7" x14ac:dyDescent="0.3">
      <c r="A66" s="2">
        <v>4</v>
      </c>
      <c r="C66" s="27" t="s">
        <v>112</v>
      </c>
      <c r="D66" s="39">
        <f>SUM(D63:D65)</f>
        <v>23640</v>
      </c>
      <c r="E66" s="65">
        <f>SUM(E63:E65)</f>
        <v>78140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6100</v>
      </c>
      <c r="E69" s="62">
        <f t="shared" ref="E69:E94" si="2">TRUNC(+D69*3.3058,-1)</f>
        <v>20160</v>
      </c>
    </row>
    <row r="70" spans="1:7" ht="16.5" customHeight="1" x14ac:dyDescent="0.3">
      <c r="A70" s="2">
        <v>2</v>
      </c>
      <c r="C70" s="38" t="s">
        <v>31</v>
      </c>
      <c r="D70" s="42">
        <f>TRUNC(1922,-1)</f>
        <v>1920</v>
      </c>
      <c r="E70" s="63">
        <f t="shared" si="2"/>
        <v>6340</v>
      </c>
    </row>
    <row r="71" spans="1:7" x14ac:dyDescent="0.3">
      <c r="A71" s="2">
        <v>3</v>
      </c>
      <c r="C71" s="38" t="s">
        <v>32</v>
      </c>
      <c r="D71" s="42">
        <v>4100</v>
      </c>
      <c r="E71" s="63">
        <f t="shared" si="2"/>
        <v>13550</v>
      </c>
    </row>
    <row r="72" spans="1:7" x14ac:dyDescent="0.3">
      <c r="A72" s="2">
        <v>4</v>
      </c>
      <c r="C72" s="38" t="s">
        <v>33</v>
      </c>
      <c r="D72" s="42">
        <f>TRUNC(3561,-1)</f>
        <v>3560</v>
      </c>
      <c r="E72" s="63">
        <f t="shared" si="2"/>
        <v>11760</v>
      </c>
    </row>
    <row r="73" spans="1:7" x14ac:dyDescent="0.3">
      <c r="A73" s="2">
        <v>5</v>
      </c>
      <c r="C73" s="38" t="s">
        <v>34</v>
      </c>
      <c r="D73" s="42">
        <f>TRUNC(13328,-1)</f>
        <v>13320</v>
      </c>
      <c r="E73" s="63">
        <f t="shared" si="2"/>
        <v>44030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TRUNC(45333,-1)</f>
        <v>45330</v>
      </c>
      <c r="E76" s="63">
        <f t="shared" si="2"/>
        <v>149850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TRUNC(8643,-1)</f>
        <v>8640</v>
      </c>
      <c r="E89" s="63">
        <f t="shared" si="2"/>
        <v>28560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TRUNC(6389,-1)</f>
        <v>6380</v>
      </c>
      <c r="E91" s="63">
        <f t="shared" si="2"/>
        <v>21090</v>
      </c>
    </row>
    <row r="92" spans="1:7" x14ac:dyDescent="0.3">
      <c r="A92" s="2">
        <v>24</v>
      </c>
      <c r="C92" s="38" t="s">
        <v>38</v>
      </c>
      <c r="D92" s="42">
        <f>TRUNC(10638,-1)</f>
        <v>10630</v>
      </c>
      <c r="E92" s="63">
        <f t="shared" si="2"/>
        <v>35140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TRUNC(2275+4729+130+2658,-1)</f>
        <v>9790</v>
      </c>
      <c r="E94" s="64">
        <f t="shared" si="2"/>
        <v>32360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109770</v>
      </c>
      <c r="E95" s="39">
        <f>SUM(E69:E94)</f>
        <v>362840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TRUNC(22267,-1)</f>
        <v>22260</v>
      </c>
      <c r="E98" s="62">
        <f t="shared" ref="E98:E118" si="3">TRUNC(+D98*3.3058,-1)</f>
        <v>73580</v>
      </c>
    </row>
    <row r="99" spans="1:7" x14ac:dyDescent="0.3">
      <c r="A99" s="2">
        <v>2</v>
      </c>
      <c r="C99" s="38" t="s">
        <v>40</v>
      </c>
      <c r="D99" s="42">
        <f>TRUNC(1636,-1)</f>
        <v>1630</v>
      </c>
      <c r="E99" s="63">
        <f t="shared" si="3"/>
        <v>5380</v>
      </c>
    </row>
    <row r="100" spans="1:7" x14ac:dyDescent="0.3">
      <c r="A100" s="2">
        <v>3</v>
      </c>
      <c r="C100" s="38" t="s">
        <v>41</v>
      </c>
      <c r="D100" s="42">
        <f>TRUNC(28226,-1)</f>
        <v>28220</v>
      </c>
      <c r="E100" s="63">
        <f t="shared" si="3"/>
        <v>93280</v>
      </c>
    </row>
    <row r="101" spans="1:7" x14ac:dyDescent="0.3">
      <c r="A101" s="2">
        <v>4</v>
      </c>
      <c r="C101" s="38" t="s">
        <v>42</v>
      </c>
      <c r="D101" s="42">
        <v>920</v>
      </c>
      <c r="E101" s="63">
        <f t="shared" si="3"/>
        <v>3040</v>
      </c>
    </row>
    <row r="102" spans="1:7" x14ac:dyDescent="0.3">
      <c r="A102" s="2">
        <v>5</v>
      </c>
      <c r="C102" s="38" t="s">
        <v>43</v>
      </c>
      <c r="D102" s="42">
        <f>TRUNC(17715,-1)</f>
        <v>17710</v>
      </c>
      <c r="E102" s="63">
        <f t="shared" si="3"/>
        <v>58540</v>
      </c>
    </row>
    <row r="103" spans="1:7" x14ac:dyDescent="0.3">
      <c r="A103" s="2">
        <v>6</v>
      </c>
      <c r="C103" s="38" t="s">
        <v>44</v>
      </c>
      <c r="D103" s="42">
        <f>TRUNC(7815,-1)</f>
        <v>7810</v>
      </c>
      <c r="E103" s="63">
        <f t="shared" si="3"/>
        <v>25810</v>
      </c>
    </row>
    <row r="104" spans="1:7" x14ac:dyDescent="0.3">
      <c r="A104" s="2">
        <v>7</v>
      </c>
      <c r="C104" s="38" t="s">
        <v>45</v>
      </c>
      <c r="D104" s="42">
        <v>1260</v>
      </c>
      <c r="E104" s="63">
        <f t="shared" si="3"/>
        <v>4160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TRUNC(52408,-1)</f>
        <v>52400</v>
      </c>
      <c r="E117" s="63">
        <f t="shared" si="3"/>
        <v>173220</v>
      </c>
    </row>
    <row r="118" spans="1:7" ht="17.25" thickBot="1" x14ac:dyDescent="0.35">
      <c r="A118" s="2">
        <v>21</v>
      </c>
      <c r="C118" s="38" t="s">
        <v>47</v>
      </c>
      <c r="D118" s="43">
        <f>TRUNC(1154,-1)</f>
        <v>1150</v>
      </c>
      <c r="E118" s="64">
        <f t="shared" si="3"/>
        <v>3800</v>
      </c>
    </row>
    <row r="119" spans="1:7" x14ac:dyDescent="0.3">
      <c r="A119" s="2">
        <v>22</v>
      </c>
      <c r="C119" s="27" t="s">
        <v>112</v>
      </c>
      <c r="D119" s="39">
        <f>SUM(D98:D118)</f>
        <v>133360</v>
      </c>
      <c r="E119" s="39">
        <f>SUM(E98:E118)</f>
        <v>440810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TRUNC(3149,-1)</f>
        <v>3140</v>
      </c>
      <c r="E122" s="62">
        <f t="shared" ref="E122:E132" si="4">TRUNC(+D122*3.3058,-1)</f>
        <v>10380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4540</v>
      </c>
      <c r="E125" s="63">
        <f t="shared" si="4"/>
        <v>15000</v>
      </c>
    </row>
    <row r="126" spans="1:7" x14ac:dyDescent="0.3">
      <c r="A126" s="2">
        <v>5</v>
      </c>
      <c r="C126" s="38" t="s">
        <v>53</v>
      </c>
      <c r="D126" s="42">
        <f>TRUNC(3103,-1)</f>
        <v>3100</v>
      </c>
      <c r="E126" s="63">
        <f t="shared" si="4"/>
        <v>10240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TRUNC(12962,-1)</f>
        <v>12960</v>
      </c>
      <c r="E130" s="63">
        <f t="shared" si="4"/>
        <v>42840</v>
      </c>
    </row>
    <row r="131" spans="1:7" x14ac:dyDescent="0.3">
      <c r="A131" s="2">
        <v>10</v>
      </c>
      <c r="C131" s="38" t="s">
        <v>149</v>
      </c>
      <c r="D131" s="42">
        <f>TRUNC(42205,-1)</f>
        <v>42200</v>
      </c>
      <c r="E131" s="63">
        <f t="shared" si="4"/>
        <v>139500</v>
      </c>
    </row>
    <row r="132" spans="1:7" ht="18" thickBot="1" x14ac:dyDescent="0.35">
      <c r="A132" s="2">
        <v>11</v>
      </c>
      <c r="C132" s="38" t="s">
        <v>47</v>
      </c>
      <c r="D132" s="43">
        <f>TRUNC(912+1616,-1)</f>
        <v>2520</v>
      </c>
      <c r="E132" s="64">
        <f t="shared" si="4"/>
        <v>8330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68460</v>
      </c>
      <c r="E133" s="39">
        <f>SUM(E122:E132)</f>
        <v>226290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TRUNC(15708,-1)</f>
        <v>15700</v>
      </c>
      <c r="E137" s="63">
        <f t="shared" si="5"/>
        <v>51900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TRUNC(3712,-1)</f>
        <v>3710</v>
      </c>
      <c r="E140" s="63">
        <f t="shared" si="5"/>
        <v>12260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TRUNC(15628,-1)</f>
        <v>15620</v>
      </c>
      <c r="E142" s="63">
        <f t="shared" si="5"/>
        <v>51630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35030</v>
      </c>
      <c r="E146" s="39">
        <f>SUM(E136:E145)</f>
        <v>115790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TRUNC(19209+2330,-1)</f>
        <v>21530</v>
      </c>
      <c r="E149" s="62">
        <f>TRUNC(+D149*3.3058,-1)</f>
        <v>71170</v>
      </c>
    </row>
    <row r="150" spans="1:7" x14ac:dyDescent="0.3">
      <c r="A150" s="2">
        <v>2</v>
      </c>
      <c r="C150" s="38" t="s">
        <v>49</v>
      </c>
      <c r="D150" s="42">
        <f>TRUNC(22445,-1)</f>
        <v>22440</v>
      </c>
      <c r="E150" s="63">
        <f>TRUNC(+D150*3.3058,-1)</f>
        <v>74180</v>
      </c>
    </row>
    <row r="151" spans="1:7" x14ac:dyDescent="0.3">
      <c r="A151" s="2">
        <v>3</v>
      </c>
      <c r="C151" s="38" t="s">
        <v>50</v>
      </c>
      <c r="D151" s="42">
        <f>TRUNC(13413,-1)</f>
        <v>13410</v>
      </c>
      <c r="E151" s="63">
        <f>TRUNC(+D151*3.3058,-1)</f>
        <v>44330</v>
      </c>
    </row>
    <row r="152" spans="1:7" x14ac:dyDescent="0.3">
      <c r="A152" s="2">
        <v>4</v>
      </c>
      <c r="C152" s="38" t="s">
        <v>47</v>
      </c>
      <c r="D152" s="42">
        <f>TRUNC(146+8105,-1)</f>
        <v>8250</v>
      </c>
      <c r="E152" s="63">
        <f>TRUNC(+D152*3.3058,-1)</f>
        <v>27270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65630</v>
      </c>
      <c r="E154" s="39">
        <f>SUM(E149:E153)</f>
        <v>216950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TRUNC(29543,-1)</f>
        <v>29540</v>
      </c>
      <c r="E157" s="62">
        <f>TRUNC(+D157*3.3058,-1)</f>
        <v>97650</v>
      </c>
    </row>
    <row r="158" spans="1:7" x14ac:dyDescent="0.3">
      <c r="A158" s="2">
        <v>2</v>
      </c>
      <c r="C158" s="38" t="s">
        <v>52</v>
      </c>
      <c r="D158" s="42">
        <f>TRUNC(961,-1)</f>
        <v>960</v>
      </c>
      <c r="E158" s="63">
        <f>TRUNC(+D158*3.3058,-1)</f>
        <v>3170</v>
      </c>
    </row>
    <row r="159" spans="1:7" x14ac:dyDescent="0.3">
      <c r="A159" s="2">
        <v>3</v>
      </c>
      <c r="C159" s="38" t="s">
        <v>47</v>
      </c>
      <c r="D159" s="42">
        <f>TRUNC(999+730,-1)</f>
        <v>1720</v>
      </c>
      <c r="E159" s="63">
        <f>TRUNC(+D159*3.3058,-1)</f>
        <v>5680</v>
      </c>
      <c r="F159" s="2" t="s">
        <v>253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32220</v>
      </c>
      <c r="E161" s="39">
        <f>SUM(E157:E160)</f>
        <v>106500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2020-12-08T01:31:09Z</dcterms:modified>
</cp:coreProperties>
</file>