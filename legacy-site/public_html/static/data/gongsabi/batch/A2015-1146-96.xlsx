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1" i="4"/>
  <c r="E145" i="4"/>
  <c r="E141" i="4"/>
  <c r="E139" i="4"/>
  <c r="E138" i="4"/>
  <c r="E136" i="4"/>
  <c r="E129" i="4"/>
  <c r="E127" i="4"/>
  <c r="E124" i="4"/>
  <c r="E123" i="4"/>
  <c r="E115" i="4"/>
  <c r="E113" i="4"/>
  <c r="E112" i="4"/>
  <c r="E111" i="4"/>
  <c r="E110" i="4"/>
  <c r="E109" i="4"/>
  <c r="E108" i="4"/>
  <c r="E107" i="4"/>
  <c r="E106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5" i="4"/>
  <c r="E64" i="4"/>
  <c r="E57" i="4"/>
  <c r="E56" i="4"/>
  <c r="E55" i="4"/>
  <c r="E54" i="4"/>
  <c r="E53" i="4"/>
  <c r="E51" i="4"/>
  <c r="E47" i="4"/>
  <c r="E37" i="4"/>
  <c r="E161" i="4" l="1"/>
  <c r="D161" i="4"/>
  <c r="D32" i="4" s="1"/>
  <c r="E32" i="4" s="1"/>
  <c r="D153" i="4"/>
  <c r="E153" i="4" s="1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6" i="4"/>
  <c r="D125" i="4"/>
  <c r="E125" i="4" s="1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D70" i="4"/>
  <c r="E70" i="4" s="1"/>
  <c r="D69" i="4"/>
  <c r="E69" i="4" s="1"/>
  <c r="D63" i="4"/>
  <c r="D59" i="4"/>
  <c r="E59" i="4" s="1"/>
  <c r="D58" i="4"/>
  <c r="E58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146" i="4" l="1"/>
  <c r="D30" i="4" s="1"/>
  <c r="E30" i="4" s="1"/>
  <c r="E137" i="4"/>
  <c r="E146" i="4" s="1"/>
  <c r="D95" i="4"/>
  <c r="D27" i="4" s="1"/>
  <c r="E27" i="4" s="1"/>
  <c r="E71" i="4"/>
  <c r="D154" i="4"/>
  <c r="D31" i="4" s="1"/>
  <c r="E31" i="4" s="1"/>
  <c r="E149" i="4"/>
  <c r="E154" i="4" s="1"/>
  <c r="D66" i="4"/>
  <c r="D26" i="4" s="1"/>
  <c r="E26" i="4" s="1"/>
  <c r="E63" i="4"/>
  <c r="E66" i="4" s="1"/>
  <c r="D60" i="4"/>
  <c r="D25" i="4" s="1"/>
  <c r="E25" i="4" s="1"/>
  <c r="E34" i="4" s="1"/>
  <c r="E40" i="4"/>
  <c r="E60" i="4" s="1"/>
  <c r="D119" i="4"/>
  <c r="D28" i="4" s="1"/>
  <c r="E28" i="4" s="1"/>
  <c r="E98" i="4"/>
  <c r="E119" i="4" s="1"/>
  <c r="E95" i="4"/>
  <c r="D133" i="4"/>
  <c r="D29" i="4" s="1"/>
  <c r="E29" i="4" s="1"/>
  <c r="E126" i="4"/>
  <c r="E133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<sst xmlns="http://schemas.openxmlformats.org/spreadsheetml/2006/main" count="394" uniqueCount="265">
  <si>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</si>
  <si>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</si>
  <si>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</si>
  <si>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</si>
  <si>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</si>
  <si>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</si>
  <si>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</si>
  <si>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</si>
  <si>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</si>
  <si>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</si>
  <si>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</si>
  <si>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</si>
  <si>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</si>
  <si>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</si>
  <si>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</si>
  <si>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</si>
  <si>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</si>
  <si>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</si>
  <si>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</si>
  <si>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</si>
  <si>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</si>
  <si>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</si>
  <si>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</si>
  <si>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</si>
  <si>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</si>
  <si>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</si>
  <si>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</si>
  <si>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</si>
  <si>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</si>
  <si>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</si>
  <si>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</si>
  <si>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</si>
  <si>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</si>
  <si>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</si>
  <si>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</si>
  <si>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</si>
  <si>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</si>
  <si>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</si>
  <si>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</si>
  <si>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</si>
  <si>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</si>
  <si>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</si>
  <si>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</si>
  <si>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</si>
  <si>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</si>
  <si>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</si>
  <si>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</si>
  <si>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</si>
  <si>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</si>
  <si>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</si>
  <si>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</si>
  <si>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</si>
  <si>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</si>
  <si>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</si>
  <si>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</si>
  <si>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</si>
  <si>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</si>
  <si>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</si>
  <si>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</si>
  <si>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</si>
  <si>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</si>
  <si>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</si>
  <si>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</si>
  <si>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</si>
  <si>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</si>
  <si>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</si>
  <si>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</si>
  <si>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</si>
  <si>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</si>
  <si>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</si>
  <si>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</si>
  <si>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</si>
  <si>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</si>
  <si>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</si>
  <si>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</si>
  <si>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</si>
  <si>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</si>
  <si>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</si>
  <si>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</si>
  <si>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</si>
  <si>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</si>
  <si>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</si>
  <si>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</si>
  <si>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</si>
  <si>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</si>
  <si>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</si>
  <si>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</si>
  <si>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</si>
  <si>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</si>
  <si>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</si>
  <si>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</si>
  <si>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</si>
  <si>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</si>
  <si>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</si>
  <si>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</si>
  <si>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</si>
  <si>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</si>
  <si>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</si>
  <si>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</si>
  <si>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</si>
  <si>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</si>
  <si>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</si>
  <si>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</si>
  <si>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</si>
  <si>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</si>
  <si>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</si>
  <si>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</si>
  <si>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</si>
  <si>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</si>
  <si>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</si>
  <si>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</si>
  <si>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</si>
  <si>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</si>
  <si>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</si>
  <si>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</si>
  <si>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</si>
  <si>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</si>
  <si>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</si>
  <si>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</si>
  <si>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</si>
  <si>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</si>
  <si>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</si>
  <si>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</si>
  <si>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</si>
  <si>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</si>
  <si>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</si>
  <si>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</si>
  <si>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</si>
  <si>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</si>
  <si>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</si>
  <si>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</si>
  <si>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</si>
  <si>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</si>
  <si>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</si>
  <si>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</si>
  <si>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</si>
  <si>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</si>
  <si>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</si>
  <si>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</si>
  <si>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</si>
  <si>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</si>
  <si>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</si>
  <si>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</si>
  <si>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</si>
  <si>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</si>
  <si>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</si>
  <si>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</si>
  <si>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</si>
  <si>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</si>
  <si>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</si>
  <si>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</si>
  <si>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</si>
  <si>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</si>
  <si>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</si>
  <si>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</si>
  <si>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</si>
  <si>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</si>
  <si>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</si>
  <si>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</si>
  <si>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</si>
  <si>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</si>
  <si>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</si>
  <si>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</si>
  <si>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</si>
  <si>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</si>
  <si>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</si>
  <si>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</si>
  <si>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</si>
  <si>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</si>
  <si>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</si>
  <si>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</si>
  <si>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</si>
  <si>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</si>
  <si>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</si>
  <si>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</si>
  <si>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</si>
  <si>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</si>
  <si>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</si>
  <si>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</si>
  <si>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</si>
  <si>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</si>
  <si>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</si>
  <si>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</si>
  <si>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</si>
  <si>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</si>
  <si>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</si>
  <si>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</si>
  <si>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</si>
  <si>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</si>
  <si>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</si>
  <si>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</si>
  <si>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</si>
  <si>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</si>
  <si>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</si>
  <si>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</si>
  <si>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</si>
  <si>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</si>
  <si>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</si>
  <si>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</si>
  <si>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</si>
  <si>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</si>
  <si>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</si>
  <si>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</si>
  <si>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</si>
  <si>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</si>
  <si>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</si>
  <si>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</si>
  <si>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</si>
  <si>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</si>
  <si>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</si>
  <si>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</si>
  <si>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</si>
  <si>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</si>
  <si>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</si>
  <si>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</si>
  <si>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</si>
  <si>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</si>
  <si>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</si>
  <si>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</si>
  <si>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</si>
  <si>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</si>
  <si>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</si>
  <si>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</si>
  <si>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</si>
  <si>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</si>
  <si>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</si>
  <si>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</si>
  <si>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</si>
  <si>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</si>
  <si>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</si>
  <si>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</si>
  <si>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</si>
  <si>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</si>
  <si>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</si>
  <si>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</si>
  <si>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</si>
  <si>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</si>
  <si>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</si>
  <si>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</si>
  <si>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</si>
  <si>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</si>
  <si>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</si>
  <si>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</si>
  <si>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</si>
  <si>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</si>
  <si>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</si>
  <si>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(가칭)국가산단1초등학교 신축공사(장기계속공사)</t>
  </si>
  <si>
    <t>교육연구</t>
  </si>
  <si>
    <t>대구시</t>
  </si>
  <si>
    <t>평</t>
    <phoneticPr fontId="2" type="noConversion"/>
  </si>
  <si>
    <t>원/ m2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</si>
  <si>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</si>
  <si>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</si>
  <si>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</si>
  <si>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</si>
  <si>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</si>
  <si>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</si>
  <si>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</si>
  <si>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</si>
  <si>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옥외소화배관공사, 펌프실배관공사, 기타공사</t>
    <phoneticPr fontId="2" type="noConversion"/>
  </si>
  <si>
    <t>토목 운반비, 기타공사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</si>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</sst>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157</v>
      </c>
      <c r="B2" s="71" t="s">
        <v>0</v>
      </c>
      <c r="C2" s="72"/>
      <c r="D2" s="71" t="s">
        <v>1</v>
      </c>
      <c r="E2" s="72"/>
      <c r="F2" s="71" t="s">
        <v>158</v>
      </c>
      <c r="G2" s="72"/>
      <c r="H2" s="71" t="s">
        <v>2</v>
      </c>
      <c r="I2" s="72"/>
      <c r="J2" s="71" t="s">
        <v>3</v>
      </c>
      <c r="K2" s="72"/>
      <c r="L2" s="71" t="s">
        <v>159</v>
      </c>
      <c r="M2" s="72"/>
      <c r="N2" s="71" t="s">
        <v>160</v>
      </c>
      <c r="O2" s="72"/>
      <c r="P2" s="71" t="s">
        <v>5</v>
      </c>
      <c r="Q2" s="72"/>
      <c r="R2" s="65" t="s">
        <v>94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249</v>
      </c>
    </row>
    <row r="7" spans="1:4" ht="17.25" thickBot="1" x14ac:dyDescent="0.35">
      <c r="C7" s="37">
        <v>12041.58</v>
      </c>
      <c r="D7" s="36">
        <f>+C7/3.3058</f>
        <v>3642.5615584729867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203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746660</v>
      </c>
      <c r="E25" s="59">
        <f t="shared" si="0"/>
        <v>2468300</v>
      </c>
    </row>
    <row r="26" spans="1:5" x14ac:dyDescent="0.3">
      <c r="B26" s="2">
        <v>3</v>
      </c>
      <c r="C26" s="35" t="s">
        <v>95</v>
      </c>
      <c r="D26" s="45">
        <f>+D66</f>
        <v>6390</v>
      </c>
      <c r="E26" s="59">
        <f t="shared" si="0"/>
        <v>21120</v>
      </c>
    </row>
    <row r="27" spans="1:5" x14ac:dyDescent="0.3">
      <c r="B27" s="2">
        <v>4</v>
      </c>
      <c r="C27" s="35" t="s">
        <v>96</v>
      </c>
      <c r="D27" s="45">
        <f>+D95</f>
        <v>150960</v>
      </c>
      <c r="E27" s="59">
        <f t="shared" si="0"/>
        <v>499040</v>
      </c>
    </row>
    <row r="28" spans="1:5" x14ac:dyDescent="0.3">
      <c r="B28" s="2">
        <v>5</v>
      </c>
      <c r="C28" s="35" t="s">
        <v>97</v>
      </c>
      <c r="D28" s="45">
        <f>+D119</f>
        <v>179730</v>
      </c>
      <c r="E28" s="59">
        <f t="shared" si="0"/>
        <v>594150</v>
      </c>
    </row>
    <row r="29" spans="1:5" x14ac:dyDescent="0.3">
      <c r="B29" s="2">
        <v>6</v>
      </c>
      <c r="C29" s="35" t="s">
        <v>98</v>
      </c>
      <c r="D29" s="45">
        <f>+D133</f>
        <v>50490</v>
      </c>
      <c r="E29" s="59">
        <f t="shared" si="0"/>
        <v>166900</v>
      </c>
    </row>
    <row r="30" spans="1:5" x14ac:dyDescent="0.3">
      <c r="B30" s="2">
        <v>7</v>
      </c>
      <c r="C30" s="35" t="s">
        <v>99</v>
      </c>
      <c r="D30" s="45">
        <f>+D146</f>
        <v>37450</v>
      </c>
      <c r="E30" s="59">
        <f t="shared" si="0"/>
        <v>123800</v>
      </c>
    </row>
    <row r="31" spans="1:5" x14ac:dyDescent="0.3">
      <c r="B31" s="2">
        <v>8</v>
      </c>
      <c r="C31" s="35" t="s">
        <v>100</v>
      </c>
      <c r="D31" s="45">
        <f>+D154</f>
        <v>63620</v>
      </c>
      <c r="E31" s="59">
        <f t="shared" si="0"/>
        <v>210310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339700</v>
      </c>
      <c r="E33" s="60">
        <f t="shared" si="0"/>
        <v>1122980</v>
      </c>
    </row>
    <row r="34" spans="1:7" x14ac:dyDescent="0.3">
      <c r="C34" s="35" t="s">
        <v>112</v>
      </c>
      <c r="D34" s="44">
        <f>SUM(D24:D33)</f>
        <v>1575000</v>
      </c>
      <c r="E34" s="44">
        <f>SUM(E24:E33)</f>
        <v>5206600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261</v>
      </c>
      <c r="E36" s="56" t="s">
        <v>154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9" spans="1:7" ht="17.25" thickBot="1" x14ac:dyDescent="0.35">
      <c r="B39" s="2" t="s">
        <v>144</v>
      </c>
      <c r="C39" s="2" t="s">
        <v>113</v>
      </c>
      <c r="D39" s="2" t="s">
        <v>251</v>
      </c>
      <c r="E39" s="35" t="s">
        <v>154</v>
      </c>
    </row>
    <row r="40" spans="1:7" x14ac:dyDescent="0.3">
      <c r="A40" s="2">
        <v>1</v>
      </c>
      <c r="C40" s="38" t="s">
        <v>15</v>
      </c>
      <c r="D40" s="40">
        <f>TRUNC(46835,-1)</f>
        <v>46830</v>
      </c>
      <c r="E40" s="62">
        <f t="shared" ref="E40:E59" si="1">TRUNC(+D40*3.3058,-1)</f>
        <v>154810</v>
      </c>
    </row>
    <row r="41" spans="1:7" x14ac:dyDescent="0.3">
      <c r="A41" s="2">
        <v>2</v>
      </c>
      <c r="C41" s="38" t="s">
        <v>13</v>
      </c>
      <c r="D41" s="42">
        <f>TRUNC(149405,-1)</f>
        <v>149400</v>
      </c>
      <c r="E41" s="63">
        <f t="shared" si="1"/>
        <v>493880</v>
      </c>
    </row>
    <row r="42" spans="1:7" x14ac:dyDescent="0.3">
      <c r="A42" s="2">
        <v>3</v>
      </c>
      <c r="C42" s="38" t="s">
        <v>14</v>
      </c>
      <c r="D42" s="42">
        <f>TRUNC(5008,-1)</f>
        <v>5000</v>
      </c>
      <c r="E42" s="63">
        <f t="shared" si="1"/>
        <v>16520</v>
      </c>
    </row>
    <row r="43" spans="1:7" x14ac:dyDescent="0.3">
      <c r="A43" s="2">
        <v>4</v>
      </c>
      <c r="C43" s="38" t="s">
        <v>16</v>
      </c>
      <c r="D43" s="42">
        <f>TRUNC(37493,-1)</f>
        <v>37490</v>
      </c>
      <c r="E43" s="63">
        <f t="shared" si="1"/>
        <v>123930</v>
      </c>
    </row>
    <row r="44" spans="1:7" x14ac:dyDescent="0.3">
      <c r="A44" s="2">
        <v>5</v>
      </c>
      <c r="C44" s="38" t="s">
        <v>17</v>
      </c>
      <c r="D44" s="42">
        <f>TRUNC(19391,-1)</f>
        <v>19390</v>
      </c>
      <c r="E44" s="63">
        <f t="shared" si="1"/>
        <v>64090</v>
      </c>
    </row>
    <row r="45" spans="1:7" x14ac:dyDescent="0.3">
      <c r="A45" s="2">
        <v>6</v>
      </c>
      <c r="C45" s="38" t="s">
        <v>18</v>
      </c>
      <c r="D45" s="42">
        <f>TRUNC(8428,-1)</f>
        <v>8420</v>
      </c>
      <c r="E45" s="63">
        <f t="shared" si="1"/>
        <v>27830</v>
      </c>
    </row>
    <row r="46" spans="1:7" x14ac:dyDescent="0.3">
      <c r="A46" s="2">
        <v>7</v>
      </c>
      <c r="C46" s="38" t="s">
        <v>19</v>
      </c>
      <c r="D46" s="42">
        <f>TRUNC(47376,-1)</f>
        <v>47370</v>
      </c>
      <c r="E46" s="63">
        <f t="shared" si="1"/>
        <v>156590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TRUNC(74077,-1)</f>
        <v>74070</v>
      </c>
      <c r="E48" s="63">
        <f t="shared" si="1"/>
        <v>244860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TRUNC(14427,-1)</f>
        <v>14420</v>
      </c>
      <c r="E49" s="63">
        <f t="shared" si="1"/>
        <v>47660</v>
      </c>
    </row>
    <row r="50" spans="1:7" x14ac:dyDescent="0.3">
      <c r="A50" s="2">
        <v>11</v>
      </c>
      <c r="C50" s="38" t="s">
        <v>156</v>
      </c>
      <c r="D50" s="42">
        <f>TRUNC(43086,-1)</f>
        <v>43080</v>
      </c>
      <c r="E50" s="63">
        <f t="shared" si="1"/>
        <v>142410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TRUNC(13625,-1)</f>
        <v>13620</v>
      </c>
      <c r="E52" s="63">
        <f t="shared" si="1"/>
        <v>45020</v>
      </c>
    </row>
    <row r="53" spans="1:7" x14ac:dyDescent="0.3">
      <c r="A53" s="2">
        <v>14</v>
      </c>
      <c r="C53" s="38" t="s">
        <v>25</v>
      </c>
      <c r="D53" s="42">
        <v>53470</v>
      </c>
      <c r="E53" s="63">
        <f t="shared" si="1"/>
        <v>176760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TRUNC(15328+4563+15071,-1)</f>
        <v>34960</v>
      </c>
      <c r="E58" s="63">
        <f t="shared" si="1"/>
        <v>115570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TRUNC(199146,-1)</f>
        <v>199140</v>
      </c>
      <c r="E59" s="64">
        <f t="shared" si="1"/>
        <v>658310</v>
      </c>
    </row>
    <row r="60" spans="1:7" x14ac:dyDescent="0.3">
      <c r="A60" s="2">
        <v>21</v>
      </c>
      <c r="C60" s="27" t="s">
        <v>112</v>
      </c>
      <c r="D60" s="39">
        <f>SUM(D40:D59)</f>
        <v>746660</v>
      </c>
      <c r="E60" s="39">
        <f>SUM(E40:E59)</f>
        <v>2468240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261</v>
      </c>
      <c r="E62" s="56" t="s">
        <v>154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TRUNC(6394,-1)</f>
        <v>6390</v>
      </c>
      <c r="E63" s="62">
        <f>TRUNC(+D63*3.3058,-1)</f>
        <v>21120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6390</v>
      </c>
      <c r="E66" s="57">
        <f>SUM(E63:E65)</f>
        <v>21120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261</v>
      </c>
      <c r="E68" s="56" t="s">
        <v>154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TRUNC(7377,-1)</f>
        <v>7370</v>
      </c>
      <c r="E69" s="62">
        <f t="shared" ref="E69:E94" si="2">TRUNC(+D69*3.3058,-1)</f>
        <v>24360</v>
      </c>
    </row>
    <row r="70" spans="1:7" ht="16.5" customHeight="1" x14ac:dyDescent="0.3">
      <c r="A70" s="2">
        <v>2</v>
      </c>
      <c r="C70" s="38" t="s">
        <v>31</v>
      </c>
      <c r="D70" s="42">
        <f>TRUNC(1372,-1)</f>
        <v>1370</v>
      </c>
      <c r="E70" s="63">
        <f t="shared" si="2"/>
        <v>4520</v>
      </c>
    </row>
    <row r="71" spans="1:7" x14ac:dyDescent="0.3">
      <c r="A71" s="2">
        <v>3</v>
      </c>
      <c r="C71" s="38" t="s">
        <v>32</v>
      </c>
      <c r="D71" s="42">
        <f>TRUNC(5516,-1)</f>
        <v>5510</v>
      </c>
      <c r="E71" s="63">
        <f t="shared" si="2"/>
        <v>18210</v>
      </c>
    </row>
    <row r="72" spans="1:7" x14ac:dyDescent="0.3">
      <c r="A72" s="2">
        <v>4</v>
      </c>
      <c r="C72" s="38" t="s">
        <v>33</v>
      </c>
      <c r="D72" s="42">
        <f>TRUNC(3502,-1)</f>
        <v>3500</v>
      </c>
      <c r="E72" s="63">
        <f t="shared" si="2"/>
        <v>11570</v>
      </c>
    </row>
    <row r="73" spans="1:7" x14ac:dyDescent="0.3">
      <c r="A73" s="2">
        <v>5</v>
      </c>
      <c r="C73" s="38" t="s">
        <v>34</v>
      </c>
      <c r="D73" s="42">
        <f>TRUNC(18239,-1)</f>
        <v>18230</v>
      </c>
      <c r="E73" s="63">
        <f t="shared" si="2"/>
        <v>60260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TRUNC(5704,-1)</f>
        <v>5700</v>
      </c>
      <c r="E89" s="63">
        <f t="shared" si="2"/>
        <v>18840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TRUNC(2919,-1)</f>
        <v>2910</v>
      </c>
      <c r="E91" s="63">
        <f t="shared" si="2"/>
        <v>9610</v>
      </c>
    </row>
    <row r="92" spans="1:7" x14ac:dyDescent="0.3">
      <c r="A92" s="2">
        <v>24</v>
      </c>
      <c r="C92" s="38" t="s">
        <v>38</v>
      </c>
      <c r="D92" s="42">
        <f>TRUNC(10136,-1)</f>
        <v>10130</v>
      </c>
      <c r="E92" s="63">
        <f t="shared" si="2"/>
        <v>33480</v>
      </c>
    </row>
    <row r="93" spans="1:7" x14ac:dyDescent="0.3">
      <c r="A93" s="2">
        <v>25</v>
      </c>
      <c r="C93" s="38" t="s">
        <v>149</v>
      </c>
      <c r="D93" s="42">
        <f>TRUNC(91642,-1)</f>
        <v>91640</v>
      </c>
      <c r="E93" s="63">
        <f t="shared" si="2"/>
        <v>302940</v>
      </c>
    </row>
    <row r="94" spans="1:7" ht="17.25" thickBot="1" x14ac:dyDescent="0.35">
      <c r="A94" s="2">
        <v>26</v>
      </c>
      <c r="C94" s="38" t="s">
        <v>47</v>
      </c>
      <c r="D94" s="43">
        <f>TRUNC(4609,-1)</f>
        <v>4600</v>
      </c>
      <c r="E94" s="64">
        <f t="shared" si="2"/>
        <v>15200</v>
      </c>
    </row>
    <row r="95" spans="1:7" x14ac:dyDescent="0.3">
      <c r="A95" s="2">
        <v>27</v>
      </c>
      <c r="C95" s="27" t="s">
        <v>112</v>
      </c>
      <c r="D95" s="39">
        <f>SUM(D69:D94)</f>
        <v>150960</v>
      </c>
      <c r="E95" s="39">
        <f>SUM(E69:E94)</f>
        <v>498990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261</v>
      </c>
      <c r="E97" s="56" t="s">
        <v>154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TRUNC(9571,-1)</f>
        <v>9570</v>
      </c>
      <c r="E98" s="62">
        <f t="shared" ref="E98:E118" si="3">TRUNC(+D98*3.3058,-1)</f>
        <v>31630</v>
      </c>
    </row>
    <row r="99" spans="1:7" x14ac:dyDescent="0.3">
      <c r="A99" s="2">
        <v>2</v>
      </c>
      <c r="C99" s="38" t="s">
        <v>40</v>
      </c>
      <c r="D99" s="42">
        <f>TRUNC(1669,-1)</f>
        <v>1660</v>
      </c>
      <c r="E99" s="63">
        <f t="shared" si="3"/>
        <v>5480</v>
      </c>
    </row>
    <row r="100" spans="1:7" x14ac:dyDescent="0.3">
      <c r="A100" s="2">
        <v>3</v>
      </c>
      <c r="C100" s="38" t="s">
        <v>41</v>
      </c>
      <c r="D100" s="42">
        <f>TRUNC(24061,-1)</f>
        <v>24060</v>
      </c>
      <c r="E100" s="63">
        <f t="shared" si="3"/>
        <v>79530</v>
      </c>
    </row>
    <row r="101" spans="1:7" x14ac:dyDescent="0.3">
      <c r="A101" s="2">
        <v>4</v>
      </c>
      <c r="C101" s="38" t="s">
        <v>42</v>
      </c>
      <c r="D101" s="42">
        <f>TRUNC(1703,-1)</f>
        <v>1700</v>
      </c>
      <c r="E101" s="63">
        <f t="shared" si="3"/>
        <v>5610</v>
      </c>
    </row>
    <row r="102" spans="1:7" x14ac:dyDescent="0.3">
      <c r="A102" s="2">
        <v>5</v>
      </c>
      <c r="C102" s="38" t="s">
        <v>43</v>
      </c>
      <c r="D102" s="42">
        <f>TRUNC(8656,-1)</f>
        <v>8650</v>
      </c>
      <c r="E102" s="63">
        <f t="shared" si="3"/>
        <v>28590</v>
      </c>
    </row>
    <row r="103" spans="1:7" x14ac:dyDescent="0.3">
      <c r="A103" s="2">
        <v>6</v>
      </c>
      <c r="C103" s="38" t="s">
        <v>44</v>
      </c>
      <c r="D103" s="42">
        <f>TRUNC(5745,-1)</f>
        <v>5740</v>
      </c>
      <c r="E103" s="63">
        <f t="shared" si="3"/>
        <v>18970</v>
      </c>
    </row>
    <row r="104" spans="1:7" x14ac:dyDescent="0.3">
      <c r="A104" s="2">
        <v>7</v>
      </c>
      <c r="C104" s="38" t="s">
        <v>45</v>
      </c>
      <c r="D104" s="42">
        <f>TRUNC(3689,-1)</f>
        <v>3680</v>
      </c>
      <c r="E104" s="63">
        <f t="shared" si="3"/>
        <v>12160</v>
      </c>
    </row>
    <row r="105" spans="1:7" x14ac:dyDescent="0.3">
      <c r="A105" s="2">
        <v>8</v>
      </c>
      <c r="C105" s="38" t="s">
        <v>46</v>
      </c>
      <c r="D105" s="42">
        <f>TRUNC(2761,-1)</f>
        <v>2760</v>
      </c>
      <c r="E105" s="63">
        <f t="shared" si="3"/>
        <v>9120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TRUNC(3356,-1)</f>
        <v>3350</v>
      </c>
      <c r="E114" s="63">
        <f t="shared" si="3"/>
        <v>11070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TRUNC(3031,-1)</f>
        <v>3030</v>
      </c>
      <c r="E116" s="63">
        <f t="shared" si="3"/>
        <v>10010</v>
      </c>
      <c r="F116" s="2" t="s">
        <v>257</v>
      </c>
    </row>
    <row r="117" spans="1:7" x14ac:dyDescent="0.3">
      <c r="A117" s="2">
        <v>20</v>
      </c>
      <c r="C117" s="38" t="s">
        <v>149</v>
      </c>
      <c r="D117" s="42">
        <f>TRUNC(106019,-1)</f>
        <v>106010</v>
      </c>
      <c r="E117" s="63">
        <f t="shared" si="3"/>
        <v>350440</v>
      </c>
    </row>
    <row r="118" spans="1:7" ht="17.25" thickBot="1" x14ac:dyDescent="0.35">
      <c r="A118" s="2">
        <v>21</v>
      </c>
      <c r="C118" s="38" t="s">
        <v>47</v>
      </c>
      <c r="D118" s="43">
        <f>TRUNC(9523,-1)</f>
        <v>9520</v>
      </c>
      <c r="E118" s="64">
        <f t="shared" si="3"/>
        <v>31470</v>
      </c>
    </row>
    <row r="119" spans="1:7" x14ac:dyDescent="0.3">
      <c r="A119" s="2">
        <v>22</v>
      </c>
      <c r="C119" s="27" t="s">
        <v>112</v>
      </c>
      <c r="D119" s="39">
        <f>SUM(D98:D118)</f>
        <v>179730</v>
      </c>
      <c r="E119" s="39">
        <f>SUM(E98:E118)</f>
        <v>594080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261</v>
      </c>
      <c r="E121" s="56" t="s">
        <v>154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TRUNC(3046,-1)</f>
        <v>3040</v>
      </c>
      <c r="E122" s="62">
        <f t="shared" ref="E122:E132" si="4">TRUNC(+D122*3.3058,-1)</f>
        <v>10040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TRUNC(7207,-1)</f>
        <v>7200</v>
      </c>
      <c r="E125" s="63">
        <f t="shared" si="4"/>
        <v>23800</v>
      </c>
    </row>
    <row r="126" spans="1:7" x14ac:dyDescent="0.3">
      <c r="A126" s="2">
        <v>5</v>
      </c>
      <c r="C126" s="38" t="s">
        <v>53</v>
      </c>
      <c r="D126" s="42">
        <f>TRUNC(866,-1)</f>
        <v>860</v>
      </c>
      <c r="E126" s="63">
        <f t="shared" si="4"/>
        <v>2840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TRUNC(2548,-1)</f>
        <v>2540</v>
      </c>
      <c r="E128" s="63">
        <f t="shared" si="4"/>
        <v>8390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TRUNC(10612,-1)</f>
        <v>10610</v>
      </c>
      <c r="E130" s="63">
        <f t="shared" si="4"/>
        <v>35070</v>
      </c>
    </row>
    <row r="131" spans="1:7" x14ac:dyDescent="0.3">
      <c r="A131" s="2">
        <v>10</v>
      </c>
      <c r="C131" s="38" t="s">
        <v>149</v>
      </c>
      <c r="D131" s="42">
        <f>TRUNC(22204,-1)</f>
        <v>22200</v>
      </c>
      <c r="E131" s="63">
        <f t="shared" si="4"/>
        <v>73380</v>
      </c>
    </row>
    <row r="132" spans="1:7" ht="17.25" thickBot="1" x14ac:dyDescent="0.35">
      <c r="A132" s="2">
        <v>11</v>
      </c>
      <c r="C132" s="38" t="s">
        <v>47</v>
      </c>
      <c r="D132" s="43">
        <f>1558+2482</f>
        <v>4040</v>
      </c>
      <c r="E132" s="64">
        <f t="shared" si="4"/>
        <v>13350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50490</v>
      </c>
      <c r="E133" s="39">
        <f>SUM(E122:E132)</f>
        <v>166870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261</v>
      </c>
      <c r="E135" s="56" t="s">
        <v>154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TRUNC(89+3180+7349,-1)</f>
        <v>10610</v>
      </c>
      <c r="E137" s="63">
        <f t="shared" si="5"/>
        <v>35070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TRUNC(1801,-1)</f>
        <v>1800</v>
      </c>
      <c r="E140" s="63">
        <f t="shared" si="5"/>
        <v>5950</v>
      </c>
    </row>
    <row r="141" spans="1:7" x14ac:dyDescent="0.3">
      <c r="A141" s="2">
        <v>6</v>
      </c>
      <c r="C141" s="38" t="s">
        <v>59</v>
      </c>
      <c r="D141" s="42">
        <v>6620</v>
      </c>
      <c r="E141" s="63">
        <f t="shared" si="5"/>
        <v>21880</v>
      </c>
    </row>
    <row r="142" spans="1:7" x14ac:dyDescent="0.3">
      <c r="A142" s="2">
        <v>7</v>
      </c>
      <c r="C142" s="38" t="s">
        <v>58</v>
      </c>
      <c r="D142" s="42">
        <f>TRUNC(7945,-1)</f>
        <v>7940</v>
      </c>
      <c r="E142" s="63">
        <f t="shared" si="5"/>
        <v>26240</v>
      </c>
    </row>
    <row r="143" spans="1:7" x14ac:dyDescent="0.3">
      <c r="A143" s="2">
        <v>8</v>
      </c>
      <c r="C143" s="38" t="s">
        <v>62</v>
      </c>
      <c r="D143" s="42">
        <f>TRUNC(4428,-1)</f>
        <v>4420</v>
      </c>
      <c r="E143" s="63">
        <f t="shared" si="5"/>
        <v>14610</v>
      </c>
    </row>
    <row r="144" spans="1:7" x14ac:dyDescent="0.3">
      <c r="A144" s="2">
        <v>9</v>
      </c>
      <c r="C144" s="38" t="s">
        <v>63</v>
      </c>
      <c r="D144" s="42">
        <f>TRUNC(6069,-1)</f>
        <v>6060</v>
      </c>
      <c r="E144" s="63">
        <f t="shared" si="5"/>
        <v>20030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37450</v>
      </c>
      <c r="E146" s="39">
        <f>SUM(E136:E145)</f>
        <v>123780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261</v>
      </c>
      <c r="E148" s="56" t="s">
        <v>154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TRUNC(9090+1456,-1)</f>
        <v>10540</v>
      </c>
      <c r="E149" s="62">
        <f>TRUNC(+D149*3.3058,-1)</f>
        <v>34840</v>
      </c>
      <c r="F149" s="2" t="s">
        <v>233</v>
      </c>
    </row>
    <row r="150" spans="1:7" x14ac:dyDescent="0.3">
      <c r="A150" s="2">
        <v>2</v>
      </c>
      <c r="C150" s="38" t="s">
        <v>49</v>
      </c>
      <c r="D150" s="42">
        <f>TRUNC(10133,-1)</f>
        <v>10130</v>
      </c>
      <c r="E150" s="63">
        <f>TRUNC(+D150*3.3058,-1)</f>
        <v>33480</v>
      </c>
      <c r="F150" s="2" t="s">
        <v>233</v>
      </c>
    </row>
    <row r="151" spans="1:7" x14ac:dyDescent="0.3">
      <c r="A151" s="2">
        <v>3</v>
      </c>
      <c r="C151" s="38" t="s">
        <v>50</v>
      </c>
      <c r="D151" s="42">
        <v>23660</v>
      </c>
      <c r="E151" s="63">
        <f>TRUNC(+D151*3.3058,-1)</f>
        <v>78210</v>
      </c>
      <c r="F151" s="2" t="s">
        <v>233</v>
      </c>
    </row>
    <row r="152" spans="1:7" x14ac:dyDescent="0.3">
      <c r="A152" s="2">
        <v>4</v>
      </c>
      <c r="C152" s="38" t="s">
        <v>47</v>
      </c>
      <c r="D152" s="42">
        <f>TRUNC(303+578,-1)</f>
        <v>880</v>
      </c>
      <c r="E152" s="63">
        <f>TRUNC(+D152*3.3058,-1)</f>
        <v>2900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f>TRUNC(18417,-1)</f>
        <v>18410</v>
      </c>
      <c r="E153" s="64">
        <f>TRUNC(+D153*3.3058,-1)</f>
        <v>60850</v>
      </c>
      <c r="F153" s="2" t="s">
        <v>233</v>
      </c>
    </row>
    <row r="154" spans="1:7" x14ac:dyDescent="0.3">
      <c r="A154" s="2">
        <v>6</v>
      </c>
      <c r="C154" s="27" t="s">
        <v>112</v>
      </c>
      <c r="D154" s="39">
        <f>SUM(D149:D153)</f>
        <v>63620</v>
      </c>
      <c r="E154" s="39">
        <f>SUM(E149:E153)</f>
        <v>210280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261</v>
      </c>
      <c r="E156" s="56" t="s">
        <v>154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2020-12-07T09:59:36Z</dcterms:modified>
</cp:coreProperties>
</file>