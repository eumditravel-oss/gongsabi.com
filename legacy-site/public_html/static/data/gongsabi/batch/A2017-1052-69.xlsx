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75" i="4"/>
  <c r="D76" i="4"/>
  <c r="D92" i="4"/>
  <c r="D91" i="4"/>
  <c r="D90" i="4"/>
  <c r="D89" i="4"/>
  <c r="D73" i="4"/>
  <c r="D72" i="4"/>
  <c r="D71" i="4"/>
  <c r="D70" i="4"/>
  <c r="D69" i="4"/>
  <c r="D118" i="4"/>
  <c r="D105" i="4"/>
  <c r="D104" i="4"/>
  <c r="D103" i="4"/>
  <c r="D102" i="4"/>
  <c r="D101" i="4"/>
  <c r="D100" i="4"/>
  <c r="D99" i="4"/>
  <c r="D114" i="4"/>
  <c r="D98" i="4"/>
  <c r="D116" i="4"/>
  <c r="D128" i="4"/>
  <c r="D127" i="4"/>
  <c r="D132" i="4"/>
  <c r="D124" i="4"/>
  <c r="D125" i="4"/>
  <c r="D122" i="4"/>
  <c r="D130" i="4"/>
  <c r="D126" i="4"/>
  <c r="D137" i="4" l="1"/>
  <c r="D144" i="4"/>
  <c r="D143" i="4"/>
  <c r="D139" i="4"/>
  <c r="D138" i="4"/>
  <c r="D141" i="4"/>
  <c r="D142" i="4"/>
  <c r="D140" i="4"/>
  <c r="D65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95" i="4"/>
  <c r="E119" i="4"/>
  <c r="E133" i="4"/>
  <c r="E146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<sst xmlns="http://schemas.openxmlformats.org/spreadsheetml/2006/main" count="394" uniqueCount="270">
  <si>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</si>
  <si>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</si>
  <si>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</si>
  <si>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</si>
  <si>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</si>
  <si>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</si>
  <si>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</si>
  <si>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</si>
  <si>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</si>
  <si>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</si>
  <si>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</si>
  <si>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</si>
  <si>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</si>
  <si>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</si>
  <si>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</si>
  <si>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</si>
  <si>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</si>
  <si>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</si>
  <si>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</si>
  <si>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</si>
  <si>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</si>
  <si>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</si>
  <si>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</si>
  <si>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</si>
  <si>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</si>
  <si>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</si>
  <si>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</si>
  <si>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</si>
  <si>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</si>
  <si>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</si>
  <si>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</si>
  <si>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</si>
  <si>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</si>
  <si>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</si>
  <si>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</si>
  <si>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</si>
  <si>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</si>
  <si>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</si>
  <si>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</si>
  <si>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</si>
  <si>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</si>
  <si>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</si>
  <si>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</si>
  <si>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</si>
  <si>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</si>
  <si>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</si>
  <si>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</si>
  <si>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</si>
  <si>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</si>
  <si>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</si>
  <si>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</si>
  <si>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</si>
  <si>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</si>
  <si>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</si>
  <si>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</si>
  <si>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</si>
  <si>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</si>
  <si>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</si>
  <si>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</si>
  <si>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</si>
  <si>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</si>
  <si>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</si>
  <si>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</si>
  <si>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</si>
  <si>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</si>
  <si>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</si>
  <si>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</si>
  <si>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</si>
  <si>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</si>
  <si>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</si>
  <si>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</si>
  <si>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</si>
  <si>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</si>
  <si>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</si>
  <si>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</si>
  <si>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</si>
  <si>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</si>
  <si>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</si>
  <si>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</si>
  <si>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</si>
  <si>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</si>
  <si>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</si>
  <si>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</si>
  <si>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</si>
  <si>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</si>
  <si>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</si>
  <si>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</si>
  <si>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</si>
  <si>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</si>
  <si>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</si>
  <si>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</si>
  <si>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</si>
  <si>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</si>
  <si>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</si>
  <si>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</si>
  <si>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</si>
  <si>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</si>
  <si>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</si>
  <si>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</si>
  <si>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</si>
  <si>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</si>
  <si>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</si>
  <si>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</si>
  <si>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</si>
  <si>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</si>
  <si>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</si>
  <si>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</si>
  <si>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</si>
  <si>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</si>
  <si>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</si>
  <si>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</si>
  <si>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</si>
  <si>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</si>
  <si>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</si>
  <si>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</si>
  <si>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</si>
  <si>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</si>
  <si>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</si>
  <si>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</si>
  <si>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</si>
  <si>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</si>
  <si>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</si>
  <si>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</si>
  <si>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</si>
  <si>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</si>
  <si>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</si>
  <si>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</si>
  <si>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</si>
  <si>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</si>
  <si>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</si>
  <si>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</si>
  <si>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</si>
  <si>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</si>
  <si>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</si>
  <si>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</si>
  <si>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</si>
  <si>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</si>
  <si>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</si>
  <si>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</si>
  <si>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</si>
  <si>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</si>
  <si>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</si>
  <si>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</si>
  <si>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</si>
  <si>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</si>
  <si>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</si>
  <si>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</si>
  <si>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</si>
  <si>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</si>
  <si>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</si>
  <si>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</si>
  <si>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</si>
  <si>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</si>
  <si>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</si>
  <si>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</si>
  <si>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</si>
  <si>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</si>
  <si>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</si>
  <si>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</si>
  <si>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</si>
  <si>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</si>
  <si>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</si>
  <si>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</si>
  <si>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</si>
  <si>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</si>
  <si>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</si>
  <si>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</si>
  <si>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</si>
  <si>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</si>
  <si>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</si>
  <si>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</si>
  <si>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</si>
  <si>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</si>
  <si>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</si>
  <si>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</si>
  <si>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</si>
  <si>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</si>
  <si>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</si>
  <si>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</si>
  <si>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</si>
  <si>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</si>
  <si>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</si>
  <si>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</si>
  <si>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</si>
  <si>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</si>
  <si>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</si>
  <si>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</si>
  <si>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</si>
  <si>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</si>
  <si>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</si>
  <si>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</si>
  <si>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</si>
  <si>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</si>
  <si>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</si>
  <si>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</si>
  <si>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</si>
  <si>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</si>
  <si>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</si>
  <si>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</si>
  <si>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</si>
  <si>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</si>
  <si>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</si>
  <si>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</si>
  <si>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</si>
  <si>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</si>
  <si>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</si>
  <si>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</si>
  <si>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</si>
  <si>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</si>
  <si>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</si>
  <si>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</si>
  <si>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</si>
  <si>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</si>
  <si>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</si>
  <si>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</si>
  <si>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</si>
  <si>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</si>
  <si>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</si>
  <si>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</si>
  <si>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</si>
  <si>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</si>
  <si>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</si>
  <si>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</si>
  <si>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</si>
  <si>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</si>
  <si>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</si>
  <si>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</si>
  <si>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</si>
  <si>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</si>
  <si>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</si>
  <si>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</si>
  <si>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</si>
  <si>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</si>
  <si>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</si>
  <si>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</si>
  <si>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</si>
  <si>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</si>
  <si>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</si>
  <si>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</si>
  <si>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</si>
  <si>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</si>
  <si>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</si>
  <si>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</si>
  <si>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</si>
  <si>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</si>
  <si>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</si>
  <si>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</si>
  <si>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</si>
  <si>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</si>
  <si>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</si>
  <si>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국립암센터 증축공사</t>
    <phoneticPr fontId="2" type="noConversion"/>
  </si>
  <si>
    <t>의료</t>
  </si>
  <si>
    <t>조경시설물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</si>
  <si>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</si>
  <si>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</si>
  <si>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</si>
  <si>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</si>
  <si>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</si>
  <si>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</si>
  <si>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</si>
  <si>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공조배관공사,우수처리시설공사,기타공사</t>
    <phoneticPr fontId="2" type="noConversion"/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</si>
  <si>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</si>
  <si>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</si>
  <si>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</si>
  <si>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해체및철거공사,골재비및운반비,작업부산물,품질시험비,기타공사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</si>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</sst>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95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103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104</v>
      </c>
      <c r="C4" s="36" t="s">
        <v>251</v>
      </c>
    </row>
    <row r="6" spans="1:4" ht="17.25" thickBot="1" x14ac:dyDescent="0.35">
      <c r="A6" s="2">
        <v>3</v>
      </c>
      <c r="B6" s="2" t="s">
        <v>151</v>
      </c>
      <c r="C6" s="2" t="s">
        <v>105</v>
      </c>
      <c r="D6" s="35" t="s">
        <v>238</v>
      </c>
    </row>
    <row r="7" spans="1:4" ht="17.25" thickBot="1" x14ac:dyDescent="0.35">
      <c r="C7" s="37">
        <v>31271.51</v>
      </c>
      <c r="D7" s="36">
        <f>+C7/3.3058</f>
        <v>9459.5892068485682</v>
      </c>
    </row>
    <row r="8" spans="1:4" ht="17.25" thickBot="1" x14ac:dyDescent="0.35"/>
    <row r="9" spans="1:4" ht="17.25" thickBot="1" x14ac:dyDescent="0.35">
      <c r="A9" s="2">
        <v>4</v>
      </c>
      <c r="B9" s="2" t="s">
        <v>106</v>
      </c>
      <c r="C9" s="36" t="s">
        <v>236</v>
      </c>
    </row>
    <row r="10" spans="1:4" ht="17.25" thickBot="1" x14ac:dyDescent="0.35"/>
    <row r="11" spans="1:4" ht="17.25" thickBot="1" x14ac:dyDescent="0.35">
      <c r="A11" s="2">
        <v>5</v>
      </c>
      <c r="B11" s="2" t="s">
        <v>107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108</v>
      </c>
      <c r="C13" s="36" t="s">
        <v>115</v>
      </c>
    </row>
    <row r="14" spans="1:4" ht="17.25" thickBot="1" x14ac:dyDescent="0.35"/>
    <row r="15" spans="1:4" ht="17.25" thickBot="1" x14ac:dyDescent="0.35">
      <c r="A15" s="2">
        <v>7</v>
      </c>
      <c r="B15" s="2" t="s">
        <v>109</v>
      </c>
      <c r="C15" s="36" t="s">
        <v>150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110</v>
      </c>
      <c r="C23" s="2" t="s">
        <v>114</v>
      </c>
      <c r="D23" s="2" t="s">
        <v>239</v>
      </c>
      <c r="E23" s="35" t="s">
        <v>154</v>
      </c>
    </row>
    <row r="24" spans="1:5" x14ac:dyDescent="0.3">
      <c r="B24" s="2">
        <v>1</v>
      </c>
      <c r="C24" s="35" t="s">
        <v>111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112</v>
      </c>
      <c r="D25" s="45">
        <f>+D60</f>
        <v>797850</v>
      </c>
      <c r="E25" s="59">
        <f t="shared" si="0"/>
        <v>2637530</v>
      </c>
    </row>
    <row r="26" spans="1:5" x14ac:dyDescent="0.3">
      <c r="B26" s="2">
        <v>3</v>
      </c>
      <c r="C26" s="35" t="s">
        <v>96</v>
      </c>
      <c r="D26" s="45">
        <f>+D66</f>
        <v>136950</v>
      </c>
      <c r="E26" s="59">
        <f t="shared" si="0"/>
        <v>452720</v>
      </c>
    </row>
    <row r="27" spans="1:5" x14ac:dyDescent="0.3">
      <c r="B27" s="2">
        <v>4</v>
      </c>
      <c r="C27" s="35" t="s">
        <v>97</v>
      </c>
      <c r="D27" s="45">
        <f>+D95</f>
        <v>386320</v>
      </c>
      <c r="E27" s="59">
        <f t="shared" si="0"/>
        <v>1277090</v>
      </c>
    </row>
    <row r="28" spans="1:5" x14ac:dyDescent="0.3">
      <c r="B28" s="2">
        <v>5</v>
      </c>
      <c r="C28" s="35" t="s">
        <v>98</v>
      </c>
      <c r="D28" s="45">
        <f>+D119</f>
        <v>408700</v>
      </c>
      <c r="E28" s="59">
        <f t="shared" si="0"/>
        <v>1351080</v>
      </c>
    </row>
    <row r="29" spans="1:5" x14ac:dyDescent="0.3">
      <c r="B29" s="2">
        <v>6</v>
      </c>
      <c r="C29" s="35" t="s">
        <v>99</v>
      </c>
      <c r="D29" s="45">
        <f>+D133</f>
        <v>122180</v>
      </c>
      <c r="E29" s="59">
        <f t="shared" si="0"/>
        <v>403900</v>
      </c>
    </row>
    <row r="30" spans="1:5" x14ac:dyDescent="0.3">
      <c r="B30" s="2">
        <v>7</v>
      </c>
      <c r="C30" s="35" t="s">
        <v>100</v>
      </c>
      <c r="D30" s="45">
        <f>+D146</f>
        <v>96100</v>
      </c>
      <c r="E30" s="59">
        <f t="shared" si="0"/>
        <v>317680</v>
      </c>
    </row>
    <row r="31" spans="1:5" x14ac:dyDescent="0.3">
      <c r="B31" s="2">
        <v>8</v>
      </c>
      <c r="C31" s="35" t="s">
        <v>101</v>
      </c>
      <c r="D31" s="45">
        <f>+D154</f>
        <v>31420</v>
      </c>
      <c r="E31" s="59">
        <f t="shared" si="0"/>
        <v>103860</v>
      </c>
    </row>
    <row r="32" spans="1:5" x14ac:dyDescent="0.3">
      <c r="B32" s="2">
        <v>9</v>
      </c>
      <c r="C32" s="35" t="s">
        <v>102</v>
      </c>
      <c r="D32" s="45">
        <f>+D161</f>
        <v>33460</v>
      </c>
      <c r="E32" s="59">
        <f t="shared" si="0"/>
        <v>110610</v>
      </c>
    </row>
    <row r="33" spans="1:7" x14ac:dyDescent="0.3">
      <c r="B33" s="2">
        <v>10</v>
      </c>
      <c r="C33" s="35" t="s">
        <v>155</v>
      </c>
      <c r="D33" s="53">
        <f>TRUNC(SUM(D24:D32)*0.275,-1)</f>
        <v>553560</v>
      </c>
      <c r="E33" s="60">
        <f t="shared" si="0"/>
        <v>1829950</v>
      </c>
    </row>
    <row r="34" spans="1:7" x14ac:dyDescent="0.3">
      <c r="C34" s="35" t="s">
        <v>113</v>
      </c>
      <c r="D34" s="44">
        <f>SUM(D24:D33)</f>
        <v>2566540</v>
      </c>
      <c r="E34" s="44">
        <f>SUM(E24:E33)</f>
        <v>8484420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240</v>
      </c>
      <c r="D36" s="57" t="s">
        <v>237</v>
      </c>
      <c r="E36" s="57" t="s">
        <v>154</v>
      </c>
      <c r="G36" s="55"/>
    </row>
    <row r="37" spans="1:7" ht="17.25" thickBot="1" x14ac:dyDescent="0.35">
      <c r="C37" s="38" t="s">
        <v>144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TRUNC(73859,-1)</f>
        <v>73850</v>
      </c>
      <c r="E40" s="62">
        <f t="shared" ref="E40:E59" si="1">TRUNC(+D40*3.3058,-1)</f>
        <v>244130</v>
      </c>
    </row>
    <row r="41" spans="1:7" x14ac:dyDescent="0.3">
      <c r="A41" s="2">
        <v>2</v>
      </c>
      <c r="C41" s="38" t="s">
        <v>13</v>
      </c>
      <c r="D41" s="42">
        <f>TRUNC(178635,-1)</f>
        <v>178630</v>
      </c>
      <c r="E41" s="63">
        <f t="shared" si="1"/>
        <v>590510</v>
      </c>
    </row>
    <row r="42" spans="1:7" x14ac:dyDescent="0.3">
      <c r="A42" s="2">
        <v>3</v>
      </c>
      <c r="C42" s="38" t="s">
        <v>14</v>
      </c>
      <c r="D42" s="42">
        <f>TRUNC(53790,-1)</f>
        <v>53790</v>
      </c>
      <c r="E42" s="63">
        <f t="shared" si="1"/>
        <v>177810</v>
      </c>
    </row>
    <row r="43" spans="1:7" x14ac:dyDescent="0.3">
      <c r="A43" s="2">
        <v>4</v>
      </c>
      <c r="C43" s="38" t="s">
        <v>16</v>
      </c>
      <c r="D43" s="42">
        <f>TRUNC(10173,-1)</f>
        <v>10170</v>
      </c>
      <c r="E43" s="63">
        <f t="shared" si="1"/>
        <v>33610</v>
      </c>
    </row>
    <row r="44" spans="1:7" x14ac:dyDescent="0.3">
      <c r="A44" s="2">
        <v>5</v>
      </c>
      <c r="C44" s="38" t="s">
        <v>17</v>
      </c>
      <c r="D44" s="42">
        <f>TRUNC(26589,-1)</f>
        <v>26580</v>
      </c>
      <c r="E44" s="63">
        <f t="shared" si="1"/>
        <v>87860</v>
      </c>
    </row>
    <row r="45" spans="1:7" x14ac:dyDescent="0.3">
      <c r="A45" s="2">
        <v>6</v>
      </c>
      <c r="C45" s="38" t="s">
        <v>18</v>
      </c>
      <c r="D45" s="42">
        <f>TRUNC(4403,-1)</f>
        <v>4400</v>
      </c>
      <c r="E45" s="63">
        <f t="shared" si="1"/>
        <v>14540</v>
      </c>
    </row>
    <row r="46" spans="1:7" x14ac:dyDescent="0.3">
      <c r="A46" s="2">
        <v>7</v>
      </c>
      <c r="C46" s="38" t="s">
        <v>19</v>
      </c>
      <c r="D46" s="42">
        <f>TRUNC(17702,-1)</f>
        <v>17700</v>
      </c>
      <c r="E46" s="63">
        <f t="shared" si="1"/>
        <v>58510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TRUNC(30801,-1)</f>
        <v>30800</v>
      </c>
      <c r="E48" s="63">
        <f t="shared" si="1"/>
        <v>101810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TRUNC(20717,-1)</f>
        <v>20710</v>
      </c>
      <c r="E49" s="63">
        <f t="shared" si="1"/>
        <v>68460</v>
      </c>
    </row>
    <row r="50" spans="1:7" x14ac:dyDescent="0.3">
      <c r="A50" s="2">
        <v>11</v>
      </c>
      <c r="C50" s="38" t="s">
        <v>156</v>
      </c>
      <c r="D50" s="42">
        <f>TRUNC(48862,-1)</f>
        <v>48860</v>
      </c>
      <c r="E50" s="63">
        <f t="shared" si="1"/>
        <v>161520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TRUNC(13413,-1)</f>
        <v>13410</v>
      </c>
      <c r="E52" s="63">
        <f t="shared" si="1"/>
        <v>44330</v>
      </c>
    </row>
    <row r="53" spans="1:7" x14ac:dyDescent="0.3">
      <c r="A53" s="2">
        <v>14</v>
      </c>
      <c r="C53" s="38" t="s">
        <v>25</v>
      </c>
      <c r="D53" s="42">
        <f>TRUNC(87206,-1)</f>
        <v>87200</v>
      </c>
      <c r="E53" s="63">
        <f t="shared" si="1"/>
        <v>288260</v>
      </c>
      <c r="F53" s="2" t="s">
        <v>263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TRUNC(4428+2046-1002+495+58169,-1)</f>
        <v>64130</v>
      </c>
      <c r="E58" s="63">
        <f t="shared" si="1"/>
        <v>212000</v>
      </c>
      <c r="F58" s="2" t="s">
        <v>264</v>
      </c>
    </row>
    <row r="59" spans="1:7" ht="17.25" thickBot="1" x14ac:dyDescent="0.35">
      <c r="A59" s="2">
        <v>20</v>
      </c>
      <c r="C59" s="38" t="s">
        <v>149</v>
      </c>
      <c r="D59" s="43">
        <f>TRUNC(167628,-1)</f>
        <v>167620</v>
      </c>
      <c r="E59" s="64">
        <f t="shared" si="1"/>
        <v>554110</v>
      </c>
    </row>
    <row r="60" spans="1:7" x14ac:dyDescent="0.3">
      <c r="A60" s="2">
        <v>21</v>
      </c>
      <c r="C60" s="27" t="s">
        <v>113</v>
      </c>
      <c r="D60" s="39">
        <f>SUM(D40:D59)</f>
        <v>797850</v>
      </c>
      <c r="E60" s="39">
        <f>SUM(E40:E59)</f>
        <v>2637460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241</v>
      </c>
      <c r="C62" s="56" t="s">
        <v>242</v>
      </c>
      <c r="D62" s="57" t="s">
        <v>239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TRUNC(3664,-1)</f>
        <v>3660</v>
      </c>
      <c r="E63" s="62">
        <f>TRUNC(+D63*3.3058,-1)</f>
        <v>12090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TRUNC(133298,-1)</f>
        <v>133290</v>
      </c>
      <c r="E65" s="64">
        <f>TRUNC(+D65*3.3058,-1)</f>
        <v>440630</v>
      </c>
    </row>
    <row r="66" spans="1:7" x14ac:dyDescent="0.3">
      <c r="A66" s="2">
        <v>4</v>
      </c>
      <c r="C66" s="27" t="s">
        <v>113</v>
      </c>
      <c r="D66" s="39">
        <f>SUM(D63:D65)</f>
        <v>136950</v>
      </c>
      <c r="E66" s="65">
        <f>SUM(E63:E65)</f>
        <v>452720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243</v>
      </c>
      <c r="C68" s="56" t="s">
        <v>244</v>
      </c>
      <c r="D68" s="57" t="s">
        <v>237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TRUNC(22008,-1)</f>
        <v>22000</v>
      </c>
      <c r="E69" s="62">
        <f t="shared" ref="E69:E94" si="2">TRUNC(+D69*3.3058,-1)</f>
        <v>72720</v>
      </c>
    </row>
    <row r="70" spans="1:7" ht="16.5" customHeight="1" x14ac:dyDescent="0.3">
      <c r="A70" s="2">
        <v>2</v>
      </c>
      <c r="C70" s="38" t="s">
        <v>31</v>
      </c>
      <c r="D70" s="42">
        <f>TRUNC(546,-1)</f>
        <v>540</v>
      </c>
      <c r="E70" s="63">
        <f t="shared" si="2"/>
        <v>1780</v>
      </c>
    </row>
    <row r="71" spans="1:7" x14ac:dyDescent="0.3">
      <c r="A71" s="2">
        <v>3</v>
      </c>
      <c r="C71" s="38" t="s">
        <v>32</v>
      </c>
      <c r="D71" s="42">
        <f>TRUNC(27121,-1)</f>
        <v>27120</v>
      </c>
      <c r="E71" s="63">
        <f t="shared" si="2"/>
        <v>89650</v>
      </c>
    </row>
    <row r="72" spans="1:7" x14ac:dyDescent="0.3">
      <c r="A72" s="2">
        <v>4</v>
      </c>
      <c r="C72" s="38" t="s">
        <v>33</v>
      </c>
      <c r="D72" s="42">
        <f>TRUNC(20835,-1)</f>
        <v>20830</v>
      </c>
      <c r="E72" s="63">
        <f t="shared" si="2"/>
        <v>68850</v>
      </c>
    </row>
    <row r="73" spans="1:7" x14ac:dyDescent="0.3">
      <c r="A73" s="2">
        <v>5</v>
      </c>
      <c r="C73" s="38" t="s">
        <v>34</v>
      </c>
      <c r="D73" s="42">
        <f>TRUNC(13670,-1)</f>
        <v>13670</v>
      </c>
      <c r="E73" s="63">
        <f t="shared" si="2"/>
        <v>45190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141</v>
      </c>
      <c r="D75" s="42">
        <f>TRUNC(6023,-1)</f>
        <v>6020</v>
      </c>
      <c r="E75" s="63">
        <f t="shared" si="2"/>
        <v>19900</v>
      </c>
    </row>
    <row r="76" spans="1:7" x14ac:dyDescent="0.3">
      <c r="A76" s="2">
        <v>8</v>
      </c>
      <c r="C76" s="38" t="s">
        <v>120</v>
      </c>
      <c r="D76" s="42">
        <f>TRUNC(13827,-1)</f>
        <v>13820</v>
      </c>
      <c r="E76" s="63">
        <f t="shared" si="2"/>
        <v>45680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138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134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129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122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135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137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123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124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142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140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143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TRUNC(20169,-1)</f>
        <v>20160</v>
      </c>
      <c r="E89" s="63">
        <f t="shared" si="2"/>
        <v>66640</v>
      </c>
    </row>
    <row r="90" spans="1:7" x14ac:dyDescent="0.3">
      <c r="A90" s="2">
        <v>22</v>
      </c>
      <c r="C90" s="38" t="s">
        <v>36</v>
      </c>
      <c r="D90" s="42">
        <f>TRUNC(6143,-1)</f>
        <v>6140</v>
      </c>
      <c r="E90" s="63">
        <f t="shared" si="2"/>
        <v>20290</v>
      </c>
    </row>
    <row r="91" spans="1:7" x14ac:dyDescent="0.3">
      <c r="A91" s="2">
        <v>23</v>
      </c>
      <c r="C91" s="38" t="s">
        <v>37</v>
      </c>
      <c r="D91" s="42">
        <f>TRUNC(60439,-1)</f>
        <v>60430</v>
      </c>
      <c r="E91" s="63">
        <f t="shared" si="2"/>
        <v>199760</v>
      </c>
    </row>
    <row r="92" spans="1:7" x14ac:dyDescent="0.3">
      <c r="A92" s="2">
        <v>24</v>
      </c>
      <c r="C92" s="38" t="s">
        <v>38</v>
      </c>
      <c r="D92" s="42">
        <f>TRUNC(5380,-1)</f>
        <v>5380</v>
      </c>
      <c r="E92" s="63">
        <f t="shared" si="2"/>
        <v>17780</v>
      </c>
    </row>
    <row r="93" spans="1:7" x14ac:dyDescent="0.3">
      <c r="A93" s="2">
        <v>25</v>
      </c>
      <c r="C93" s="38" t="s">
        <v>149</v>
      </c>
      <c r="D93" s="42">
        <f>TRUNC(141751,-1)</f>
        <v>141750</v>
      </c>
      <c r="E93" s="63">
        <f t="shared" si="2"/>
        <v>468590</v>
      </c>
    </row>
    <row r="94" spans="1:7" ht="17.25" thickBot="1" x14ac:dyDescent="0.35">
      <c r="A94" s="2">
        <v>26</v>
      </c>
      <c r="C94" s="38" t="s">
        <v>47</v>
      </c>
      <c r="D94" s="43">
        <f>TRUNC(29103+3660+15697,-1)</f>
        <v>48460</v>
      </c>
      <c r="E94" s="64">
        <f t="shared" si="2"/>
        <v>160190</v>
      </c>
      <c r="F94" s="2" t="s">
        <v>260</v>
      </c>
    </row>
    <row r="95" spans="1:7" x14ac:dyDescent="0.3">
      <c r="A95" s="2">
        <v>27</v>
      </c>
      <c r="C95" s="27" t="s">
        <v>113</v>
      </c>
      <c r="D95" s="39">
        <f>SUM(D69:D94)</f>
        <v>386320</v>
      </c>
      <c r="E95" s="39">
        <f>SUM(E69:E94)</f>
        <v>1277020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245</v>
      </c>
      <c r="C97" s="56" t="s">
        <v>244</v>
      </c>
      <c r="D97" s="57" t="s">
        <v>237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TRUNC(27376,-1)</f>
        <v>27370</v>
      </c>
      <c r="E98" s="62">
        <f t="shared" ref="E98:E118" si="3">TRUNC(+D98*3.3058,-1)</f>
        <v>90470</v>
      </c>
    </row>
    <row r="99" spans="1:7" x14ac:dyDescent="0.3">
      <c r="A99" s="2">
        <v>2</v>
      </c>
      <c r="C99" s="38" t="s">
        <v>40</v>
      </c>
      <c r="D99" s="42">
        <f>TRUNC(12934,-1)</f>
        <v>12930</v>
      </c>
      <c r="E99" s="63">
        <f t="shared" si="3"/>
        <v>42740</v>
      </c>
    </row>
    <row r="100" spans="1:7" x14ac:dyDescent="0.3">
      <c r="A100" s="2">
        <v>3</v>
      </c>
      <c r="C100" s="38" t="s">
        <v>41</v>
      </c>
      <c r="D100" s="42">
        <f>TRUNC(57881,-1)</f>
        <v>57880</v>
      </c>
      <c r="E100" s="63">
        <f t="shared" si="3"/>
        <v>191330</v>
      </c>
    </row>
    <row r="101" spans="1:7" x14ac:dyDescent="0.3">
      <c r="A101" s="2">
        <v>4</v>
      </c>
      <c r="C101" s="38" t="s">
        <v>42</v>
      </c>
      <c r="D101" s="42">
        <f>TRUNC(5861,-1)</f>
        <v>5860</v>
      </c>
      <c r="E101" s="63">
        <f t="shared" si="3"/>
        <v>19370</v>
      </c>
    </row>
    <row r="102" spans="1:7" x14ac:dyDescent="0.3">
      <c r="A102" s="2">
        <v>5</v>
      </c>
      <c r="C102" s="38" t="s">
        <v>43</v>
      </c>
      <c r="D102" s="42">
        <f>TRUNC(24588,-1)</f>
        <v>24580</v>
      </c>
      <c r="E102" s="63">
        <f t="shared" si="3"/>
        <v>81250</v>
      </c>
    </row>
    <row r="103" spans="1:7" x14ac:dyDescent="0.3">
      <c r="A103" s="2">
        <v>6</v>
      </c>
      <c r="C103" s="38" t="s">
        <v>44</v>
      </c>
      <c r="D103" s="42">
        <f>TRUNC(3440,-1)</f>
        <v>3440</v>
      </c>
      <c r="E103" s="63">
        <f t="shared" si="3"/>
        <v>11370</v>
      </c>
    </row>
    <row r="104" spans="1:7" x14ac:dyDescent="0.3">
      <c r="A104" s="2">
        <v>7</v>
      </c>
      <c r="C104" s="38" t="s">
        <v>45</v>
      </c>
      <c r="D104" s="42">
        <f>TRUNC(13364,-1)</f>
        <v>13360</v>
      </c>
      <c r="E104" s="63">
        <f t="shared" si="3"/>
        <v>44160</v>
      </c>
    </row>
    <row r="105" spans="1:7" x14ac:dyDescent="0.3">
      <c r="A105" s="2">
        <v>8</v>
      </c>
      <c r="C105" s="38" t="s">
        <v>46</v>
      </c>
      <c r="D105" s="42">
        <f>TRUNC(18057,-1)</f>
        <v>18050</v>
      </c>
      <c r="E105" s="63">
        <f t="shared" si="3"/>
        <v>59660</v>
      </c>
    </row>
    <row r="106" spans="1:7" x14ac:dyDescent="0.3">
      <c r="A106" s="2">
        <v>9</v>
      </c>
      <c r="C106" s="38" t="s">
        <v>136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118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121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128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130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131</v>
      </c>
      <c r="D114" s="42">
        <f>TRUNC(1923,-1)</f>
        <v>1920</v>
      </c>
      <c r="E114" s="63">
        <f t="shared" si="3"/>
        <v>6340</v>
      </c>
    </row>
    <row r="115" spans="1:7" x14ac:dyDescent="0.3">
      <c r="A115" s="2">
        <v>18</v>
      </c>
      <c r="C115" s="38" t="s">
        <v>117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116</v>
      </c>
      <c r="D116" s="42">
        <f>TRUNC(8071,-1)</f>
        <v>8070</v>
      </c>
      <c r="E116" s="63">
        <f t="shared" si="3"/>
        <v>26670</v>
      </c>
      <c r="F116" s="2" t="s">
        <v>258</v>
      </c>
    </row>
    <row r="117" spans="1:7" x14ac:dyDescent="0.3">
      <c r="A117" s="2">
        <v>20</v>
      </c>
      <c r="C117" s="38" t="s">
        <v>149</v>
      </c>
      <c r="D117" s="42">
        <f>TRUNC(230262,-1)</f>
        <v>230260</v>
      </c>
      <c r="E117" s="63">
        <f t="shared" si="3"/>
        <v>761190</v>
      </c>
    </row>
    <row r="118" spans="1:7" ht="17.25" thickBot="1" x14ac:dyDescent="0.35">
      <c r="A118" s="2">
        <v>21</v>
      </c>
      <c r="C118" s="38" t="s">
        <v>47</v>
      </c>
      <c r="D118" s="43">
        <f>TRUNC(4986,-1)</f>
        <v>4980</v>
      </c>
      <c r="E118" s="64">
        <f t="shared" si="3"/>
        <v>16460</v>
      </c>
      <c r="F118" s="2" t="s">
        <v>259</v>
      </c>
    </row>
    <row r="119" spans="1:7" x14ac:dyDescent="0.3">
      <c r="A119" s="2">
        <v>22</v>
      </c>
      <c r="C119" s="27" t="s">
        <v>113</v>
      </c>
      <c r="D119" s="39">
        <f>SUM(D98:D118)</f>
        <v>408700</v>
      </c>
      <c r="E119" s="39">
        <f>SUM(E98:E118)</f>
        <v>1351010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246</v>
      </c>
      <c r="C121" s="56" t="s">
        <v>244</v>
      </c>
      <c r="D121" s="57" t="s">
        <v>237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TRUNC(5033,-1)</f>
        <v>5030</v>
      </c>
      <c r="E122" s="62">
        <f t="shared" ref="E122:E132" si="4">TRUNC(+D122*3.3058,-1)</f>
        <v>16620</v>
      </c>
      <c r="F122" s="2" t="s">
        <v>256</v>
      </c>
    </row>
    <row r="123" spans="1:7" x14ac:dyDescent="0.3">
      <c r="A123" s="2">
        <v>2</v>
      </c>
      <c r="C123" s="38" t="s">
        <v>125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TRUNC(343,-1)</f>
        <v>340</v>
      </c>
      <c r="E124" s="63">
        <f t="shared" si="4"/>
        <v>1120</v>
      </c>
    </row>
    <row r="125" spans="1:7" x14ac:dyDescent="0.3">
      <c r="A125" s="2">
        <v>4</v>
      </c>
      <c r="C125" s="38" t="s">
        <v>139</v>
      </c>
      <c r="D125" s="42">
        <f>TRUNC(8026,-1)</f>
        <v>8020</v>
      </c>
      <c r="E125" s="63">
        <f t="shared" si="4"/>
        <v>26510</v>
      </c>
    </row>
    <row r="126" spans="1:7" x14ac:dyDescent="0.3">
      <c r="A126" s="2">
        <v>5</v>
      </c>
      <c r="C126" s="38" t="s">
        <v>53</v>
      </c>
      <c r="D126" s="42">
        <f>TRUNC(702,-1)</f>
        <v>700</v>
      </c>
      <c r="E126" s="63">
        <f t="shared" si="4"/>
        <v>2310</v>
      </c>
    </row>
    <row r="127" spans="1:7" x14ac:dyDescent="0.3">
      <c r="A127" s="2">
        <v>6</v>
      </c>
      <c r="C127" s="38" t="s">
        <v>56</v>
      </c>
      <c r="D127" s="42">
        <f>TRUNC(1588,-1)</f>
        <v>1580</v>
      </c>
      <c r="E127" s="63">
        <f t="shared" si="4"/>
        <v>5220</v>
      </c>
    </row>
    <row r="128" spans="1:7" x14ac:dyDescent="0.3">
      <c r="A128" s="2">
        <v>7</v>
      </c>
      <c r="C128" s="38" t="s">
        <v>46</v>
      </c>
      <c r="D128" s="42">
        <f>TRUNC(10953,-1)</f>
        <v>10950</v>
      </c>
      <c r="E128" s="63">
        <f t="shared" si="4"/>
        <v>36190</v>
      </c>
    </row>
    <row r="129" spans="1:7" x14ac:dyDescent="0.3">
      <c r="A129" s="2">
        <v>8</v>
      </c>
      <c r="C129" s="38" t="s">
        <v>127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TRUNC(37912,-1)</f>
        <v>37910</v>
      </c>
      <c r="E130" s="63">
        <f t="shared" si="4"/>
        <v>125320</v>
      </c>
    </row>
    <row r="131" spans="1:7" x14ac:dyDescent="0.3">
      <c r="A131" s="2">
        <v>10</v>
      </c>
      <c r="C131" s="38" t="s">
        <v>149</v>
      </c>
      <c r="D131" s="42">
        <f>TRUNC(46483,-1)</f>
        <v>46480</v>
      </c>
      <c r="E131" s="63">
        <f t="shared" si="4"/>
        <v>153650</v>
      </c>
    </row>
    <row r="132" spans="1:7" ht="18" thickBot="1" x14ac:dyDescent="0.35">
      <c r="A132" s="2">
        <v>11</v>
      </c>
      <c r="C132" s="38" t="s">
        <v>47</v>
      </c>
      <c r="D132" s="43">
        <f>TRUNC(3493+1477+6203,-1)</f>
        <v>11170</v>
      </c>
      <c r="E132" s="64">
        <f t="shared" si="4"/>
        <v>36920</v>
      </c>
      <c r="F132" s="54" t="s">
        <v>257</v>
      </c>
    </row>
    <row r="133" spans="1:7" x14ac:dyDescent="0.3">
      <c r="A133" s="2">
        <v>12</v>
      </c>
      <c r="C133" s="27" t="s">
        <v>113</v>
      </c>
      <c r="D133" s="39">
        <f>SUM(D122:D132)</f>
        <v>122180</v>
      </c>
      <c r="E133" s="39">
        <f>SUM(E122:E132)</f>
        <v>403860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247</v>
      </c>
      <c r="C135" s="56" t="s">
        <v>244</v>
      </c>
      <c r="D135" s="57" t="s">
        <v>237</v>
      </c>
      <c r="E135" s="57" t="s">
        <v>154</v>
      </c>
      <c r="G135" s="55"/>
    </row>
    <row r="136" spans="1:7" x14ac:dyDescent="0.3">
      <c r="A136" s="2">
        <v>1</v>
      </c>
      <c r="C136" s="38" t="s">
        <v>132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TRUNC(337+3029+2242+3361+2361,-1)</f>
        <v>11330</v>
      </c>
      <c r="E137" s="63">
        <f t="shared" si="5"/>
        <v>37450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f>TRUNC(8020,-1)</f>
        <v>8020</v>
      </c>
      <c r="E138" s="63">
        <f t="shared" si="5"/>
        <v>26510</v>
      </c>
    </row>
    <row r="139" spans="1:7" x14ac:dyDescent="0.3">
      <c r="A139" s="2">
        <v>4</v>
      </c>
      <c r="C139" s="38" t="s">
        <v>61</v>
      </c>
      <c r="D139" s="42">
        <f>TRUNC(3482,-1)</f>
        <v>3480</v>
      </c>
      <c r="E139" s="63">
        <f t="shared" si="5"/>
        <v>11500</v>
      </c>
    </row>
    <row r="140" spans="1:7" x14ac:dyDescent="0.3">
      <c r="A140" s="2">
        <v>5</v>
      </c>
      <c r="C140" s="38" t="s">
        <v>57</v>
      </c>
      <c r="D140" s="42">
        <f>TRUNC(784,-1)</f>
        <v>780</v>
      </c>
      <c r="E140" s="63">
        <f t="shared" si="5"/>
        <v>2570</v>
      </c>
    </row>
    <row r="141" spans="1:7" x14ac:dyDescent="0.3">
      <c r="A141" s="2">
        <v>6</v>
      </c>
      <c r="C141" s="38" t="s">
        <v>59</v>
      </c>
      <c r="D141" s="42">
        <f>TRUNC(31129,-1)</f>
        <v>31120</v>
      </c>
      <c r="E141" s="63">
        <f t="shared" si="5"/>
        <v>102870</v>
      </c>
    </row>
    <row r="142" spans="1:7" x14ac:dyDescent="0.3">
      <c r="A142" s="2">
        <v>7</v>
      </c>
      <c r="C142" s="38" t="s">
        <v>58</v>
      </c>
      <c r="D142" s="42">
        <f>TRUNC(7990,-1)</f>
        <v>7990</v>
      </c>
      <c r="E142" s="63">
        <f t="shared" si="5"/>
        <v>26410</v>
      </c>
    </row>
    <row r="143" spans="1:7" x14ac:dyDescent="0.3">
      <c r="A143" s="2">
        <v>8</v>
      </c>
      <c r="C143" s="38" t="s">
        <v>62</v>
      </c>
      <c r="D143" s="42">
        <f>TRUNC(4554,-1)</f>
        <v>4550</v>
      </c>
      <c r="E143" s="63">
        <f t="shared" si="5"/>
        <v>15040</v>
      </c>
    </row>
    <row r="144" spans="1:7" x14ac:dyDescent="0.3">
      <c r="A144" s="2">
        <v>9</v>
      </c>
      <c r="C144" s="38" t="s">
        <v>63</v>
      </c>
      <c r="D144" s="42">
        <f>TRUNC(28834,-1)</f>
        <v>28830</v>
      </c>
      <c r="E144" s="63">
        <f t="shared" si="5"/>
        <v>95300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113</v>
      </c>
      <c r="D146" s="39">
        <f>SUM(D136:D145)</f>
        <v>96100</v>
      </c>
      <c r="E146" s="39">
        <f>SUM(E136:E145)</f>
        <v>317650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248</v>
      </c>
      <c r="C148" s="56" t="s">
        <v>244</v>
      </c>
      <c r="D148" s="57" t="s">
        <v>237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TRUNC(3162+1330,-1)</f>
        <v>4490</v>
      </c>
      <c r="E149" s="62">
        <f>TRUNC(+D149*3.3058,-1)</f>
        <v>14840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TRUNC(2292,-1)</f>
        <v>2290</v>
      </c>
      <c r="E150" s="63">
        <f>TRUNC(+D150*3.3058,-1)</f>
        <v>7570</v>
      </c>
    </row>
    <row r="151" spans="1:7" x14ac:dyDescent="0.3">
      <c r="A151" s="2">
        <v>3</v>
      </c>
      <c r="C151" s="38" t="s">
        <v>50</v>
      </c>
      <c r="D151" s="42">
        <f>TRUNC(182,-1)</f>
        <v>180</v>
      </c>
      <c r="E151" s="63">
        <f>TRUNC(+D151*3.3058,-1)</f>
        <v>590</v>
      </c>
    </row>
    <row r="152" spans="1:7" x14ac:dyDescent="0.3">
      <c r="A152" s="2">
        <v>4</v>
      </c>
      <c r="C152" s="38" t="s">
        <v>47</v>
      </c>
      <c r="D152" s="42">
        <f>TRUNC(53+2642+3202,-1)</f>
        <v>5890</v>
      </c>
      <c r="E152" s="63">
        <f>TRUNC(+D152*3.3058,-1)</f>
        <v>19470</v>
      </c>
      <c r="F152" s="2" t="s">
        <v>254</v>
      </c>
    </row>
    <row r="153" spans="1:7" ht="17.25" thickBot="1" x14ac:dyDescent="0.35">
      <c r="A153" s="2">
        <v>5</v>
      </c>
      <c r="C153" s="38" t="s">
        <v>149</v>
      </c>
      <c r="D153" s="43">
        <f>TRUNC(18571,-1)</f>
        <v>18570</v>
      </c>
      <c r="E153" s="64">
        <f>TRUNC(+D153*3.3058,-1)</f>
        <v>61380</v>
      </c>
    </row>
    <row r="154" spans="1:7" x14ac:dyDescent="0.3">
      <c r="A154" s="2">
        <v>6</v>
      </c>
      <c r="C154" s="27" t="s">
        <v>113</v>
      </c>
      <c r="D154" s="39">
        <f>SUM(D149:D153)</f>
        <v>31420</v>
      </c>
      <c r="E154" s="39">
        <f>SUM(E149:E153)</f>
        <v>103850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249</v>
      </c>
      <c r="C156" s="56" t="s">
        <v>244</v>
      </c>
      <c r="D156" s="57" t="s">
        <v>237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TRUNC(13724,-1)</f>
        <v>13720</v>
      </c>
      <c r="E157" s="62">
        <f>TRUNC(+D157*3.3058,-1)</f>
        <v>45350</v>
      </c>
    </row>
    <row r="158" spans="1:7" x14ac:dyDescent="0.3">
      <c r="A158" s="2">
        <v>2</v>
      </c>
      <c r="C158" s="38" t="s">
        <v>52</v>
      </c>
      <c r="D158" s="42">
        <f>TRUNC(11571,-1)</f>
        <v>11570</v>
      </c>
      <c r="E158" s="63">
        <f>TRUNC(+D158*3.3058,-1)</f>
        <v>38240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TRUNC(6163+2015,-1)</f>
        <v>8170</v>
      </c>
      <c r="E159" s="63">
        <f>TRUNC(+D159*3.3058,-1)</f>
        <v>27000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113</v>
      </c>
      <c r="D161" s="39">
        <f>SUM(D157:D160)</f>
        <v>33460</v>
      </c>
      <c r="E161" s="39">
        <f>SUM(E157:E160)</f>
        <v>110590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2020-12-08T01:40:37Z</dcterms:modified>
</cp:coreProperties>
</file>