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1" i="4"/>
  <c r="D150" i="4"/>
  <c r="D149" i="4"/>
  <c r="D144" i="4"/>
  <c r="D143" i="4"/>
  <c r="D142" i="4"/>
  <c r="D141" i="4"/>
  <c r="D140" i="4"/>
  <c r="D139" i="4"/>
  <c r="D138" i="4"/>
  <c r="D137" i="4"/>
  <c r="D132" i="4"/>
  <c r="D131" i="4"/>
  <c r="D130" i="4"/>
  <c r="D128" i="4"/>
  <c r="D126" i="4"/>
  <c r="D125" i="4"/>
  <c r="D122" i="4"/>
  <c r="D118" i="4"/>
  <c r="D117" i="4"/>
  <c r="D105" i="4"/>
  <c r="D104" i="4"/>
  <c r="D103" i="4"/>
  <c r="D102" i="4"/>
  <c r="D100" i="4"/>
  <c r="D99" i="4"/>
  <c r="D98" i="4"/>
  <c r="D94" i="4"/>
  <c r="D93" i="4"/>
  <c r="D92" i="4"/>
  <c r="D91" i="4"/>
  <c r="D89" i="4"/>
  <c r="D76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<sst xmlns="http://schemas.openxmlformats.org/spreadsheetml/2006/main" count="391" uniqueCount="265">
  <si>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</si>
  <si>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</si>
  <si>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</si>
  <si>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</si>
  <si>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</si>
  <si>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</si>
  <si>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</si>
  <si>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</si>
  <si>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</si>
  <si>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</si>
  <si>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</si>
  <si>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</si>
  <si>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</si>
  <si>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</si>
  <si>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</si>
  <si>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</si>
  <si>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</si>
  <si>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</si>
  <si>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</si>
  <si>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</si>
  <si>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</si>
  <si>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</si>
  <si>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</si>
  <si>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</si>
  <si>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</si>
  <si>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</si>
  <si>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</si>
  <si>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</si>
  <si>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</si>
  <si>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</si>
  <si>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</si>
  <si>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</si>
  <si>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</si>
  <si>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</si>
  <si>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</si>
  <si>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</si>
  <si>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</si>
  <si>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</si>
  <si>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</si>
  <si>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</si>
  <si>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</si>
  <si>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</si>
  <si>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</si>
  <si>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</si>
  <si>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</si>
  <si>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</si>
  <si>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</si>
  <si>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</si>
  <si>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</si>
  <si>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</si>
  <si>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</si>
  <si>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</si>
  <si>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</si>
  <si>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</si>
  <si>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</si>
  <si>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</si>
  <si>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</si>
  <si>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</si>
  <si>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</si>
  <si>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</si>
  <si>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</si>
  <si>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</si>
  <si>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</si>
  <si>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</si>
  <si>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</si>
  <si>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</si>
  <si>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</si>
  <si>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</si>
  <si>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</si>
  <si>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</si>
  <si>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</si>
  <si>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</si>
  <si>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</si>
  <si>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</si>
  <si>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</si>
  <si>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</si>
  <si>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</si>
  <si>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</si>
  <si>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</si>
  <si>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</si>
  <si>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</si>
  <si>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</si>
  <si>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</si>
  <si>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</si>
  <si>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</si>
  <si>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</si>
  <si>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</si>
  <si>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</si>
  <si>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</si>
  <si>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</si>
  <si>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</si>
  <si>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</si>
  <si>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</si>
  <si>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</si>
  <si>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</si>
  <si>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</si>
  <si>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</si>
  <si>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</si>
  <si>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</si>
  <si>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</si>
  <si>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</si>
  <si>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</si>
  <si>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</si>
  <si>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</si>
  <si>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</si>
  <si>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</si>
  <si>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</si>
  <si>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</si>
  <si>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</si>
  <si>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</si>
  <si>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</si>
  <si>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</si>
  <si>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</si>
  <si>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</si>
  <si>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</si>
  <si>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</si>
  <si>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</si>
  <si>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</si>
  <si>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</si>
  <si>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</si>
  <si>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</si>
  <si>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</si>
  <si>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</si>
  <si>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</si>
  <si>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</si>
  <si>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</si>
  <si>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</si>
  <si>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</si>
  <si>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</si>
  <si>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</si>
  <si>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</si>
  <si>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</si>
  <si>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</si>
  <si>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</si>
  <si>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</si>
  <si>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</si>
  <si>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</si>
  <si>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</si>
  <si>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</si>
  <si>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</si>
  <si>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</si>
  <si>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</si>
  <si>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</si>
  <si>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</si>
  <si>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</si>
  <si>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</si>
  <si>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</si>
  <si>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</si>
  <si>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</si>
  <si>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</si>
  <si>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</si>
  <si>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</si>
  <si>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</si>
  <si>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</si>
  <si>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</si>
  <si>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</si>
  <si>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</si>
  <si>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</si>
  <si>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</si>
  <si>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</si>
  <si>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</si>
  <si>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</si>
  <si>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</si>
  <si>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</si>
  <si>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</si>
  <si>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</si>
  <si>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</si>
  <si>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</si>
  <si>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</si>
  <si>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</si>
  <si>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</si>
  <si>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</si>
  <si>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</si>
  <si>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</si>
  <si>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</si>
  <si>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</si>
  <si>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</si>
  <si>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</si>
  <si>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</si>
  <si>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</si>
  <si>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</si>
  <si>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</si>
  <si>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</si>
  <si>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</si>
  <si>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</si>
  <si>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</si>
  <si>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</si>
  <si>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</si>
  <si>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</si>
  <si>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</si>
  <si>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</si>
  <si>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</si>
  <si>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</si>
  <si>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</si>
  <si>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</si>
  <si>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</si>
  <si>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</si>
  <si>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</si>
  <si>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</si>
  <si>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</si>
  <si>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</si>
  <si>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</si>
  <si>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</si>
  <si>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</si>
  <si>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</si>
  <si>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</si>
  <si>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</si>
  <si>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</si>
  <si>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</si>
  <si>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</si>
  <si>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</si>
  <si>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</si>
  <si>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</si>
  <si>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</si>
  <si>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</si>
  <si>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</si>
  <si>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</si>
  <si>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</si>
  <si>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</si>
  <si>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</si>
  <si>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</si>
  <si>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</si>
  <si>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</si>
  <si>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</si>
  <si>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</si>
  <si>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</si>
  <si>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</si>
  <si>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</si>
  <si>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</si>
  <si>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</si>
  <si>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</si>
  <si>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</si>
  <si>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</si>
  <si>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</si>
  <si>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</si>
  <si>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</si>
  <si>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</si>
  <si>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</si>
  <si>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</si>
  <si>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</si>
  <si>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</si>
  <si>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</si>
  <si>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</si>
  <si>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</si>
  <si>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</si>
  <si>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</si>
  <si>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</si>
  <si>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</si>
  <si>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</si>
  <si>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</si>
  <si>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</si>
  <si>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</si>
  <si>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</si>
  <si>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</si>
  <si>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</si>
  <si>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상당구청사 신축공사</t>
    <phoneticPr fontId="2" type="noConversion"/>
  </si>
  <si>
    <t>충청도</t>
  </si>
  <si>
    <t>골재비및운반비, 작업부산물, 품질시험비, 기타공사</t>
    <phoneticPr fontId="2" type="noConversion"/>
  </si>
  <si>
    <t>우수처리시설공사, 기타공사</t>
    <phoneticPr fontId="2" type="noConversion"/>
  </si>
  <si>
    <t>CCTV설비공사, 주차관제설비공사, 기타공사</t>
    <phoneticPr fontId="2" type="noConversion"/>
  </si>
  <si>
    <t>옥외소화배관공사, 펌프실배관공사, 기타공사</t>
    <phoneticPr fontId="2" type="noConversion"/>
  </si>
  <si>
    <t>사급자재비, 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</si>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</sst>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19488.14</v>
      </c>
      <c r="D7" s="36">
        <f>+C7/3.3058</f>
        <v>5895.1358218888008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1008170</v>
      </c>
      <c r="E25" s="59">
        <f t="shared" si="0"/>
        <v>3332800</v>
      </c>
    </row>
    <row r="26" spans="1:5" x14ac:dyDescent="0.3">
      <c r="B26" s="2">
        <v>3</v>
      </c>
      <c r="C26" s="35" t="s">
        <v>95</v>
      </c>
      <c r="D26" s="45">
        <f>+D66</f>
        <v>81410</v>
      </c>
      <c r="E26" s="59">
        <f t="shared" si="0"/>
        <v>269120</v>
      </c>
    </row>
    <row r="27" spans="1:5" x14ac:dyDescent="0.3">
      <c r="B27" s="2">
        <v>4</v>
      </c>
      <c r="C27" s="35" t="s">
        <v>96</v>
      </c>
      <c r="D27" s="45">
        <f>+D95</f>
        <v>221190</v>
      </c>
      <c r="E27" s="59">
        <f t="shared" si="0"/>
        <v>731200</v>
      </c>
    </row>
    <row r="28" spans="1:5" x14ac:dyDescent="0.3">
      <c r="B28" s="2">
        <v>5</v>
      </c>
      <c r="C28" s="35" t="s">
        <v>97</v>
      </c>
      <c r="D28" s="45">
        <f>+D119</f>
        <v>148780</v>
      </c>
      <c r="E28" s="59">
        <f t="shared" si="0"/>
        <v>491830</v>
      </c>
    </row>
    <row r="29" spans="1:5" x14ac:dyDescent="0.3">
      <c r="B29" s="2">
        <v>6</v>
      </c>
      <c r="C29" s="35" t="s">
        <v>98</v>
      </c>
      <c r="D29" s="45">
        <f>+D133</f>
        <v>174990</v>
      </c>
      <c r="E29" s="59">
        <f t="shared" si="0"/>
        <v>578480</v>
      </c>
    </row>
    <row r="30" spans="1:5" x14ac:dyDescent="0.3">
      <c r="B30" s="2">
        <v>7</v>
      </c>
      <c r="C30" s="35" t="s">
        <v>99</v>
      </c>
      <c r="D30" s="45">
        <f>+D146</f>
        <v>64540</v>
      </c>
      <c r="E30" s="59">
        <f t="shared" si="0"/>
        <v>213350</v>
      </c>
    </row>
    <row r="31" spans="1:5" x14ac:dyDescent="0.3">
      <c r="B31" s="2">
        <v>8</v>
      </c>
      <c r="C31" s="35" t="s">
        <v>100</v>
      </c>
      <c r="D31" s="45">
        <f>+D154</f>
        <v>49630</v>
      </c>
      <c r="E31" s="59">
        <f t="shared" si="0"/>
        <v>164060</v>
      </c>
    </row>
    <row r="32" spans="1:5" x14ac:dyDescent="0.3">
      <c r="B32" s="2">
        <v>9</v>
      </c>
      <c r="C32" s="35" t="s">
        <v>101</v>
      </c>
      <c r="D32" s="45">
        <f>+D161</f>
        <v>15370</v>
      </c>
      <c r="E32" s="59">
        <f t="shared" si="0"/>
        <v>50810</v>
      </c>
    </row>
    <row r="33" spans="1:7" x14ac:dyDescent="0.3">
      <c r="B33" s="2">
        <v>10</v>
      </c>
      <c r="C33" s="35" t="s">
        <v>155</v>
      </c>
      <c r="D33" s="53">
        <f>TRUNC(SUM(D24:D32)*0.275,-1)</f>
        <v>485120</v>
      </c>
      <c r="E33" s="60">
        <f t="shared" si="0"/>
        <v>1603700</v>
      </c>
    </row>
    <row r="34" spans="1:7" x14ac:dyDescent="0.3">
      <c r="C34" s="35" t="s">
        <v>112</v>
      </c>
      <c r="D34" s="44">
        <f>SUM(D24:D33)</f>
        <v>2249200</v>
      </c>
      <c r="E34" s="44">
        <f>SUM(E24:E33)</f>
        <v>7435350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TRUNC(45273,-1)</f>
        <v>45270</v>
      </c>
      <c r="E40" s="62">
        <f t="shared" ref="E40:E59" si="1">TRUNC(+D40*3.3058,-1)</f>
        <v>149650</v>
      </c>
    </row>
    <row r="41" spans="1:7" x14ac:dyDescent="0.3">
      <c r="A41" s="2">
        <v>2</v>
      </c>
      <c r="C41" s="38" t="s">
        <v>13</v>
      </c>
      <c r="D41" s="42">
        <f>TRUNC(124107,-1)</f>
        <v>124100</v>
      </c>
      <c r="E41" s="63">
        <f t="shared" si="1"/>
        <v>410240</v>
      </c>
    </row>
    <row r="42" spans="1:7" x14ac:dyDescent="0.3">
      <c r="A42" s="2">
        <v>3</v>
      </c>
      <c r="C42" s="38" t="s">
        <v>14</v>
      </c>
      <c r="D42" s="42">
        <f>TRUNC(205903,-1)</f>
        <v>205900</v>
      </c>
      <c r="E42" s="63">
        <f t="shared" si="1"/>
        <v>680660</v>
      </c>
    </row>
    <row r="43" spans="1:7" x14ac:dyDescent="0.3">
      <c r="A43" s="2">
        <v>4</v>
      </c>
      <c r="C43" s="38" t="s">
        <v>16</v>
      </c>
      <c r="D43" s="42">
        <f>TRUNC(11073,-1)</f>
        <v>11070</v>
      </c>
      <c r="E43" s="63">
        <f t="shared" si="1"/>
        <v>36590</v>
      </c>
    </row>
    <row r="44" spans="1:7" x14ac:dyDescent="0.3">
      <c r="A44" s="2">
        <v>5</v>
      </c>
      <c r="C44" s="38" t="s">
        <v>17</v>
      </c>
      <c r="D44" s="42">
        <v>48560</v>
      </c>
      <c r="E44" s="63">
        <f t="shared" si="1"/>
        <v>160520</v>
      </c>
    </row>
    <row r="45" spans="1:7" x14ac:dyDescent="0.3">
      <c r="A45" s="2">
        <v>6</v>
      </c>
      <c r="C45" s="38" t="s">
        <v>18</v>
      </c>
      <c r="D45" s="42">
        <f>TRUNC(10877,-1)</f>
        <v>10870</v>
      </c>
      <c r="E45" s="63">
        <f t="shared" si="1"/>
        <v>35930</v>
      </c>
    </row>
    <row r="46" spans="1:7" x14ac:dyDescent="0.3">
      <c r="A46" s="2">
        <v>7</v>
      </c>
      <c r="C46" s="38" t="s">
        <v>19</v>
      </c>
      <c r="D46" s="42">
        <f>TRUNC(48053,-1)</f>
        <v>48050</v>
      </c>
      <c r="E46" s="63">
        <f t="shared" si="1"/>
        <v>158840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TRUNC(28282,-1)</f>
        <v>28280</v>
      </c>
      <c r="E48" s="63">
        <f t="shared" si="1"/>
        <v>93480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TRUNC(10422,-1)</f>
        <v>10420</v>
      </c>
      <c r="E49" s="63">
        <f t="shared" si="1"/>
        <v>34440</v>
      </c>
    </row>
    <row r="50" spans="1:7" x14ac:dyDescent="0.3">
      <c r="A50" s="2">
        <v>11</v>
      </c>
      <c r="C50" s="38" t="s">
        <v>156</v>
      </c>
      <c r="D50" s="42">
        <f>TRUNC(43393,-1)</f>
        <v>43390</v>
      </c>
      <c r="E50" s="63">
        <f t="shared" si="1"/>
        <v>143430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TRUNC(6608,-1)</f>
        <v>6600</v>
      </c>
      <c r="E52" s="63">
        <f t="shared" si="1"/>
        <v>21810</v>
      </c>
    </row>
    <row r="53" spans="1:7" x14ac:dyDescent="0.3">
      <c r="A53" s="2">
        <v>14</v>
      </c>
      <c r="C53" s="38" t="s">
        <v>25</v>
      </c>
      <c r="D53" s="42">
        <f>TRUNC(116836,-1)</f>
        <v>116830</v>
      </c>
      <c r="E53" s="63">
        <f t="shared" si="1"/>
        <v>386210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TRUNC(4154-728+675+75768,-1)</f>
        <v>79860</v>
      </c>
      <c r="E58" s="63">
        <f t="shared" si="1"/>
        <v>264000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TRUNC(228977,-1)</f>
        <v>228970</v>
      </c>
      <c r="E59" s="64">
        <f t="shared" si="1"/>
        <v>756920</v>
      </c>
    </row>
    <row r="60" spans="1:7" x14ac:dyDescent="0.3">
      <c r="A60" s="2">
        <v>21</v>
      </c>
      <c r="C60" s="27" t="s">
        <v>112</v>
      </c>
      <c r="D60" s="39">
        <f>SUM(D40:D59)</f>
        <v>1008170</v>
      </c>
      <c r="E60" s="39">
        <f>SUM(E40:E59)</f>
        <v>3332720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TRUNC(5737,-1)</f>
        <v>5730</v>
      </c>
      <c r="E63" s="62">
        <f>TRUNC(+D63*3.3058,-1)</f>
        <v>18940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TRUNC(75688,-1)</f>
        <v>75680</v>
      </c>
      <c r="E65" s="64">
        <f>TRUNC(+D65*3.3058,-1)</f>
        <v>250180</v>
      </c>
    </row>
    <row r="66" spans="1:7" x14ac:dyDescent="0.3">
      <c r="A66" s="2">
        <v>4</v>
      </c>
      <c r="C66" s="27" t="s">
        <v>112</v>
      </c>
      <c r="D66" s="39">
        <f>SUM(D63:D65)</f>
        <v>81410</v>
      </c>
      <c r="E66" s="65">
        <f>SUM(E63:E65)</f>
        <v>269120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TRUNC(5088,-1)</f>
        <v>5080</v>
      </c>
      <c r="E69" s="62">
        <f t="shared" ref="E69:E94" si="2">TRUNC(+D69*3.3058,-1)</f>
        <v>16790</v>
      </c>
    </row>
    <row r="70" spans="1:7" ht="16.5" customHeight="1" x14ac:dyDescent="0.3">
      <c r="A70" s="2">
        <v>2</v>
      </c>
      <c r="C70" s="38" t="s">
        <v>31</v>
      </c>
      <c r="D70" s="42">
        <f>TRUNC(215,-1)</f>
        <v>210</v>
      </c>
      <c r="E70" s="63">
        <f t="shared" si="2"/>
        <v>690</v>
      </c>
    </row>
    <row r="71" spans="1:7" x14ac:dyDescent="0.3">
      <c r="A71" s="2">
        <v>3</v>
      </c>
      <c r="C71" s="38" t="s">
        <v>32</v>
      </c>
      <c r="D71" s="42">
        <f>TRUNC(1466,-1)</f>
        <v>1460</v>
      </c>
      <c r="E71" s="63">
        <f t="shared" si="2"/>
        <v>4820</v>
      </c>
    </row>
    <row r="72" spans="1:7" x14ac:dyDescent="0.3">
      <c r="A72" s="2">
        <v>4</v>
      </c>
      <c r="C72" s="38" t="s">
        <v>33</v>
      </c>
      <c r="D72" s="42">
        <f>TRUNC(952,-1)</f>
        <v>950</v>
      </c>
      <c r="E72" s="63">
        <f t="shared" si="2"/>
        <v>3140</v>
      </c>
    </row>
    <row r="73" spans="1:7" x14ac:dyDescent="0.3">
      <c r="A73" s="2">
        <v>5</v>
      </c>
      <c r="C73" s="38" t="s">
        <v>34</v>
      </c>
      <c r="D73" s="42">
        <f>TRUNC(8852,-1)</f>
        <v>8850</v>
      </c>
      <c r="E73" s="63">
        <f t="shared" si="2"/>
        <v>29250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TRUNC(43257,-1)</f>
        <v>43250</v>
      </c>
      <c r="E76" s="63">
        <f t="shared" si="2"/>
        <v>142970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TRUNC(13163,-1)</f>
        <v>13160</v>
      </c>
      <c r="E89" s="63">
        <f t="shared" si="2"/>
        <v>43500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TRUNC(6527,-1)</f>
        <v>6520</v>
      </c>
      <c r="E91" s="63">
        <f t="shared" si="2"/>
        <v>21550</v>
      </c>
    </row>
    <row r="92" spans="1:7" x14ac:dyDescent="0.3">
      <c r="A92" s="2">
        <v>24</v>
      </c>
      <c r="C92" s="38" t="s">
        <v>38</v>
      </c>
      <c r="D92" s="42">
        <f>TRUNC(8324,-1)</f>
        <v>8320</v>
      </c>
      <c r="E92" s="63">
        <f t="shared" si="2"/>
        <v>27500</v>
      </c>
    </row>
    <row r="93" spans="1:7" x14ac:dyDescent="0.3">
      <c r="A93" s="2">
        <v>25</v>
      </c>
      <c r="C93" s="38" t="s">
        <v>149</v>
      </c>
      <c r="D93" s="42">
        <f>TRUNC(120684,-1)</f>
        <v>120680</v>
      </c>
      <c r="E93" s="63">
        <f t="shared" si="2"/>
        <v>398940</v>
      </c>
    </row>
    <row r="94" spans="1:7" ht="17.25" thickBot="1" x14ac:dyDescent="0.35">
      <c r="A94" s="2">
        <v>26</v>
      </c>
      <c r="C94" s="38" t="s">
        <v>47</v>
      </c>
      <c r="D94" s="43">
        <f>TRUNC(1572+11143,-1)</f>
        <v>12710</v>
      </c>
      <c r="E94" s="64">
        <f t="shared" si="2"/>
        <v>42010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221190</v>
      </c>
      <c r="E95" s="39">
        <f>SUM(E69:E94)</f>
        <v>731160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TRUNC(15914,-1)</f>
        <v>15910</v>
      </c>
      <c r="E98" s="62">
        <f t="shared" ref="E98:E118" si="3">TRUNC(+D98*3.3058,-1)</f>
        <v>52590</v>
      </c>
    </row>
    <row r="99" spans="1:7" x14ac:dyDescent="0.3">
      <c r="A99" s="2">
        <v>2</v>
      </c>
      <c r="C99" s="38" t="s">
        <v>40</v>
      </c>
      <c r="D99" s="42">
        <f>TRUNC(7539,-1)</f>
        <v>7530</v>
      </c>
      <c r="E99" s="63">
        <f t="shared" si="3"/>
        <v>24890</v>
      </c>
    </row>
    <row r="100" spans="1:7" x14ac:dyDescent="0.3">
      <c r="A100" s="2">
        <v>3</v>
      </c>
      <c r="C100" s="38" t="s">
        <v>41</v>
      </c>
      <c r="D100" s="42">
        <f>TRUNC(34497,-1)</f>
        <v>34490</v>
      </c>
      <c r="E100" s="63">
        <f t="shared" si="3"/>
        <v>114010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TRUNC(7667,-1)</f>
        <v>7660</v>
      </c>
      <c r="E102" s="63">
        <f t="shared" si="3"/>
        <v>25320</v>
      </c>
    </row>
    <row r="103" spans="1:7" x14ac:dyDescent="0.3">
      <c r="A103" s="2">
        <v>6</v>
      </c>
      <c r="C103" s="38" t="s">
        <v>44</v>
      </c>
      <c r="D103" s="42">
        <f>TRUNC(4459,-1)</f>
        <v>4450</v>
      </c>
      <c r="E103" s="63">
        <f t="shared" si="3"/>
        <v>14710</v>
      </c>
    </row>
    <row r="104" spans="1:7" x14ac:dyDescent="0.3">
      <c r="A104" s="2">
        <v>7</v>
      </c>
      <c r="C104" s="38" t="s">
        <v>45</v>
      </c>
      <c r="D104" s="42">
        <f>TRUNC(1715,-1)</f>
        <v>1710</v>
      </c>
      <c r="E104" s="63">
        <f t="shared" si="3"/>
        <v>5650</v>
      </c>
    </row>
    <row r="105" spans="1:7" x14ac:dyDescent="0.3">
      <c r="A105" s="2">
        <v>8</v>
      </c>
      <c r="C105" s="38" t="s">
        <v>46</v>
      </c>
      <c r="D105" s="42">
        <f>TRUNC(6152,-1)</f>
        <v>6150</v>
      </c>
      <c r="E105" s="63">
        <f t="shared" si="3"/>
        <v>20330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TRUNC(71007,-1)</f>
        <v>71000</v>
      </c>
      <c r="E117" s="63">
        <f t="shared" si="3"/>
        <v>234710</v>
      </c>
    </row>
    <row r="118" spans="1:7" ht="17.25" thickBot="1" x14ac:dyDescent="0.35">
      <c r="A118" s="2">
        <v>21</v>
      </c>
      <c r="C118" s="38" t="s">
        <v>47</v>
      </c>
      <c r="D118" s="43">
        <f>TRUNC(-126,-1)</f>
        <v>-120</v>
      </c>
      <c r="E118" s="64">
        <f t="shared" si="3"/>
        <v>-390</v>
      </c>
    </row>
    <row r="119" spans="1:7" x14ac:dyDescent="0.3">
      <c r="A119" s="2">
        <v>22</v>
      </c>
      <c r="C119" s="27" t="s">
        <v>112</v>
      </c>
      <c r="D119" s="39">
        <f>SUM(D98:D118)</f>
        <v>148780</v>
      </c>
      <c r="E119" s="39">
        <f>SUM(E98:E118)</f>
        <v>491820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TRUNC(3685,-1)</f>
        <v>3680</v>
      </c>
      <c r="E122" s="62">
        <f t="shared" ref="E122:E132" si="4">TRUNC(+D122*3.3058,-1)</f>
        <v>12160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TRUNC(6759,-1)</f>
        <v>6750</v>
      </c>
      <c r="E125" s="63">
        <f t="shared" si="4"/>
        <v>22310</v>
      </c>
    </row>
    <row r="126" spans="1:7" x14ac:dyDescent="0.3">
      <c r="A126" s="2">
        <v>5</v>
      </c>
      <c r="C126" s="38" t="s">
        <v>53</v>
      </c>
      <c r="D126" s="42">
        <f>TRUNC(271,-1)</f>
        <v>270</v>
      </c>
      <c r="E126" s="63">
        <f t="shared" si="4"/>
        <v>890</v>
      </c>
    </row>
    <row r="127" spans="1:7" x14ac:dyDescent="0.3">
      <c r="A127" s="2">
        <v>6</v>
      </c>
      <c r="C127" s="38" t="s">
        <v>56</v>
      </c>
      <c r="D127" s="42">
        <v>7630</v>
      </c>
      <c r="E127" s="63">
        <f t="shared" si="4"/>
        <v>25220</v>
      </c>
    </row>
    <row r="128" spans="1:7" x14ac:dyDescent="0.3">
      <c r="A128" s="2">
        <v>7</v>
      </c>
      <c r="C128" s="38" t="s">
        <v>46</v>
      </c>
      <c r="D128" s="42">
        <f>TRUNC(4356,-1)</f>
        <v>4350</v>
      </c>
      <c r="E128" s="63">
        <f t="shared" si="4"/>
        <v>14380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TRUNC(23026,-1)</f>
        <v>23020</v>
      </c>
      <c r="E130" s="63">
        <f t="shared" si="4"/>
        <v>76090</v>
      </c>
    </row>
    <row r="131" spans="1:7" x14ac:dyDescent="0.3">
      <c r="A131" s="2">
        <v>10</v>
      </c>
      <c r="C131" s="38" t="s">
        <v>149</v>
      </c>
      <c r="D131" s="42">
        <f>TRUNC(122219,-1)</f>
        <v>122210</v>
      </c>
      <c r="E131" s="63">
        <f t="shared" si="4"/>
        <v>404000</v>
      </c>
    </row>
    <row r="132" spans="1:7" ht="18" thickBot="1" x14ac:dyDescent="0.35">
      <c r="A132" s="2">
        <v>11</v>
      </c>
      <c r="C132" s="38" t="s">
        <v>47</v>
      </c>
      <c r="D132" s="43">
        <f>TRUNC(2492+1304+3291,-1)</f>
        <v>7080</v>
      </c>
      <c r="E132" s="64">
        <f t="shared" si="4"/>
        <v>23400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174990</v>
      </c>
      <c r="E133" s="39">
        <f>SUM(E122:E132)</f>
        <v>578450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TRUNC(64+1104+5733,-1)</f>
        <v>6900</v>
      </c>
      <c r="E137" s="63">
        <f t="shared" si="5"/>
        <v>22810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TRUNC(2798,-1)</f>
        <v>2790</v>
      </c>
      <c r="E138" s="63">
        <f t="shared" si="5"/>
        <v>9220</v>
      </c>
    </row>
    <row r="139" spans="1:7" x14ac:dyDescent="0.3">
      <c r="A139" s="2">
        <v>4</v>
      </c>
      <c r="C139" s="38" t="s">
        <v>61</v>
      </c>
      <c r="D139" s="42">
        <f>TRUNC(7057,-1)</f>
        <v>7050</v>
      </c>
      <c r="E139" s="63">
        <f t="shared" si="5"/>
        <v>23300</v>
      </c>
    </row>
    <row r="140" spans="1:7" x14ac:dyDescent="0.3">
      <c r="A140" s="2">
        <v>5</v>
      </c>
      <c r="C140" s="38" t="s">
        <v>57</v>
      </c>
      <c r="D140" s="42">
        <f>TRUNC(1706,-1)</f>
        <v>1700</v>
      </c>
      <c r="E140" s="63">
        <f t="shared" si="5"/>
        <v>5610</v>
      </c>
    </row>
    <row r="141" spans="1:7" x14ac:dyDescent="0.3">
      <c r="A141" s="2">
        <v>6</v>
      </c>
      <c r="C141" s="38" t="s">
        <v>59</v>
      </c>
      <c r="D141" s="42">
        <f>TRUNC(30151,-1)</f>
        <v>30150</v>
      </c>
      <c r="E141" s="63">
        <f t="shared" si="5"/>
        <v>99660</v>
      </c>
    </row>
    <row r="142" spans="1:7" x14ac:dyDescent="0.3">
      <c r="A142" s="2">
        <v>7</v>
      </c>
      <c r="C142" s="38" t="s">
        <v>58</v>
      </c>
      <c r="D142" s="42">
        <f>TRUNC(5296,-1)</f>
        <v>5290</v>
      </c>
      <c r="E142" s="63">
        <f t="shared" si="5"/>
        <v>17480</v>
      </c>
    </row>
    <row r="143" spans="1:7" x14ac:dyDescent="0.3">
      <c r="A143" s="2">
        <v>8</v>
      </c>
      <c r="C143" s="38" t="s">
        <v>62</v>
      </c>
      <c r="D143" s="42">
        <f>TRUNC(3092,-1)</f>
        <v>3090</v>
      </c>
      <c r="E143" s="63">
        <f t="shared" si="5"/>
        <v>10210</v>
      </c>
    </row>
    <row r="144" spans="1:7" x14ac:dyDescent="0.3">
      <c r="A144" s="2">
        <v>9</v>
      </c>
      <c r="C144" s="38" t="s">
        <v>63</v>
      </c>
      <c r="D144" s="42">
        <f>TRUNC(7579,-1)</f>
        <v>7570</v>
      </c>
      <c r="E144" s="63">
        <f t="shared" si="5"/>
        <v>25020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64540</v>
      </c>
      <c r="E146" s="39">
        <f>SUM(E136:E145)</f>
        <v>213310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TRUNC(2736+731,-1)</f>
        <v>3460</v>
      </c>
      <c r="E149" s="62">
        <f>TRUNC(+D149*3.3058,-1)</f>
        <v>11430</v>
      </c>
    </row>
    <row r="150" spans="1:7" x14ac:dyDescent="0.3">
      <c r="A150" s="2">
        <v>2</v>
      </c>
      <c r="C150" s="38" t="s">
        <v>49</v>
      </c>
      <c r="D150" s="42">
        <f>TRUNC(6562,-1)</f>
        <v>6560</v>
      </c>
      <c r="E150" s="63">
        <f>TRUNC(+D150*3.3058,-1)</f>
        <v>21680</v>
      </c>
    </row>
    <row r="151" spans="1:7" x14ac:dyDescent="0.3">
      <c r="A151" s="2">
        <v>3</v>
      </c>
      <c r="C151" s="38" t="s">
        <v>50</v>
      </c>
      <c r="D151" s="42">
        <f>TRUNC(4981,-1)</f>
        <v>4980</v>
      </c>
      <c r="E151" s="63">
        <f>TRUNC(+D151*3.3058,-1)</f>
        <v>16460</v>
      </c>
    </row>
    <row r="152" spans="1:7" x14ac:dyDescent="0.3">
      <c r="A152" s="2">
        <v>4</v>
      </c>
      <c r="C152" s="38" t="s">
        <v>47</v>
      </c>
      <c r="D152" s="42">
        <f>TRUNC(5797+212,-1)</f>
        <v>6000</v>
      </c>
      <c r="E152" s="63">
        <f>TRUNC(+D152*3.3058,-1)</f>
        <v>19830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TRUNC(28636,-1)</f>
        <v>28630</v>
      </c>
      <c r="E153" s="64">
        <f>TRUNC(+D153*3.3058,-1)</f>
        <v>94640</v>
      </c>
    </row>
    <row r="154" spans="1:7" x14ac:dyDescent="0.3">
      <c r="A154" s="2">
        <v>6</v>
      </c>
      <c r="C154" s="27" t="s">
        <v>112</v>
      </c>
      <c r="D154" s="39">
        <f>SUM(D149:D153)</f>
        <v>49630</v>
      </c>
      <c r="E154" s="39">
        <f>SUM(E149:E153)</f>
        <v>164040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TRUNC(11625,-1)</f>
        <v>11620</v>
      </c>
      <c r="E157" s="62">
        <f>TRUNC(+D157*3.3058,-1)</f>
        <v>38410</v>
      </c>
    </row>
    <row r="158" spans="1:7" x14ac:dyDescent="0.3">
      <c r="A158" s="2">
        <v>2</v>
      </c>
      <c r="C158" s="38" t="s">
        <v>52</v>
      </c>
      <c r="D158" s="42">
        <v>1820</v>
      </c>
      <c r="E158" s="63">
        <f>TRUNC(+D158*3.3058,-1)</f>
        <v>6010</v>
      </c>
    </row>
    <row r="159" spans="1:7" x14ac:dyDescent="0.3">
      <c r="A159" s="2">
        <v>3</v>
      </c>
      <c r="C159" s="38" t="s">
        <v>47</v>
      </c>
      <c r="D159" s="42">
        <f>TRUNC(1832+107,-1)</f>
        <v>1930</v>
      </c>
      <c r="E159" s="63">
        <f>TRUNC(+D159*3.3058,-1)</f>
        <v>6380</v>
      </c>
      <c r="F159" s="2" t="s">
        <v>253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15370</v>
      </c>
      <c r="E161" s="39">
        <f>SUM(E157:E160)</f>
        <v>50800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2020-12-08T01:28:26Z</dcterms:modified>
</cp:coreProperties>
</file>