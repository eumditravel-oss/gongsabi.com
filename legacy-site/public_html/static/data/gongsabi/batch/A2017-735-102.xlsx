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39" i="4"/>
  <c r="D141" i="4"/>
  <c r="D137" i="4"/>
  <c r="D142" i="4"/>
  <c r="D140" i="4"/>
  <c r="D132" i="4"/>
  <c r="D128" i="4"/>
  <c r="D127" i="4"/>
  <c r="D125" i="4"/>
  <c r="D122" i="4"/>
  <c r="D130" i="4"/>
  <c r="D118" i="4"/>
  <c r="D105" i="4"/>
  <c r="D104" i="4"/>
  <c r="D103" i="4"/>
  <c r="D102" i="4"/>
  <c r="D101" i="4"/>
  <c r="D100" i="4"/>
  <c r="D99" i="4"/>
  <c r="D114" i="4"/>
  <c r="D98" i="4"/>
  <c r="D119" i="4" s="1"/>
  <c r="D116" i="4"/>
  <c r="D94" i="4"/>
  <c r="D75" i="4"/>
  <c r="D92" i="4"/>
  <c r="D91" i="4"/>
  <c r="D90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D153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46" i="4"/>
  <c r="E95" i="4"/>
  <c r="E66" i="4"/>
  <c r="E60" i="4"/>
  <c r="E154" i="4"/>
  <c r="E133" i="4"/>
  <c r="E119" i="4"/>
  <c r="D161" i="4"/>
  <c r="D32" i="4" s="1"/>
  <c r="E32" i="4" s="1"/>
  <c r="D154" i="4"/>
  <c r="D146" i="4"/>
  <c r="D30" i="4" s="1"/>
  <c r="E30" i="4" s="1"/>
  <c r="D133" i="4"/>
  <c r="D29" i="4" s="1"/>
  <c r="E29" i="4" s="1"/>
  <c r="D95" i="4"/>
  <c r="D27" i="4" s="1"/>
  <c r="E27" i="4" s="1"/>
  <c r="D66" i="4"/>
  <c r="D26" i="4" s="1"/>
  <c r="E26" i="4" s="1"/>
  <c r="D60" i="4"/>
  <c r="D25" i="4" s="1"/>
  <c r="D24" i="4"/>
  <c r="E24" i="4" s="1"/>
  <c r="D28" i="4"/>
  <c r="E28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<sst xmlns="http://schemas.openxmlformats.org/spreadsheetml/2006/main" count="395" uniqueCount="269">
  <si>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</si>
  <si>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</si>
  <si>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</si>
  <si>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</si>
  <si>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</si>
  <si>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</si>
  <si>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</si>
  <si>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</si>
  <si>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</si>
  <si>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</si>
  <si>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</si>
  <si>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</si>
  <si>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</si>
  <si>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</si>
  <si>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</si>
  <si>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</si>
  <si>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</si>
  <si>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</si>
  <si>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</si>
  <si>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</si>
  <si>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</si>
  <si>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</si>
  <si>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</si>
  <si>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</si>
  <si>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</si>
  <si>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</si>
  <si>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</si>
  <si>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</si>
  <si>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</si>
  <si>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</si>
  <si>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</si>
  <si>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</si>
  <si>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</si>
  <si>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</si>
  <si>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</si>
  <si>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</si>
  <si>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</si>
  <si>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</si>
  <si>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</si>
  <si>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</si>
  <si>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</si>
  <si>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</si>
  <si>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</si>
  <si>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</si>
  <si>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</si>
  <si>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</si>
  <si>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</si>
  <si>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</si>
  <si>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</si>
  <si>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</si>
  <si>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</si>
  <si>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</si>
  <si>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</si>
  <si>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</si>
  <si>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</si>
  <si>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</si>
  <si>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</si>
  <si>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</si>
  <si>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</si>
  <si>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</si>
  <si>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</si>
  <si>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</si>
  <si>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</si>
  <si>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</si>
  <si>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</si>
  <si>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</si>
  <si>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</si>
  <si>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</si>
  <si>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</si>
  <si>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</si>
  <si>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</si>
  <si>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</si>
  <si>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</si>
  <si>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</si>
  <si>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</si>
  <si>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</si>
  <si>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</si>
  <si>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</si>
  <si>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</si>
  <si>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</si>
  <si>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</si>
  <si>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</si>
  <si>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</si>
  <si>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</si>
  <si>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</si>
  <si>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</si>
  <si>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</si>
  <si>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</si>
  <si>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</si>
  <si>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</si>
  <si>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</si>
  <si>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</si>
  <si>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</si>
  <si>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</si>
  <si>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</si>
  <si>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</si>
  <si>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</si>
  <si>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</si>
  <si>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</si>
  <si>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</si>
  <si>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</si>
  <si>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</si>
  <si>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</si>
  <si>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</si>
  <si>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</si>
  <si>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</si>
  <si>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</si>
  <si>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</si>
  <si>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</si>
  <si>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</si>
  <si>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</si>
  <si>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</si>
  <si>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</si>
  <si>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</si>
  <si>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</si>
  <si>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</si>
  <si>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</si>
  <si>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</si>
  <si>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</si>
  <si>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</si>
  <si>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</si>
  <si>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</si>
  <si>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</si>
  <si>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</si>
  <si>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</si>
  <si>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</si>
  <si>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</si>
  <si>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</si>
  <si>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</si>
  <si>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</si>
  <si>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</si>
  <si>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</si>
  <si>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</si>
  <si>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</si>
  <si>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</si>
  <si>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</si>
  <si>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</si>
  <si>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</si>
  <si>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</si>
  <si>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</si>
  <si>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</si>
  <si>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</si>
  <si>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</si>
  <si>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</si>
  <si>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</si>
  <si>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</si>
  <si>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</si>
  <si>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</si>
  <si>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</si>
  <si>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</si>
  <si>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</si>
  <si>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</si>
  <si>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</si>
  <si>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</si>
  <si>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</si>
  <si>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</si>
  <si>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</si>
  <si>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</si>
  <si>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</si>
  <si>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</si>
  <si>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</si>
  <si>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</si>
  <si>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</si>
  <si>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</si>
  <si>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</si>
  <si>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</si>
  <si>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</si>
  <si>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</si>
  <si>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</si>
  <si>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</si>
  <si>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</si>
  <si>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</si>
  <si>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</si>
  <si>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</si>
  <si>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</si>
  <si>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</si>
  <si>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</si>
  <si>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</si>
  <si>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</si>
  <si>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</si>
  <si>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</si>
  <si>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</si>
  <si>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</si>
  <si>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</si>
  <si>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</si>
  <si>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</si>
  <si>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</si>
  <si>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</si>
  <si>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</si>
  <si>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</si>
  <si>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</si>
  <si>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</si>
  <si>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</si>
  <si>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</si>
  <si>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</si>
  <si>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</si>
  <si>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</si>
  <si>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</si>
  <si>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</si>
  <si>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</si>
  <si>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</si>
  <si>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</si>
  <si>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</si>
  <si>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</si>
  <si>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</si>
  <si>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</si>
  <si>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</si>
  <si>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</si>
  <si>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</si>
  <si>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</si>
  <si>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</si>
  <si>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</si>
  <si>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</si>
  <si>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</si>
  <si>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</si>
  <si>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</si>
  <si>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</si>
  <si>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</si>
  <si>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</si>
  <si>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</si>
  <si>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</si>
  <si>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</si>
  <si>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</si>
  <si>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</si>
  <si>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</si>
  <si>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</si>
  <si>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</si>
  <si>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</si>
  <si>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</si>
  <si>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</si>
  <si>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</si>
  <si>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</si>
  <si>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</si>
  <si>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</si>
  <si>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</si>
  <si>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</si>
  <si>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</si>
  <si>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</si>
  <si>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</si>
  <si>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</si>
  <si>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</si>
  <si>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</si>
  <si>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</si>
  <si>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</si>
  <si>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</si>
  <si>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</si>
  <si>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</si>
  <si>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</si>
  <si>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첨단연구성과종합전시관 신축 공사</t>
    <phoneticPr fontId="2" type="noConversion"/>
  </si>
  <si>
    <t>대전시</t>
  </si>
  <si>
    <t>문화및집회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</si>
  <si>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</si>
  <si>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</si>
  <si>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</si>
  <si>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</si>
  <si>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공조배관공사,기타공사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</si>
  <si>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</si>
  <si>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</si>
  <si>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</si>
  <si>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기타공사</t>
    <phoneticPr fontId="2" type="noConversion"/>
  </si>
  <si>
    <t>펌프실배관공사,기타공사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</si>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</sst>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6121.03</v>
      </c>
      <c r="D7" s="36">
        <f>+C7/3.3058</f>
        <v>1851.6032427854072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872470</v>
      </c>
      <c r="E25" s="59">
        <f t="shared" si="0"/>
        <v>2884210</v>
      </c>
    </row>
    <row r="26" spans="1:5" x14ac:dyDescent="0.3">
      <c r="B26" s="2">
        <v>3</v>
      </c>
      <c r="C26" s="35" t="s">
        <v>95</v>
      </c>
      <c r="D26" s="45">
        <f>+D66</f>
        <v>93910</v>
      </c>
      <c r="E26" s="59">
        <f t="shared" si="0"/>
        <v>310440</v>
      </c>
    </row>
    <row r="27" spans="1:5" x14ac:dyDescent="0.3">
      <c r="B27" s="2">
        <v>4</v>
      </c>
      <c r="C27" s="35" t="s">
        <v>96</v>
      </c>
      <c r="D27" s="45">
        <f>+D95</f>
        <v>407160</v>
      </c>
      <c r="E27" s="59">
        <f t="shared" si="0"/>
        <v>1345980</v>
      </c>
    </row>
    <row r="28" spans="1:5" x14ac:dyDescent="0.3">
      <c r="B28" s="2">
        <v>5</v>
      </c>
      <c r="C28" s="35" t="s">
        <v>97</v>
      </c>
      <c r="D28" s="45">
        <f>+D119</f>
        <v>248870</v>
      </c>
      <c r="E28" s="59">
        <f t="shared" si="0"/>
        <v>822710</v>
      </c>
    </row>
    <row r="29" spans="1:5" x14ac:dyDescent="0.3">
      <c r="B29" s="2">
        <v>6</v>
      </c>
      <c r="C29" s="35" t="s">
        <v>98</v>
      </c>
      <c r="D29" s="45">
        <f>+D133</f>
        <v>52520</v>
      </c>
      <c r="E29" s="59">
        <f t="shared" si="0"/>
        <v>173620</v>
      </c>
    </row>
    <row r="30" spans="1:5" x14ac:dyDescent="0.3">
      <c r="B30" s="2">
        <v>7</v>
      </c>
      <c r="C30" s="35" t="s">
        <v>99</v>
      </c>
      <c r="D30" s="45">
        <f>+D146</f>
        <v>75970</v>
      </c>
      <c r="E30" s="59">
        <f t="shared" si="0"/>
        <v>251140</v>
      </c>
    </row>
    <row r="31" spans="1:5" x14ac:dyDescent="0.3">
      <c r="B31" s="2">
        <v>8</v>
      </c>
      <c r="C31" s="35" t="s">
        <v>100</v>
      </c>
      <c r="D31" s="45">
        <f>+D154</f>
        <v>18520</v>
      </c>
      <c r="E31" s="59">
        <f t="shared" si="0"/>
        <v>61220</v>
      </c>
    </row>
    <row r="32" spans="1:5" x14ac:dyDescent="0.3">
      <c r="B32" s="2">
        <v>9</v>
      </c>
      <c r="C32" s="35" t="s">
        <v>101</v>
      </c>
      <c r="D32" s="45">
        <f>+D161</f>
        <v>9550</v>
      </c>
      <c r="E32" s="59">
        <f t="shared" si="0"/>
        <v>31570</v>
      </c>
    </row>
    <row r="33" spans="1:7" x14ac:dyDescent="0.3">
      <c r="B33" s="2">
        <v>10</v>
      </c>
      <c r="C33" s="35" t="s">
        <v>154</v>
      </c>
      <c r="D33" s="53">
        <f>TRUNC(SUM(D24:D32)*0.275,-1)</f>
        <v>489210</v>
      </c>
      <c r="E33" s="60">
        <f t="shared" si="0"/>
        <v>1617230</v>
      </c>
    </row>
    <row r="34" spans="1:7" x14ac:dyDescent="0.3">
      <c r="C34" s="35" t="s">
        <v>112</v>
      </c>
      <c r="D34" s="44">
        <f>SUM(D24:D33)</f>
        <v>2268180</v>
      </c>
      <c r="E34" s="44">
        <f>SUM(E24:E33)</f>
        <v>7498120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238</v>
      </c>
      <c r="D39" s="57" t="s">
        <v>237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TRUNC(76247,-1)</f>
        <v>76240</v>
      </c>
      <c r="E40" s="62">
        <f t="shared" ref="E40:E59" si="1">TRUNC(+D40*3.3058,-1)</f>
        <v>252030</v>
      </c>
    </row>
    <row r="41" spans="1:7" x14ac:dyDescent="0.3">
      <c r="A41" s="2">
        <v>2</v>
      </c>
      <c r="C41" s="38" t="s">
        <v>13</v>
      </c>
      <c r="D41" s="42">
        <f>TRUNC(143888,-1)</f>
        <v>143880</v>
      </c>
      <c r="E41" s="63">
        <f t="shared" si="1"/>
        <v>475630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TRUNC(10710,-1)</f>
        <v>10710</v>
      </c>
      <c r="E43" s="63">
        <f t="shared" si="1"/>
        <v>35400</v>
      </c>
    </row>
    <row r="44" spans="1:7" x14ac:dyDescent="0.3">
      <c r="A44" s="2">
        <v>5</v>
      </c>
      <c r="C44" s="38" t="s">
        <v>17</v>
      </c>
      <c r="D44" s="42">
        <f>TRUNC(15973,-1)</f>
        <v>15970</v>
      </c>
      <c r="E44" s="63">
        <f t="shared" si="1"/>
        <v>52790</v>
      </c>
    </row>
    <row r="45" spans="1:7" x14ac:dyDescent="0.3">
      <c r="A45" s="2">
        <v>6</v>
      </c>
      <c r="C45" s="38" t="s">
        <v>18</v>
      </c>
      <c r="D45" s="42">
        <f>TRUNC(3970,-1)</f>
        <v>3970</v>
      </c>
      <c r="E45" s="63">
        <f t="shared" si="1"/>
        <v>13120</v>
      </c>
    </row>
    <row r="46" spans="1:7" x14ac:dyDescent="0.3">
      <c r="A46" s="2">
        <v>7</v>
      </c>
      <c r="C46" s="38" t="s">
        <v>19</v>
      </c>
      <c r="D46" s="42">
        <f>TRUNC(7704,-1)</f>
        <v>7700</v>
      </c>
      <c r="E46" s="63">
        <f t="shared" si="1"/>
        <v>25450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TRUNC(170385,-1)</f>
        <v>170380</v>
      </c>
      <c r="E48" s="63">
        <f t="shared" si="1"/>
        <v>563240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TRUNC(50615,-1)</f>
        <v>50610</v>
      </c>
      <c r="E49" s="63">
        <f t="shared" si="1"/>
        <v>167300</v>
      </c>
    </row>
    <row r="50" spans="1:7" x14ac:dyDescent="0.3">
      <c r="A50" s="2">
        <v>11</v>
      </c>
      <c r="C50" s="38" t="s">
        <v>155</v>
      </c>
      <c r="D50" s="42">
        <f>TRUNC(22996,-1)</f>
        <v>22990</v>
      </c>
      <c r="E50" s="63">
        <f t="shared" si="1"/>
        <v>76000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TRUNC(15283,-1)</f>
        <v>15280</v>
      </c>
      <c r="E52" s="63">
        <f t="shared" si="1"/>
        <v>50510</v>
      </c>
    </row>
    <row r="53" spans="1:7" x14ac:dyDescent="0.3">
      <c r="A53" s="2">
        <v>14</v>
      </c>
      <c r="C53" s="38" t="s">
        <v>25</v>
      </c>
      <c r="D53" s="42">
        <f>TRUNC(28794,-1)</f>
        <v>28790</v>
      </c>
      <c r="E53" s="63">
        <f t="shared" si="1"/>
        <v>95170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TRUNC(8707+3285-461+704,-1)</f>
        <v>12230</v>
      </c>
      <c r="E58" s="63">
        <f t="shared" si="1"/>
        <v>40420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TRUNC(313723,-1)</f>
        <v>313720</v>
      </c>
      <c r="E59" s="64">
        <f t="shared" si="1"/>
        <v>1037090</v>
      </c>
    </row>
    <row r="60" spans="1:7" x14ac:dyDescent="0.3">
      <c r="A60" s="2">
        <v>21</v>
      </c>
      <c r="C60" s="27" t="s">
        <v>112</v>
      </c>
      <c r="D60" s="39">
        <f>SUM(D40:D59)</f>
        <v>872470</v>
      </c>
      <c r="E60" s="39">
        <f>SUM(E40:E59)</f>
        <v>2884150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TRUNC(20444,-1)</f>
        <v>20440</v>
      </c>
      <c r="E63" s="62">
        <f>TRUNC(+D63*3.3058,-1)</f>
        <v>67570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TRUNC(73471,-1)</f>
        <v>73470</v>
      </c>
      <c r="E65" s="64">
        <f>TRUNC(+D65*3.3058,-1)</f>
        <v>242870</v>
      </c>
    </row>
    <row r="66" spans="1:7" x14ac:dyDescent="0.3">
      <c r="A66" s="2">
        <v>4</v>
      </c>
      <c r="C66" s="27" t="s">
        <v>112</v>
      </c>
      <c r="D66" s="39">
        <f>SUM(D63:D65)</f>
        <v>93910</v>
      </c>
      <c r="E66" s="65">
        <f>SUM(E63:E65)</f>
        <v>310440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TRUNC(10690,-1)</f>
        <v>10690</v>
      </c>
      <c r="E69" s="62">
        <f t="shared" ref="E69:E94" si="2">TRUNC(+D69*3.3058,-1)</f>
        <v>35330</v>
      </c>
    </row>
    <row r="70" spans="1:7" ht="16.5" customHeight="1" x14ac:dyDescent="0.3">
      <c r="A70" s="2">
        <v>2</v>
      </c>
      <c r="C70" s="38" t="s">
        <v>31</v>
      </c>
      <c r="D70" s="42">
        <f>TRUNC(1421,-1)</f>
        <v>1420</v>
      </c>
      <c r="E70" s="63">
        <f t="shared" si="2"/>
        <v>4690</v>
      </c>
    </row>
    <row r="71" spans="1:7" x14ac:dyDescent="0.3">
      <c r="A71" s="2">
        <v>3</v>
      </c>
      <c r="C71" s="38" t="s">
        <v>32</v>
      </c>
      <c r="D71" s="42">
        <f>TRUNC(34987,-1)</f>
        <v>34980</v>
      </c>
      <c r="E71" s="63">
        <f t="shared" si="2"/>
        <v>115630</v>
      </c>
    </row>
    <row r="72" spans="1:7" x14ac:dyDescent="0.3">
      <c r="A72" s="2">
        <v>4</v>
      </c>
      <c r="C72" s="38" t="s">
        <v>33</v>
      </c>
      <c r="D72" s="42">
        <f>TRUNC(4783,-1)</f>
        <v>4780</v>
      </c>
      <c r="E72" s="63">
        <f t="shared" si="2"/>
        <v>15800</v>
      </c>
    </row>
    <row r="73" spans="1:7" x14ac:dyDescent="0.3">
      <c r="A73" s="2">
        <v>5</v>
      </c>
      <c r="C73" s="38" t="s">
        <v>34</v>
      </c>
      <c r="D73" s="42">
        <f>TRUNC(3213,-1)</f>
        <v>3210</v>
      </c>
      <c r="E73" s="63">
        <f t="shared" si="2"/>
        <v>10610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TRUNC(3945,-1)</f>
        <v>3940</v>
      </c>
      <c r="E75" s="63">
        <f t="shared" si="2"/>
        <v>13020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TRUNC(2388,-1)</f>
        <v>2380</v>
      </c>
      <c r="E89" s="63">
        <f t="shared" si="2"/>
        <v>7860</v>
      </c>
    </row>
    <row r="90" spans="1:7" x14ac:dyDescent="0.3">
      <c r="A90" s="2">
        <v>22</v>
      </c>
      <c r="C90" s="38" t="s">
        <v>36</v>
      </c>
      <c r="D90" s="42">
        <f>TRUNC(4215,-1)</f>
        <v>4210</v>
      </c>
      <c r="E90" s="63">
        <f t="shared" si="2"/>
        <v>13910</v>
      </c>
    </row>
    <row r="91" spans="1:7" x14ac:dyDescent="0.3">
      <c r="A91" s="2">
        <v>23</v>
      </c>
      <c r="C91" s="38" t="s">
        <v>37</v>
      </c>
      <c r="D91" s="42">
        <f>TRUNC(90169,-1)</f>
        <v>90160</v>
      </c>
      <c r="E91" s="63">
        <f t="shared" si="2"/>
        <v>298050</v>
      </c>
    </row>
    <row r="92" spans="1:7" x14ac:dyDescent="0.3">
      <c r="A92" s="2">
        <v>24</v>
      </c>
      <c r="C92" s="38" t="s">
        <v>38</v>
      </c>
      <c r="D92" s="42">
        <f>TRUNC(3084,-1)</f>
        <v>3080</v>
      </c>
      <c r="E92" s="63">
        <f t="shared" si="2"/>
        <v>10180</v>
      </c>
    </row>
    <row r="93" spans="1:7" x14ac:dyDescent="0.3">
      <c r="A93" s="2">
        <v>25</v>
      </c>
      <c r="C93" s="38" t="s">
        <v>148</v>
      </c>
      <c r="D93" s="42">
        <f>TRUNC(191044,-1)</f>
        <v>191040</v>
      </c>
      <c r="E93" s="63">
        <f t="shared" si="2"/>
        <v>631540</v>
      </c>
    </row>
    <row r="94" spans="1:7" ht="17.25" thickBot="1" x14ac:dyDescent="0.35">
      <c r="A94" s="2">
        <v>26</v>
      </c>
      <c r="C94" s="38" t="s">
        <v>47</v>
      </c>
      <c r="D94" s="43">
        <f>TRUNC(13599+43672,-1)</f>
        <v>57270</v>
      </c>
      <c r="E94" s="64">
        <f t="shared" si="2"/>
        <v>189320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407160</v>
      </c>
      <c r="E95" s="39">
        <f>SUM(E69:E94)</f>
        <v>1345940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TRUNC(11216,-1)</f>
        <v>11210</v>
      </c>
      <c r="E98" s="62">
        <f t="shared" ref="E98:E118" si="3">TRUNC(+D98*3.3058,-1)</f>
        <v>37050</v>
      </c>
    </row>
    <row r="99" spans="1:7" x14ac:dyDescent="0.3">
      <c r="A99" s="2">
        <v>2</v>
      </c>
      <c r="C99" s="38" t="s">
        <v>40</v>
      </c>
      <c r="D99" s="42">
        <f>TRUNC(10636,-1)</f>
        <v>10630</v>
      </c>
      <c r="E99" s="63">
        <f t="shared" si="3"/>
        <v>35140</v>
      </c>
    </row>
    <row r="100" spans="1:7" x14ac:dyDescent="0.3">
      <c r="A100" s="2">
        <v>3</v>
      </c>
      <c r="C100" s="38" t="s">
        <v>41</v>
      </c>
      <c r="D100" s="42">
        <f>TRUNC(29382,-1)</f>
        <v>29380</v>
      </c>
      <c r="E100" s="63">
        <f t="shared" si="3"/>
        <v>97120</v>
      </c>
    </row>
    <row r="101" spans="1:7" x14ac:dyDescent="0.3">
      <c r="A101" s="2">
        <v>4</v>
      </c>
      <c r="C101" s="38" t="s">
        <v>42</v>
      </c>
      <c r="D101" s="42">
        <f>TRUNC(1606,-1)</f>
        <v>1600</v>
      </c>
      <c r="E101" s="63">
        <f t="shared" si="3"/>
        <v>5280</v>
      </c>
    </row>
    <row r="102" spans="1:7" x14ac:dyDescent="0.3">
      <c r="A102" s="2">
        <v>5</v>
      </c>
      <c r="C102" s="38" t="s">
        <v>43</v>
      </c>
      <c r="D102" s="42">
        <f>TRUNC(6818,-1)</f>
        <v>6810</v>
      </c>
      <c r="E102" s="63">
        <f t="shared" si="3"/>
        <v>22510</v>
      </c>
    </row>
    <row r="103" spans="1:7" x14ac:dyDescent="0.3">
      <c r="A103" s="2">
        <v>6</v>
      </c>
      <c r="C103" s="38" t="s">
        <v>44</v>
      </c>
      <c r="D103" s="42">
        <f>TRUNC(1098,-1)</f>
        <v>1090</v>
      </c>
      <c r="E103" s="63">
        <f t="shared" si="3"/>
        <v>3600</v>
      </c>
    </row>
    <row r="104" spans="1:7" x14ac:dyDescent="0.3">
      <c r="A104" s="2">
        <v>7</v>
      </c>
      <c r="C104" s="38" t="s">
        <v>45</v>
      </c>
      <c r="D104" s="42">
        <f>TRUNC(2586,-1)</f>
        <v>2580</v>
      </c>
      <c r="E104" s="63">
        <f t="shared" si="3"/>
        <v>8520</v>
      </c>
    </row>
    <row r="105" spans="1:7" x14ac:dyDescent="0.3">
      <c r="A105" s="2">
        <v>8</v>
      </c>
      <c r="C105" s="38" t="s">
        <v>46</v>
      </c>
      <c r="D105" s="42">
        <f>TRUNC(5125,-1)</f>
        <v>5120</v>
      </c>
      <c r="E105" s="63">
        <f t="shared" si="3"/>
        <v>16920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TRUNC(761,-1)</f>
        <v>760</v>
      </c>
      <c r="E114" s="63">
        <f t="shared" si="3"/>
        <v>2510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TRUNC(5954,-1)</f>
        <v>5950</v>
      </c>
      <c r="E116" s="63">
        <f t="shared" si="3"/>
        <v>19660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TRUNC(171145,-1)</f>
        <v>171140</v>
      </c>
      <c r="E117" s="63">
        <f t="shared" si="3"/>
        <v>565750</v>
      </c>
    </row>
    <row r="118" spans="1:7" ht="17.25" thickBot="1" x14ac:dyDescent="0.35">
      <c r="A118" s="2">
        <v>21</v>
      </c>
      <c r="C118" s="38" t="s">
        <v>47</v>
      </c>
      <c r="D118" s="43">
        <f>TRUNC(2600,-1)</f>
        <v>2600</v>
      </c>
      <c r="E118" s="64">
        <f t="shared" si="3"/>
        <v>8590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248870</v>
      </c>
      <c r="E119" s="39">
        <f>SUM(E98:E118)</f>
        <v>822650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TRUNC(1756,-1)</f>
        <v>1750</v>
      </c>
      <c r="E122" s="62">
        <f t="shared" ref="E122:E132" si="4">TRUNC(+D122*3.3058,-1)</f>
        <v>5780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TRUNC(4929,-1)</f>
        <v>4920</v>
      </c>
      <c r="E125" s="63">
        <f t="shared" si="4"/>
        <v>16260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TRUNC(286,-1)</f>
        <v>280</v>
      </c>
      <c r="E127" s="63">
        <f t="shared" si="4"/>
        <v>920</v>
      </c>
    </row>
    <row r="128" spans="1:7" x14ac:dyDescent="0.3">
      <c r="A128" s="2">
        <v>7</v>
      </c>
      <c r="C128" s="38" t="s">
        <v>46</v>
      </c>
      <c r="D128" s="42">
        <f>TRUNC(1580,-1)</f>
        <v>1580</v>
      </c>
      <c r="E128" s="63">
        <f t="shared" si="4"/>
        <v>5220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TRUNC(23602,-1)</f>
        <v>23600</v>
      </c>
      <c r="E130" s="63">
        <f t="shared" si="4"/>
        <v>78010</v>
      </c>
    </row>
    <row r="131" spans="1:7" x14ac:dyDescent="0.3">
      <c r="A131" s="2">
        <v>10</v>
      </c>
      <c r="C131" s="38" t="s">
        <v>148</v>
      </c>
      <c r="D131" s="42">
        <f>TRUNC(20072,-1)</f>
        <v>20070</v>
      </c>
      <c r="E131" s="63">
        <f t="shared" si="4"/>
        <v>66340</v>
      </c>
    </row>
    <row r="132" spans="1:7" ht="18" thickBot="1" x14ac:dyDescent="0.35">
      <c r="A132" s="2">
        <v>11</v>
      </c>
      <c r="C132" s="38" t="s">
        <v>47</v>
      </c>
      <c r="D132" s="43">
        <f>TRUNC(320,-1)</f>
        <v>320</v>
      </c>
      <c r="E132" s="64">
        <f t="shared" si="4"/>
        <v>1050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52520</v>
      </c>
      <c r="E133" s="39">
        <f>SUM(E122:E132)</f>
        <v>173580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TRUNC(2571+276,-1)</f>
        <v>2840</v>
      </c>
      <c r="E137" s="63">
        <f t="shared" si="5"/>
        <v>9380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TRUNC(5995,-1)</f>
        <v>5990</v>
      </c>
      <c r="E139" s="63">
        <f t="shared" si="5"/>
        <v>19800</v>
      </c>
    </row>
    <row r="140" spans="1:7" x14ac:dyDescent="0.3">
      <c r="A140" s="2">
        <v>5</v>
      </c>
      <c r="C140" s="38" t="s">
        <v>57</v>
      </c>
      <c r="D140" s="42">
        <f>TRUNC(3212,-1)</f>
        <v>3210</v>
      </c>
      <c r="E140" s="63">
        <f t="shared" si="5"/>
        <v>10610</v>
      </c>
    </row>
    <row r="141" spans="1:7" x14ac:dyDescent="0.3">
      <c r="A141" s="2">
        <v>6</v>
      </c>
      <c r="C141" s="38" t="s">
        <v>59</v>
      </c>
      <c r="D141" s="42">
        <f>TRUNC(34152,-1)</f>
        <v>34150</v>
      </c>
      <c r="E141" s="63">
        <f t="shared" si="5"/>
        <v>112890</v>
      </c>
    </row>
    <row r="142" spans="1:7" x14ac:dyDescent="0.3">
      <c r="A142" s="2">
        <v>7</v>
      </c>
      <c r="C142" s="38" t="s">
        <v>58</v>
      </c>
      <c r="D142" s="42">
        <f>TRUNC(6184,-1)</f>
        <v>6180</v>
      </c>
      <c r="E142" s="63">
        <f t="shared" si="5"/>
        <v>20420</v>
      </c>
    </row>
    <row r="143" spans="1:7" x14ac:dyDescent="0.3">
      <c r="A143" s="2">
        <v>8</v>
      </c>
      <c r="C143" s="38" t="s">
        <v>62</v>
      </c>
      <c r="D143" s="42">
        <f>TRUNC(3862,-1)</f>
        <v>3860</v>
      </c>
      <c r="E143" s="63">
        <f t="shared" si="5"/>
        <v>12760</v>
      </c>
    </row>
    <row r="144" spans="1:7" x14ac:dyDescent="0.3">
      <c r="A144" s="2">
        <v>9</v>
      </c>
      <c r="C144" s="38" t="s">
        <v>63</v>
      </c>
      <c r="D144" s="42">
        <f>TRUNC(19748,-1)</f>
        <v>19740</v>
      </c>
      <c r="E144" s="63">
        <f t="shared" si="5"/>
        <v>65250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75970</v>
      </c>
      <c r="E146" s="39">
        <f>SUM(E136:E145)</f>
        <v>251110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TRUNC(2006+578,-1)</f>
        <v>2580</v>
      </c>
      <c r="E149" s="62">
        <f>TRUNC(+D149*3.3058,-1)</f>
        <v>8520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TRUNC(2587,-1)</f>
        <v>2580</v>
      </c>
      <c r="E150" s="63">
        <f>TRUNC(+D150*3.3058,-1)</f>
        <v>8520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TRUNC(5161+268+858,-1)</f>
        <v>6280</v>
      </c>
      <c r="E152" s="63">
        <f>TRUNC(+D152*3.3058,-1)</f>
        <v>20760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TRUNC(7088,-1)</f>
        <v>7080</v>
      </c>
      <c r="E153" s="64">
        <f>TRUNC(+D153*3.3058,-1)</f>
        <v>23400</v>
      </c>
    </row>
    <row r="154" spans="1:7" x14ac:dyDescent="0.3">
      <c r="A154" s="2">
        <v>6</v>
      </c>
      <c r="C154" s="27" t="s">
        <v>112</v>
      </c>
      <c r="D154" s="39">
        <f>SUM(D149:D153)</f>
        <v>18520</v>
      </c>
      <c r="E154" s="39">
        <f>SUM(E149:E153)</f>
        <v>61200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TRUNC(4022,-1)</f>
        <v>4020</v>
      </c>
      <c r="E157" s="62">
        <f>TRUNC(+D157*3.3058,-1)</f>
        <v>13280</v>
      </c>
    </row>
    <row r="158" spans="1:7" x14ac:dyDescent="0.3">
      <c r="A158" s="2">
        <v>2</v>
      </c>
      <c r="C158" s="38" t="s">
        <v>52</v>
      </c>
      <c r="D158" s="42">
        <f>TRUNC(606,-1)</f>
        <v>600</v>
      </c>
      <c r="E158" s="63">
        <f>TRUNC(+D158*3.3058,-1)</f>
        <v>1980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TRUNC(4746+184,-1)</f>
        <v>4930</v>
      </c>
      <c r="E159" s="63">
        <f>TRUNC(+D159*3.3058,-1)</f>
        <v>16290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9550</v>
      </c>
      <c r="E161" s="39">
        <f>SUM(E157:E160)</f>
        <v>31550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2020-12-08T01:41:10Z</dcterms:modified>
</cp:coreProperties>
</file>