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8" i="4"/>
  <c r="D157" i="4"/>
  <c r="D153" i="4"/>
  <c r="D152" i="4"/>
  <c r="D150" i="4"/>
  <c r="D149" i="4"/>
  <c r="D144" i="4"/>
  <c r="D143" i="4"/>
  <c r="D142" i="4"/>
  <c r="D141" i="4"/>
  <c r="D140" i="4"/>
  <c r="D139" i="4"/>
  <c r="D132" i="4"/>
  <c r="D131" i="4"/>
  <c r="D130" i="4"/>
  <c r="D128" i="4"/>
  <c r="D127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1" i="4"/>
  <c r="D100" i="4"/>
  <c r="D99" i="4"/>
  <c r="D98" i="4"/>
  <c r="D93" i="4"/>
  <c r="D92" i="4"/>
  <c r="D91" i="4"/>
  <c r="D89" i="4"/>
  <c r="D73" i="4"/>
  <c r="D72" i="4"/>
  <c r="D71" i="4"/>
  <c r="D70" i="4"/>
  <c r="D69" i="4"/>
  <c r="D63" i="4"/>
  <c r="D59" i="4"/>
  <c r="D58" i="4"/>
  <c r="D53" i="4"/>
  <c r="D52" i="4"/>
  <c r="D50" i="4"/>
  <c r="D48" i="4"/>
  <c r="D46" i="4"/>
  <c r="D45" i="4"/>
  <c r="D44" i="4"/>
  <c r="D43" i="4"/>
  <c r="D41" i="4"/>
  <c r="D40" i="4"/>
  <c r="D137" i="4"/>
  <c r="D94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<sst xmlns="http://schemas.openxmlformats.org/spreadsheetml/2006/main" count="394" uniqueCount="268">
  <si>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</si>
  <si>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</si>
  <si>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</si>
  <si>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</si>
  <si>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</si>
  <si>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</si>
  <si>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</si>
  <si>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</si>
  <si>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</si>
  <si>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</si>
  <si>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</si>
  <si>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</si>
  <si>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</si>
  <si>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</si>
  <si>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</si>
  <si>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</si>
  <si>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</si>
  <si>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</si>
  <si>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</si>
  <si>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</si>
  <si>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</si>
  <si>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</si>
  <si>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</si>
  <si>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</si>
  <si>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</si>
  <si>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</si>
  <si>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</si>
  <si>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</si>
  <si>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</si>
  <si>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</si>
  <si>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</si>
  <si>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</si>
  <si>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</si>
  <si>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</si>
  <si>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</si>
  <si>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</si>
  <si>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</si>
  <si>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</si>
  <si>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</si>
  <si>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</si>
  <si>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</si>
  <si>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</si>
  <si>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</si>
  <si>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</si>
  <si>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</si>
  <si>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</si>
  <si>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</si>
  <si>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</si>
  <si>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</si>
  <si>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</si>
  <si>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</si>
  <si>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</si>
  <si>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</si>
  <si>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</si>
  <si>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</si>
  <si>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</si>
  <si>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</si>
  <si>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</si>
  <si>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</si>
  <si>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</si>
  <si>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</si>
  <si>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</si>
  <si>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</si>
  <si>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</si>
  <si>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</si>
  <si>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</si>
  <si>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</si>
  <si>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</si>
  <si>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</si>
  <si>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</si>
  <si>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</si>
  <si>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</si>
  <si>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</si>
  <si>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</si>
  <si>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</si>
  <si>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</si>
  <si>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</si>
  <si>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</si>
  <si>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</si>
  <si>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</si>
  <si>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</si>
  <si>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</si>
  <si>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</si>
  <si>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</si>
  <si>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</si>
  <si>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</si>
  <si>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</si>
  <si>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</si>
  <si>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</si>
  <si>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</si>
  <si>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</si>
  <si>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</si>
  <si>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</si>
  <si>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</si>
  <si>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</si>
  <si>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</si>
  <si>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</si>
  <si>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</si>
  <si>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</si>
  <si>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</si>
  <si>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</si>
  <si>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</si>
  <si>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</si>
  <si>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</si>
  <si>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</si>
  <si>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</si>
  <si>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</si>
  <si>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</si>
  <si>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</si>
  <si>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</si>
  <si>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</si>
  <si>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</si>
  <si>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</si>
  <si>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</si>
  <si>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</si>
  <si>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</si>
  <si>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</si>
  <si>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</si>
  <si>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</si>
  <si>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</si>
  <si>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</si>
  <si>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</si>
  <si>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</si>
  <si>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</si>
  <si>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</si>
  <si>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</si>
  <si>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</si>
  <si>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</si>
  <si>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</si>
  <si>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</si>
  <si>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</si>
  <si>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</si>
  <si>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</si>
  <si>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</si>
  <si>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</si>
  <si>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</si>
  <si>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</si>
  <si>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</si>
  <si>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</si>
  <si>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</si>
  <si>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</si>
  <si>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</si>
  <si>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</si>
  <si>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</si>
  <si>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</si>
  <si>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</si>
  <si>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</si>
  <si>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</si>
  <si>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</si>
  <si>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</si>
  <si>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</si>
  <si>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</si>
  <si>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</si>
  <si>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</si>
  <si>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</si>
  <si>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</si>
  <si>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</si>
  <si>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</si>
  <si>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</si>
  <si>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</si>
  <si>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</si>
  <si>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</si>
  <si>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</si>
  <si>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</si>
  <si>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</si>
  <si>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</si>
  <si>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</si>
  <si>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</si>
  <si>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</si>
  <si>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</si>
  <si>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</si>
  <si>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</si>
  <si>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</si>
  <si>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</si>
  <si>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</si>
  <si>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</si>
  <si>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</si>
  <si>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</si>
  <si>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</si>
  <si>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</si>
  <si>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</si>
  <si>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</si>
  <si>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</si>
  <si>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</si>
  <si>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</si>
  <si>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</si>
  <si>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</si>
  <si>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</si>
  <si>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</si>
  <si>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</si>
  <si>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</si>
  <si>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</si>
  <si>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</si>
  <si>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</si>
  <si>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</si>
  <si>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</si>
  <si>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</si>
  <si>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</si>
  <si>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</si>
  <si>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</si>
  <si>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</si>
  <si>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</si>
  <si>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</si>
  <si>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</si>
  <si>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</si>
  <si>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</si>
  <si>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</si>
  <si>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</si>
  <si>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</si>
  <si>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</si>
  <si>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</si>
  <si>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</si>
  <si>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</si>
  <si>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</si>
  <si>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</si>
  <si>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</si>
  <si>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</si>
  <si>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</si>
  <si>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</si>
  <si>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</si>
  <si>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</si>
  <si>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</si>
  <si>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</si>
  <si>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</si>
  <si>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</si>
  <si>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</si>
  <si>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</si>
  <si>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</si>
  <si>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</si>
  <si>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</si>
  <si>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</si>
  <si>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</si>
  <si>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</si>
  <si>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</si>
  <si>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</si>
  <si>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</si>
  <si>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</si>
  <si>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</si>
  <si>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</si>
  <si>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</si>
  <si>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</si>
  <si>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</si>
  <si>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</si>
  <si>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</si>
  <si>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</si>
  <si>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</si>
  <si>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</si>
  <si>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</si>
  <si>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</si>
  <si>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</si>
  <si>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</si>
  <si>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</si>
  <si>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 골재비및운반비, 작업부산물, 품질시험비,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</si>
  <si>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</si>
  <si>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</si>
  <si>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</si>
  <si>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</si>
  <si>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업무</t>
  </si>
  <si>
    <t>세종남부경찰서 건축공사</t>
    <phoneticPr fontId="2" type="noConversion"/>
  </si>
  <si>
    <t>세종시</t>
  </si>
  <si>
    <t>난방배관공사,우수처리시설공사, 바닥난방공사, 기타공사</t>
    <phoneticPr fontId="2" type="noConversion"/>
  </si>
  <si>
    <t>원격검침 설비공사, 기타공사</t>
    <phoneticPr fontId="2" type="noConversion"/>
  </si>
  <si>
    <t>CCTV설비공사, 주차관제설비공사, 기타공사</t>
    <phoneticPr fontId="2" type="noConversion"/>
  </si>
  <si>
    <t>옥외소화배관공사, 기타공사</t>
    <phoneticPr fontId="2" type="noConversion"/>
  </si>
  <si>
    <t>상수도공사, 사급자재비,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</si>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</sst>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9509.4</v>
      </c>
      <c r="D7" s="36">
        <f>+C7/3.3058</f>
        <v>2876.5805553875007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887820</v>
      </c>
      <c r="E25" s="59">
        <f t="shared" si="0"/>
        <v>2934950</v>
      </c>
    </row>
    <row r="26" spans="1:5" x14ac:dyDescent="0.3">
      <c r="B26" s="2">
        <v>3</v>
      </c>
      <c r="C26" s="35" t="s">
        <v>95</v>
      </c>
      <c r="D26" s="45">
        <f>+D66</f>
        <v>13750</v>
      </c>
      <c r="E26" s="59">
        <f t="shared" si="0"/>
        <v>45450</v>
      </c>
    </row>
    <row r="27" spans="1:5" x14ac:dyDescent="0.3">
      <c r="B27" s="2">
        <v>4</v>
      </c>
      <c r="C27" s="35" t="s">
        <v>96</v>
      </c>
      <c r="D27" s="45">
        <f>+D95</f>
        <v>293910</v>
      </c>
      <c r="E27" s="59">
        <f t="shared" si="0"/>
        <v>971600</v>
      </c>
    </row>
    <row r="28" spans="1:5" x14ac:dyDescent="0.3">
      <c r="B28" s="2">
        <v>5</v>
      </c>
      <c r="C28" s="35" t="s">
        <v>97</v>
      </c>
      <c r="D28" s="45">
        <f>+D119</f>
        <v>212750</v>
      </c>
      <c r="E28" s="59">
        <f t="shared" si="0"/>
        <v>703300</v>
      </c>
    </row>
    <row r="29" spans="1:5" x14ac:dyDescent="0.3">
      <c r="B29" s="2">
        <v>6</v>
      </c>
      <c r="C29" s="35" t="s">
        <v>98</v>
      </c>
      <c r="D29" s="45">
        <f>+D133</f>
        <v>170060</v>
      </c>
      <c r="E29" s="59">
        <f t="shared" si="0"/>
        <v>562180</v>
      </c>
    </row>
    <row r="30" spans="1:5" x14ac:dyDescent="0.3">
      <c r="B30" s="2">
        <v>7</v>
      </c>
      <c r="C30" s="35" t="s">
        <v>99</v>
      </c>
      <c r="D30" s="45">
        <f>+D146</f>
        <v>49010</v>
      </c>
      <c r="E30" s="59">
        <f t="shared" si="0"/>
        <v>162010</v>
      </c>
    </row>
    <row r="31" spans="1:5" x14ac:dyDescent="0.3">
      <c r="B31" s="2">
        <v>8</v>
      </c>
      <c r="C31" s="35" t="s">
        <v>100</v>
      </c>
      <c r="D31" s="45">
        <f>+D154</f>
        <v>45680</v>
      </c>
      <c r="E31" s="59">
        <f t="shared" si="0"/>
        <v>151000</v>
      </c>
    </row>
    <row r="32" spans="1:5" x14ac:dyDescent="0.3">
      <c r="B32" s="2">
        <v>9</v>
      </c>
      <c r="C32" s="35" t="s">
        <v>101</v>
      </c>
      <c r="D32" s="45">
        <f>+D161</f>
        <v>62000</v>
      </c>
      <c r="E32" s="59">
        <f t="shared" si="0"/>
        <v>204950</v>
      </c>
    </row>
    <row r="33" spans="1:7" x14ac:dyDescent="0.3">
      <c r="B33" s="2">
        <v>10</v>
      </c>
      <c r="C33" s="35" t="s">
        <v>155</v>
      </c>
      <c r="D33" s="53">
        <f>TRUNC(SUM(D24:D32)*0.275,-1)</f>
        <v>477110</v>
      </c>
      <c r="E33" s="60">
        <f t="shared" si="0"/>
        <v>1577230</v>
      </c>
    </row>
    <row r="34" spans="1:7" x14ac:dyDescent="0.3">
      <c r="C34" s="35" t="s">
        <v>112</v>
      </c>
      <c r="D34" s="44">
        <f>SUM(D24:D33)</f>
        <v>2212090</v>
      </c>
      <c r="E34" s="44">
        <f>SUM(E24:E33)</f>
        <v>7312670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TRUNC(48877,-1)</f>
        <v>48870</v>
      </c>
      <c r="E40" s="62">
        <f t="shared" ref="E40:E59" si="1">TRUNC(+D40*3.3058,-1)</f>
        <v>161550</v>
      </c>
    </row>
    <row r="41" spans="1:7" x14ac:dyDescent="0.3">
      <c r="A41" s="2">
        <v>2</v>
      </c>
      <c r="C41" s="38" t="s">
        <v>13</v>
      </c>
      <c r="D41" s="42">
        <f>TRUNC(129941,-1)</f>
        <v>129940</v>
      </c>
      <c r="E41" s="63">
        <f t="shared" si="1"/>
        <v>429550</v>
      </c>
    </row>
    <row r="42" spans="1:7" x14ac:dyDescent="0.3">
      <c r="A42" s="2">
        <v>3</v>
      </c>
      <c r="C42" s="38" t="s">
        <v>14</v>
      </c>
      <c r="D42" s="42">
        <v>1350</v>
      </c>
      <c r="E42" s="63">
        <f t="shared" si="1"/>
        <v>4460</v>
      </c>
    </row>
    <row r="43" spans="1:7" x14ac:dyDescent="0.3">
      <c r="A43" s="2">
        <v>4</v>
      </c>
      <c r="C43" s="38" t="s">
        <v>16</v>
      </c>
      <c r="D43" s="42">
        <f>TRUNC(13895,-1)</f>
        <v>13890</v>
      </c>
      <c r="E43" s="63">
        <f t="shared" si="1"/>
        <v>45910</v>
      </c>
    </row>
    <row r="44" spans="1:7" x14ac:dyDescent="0.3">
      <c r="A44" s="2">
        <v>5</v>
      </c>
      <c r="C44" s="38" t="s">
        <v>17</v>
      </c>
      <c r="D44" s="42">
        <f>TRUNC(24863,-1)</f>
        <v>24860</v>
      </c>
      <c r="E44" s="63">
        <f t="shared" si="1"/>
        <v>82180</v>
      </c>
    </row>
    <row r="45" spans="1:7" x14ac:dyDescent="0.3">
      <c r="A45" s="2">
        <v>6</v>
      </c>
      <c r="C45" s="38" t="s">
        <v>18</v>
      </c>
      <c r="D45" s="42">
        <f>TRUNC(10076,-1)</f>
        <v>10070</v>
      </c>
      <c r="E45" s="63">
        <f t="shared" si="1"/>
        <v>33280</v>
      </c>
    </row>
    <row r="46" spans="1:7" x14ac:dyDescent="0.3">
      <c r="A46" s="2">
        <v>7</v>
      </c>
      <c r="C46" s="38" t="s">
        <v>19</v>
      </c>
      <c r="D46" s="42">
        <f>TRUNC(66802,-1)</f>
        <v>66800</v>
      </c>
      <c r="E46" s="63">
        <f t="shared" si="1"/>
        <v>220820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TRUNC(34348,-1)</f>
        <v>34340</v>
      </c>
      <c r="E48" s="63">
        <f t="shared" si="1"/>
        <v>113520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v>11950</v>
      </c>
      <c r="E49" s="63">
        <f t="shared" si="1"/>
        <v>39500</v>
      </c>
    </row>
    <row r="50" spans="1:7" x14ac:dyDescent="0.3">
      <c r="A50" s="2">
        <v>11</v>
      </c>
      <c r="C50" s="38" t="s">
        <v>156</v>
      </c>
      <c r="D50" s="42">
        <f>TRUNC(53687,-1)</f>
        <v>53680</v>
      </c>
      <c r="E50" s="63">
        <f t="shared" si="1"/>
        <v>177450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TRUNC(16095,-1)</f>
        <v>16090</v>
      </c>
      <c r="E52" s="63">
        <f t="shared" si="1"/>
        <v>53190</v>
      </c>
    </row>
    <row r="53" spans="1:7" x14ac:dyDescent="0.3">
      <c r="A53" s="2">
        <v>14</v>
      </c>
      <c r="C53" s="38" t="s">
        <v>25</v>
      </c>
      <c r="D53" s="42">
        <f>TRUNC(140555,-1)</f>
        <v>140550</v>
      </c>
      <c r="E53" s="63">
        <f t="shared" si="1"/>
        <v>464630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TRUNC(18590+5024-1089+324+10197,-1)</f>
        <v>33040</v>
      </c>
      <c r="E58" s="63">
        <f t="shared" si="1"/>
        <v>109220</v>
      </c>
      <c r="F58" s="2" t="s">
        <v>252</v>
      </c>
    </row>
    <row r="59" spans="1:7" ht="17.25" thickBot="1" x14ac:dyDescent="0.35">
      <c r="A59" s="2">
        <v>20</v>
      </c>
      <c r="C59" s="38" t="s">
        <v>149</v>
      </c>
      <c r="D59" s="43">
        <f>TRUNC(302397,-1)</f>
        <v>302390</v>
      </c>
      <c r="E59" s="64">
        <f t="shared" si="1"/>
        <v>999640</v>
      </c>
    </row>
    <row r="60" spans="1:7" x14ac:dyDescent="0.3">
      <c r="A60" s="2">
        <v>21</v>
      </c>
      <c r="C60" s="27" t="s">
        <v>112</v>
      </c>
      <c r="D60" s="39">
        <f>SUM(D40:D59)</f>
        <v>887820</v>
      </c>
      <c r="E60" s="39">
        <f>SUM(E40:E59)</f>
        <v>2934900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TRUNC(13754,-1)</f>
        <v>13750</v>
      </c>
      <c r="E63" s="62">
        <f>TRUNC(+D63*3.3058,-1)</f>
        <v>45450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13750</v>
      </c>
      <c r="E66" s="65">
        <f>SUM(E63:E65)</f>
        <v>45450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TRUNC(3288,-1)</f>
        <v>3280</v>
      </c>
      <c r="E69" s="62">
        <f t="shared" ref="E69:E94" si="2">TRUNC(+D69*3.3058,-1)</f>
        <v>10840</v>
      </c>
    </row>
    <row r="70" spans="1:7" ht="16.5" customHeight="1" x14ac:dyDescent="0.3">
      <c r="A70" s="2">
        <v>2</v>
      </c>
      <c r="C70" s="38" t="s">
        <v>31</v>
      </c>
      <c r="D70" s="42">
        <f>TRUNC(658,-1)</f>
        <v>650</v>
      </c>
      <c r="E70" s="63">
        <f t="shared" si="2"/>
        <v>2140</v>
      </c>
    </row>
    <row r="71" spans="1:7" x14ac:dyDescent="0.3">
      <c r="A71" s="2">
        <v>3</v>
      </c>
      <c r="C71" s="38" t="s">
        <v>32</v>
      </c>
      <c r="D71" s="42">
        <f>TRUNC(1837,-1)</f>
        <v>1830</v>
      </c>
      <c r="E71" s="63">
        <f t="shared" si="2"/>
        <v>6040</v>
      </c>
    </row>
    <row r="72" spans="1:7" x14ac:dyDescent="0.3">
      <c r="A72" s="2">
        <v>4</v>
      </c>
      <c r="C72" s="38" t="s">
        <v>33</v>
      </c>
      <c r="D72" s="42">
        <f>TRUNC(2142,-1)</f>
        <v>2140</v>
      </c>
      <c r="E72" s="63">
        <f t="shared" si="2"/>
        <v>7070</v>
      </c>
    </row>
    <row r="73" spans="1:7" x14ac:dyDescent="0.3">
      <c r="A73" s="2">
        <v>5</v>
      </c>
      <c r="C73" s="38" t="s">
        <v>34</v>
      </c>
      <c r="D73" s="42">
        <f>TRUNC(8593,-1)</f>
        <v>8590</v>
      </c>
      <c r="E73" s="63">
        <f t="shared" si="2"/>
        <v>28390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TRUNC(6129,-1)</f>
        <v>6120</v>
      </c>
      <c r="E89" s="63">
        <f t="shared" si="2"/>
        <v>20230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TRUNC(11885,-1)</f>
        <v>11880</v>
      </c>
      <c r="E91" s="63">
        <f t="shared" si="2"/>
        <v>39270</v>
      </c>
    </row>
    <row r="92" spans="1:7" x14ac:dyDescent="0.3">
      <c r="A92" s="2">
        <v>24</v>
      </c>
      <c r="C92" s="38" t="s">
        <v>38</v>
      </c>
      <c r="D92" s="42">
        <f>TRUNC(5037,-1)</f>
        <v>5030</v>
      </c>
      <c r="E92" s="63">
        <f t="shared" si="2"/>
        <v>16620</v>
      </c>
    </row>
    <row r="93" spans="1:7" x14ac:dyDescent="0.3">
      <c r="A93" s="2">
        <v>25</v>
      </c>
      <c r="C93" s="38" t="s">
        <v>149</v>
      </c>
      <c r="D93" s="42">
        <f>TRUNC(223618,-1)</f>
        <v>223610</v>
      </c>
      <c r="E93" s="63">
        <f t="shared" si="2"/>
        <v>739200</v>
      </c>
    </row>
    <row r="94" spans="1:7" ht="17.25" thickBot="1" x14ac:dyDescent="0.35">
      <c r="A94" s="2">
        <v>26</v>
      </c>
      <c r="C94" s="38" t="s">
        <v>47</v>
      </c>
      <c r="D94" s="43">
        <f>332+11743+1465+17240</f>
        <v>30780</v>
      </c>
      <c r="E94" s="64">
        <f t="shared" si="2"/>
        <v>101750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293910</v>
      </c>
      <c r="E95" s="39">
        <f>SUM(E69:E94)</f>
        <v>971550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TRUNC(16041,-1)</f>
        <v>16040</v>
      </c>
      <c r="E98" s="62">
        <f t="shared" ref="E98:E118" si="3">TRUNC(+D98*3.3058,-1)</f>
        <v>53020</v>
      </c>
    </row>
    <row r="99" spans="1:7" x14ac:dyDescent="0.3">
      <c r="A99" s="2">
        <v>2</v>
      </c>
      <c r="C99" s="38" t="s">
        <v>40</v>
      </c>
      <c r="D99" s="42">
        <f>TRUNC(5926,-1)</f>
        <v>5920</v>
      </c>
      <c r="E99" s="63">
        <f t="shared" si="3"/>
        <v>19570</v>
      </c>
    </row>
    <row r="100" spans="1:7" x14ac:dyDescent="0.3">
      <c r="A100" s="2">
        <v>3</v>
      </c>
      <c r="C100" s="38" t="s">
        <v>41</v>
      </c>
      <c r="D100" s="42">
        <f>TRUNC(42462,-1)</f>
        <v>42460</v>
      </c>
      <c r="E100" s="63">
        <f t="shared" si="3"/>
        <v>140360</v>
      </c>
    </row>
    <row r="101" spans="1:7" x14ac:dyDescent="0.3">
      <c r="A101" s="2">
        <v>4</v>
      </c>
      <c r="C101" s="38" t="s">
        <v>42</v>
      </c>
      <c r="D101" s="42">
        <f>TRUNC(5082,-1)</f>
        <v>5080</v>
      </c>
      <c r="E101" s="63">
        <f t="shared" si="3"/>
        <v>16790</v>
      </c>
    </row>
    <row r="102" spans="1:7" x14ac:dyDescent="0.3">
      <c r="A102" s="2">
        <v>5</v>
      </c>
      <c r="C102" s="38" t="s">
        <v>43</v>
      </c>
      <c r="D102" s="42">
        <f>TRUNC(29545,-1)</f>
        <v>29540</v>
      </c>
      <c r="E102" s="63">
        <f t="shared" si="3"/>
        <v>97650</v>
      </c>
    </row>
    <row r="103" spans="1:7" x14ac:dyDescent="0.3">
      <c r="A103" s="2">
        <v>6</v>
      </c>
      <c r="C103" s="38" t="s">
        <v>44</v>
      </c>
      <c r="D103" s="42">
        <f>TRUNC(12843,-1)</f>
        <v>12840</v>
      </c>
      <c r="E103" s="63">
        <f t="shared" si="3"/>
        <v>42440</v>
      </c>
    </row>
    <row r="104" spans="1:7" x14ac:dyDescent="0.3">
      <c r="A104" s="2">
        <v>7</v>
      </c>
      <c r="C104" s="38" t="s">
        <v>45</v>
      </c>
      <c r="D104" s="42">
        <f>TRUNC(5206,-1)</f>
        <v>5200</v>
      </c>
      <c r="E104" s="63">
        <f t="shared" si="3"/>
        <v>17190</v>
      </c>
    </row>
    <row r="105" spans="1:7" x14ac:dyDescent="0.3">
      <c r="A105" s="2">
        <v>8</v>
      </c>
      <c r="C105" s="38" t="s">
        <v>46</v>
      </c>
      <c r="D105" s="42">
        <f>TRUNC(5226,-1)</f>
        <v>5220</v>
      </c>
      <c r="E105" s="63">
        <f t="shared" si="3"/>
        <v>17250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TRUNC(4334,-1)</f>
        <v>4330</v>
      </c>
      <c r="E114" s="63">
        <f t="shared" si="3"/>
        <v>14310</v>
      </c>
      <c r="F114" s="2" t="s">
        <v>253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TRUNC(7865,-1)</f>
        <v>7860</v>
      </c>
      <c r="E116" s="63">
        <f t="shared" si="3"/>
        <v>25980</v>
      </c>
      <c r="F116" s="2" t="s">
        <v>254</v>
      </c>
    </row>
    <row r="117" spans="1:7" x14ac:dyDescent="0.3">
      <c r="A117" s="2">
        <v>20</v>
      </c>
      <c r="C117" s="38" t="s">
        <v>149</v>
      </c>
      <c r="D117" s="42">
        <f>TRUNC(73639,-1)</f>
        <v>73630</v>
      </c>
      <c r="E117" s="63">
        <f t="shared" si="3"/>
        <v>243400</v>
      </c>
    </row>
    <row r="118" spans="1:7" ht="17.25" thickBot="1" x14ac:dyDescent="0.35">
      <c r="A118" s="2">
        <v>21</v>
      </c>
      <c r="C118" s="38" t="s">
        <v>47</v>
      </c>
      <c r="D118" s="43">
        <f>TRUNC(1422+3211,-1)</f>
        <v>4630</v>
      </c>
      <c r="E118" s="64">
        <f t="shared" si="3"/>
        <v>15300</v>
      </c>
      <c r="F118" s="2" t="s">
        <v>261</v>
      </c>
    </row>
    <row r="119" spans="1:7" x14ac:dyDescent="0.3">
      <c r="A119" s="2">
        <v>22</v>
      </c>
      <c r="C119" s="27" t="s">
        <v>112</v>
      </c>
      <c r="D119" s="39">
        <f>SUM(D98:D118)</f>
        <v>212750</v>
      </c>
      <c r="E119" s="39">
        <f>SUM(E98:E118)</f>
        <v>703260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TRUNC(5528,-1)</f>
        <v>5520</v>
      </c>
      <c r="E122" s="62">
        <f t="shared" ref="E122:E132" si="4">TRUNC(+D122*3.3058,-1)</f>
        <v>18240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TRUNC(2156,-1)</f>
        <v>2150</v>
      </c>
      <c r="E124" s="63">
        <f t="shared" si="4"/>
        <v>7100</v>
      </c>
    </row>
    <row r="125" spans="1:7" x14ac:dyDescent="0.3">
      <c r="A125" s="2">
        <v>4</v>
      </c>
      <c r="C125" s="38" t="s">
        <v>138</v>
      </c>
      <c r="D125" s="42">
        <f>TRUNC(11053,-1)</f>
        <v>11050</v>
      </c>
      <c r="E125" s="63">
        <f t="shared" si="4"/>
        <v>36520</v>
      </c>
    </row>
    <row r="126" spans="1:7" x14ac:dyDescent="0.3">
      <c r="A126" s="2">
        <v>5</v>
      </c>
      <c r="C126" s="38" t="s">
        <v>53</v>
      </c>
      <c r="D126" s="42">
        <f>TRUNC(986,-1)</f>
        <v>980</v>
      </c>
      <c r="E126" s="63">
        <f t="shared" si="4"/>
        <v>3230</v>
      </c>
    </row>
    <row r="127" spans="1:7" x14ac:dyDescent="0.3">
      <c r="A127" s="2">
        <v>6</v>
      </c>
      <c r="C127" s="38" t="s">
        <v>56</v>
      </c>
      <c r="D127" s="42">
        <f>TRUNC(9377,-1)</f>
        <v>9370</v>
      </c>
      <c r="E127" s="63">
        <f t="shared" si="4"/>
        <v>30970</v>
      </c>
    </row>
    <row r="128" spans="1:7" x14ac:dyDescent="0.3">
      <c r="A128" s="2">
        <v>7</v>
      </c>
      <c r="C128" s="38" t="s">
        <v>46</v>
      </c>
      <c r="D128" s="42">
        <f>TRUNC(14768,-1)</f>
        <v>14760</v>
      </c>
      <c r="E128" s="63">
        <f t="shared" si="4"/>
        <v>48790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TRUNC(39571,-1)</f>
        <v>39570</v>
      </c>
      <c r="E130" s="63">
        <f t="shared" si="4"/>
        <v>130810</v>
      </c>
    </row>
    <row r="131" spans="1:7" x14ac:dyDescent="0.3">
      <c r="A131" s="2">
        <v>10</v>
      </c>
      <c r="C131" s="38" t="s">
        <v>149</v>
      </c>
      <c r="D131" s="42">
        <f>TRUNC(71995,-1)</f>
        <v>71990</v>
      </c>
      <c r="E131" s="63">
        <f t="shared" si="4"/>
        <v>237980</v>
      </c>
    </row>
    <row r="132" spans="1:7" ht="18" thickBot="1" x14ac:dyDescent="0.35">
      <c r="A132" s="2">
        <v>11</v>
      </c>
      <c r="C132" s="38" t="s">
        <v>47</v>
      </c>
      <c r="D132" s="43">
        <f>TRUNC(7220+3843+3610,-1)</f>
        <v>14670</v>
      </c>
      <c r="E132" s="64">
        <f t="shared" si="4"/>
        <v>48490</v>
      </c>
      <c r="F132" s="54" t="s">
        <v>262</v>
      </c>
    </row>
    <row r="133" spans="1:7" x14ac:dyDescent="0.3">
      <c r="A133" s="2">
        <v>12</v>
      </c>
      <c r="C133" s="27" t="s">
        <v>112</v>
      </c>
      <c r="D133" s="39">
        <f>SUM(D122:D132)</f>
        <v>170060</v>
      </c>
      <c r="E133" s="39">
        <f>SUM(E122:E132)</f>
        <v>562130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2305+1115</f>
        <v>3420</v>
      </c>
      <c r="E137" s="63">
        <f t="shared" si="5"/>
        <v>11300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TRUNC(1545,-1)</f>
        <v>1540</v>
      </c>
      <c r="E139" s="63">
        <f t="shared" si="5"/>
        <v>5090</v>
      </c>
    </row>
    <row r="140" spans="1:7" x14ac:dyDescent="0.3">
      <c r="A140" s="2">
        <v>5</v>
      </c>
      <c r="C140" s="38" t="s">
        <v>57</v>
      </c>
      <c r="D140" s="42">
        <f>TRUNC(1529,-1)</f>
        <v>1520</v>
      </c>
      <c r="E140" s="63">
        <f t="shared" si="5"/>
        <v>5020</v>
      </c>
    </row>
    <row r="141" spans="1:7" x14ac:dyDescent="0.3">
      <c r="A141" s="2">
        <v>6</v>
      </c>
      <c r="C141" s="38" t="s">
        <v>59</v>
      </c>
      <c r="D141" s="42">
        <f>TRUNC(12757,-1)</f>
        <v>12750</v>
      </c>
      <c r="E141" s="63">
        <f t="shared" si="5"/>
        <v>42140</v>
      </c>
    </row>
    <row r="142" spans="1:7" x14ac:dyDescent="0.3">
      <c r="A142" s="2">
        <v>7</v>
      </c>
      <c r="C142" s="38" t="s">
        <v>58</v>
      </c>
      <c r="D142" s="42">
        <f>TRUNC(5209,-1)</f>
        <v>5200</v>
      </c>
      <c r="E142" s="63">
        <f t="shared" si="5"/>
        <v>17190</v>
      </c>
    </row>
    <row r="143" spans="1:7" x14ac:dyDescent="0.3">
      <c r="A143" s="2">
        <v>8</v>
      </c>
      <c r="C143" s="38" t="s">
        <v>62</v>
      </c>
      <c r="D143" s="42">
        <f>TRUNC(6481,-1)</f>
        <v>6480</v>
      </c>
      <c r="E143" s="63">
        <f t="shared" si="5"/>
        <v>21420</v>
      </c>
    </row>
    <row r="144" spans="1:7" x14ac:dyDescent="0.3">
      <c r="A144" s="2">
        <v>9</v>
      </c>
      <c r="C144" s="38" t="s">
        <v>63</v>
      </c>
      <c r="D144" s="42">
        <f>TRUNC(18103,-1)</f>
        <v>18100</v>
      </c>
      <c r="E144" s="63">
        <f t="shared" si="5"/>
        <v>59830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49010</v>
      </c>
      <c r="E146" s="39">
        <f>SUM(E136:E145)</f>
        <v>161990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TRUNC(8364+1710,-1)</f>
        <v>10070</v>
      </c>
      <c r="E149" s="62">
        <f>TRUNC(+D149*3.3058,-1)</f>
        <v>33280</v>
      </c>
    </row>
    <row r="150" spans="1:7" x14ac:dyDescent="0.3">
      <c r="A150" s="2">
        <v>2</v>
      </c>
      <c r="C150" s="38" t="s">
        <v>49</v>
      </c>
      <c r="D150" s="42">
        <f>TRUNC(11924,-1)</f>
        <v>11920</v>
      </c>
      <c r="E150" s="63">
        <f>TRUNC(+D150*3.3058,-1)</f>
        <v>39400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TRUNC(186+7644+3+2919,-1)</f>
        <v>10750</v>
      </c>
      <c r="E152" s="63">
        <f>TRUNC(+D152*3.3058,-1)</f>
        <v>35530</v>
      </c>
      <c r="F152" s="2" t="s">
        <v>264</v>
      </c>
    </row>
    <row r="153" spans="1:7" ht="17.25" thickBot="1" x14ac:dyDescent="0.35">
      <c r="A153" s="2">
        <v>5</v>
      </c>
      <c r="C153" s="38" t="s">
        <v>149</v>
      </c>
      <c r="D153" s="43">
        <f>TRUNC(12948,-1)</f>
        <v>12940</v>
      </c>
      <c r="E153" s="64">
        <f>TRUNC(+D153*3.3058,-1)</f>
        <v>42770</v>
      </c>
    </row>
    <row r="154" spans="1:7" x14ac:dyDescent="0.3">
      <c r="A154" s="2">
        <v>6</v>
      </c>
      <c r="C154" s="27" t="s">
        <v>112</v>
      </c>
      <c r="D154" s="39">
        <f>SUM(D149:D153)</f>
        <v>45680</v>
      </c>
      <c r="E154" s="39">
        <f>SUM(E149:E153)</f>
        <v>150980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TRUNC(23936,-1)</f>
        <v>23930</v>
      </c>
      <c r="E157" s="62">
        <f>TRUNC(+D157*3.3058,-1)</f>
        <v>79100</v>
      </c>
    </row>
    <row r="158" spans="1:7" x14ac:dyDescent="0.3">
      <c r="A158" s="2">
        <v>2</v>
      </c>
      <c r="C158" s="38" t="s">
        <v>52</v>
      </c>
      <c r="D158" s="42">
        <f>TRUNC(2681,-1)</f>
        <v>2680</v>
      </c>
      <c r="E158" s="63">
        <f>TRUNC(+D158*3.3058,-1)</f>
        <v>8850</v>
      </c>
    </row>
    <row r="159" spans="1:7" x14ac:dyDescent="0.3">
      <c r="A159" s="2">
        <v>3</v>
      </c>
      <c r="C159" s="38" t="s">
        <v>47</v>
      </c>
      <c r="D159" s="42">
        <f>TRUNC(11627+12291,-1)</f>
        <v>23910</v>
      </c>
      <c r="E159" s="63">
        <f>TRUNC(+D159*3.3058,-1)</f>
        <v>79040</v>
      </c>
      <c r="F159" s="2" t="s">
        <v>256</v>
      </c>
    </row>
    <row r="160" spans="1:7" ht="17.25" thickBot="1" x14ac:dyDescent="0.35">
      <c r="A160" s="2">
        <v>4</v>
      </c>
      <c r="C160" s="38" t="s">
        <v>149</v>
      </c>
      <c r="D160" s="43">
        <f>TRUNC(11483,-1)</f>
        <v>11480</v>
      </c>
      <c r="E160" s="64">
        <f>TRUNC(+D160*3.3058,-1)</f>
        <v>37950</v>
      </c>
    </row>
    <row r="161" spans="1:5" x14ac:dyDescent="0.3">
      <c r="A161" s="2">
        <v>5</v>
      </c>
      <c r="C161" s="27" t="s">
        <v>112</v>
      </c>
      <c r="D161" s="39">
        <f>SUM(D157:D160)</f>
        <v>62000</v>
      </c>
      <c r="E161" s="39">
        <f>SUM(E157:E160)</f>
        <v>204940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2020-12-08T04:30:33Z</dcterms:modified>
</cp:coreProperties>
</file>