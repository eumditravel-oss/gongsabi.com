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9" i="4"/>
  <c r="D158" i="4"/>
  <c r="D153" i="4"/>
  <c r="D152" i="4"/>
  <c r="D150" i="4"/>
  <c r="D149" i="4"/>
  <c r="D144" i="4"/>
  <c r="D142" i="4"/>
  <c r="D141" i="4"/>
  <c r="D140" i="4"/>
  <c r="D139" i="4"/>
  <c r="D132" i="4"/>
  <c r="D131" i="4"/>
  <c r="D130" i="4"/>
  <c r="D128" i="4"/>
  <c r="D124" i="4"/>
  <c r="D122" i="4"/>
  <c r="D118" i="4"/>
  <c r="D117" i="4"/>
  <c r="D116" i="4"/>
  <c r="D114" i="4"/>
  <c r="D105" i="4"/>
  <c r="D104" i="4"/>
  <c r="D103" i="4"/>
  <c r="D102" i="4"/>
  <c r="D100" i="4"/>
  <c r="D99" i="4"/>
  <c r="D98" i="4"/>
  <c r="D94" i="4"/>
  <c r="D93" i="4"/>
  <c r="D92" i="4"/>
  <c r="D90" i="4"/>
  <c r="D89" i="4"/>
  <c r="D73" i="4"/>
  <c r="D71" i="4"/>
  <c r="D70" i="4"/>
  <c r="D69" i="4"/>
  <c r="D63" i="4"/>
  <c r="D59" i="4"/>
  <c r="D58" i="4"/>
  <c r="D52" i="4"/>
  <c r="D50" i="4"/>
  <c r="D49" i="4"/>
  <c r="D48" i="4"/>
  <c r="D46" i="4"/>
  <c r="D45" i="4"/>
  <c r="D44" i="4"/>
  <c r="D43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<sst xmlns="http://schemas.openxmlformats.org/spreadsheetml/2006/main" count="391" uniqueCount="266">
  <si>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</si>
  <si>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</si>
  <si>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</si>
  <si>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</si>
  <si>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</si>
  <si>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</si>
  <si>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</si>
  <si>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</si>
  <si>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</si>
  <si>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</si>
  <si>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</si>
  <si>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</si>
  <si>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</si>
  <si>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</si>
  <si>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</si>
  <si>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</si>
  <si>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</si>
  <si>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</si>
  <si>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</si>
  <si>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</si>
  <si>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</si>
  <si>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</si>
  <si>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</si>
  <si>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</si>
  <si>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</si>
  <si>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</si>
  <si>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</si>
  <si>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</si>
  <si>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</si>
  <si>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</si>
  <si>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</si>
  <si>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</si>
  <si>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</si>
  <si>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</si>
  <si>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</si>
  <si>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</si>
  <si>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</si>
  <si>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</si>
  <si>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</si>
  <si>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</si>
  <si>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</si>
  <si>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</si>
  <si>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</si>
  <si>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</si>
  <si>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</si>
  <si>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</si>
  <si>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</si>
  <si>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</si>
  <si>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</si>
  <si>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</si>
  <si>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</si>
  <si>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</si>
  <si>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</si>
  <si>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</si>
  <si>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</si>
  <si>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</si>
  <si>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</si>
  <si>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</si>
  <si>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</si>
  <si>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</si>
  <si>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</si>
  <si>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</si>
  <si>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</si>
  <si>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</si>
  <si>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</si>
  <si>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</si>
  <si>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</si>
  <si>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</si>
  <si>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</si>
  <si>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</si>
  <si>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</si>
  <si>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</si>
  <si>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</si>
  <si>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</si>
  <si>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</si>
  <si>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</si>
  <si>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</si>
  <si>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</si>
  <si>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</si>
  <si>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</si>
  <si>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</si>
  <si>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</si>
  <si>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</si>
  <si>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</si>
  <si>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</si>
  <si>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</si>
  <si>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</si>
  <si>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</si>
  <si>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</si>
  <si>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</si>
  <si>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</si>
  <si>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</si>
  <si>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</si>
  <si>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</si>
  <si>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</si>
  <si>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</si>
  <si>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</si>
  <si>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</si>
  <si>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</si>
  <si>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</si>
  <si>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</si>
  <si>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</si>
  <si>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</si>
  <si>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</si>
  <si>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</si>
  <si>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</si>
  <si>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</si>
  <si>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</si>
  <si>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</si>
  <si>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</si>
  <si>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</si>
  <si>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</si>
  <si>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</si>
  <si>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</si>
  <si>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</si>
  <si>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</si>
  <si>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</si>
  <si>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</si>
  <si>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</si>
  <si>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</si>
  <si>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</si>
  <si>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</si>
  <si>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</si>
  <si>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</si>
  <si>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</si>
  <si>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</si>
  <si>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</si>
  <si>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</si>
  <si>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</si>
  <si>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</si>
  <si>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</si>
  <si>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</si>
  <si>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</si>
  <si>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</si>
  <si>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</si>
  <si>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</si>
  <si>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</si>
  <si>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</si>
  <si>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</si>
  <si>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</si>
  <si>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</si>
  <si>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</si>
  <si>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</si>
  <si>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</si>
  <si>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</si>
  <si>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</si>
  <si>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</si>
  <si>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</si>
  <si>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</si>
  <si>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</si>
  <si>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</si>
  <si>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</si>
  <si>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</si>
  <si>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</si>
  <si>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</si>
  <si>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</si>
  <si>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</si>
  <si>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</si>
  <si>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</si>
  <si>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</si>
  <si>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</si>
  <si>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</si>
  <si>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</si>
  <si>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</si>
  <si>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</si>
  <si>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</si>
  <si>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</si>
  <si>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</si>
  <si>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</si>
  <si>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</si>
  <si>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</si>
  <si>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</si>
  <si>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</si>
  <si>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</si>
  <si>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</si>
  <si>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</si>
  <si>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</si>
  <si>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</si>
  <si>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</si>
  <si>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</si>
  <si>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</si>
  <si>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</si>
  <si>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</si>
  <si>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</si>
  <si>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</si>
  <si>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</si>
  <si>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</si>
  <si>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</si>
  <si>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</si>
  <si>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</si>
  <si>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</si>
  <si>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</si>
  <si>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</si>
  <si>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</si>
  <si>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</si>
  <si>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</si>
  <si>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</si>
  <si>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</si>
  <si>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</si>
  <si>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</si>
  <si>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</si>
  <si>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</si>
  <si>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</si>
  <si>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</si>
  <si>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</si>
  <si>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</si>
  <si>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</si>
  <si>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</si>
  <si>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</si>
  <si>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</si>
  <si>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</si>
  <si>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</si>
  <si>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</si>
  <si>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</si>
  <si>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</si>
  <si>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</si>
  <si>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</si>
  <si>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</si>
  <si>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</si>
  <si>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</si>
  <si>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</si>
  <si>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</si>
  <si>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</si>
  <si>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</si>
  <si>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</si>
  <si>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</si>
  <si>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</si>
  <si>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</si>
  <si>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</si>
  <si>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</si>
  <si>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</si>
  <si>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</si>
  <si>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</si>
  <si>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</si>
  <si>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</si>
  <si>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</si>
  <si>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</si>
  <si>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</si>
  <si>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</si>
  <si>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</si>
  <si>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</si>
  <si>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</si>
  <si>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</si>
  <si>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</si>
  <si>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</si>
  <si>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</si>
  <si>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</si>
  <si>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</si>
  <si>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</si>
  <si>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개방형 스포츠콤플렉스 신축공사(1차)</t>
    <phoneticPr fontId="2" type="noConversion"/>
  </si>
  <si>
    <t>경상도</t>
  </si>
  <si>
    <t>창호및유리공사</t>
    <phoneticPr fontId="2" type="noConversion"/>
  </si>
  <si>
    <t>목공사및수장공사(인테리어공사 포함)</t>
    <phoneticPr fontId="2" type="noConversion"/>
  </si>
  <si>
    <t>기초공사, 골재비및운반비, 품질시험비, 기타공사</t>
    <phoneticPr fontId="2" type="noConversion"/>
  </si>
  <si>
    <t>난방배관공사, 바닥난방공사</t>
    <phoneticPr fontId="2" type="noConversion"/>
  </si>
  <si>
    <t>전기인입 및 수변전 설비공사</t>
    <phoneticPr fontId="2" type="noConversion"/>
  </si>
  <si>
    <t>옥외보안등설비공사</t>
    <phoneticPr fontId="2" type="noConversion"/>
  </si>
  <si>
    <t>CATV 및 TV 설비공사</t>
    <phoneticPr fontId="2" type="noConversion"/>
  </si>
  <si>
    <t>CCTV설비공사</t>
    <phoneticPr fontId="2" type="noConversion"/>
  </si>
  <si>
    <t>운반비, 기타공사</t>
    <phoneticPr fontId="2" type="noConversion"/>
  </si>
  <si>
    <t>포장공사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</si>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</sst>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7779</v>
      </c>
      <c r="D7" s="36">
        <f>+C7/3.3058</f>
        <v>2353.1369108839008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1124650</v>
      </c>
      <c r="E25" s="59">
        <f t="shared" si="0"/>
        <v>3717860</v>
      </c>
    </row>
    <row r="26" spans="1:5" x14ac:dyDescent="0.3">
      <c r="B26" s="2">
        <v>3</v>
      </c>
      <c r="C26" s="35" t="s">
        <v>95</v>
      </c>
      <c r="D26" s="45">
        <f>+D66</f>
        <v>27180</v>
      </c>
      <c r="E26" s="59">
        <f t="shared" si="0"/>
        <v>89850</v>
      </c>
    </row>
    <row r="27" spans="1:5" x14ac:dyDescent="0.3">
      <c r="B27" s="2">
        <v>4</v>
      </c>
      <c r="C27" s="35" t="s">
        <v>96</v>
      </c>
      <c r="D27" s="45">
        <f>+D95</f>
        <v>333130</v>
      </c>
      <c r="E27" s="59">
        <f t="shared" si="0"/>
        <v>1101260</v>
      </c>
    </row>
    <row r="28" spans="1:5" x14ac:dyDescent="0.3">
      <c r="B28" s="2">
        <v>5</v>
      </c>
      <c r="C28" s="35" t="s">
        <v>97</v>
      </c>
      <c r="D28" s="45">
        <f>+D119</f>
        <v>237600</v>
      </c>
      <c r="E28" s="59">
        <f t="shared" si="0"/>
        <v>785450</v>
      </c>
    </row>
    <row r="29" spans="1:5" x14ac:dyDescent="0.3">
      <c r="B29" s="2">
        <v>6</v>
      </c>
      <c r="C29" s="35" t="s">
        <v>98</v>
      </c>
      <c r="D29" s="45">
        <f>+D133</f>
        <v>79760</v>
      </c>
      <c r="E29" s="59">
        <f t="shared" si="0"/>
        <v>263670</v>
      </c>
    </row>
    <row r="30" spans="1:5" x14ac:dyDescent="0.3">
      <c r="B30" s="2">
        <v>7</v>
      </c>
      <c r="C30" s="35" t="s">
        <v>99</v>
      </c>
      <c r="D30" s="45">
        <f>+D146</f>
        <v>62710</v>
      </c>
      <c r="E30" s="59">
        <f t="shared" si="0"/>
        <v>207300</v>
      </c>
    </row>
    <row r="31" spans="1:5" x14ac:dyDescent="0.3">
      <c r="B31" s="2">
        <v>8</v>
      </c>
      <c r="C31" s="35" t="s">
        <v>100</v>
      </c>
      <c r="D31" s="45">
        <f>+D154</f>
        <v>55650</v>
      </c>
      <c r="E31" s="59">
        <f t="shared" si="0"/>
        <v>183960</v>
      </c>
    </row>
    <row r="32" spans="1:5" x14ac:dyDescent="0.3">
      <c r="B32" s="2">
        <v>9</v>
      </c>
      <c r="C32" s="35" t="s">
        <v>101</v>
      </c>
      <c r="D32" s="45">
        <f>+D161</f>
        <v>24600</v>
      </c>
      <c r="E32" s="59">
        <f t="shared" si="0"/>
        <v>81320</v>
      </c>
    </row>
    <row r="33" spans="1:7" x14ac:dyDescent="0.3">
      <c r="B33" s="2">
        <v>10</v>
      </c>
      <c r="C33" s="35" t="s">
        <v>154</v>
      </c>
      <c r="D33" s="53">
        <f>TRUNC(SUM(D24:D32)*0.275,-1)</f>
        <v>534950</v>
      </c>
      <c r="E33" s="60">
        <f t="shared" si="0"/>
        <v>1768430</v>
      </c>
    </row>
    <row r="34" spans="1:7" x14ac:dyDescent="0.3">
      <c r="C34" s="35" t="s">
        <v>112</v>
      </c>
      <c r="D34" s="44">
        <f>SUM(D24:D33)</f>
        <v>2480230</v>
      </c>
      <c r="E34" s="44">
        <f>SUM(E24:E33)</f>
        <v>8199100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TRUNC(85586,-1)</f>
        <v>85580</v>
      </c>
      <c r="E40" s="62">
        <f t="shared" ref="E40:E59" si="1">TRUNC(+D40*3.3058,-1)</f>
        <v>282910</v>
      </c>
    </row>
    <row r="41" spans="1:7" x14ac:dyDescent="0.3">
      <c r="A41" s="2">
        <v>2</v>
      </c>
      <c r="C41" s="38" t="s">
        <v>13</v>
      </c>
      <c r="D41" s="42">
        <f>TRUNC(162591,-1)</f>
        <v>162590</v>
      </c>
      <c r="E41" s="63">
        <f t="shared" si="1"/>
        <v>537490</v>
      </c>
    </row>
    <row r="42" spans="1:7" x14ac:dyDescent="0.3">
      <c r="A42" s="2">
        <v>3</v>
      </c>
      <c r="C42" s="38" t="s">
        <v>14</v>
      </c>
      <c r="D42" s="42">
        <v>51070</v>
      </c>
      <c r="E42" s="63">
        <f t="shared" si="1"/>
        <v>168820</v>
      </c>
    </row>
    <row r="43" spans="1:7" x14ac:dyDescent="0.3">
      <c r="A43" s="2">
        <v>4</v>
      </c>
      <c r="C43" s="38" t="s">
        <v>16</v>
      </c>
      <c r="D43" s="42">
        <f>TRUNC(17066,-1)</f>
        <v>17060</v>
      </c>
      <c r="E43" s="63">
        <f t="shared" si="1"/>
        <v>56390</v>
      </c>
    </row>
    <row r="44" spans="1:7" x14ac:dyDescent="0.3">
      <c r="A44" s="2">
        <v>5</v>
      </c>
      <c r="C44" s="38" t="s">
        <v>17</v>
      </c>
      <c r="D44" s="42">
        <f>TRUNC(35454,-1)</f>
        <v>35450</v>
      </c>
      <c r="E44" s="63">
        <f t="shared" si="1"/>
        <v>117190</v>
      </c>
    </row>
    <row r="45" spans="1:7" x14ac:dyDescent="0.3">
      <c r="A45" s="2">
        <v>6</v>
      </c>
      <c r="C45" s="38" t="s">
        <v>18</v>
      </c>
      <c r="D45" s="42">
        <f>TRUNC(18828,-1)</f>
        <v>18820</v>
      </c>
      <c r="E45" s="63">
        <f t="shared" si="1"/>
        <v>62210</v>
      </c>
    </row>
    <row r="46" spans="1:7" x14ac:dyDescent="0.3">
      <c r="A46" s="2">
        <v>7</v>
      </c>
      <c r="C46" s="38" t="s">
        <v>19</v>
      </c>
      <c r="D46" s="42">
        <f>TRUNC(26816,-1)</f>
        <v>26810</v>
      </c>
      <c r="E46" s="63">
        <f t="shared" si="1"/>
        <v>88620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TRUNC(48287,-1)</f>
        <v>48280</v>
      </c>
      <c r="E48" s="63">
        <f t="shared" si="1"/>
        <v>159600</v>
      </c>
    </row>
    <row r="49" spans="1:7" x14ac:dyDescent="0.3">
      <c r="A49" s="2">
        <v>10</v>
      </c>
      <c r="C49" s="38" t="s">
        <v>22</v>
      </c>
      <c r="D49" s="42">
        <f>TRUNC(20587,-1)</f>
        <v>20580</v>
      </c>
      <c r="E49" s="63">
        <f t="shared" si="1"/>
        <v>68030</v>
      </c>
    </row>
    <row r="50" spans="1:7" x14ac:dyDescent="0.3">
      <c r="A50" s="2">
        <v>11</v>
      </c>
      <c r="C50" s="38" t="s">
        <v>155</v>
      </c>
      <c r="D50" s="42">
        <f>TRUNC(54131,-1)</f>
        <v>54130</v>
      </c>
      <c r="E50" s="63">
        <f t="shared" si="1"/>
        <v>178940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TRUNC(10794,-1)</f>
        <v>10790</v>
      </c>
      <c r="E52" s="63">
        <f t="shared" si="1"/>
        <v>35660</v>
      </c>
    </row>
    <row r="53" spans="1:7" x14ac:dyDescent="0.3">
      <c r="A53" s="2">
        <v>14</v>
      </c>
      <c r="C53" s="38" t="s">
        <v>25</v>
      </c>
      <c r="D53" s="42">
        <v>138870</v>
      </c>
      <c r="E53" s="63">
        <f t="shared" si="1"/>
        <v>459070</v>
      </c>
      <c r="F53" s="2" t="s">
        <v>252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TRUNC(43803+6702+508+117453,-1)</f>
        <v>168460</v>
      </c>
      <c r="E58" s="63">
        <f t="shared" si="1"/>
        <v>556890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TRUNC(286161,-1)</f>
        <v>286160</v>
      </c>
      <c r="E59" s="64">
        <f t="shared" si="1"/>
        <v>945980</v>
      </c>
    </row>
    <row r="60" spans="1:7" x14ac:dyDescent="0.3">
      <c r="A60" s="2">
        <v>21</v>
      </c>
      <c r="C60" s="27" t="s">
        <v>112</v>
      </c>
      <c r="D60" s="39">
        <f>SUM(D40:D59)</f>
        <v>1124650</v>
      </c>
      <c r="E60" s="39">
        <f>SUM(E40:E59)</f>
        <v>3717800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TRUNC(27182,-1)</f>
        <v>27180</v>
      </c>
      <c r="E63" s="62">
        <f>TRUNC(+D63*3.3058,-1)</f>
        <v>89850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27180</v>
      </c>
      <c r="E66" s="65">
        <f>SUM(E63:E65)</f>
        <v>89850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TRUNC(15857,-1)</f>
        <v>15850</v>
      </c>
      <c r="E69" s="62">
        <f t="shared" ref="E69:E94" si="2">TRUNC(+D69*3.3058,-1)</f>
        <v>52390</v>
      </c>
    </row>
    <row r="70" spans="1:7" ht="16.5" customHeight="1" x14ac:dyDescent="0.3">
      <c r="A70" s="2">
        <v>2</v>
      </c>
      <c r="C70" s="38" t="s">
        <v>31</v>
      </c>
      <c r="D70" s="42">
        <f>TRUNC(6372,-1)</f>
        <v>6370</v>
      </c>
      <c r="E70" s="63">
        <f t="shared" si="2"/>
        <v>21050</v>
      </c>
    </row>
    <row r="71" spans="1:7" x14ac:dyDescent="0.3">
      <c r="A71" s="2">
        <v>3</v>
      </c>
      <c r="C71" s="38" t="s">
        <v>32</v>
      </c>
      <c r="D71" s="42">
        <f>TRUNC(36614,-1)</f>
        <v>36610</v>
      </c>
      <c r="E71" s="63">
        <f t="shared" si="2"/>
        <v>121020</v>
      </c>
    </row>
    <row r="72" spans="1:7" x14ac:dyDescent="0.3">
      <c r="A72" s="2">
        <v>4</v>
      </c>
      <c r="C72" s="38" t="s">
        <v>33</v>
      </c>
      <c r="D72" s="42">
        <v>12350</v>
      </c>
      <c r="E72" s="63">
        <f t="shared" si="2"/>
        <v>40820</v>
      </c>
    </row>
    <row r="73" spans="1:7" x14ac:dyDescent="0.3">
      <c r="A73" s="2">
        <v>5</v>
      </c>
      <c r="C73" s="38" t="s">
        <v>34</v>
      </c>
      <c r="D73" s="42">
        <f>TRUNC(29021,-1)</f>
        <v>29020</v>
      </c>
      <c r="E73" s="63">
        <f t="shared" si="2"/>
        <v>95930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TRUNC(21898,-1)</f>
        <v>21890</v>
      </c>
      <c r="E89" s="63">
        <f t="shared" si="2"/>
        <v>72360</v>
      </c>
    </row>
    <row r="90" spans="1:7" x14ac:dyDescent="0.3">
      <c r="A90" s="2">
        <v>22</v>
      </c>
      <c r="C90" s="38" t="s">
        <v>36</v>
      </c>
      <c r="D90" s="42">
        <f>TRUNC(3544,-1)</f>
        <v>3540</v>
      </c>
      <c r="E90" s="63">
        <f t="shared" si="2"/>
        <v>11700</v>
      </c>
    </row>
    <row r="91" spans="1:7" x14ac:dyDescent="0.3">
      <c r="A91" s="2">
        <v>23</v>
      </c>
      <c r="C91" s="38" t="s">
        <v>37</v>
      </c>
      <c r="D91" s="42">
        <v>28040</v>
      </c>
      <c r="E91" s="63">
        <f t="shared" si="2"/>
        <v>92690</v>
      </c>
    </row>
    <row r="92" spans="1:7" x14ac:dyDescent="0.3">
      <c r="A92" s="2">
        <v>24</v>
      </c>
      <c r="C92" s="38" t="s">
        <v>38</v>
      </c>
      <c r="D92" s="42">
        <f>TRUNC(9823,-1)</f>
        <v>9820</v>
      </c>
      <c r="E92" s="63">
        <f t="shared" si="2"/>
        <v>32460</v>
      </c>
    </row>
    <row r="93" spans="1:7" x14ac:dyDescent="0.3">
      <c r="A93" s="2">
        <v>25</v>
      </c>
      <c r="C93" s="38" t="s">
        <v>148</v>
      </c>
      <c r="D93" s="42">
        <f>TRUNC(161495,-1)</f>
        <v>161490</v>
      </c>
      <c r="E93" s="63">
        <f t="shared" si="2"/>
        <v>533850</v>
      </c>
    </row>
    <row r="94" spans="1:7" ht="17.25" thickBot="1" x14ac:dyDescent="0.35">
      <c r="A94" s="2">
        <v>26</v>
      </c>
      <c r="C94" s="38" t="s">
        <v>47</v>
      </c>
      <c r="D94" s="43">
        <f>TRUNC(7248+905,-1)</f>
        <v>8150</v>
      </c>
      <c r="E94" s="64">
        <f t="shared" si="2"/>
        <v>26940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333130</v>
      </c>
      <c r="E95" s="39">
        <f>SUM(E69:E94)</f>
        <v>1101210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TRUNC(10403,-1)</f>
        <v>10400</v>
      </c>
      <c r="E98" s="62">
        <f t="shared" ref="E98:E118" si="3">TRUNC(+D98*3.3058,-1)</f>
        <v>34380</v>
      </c>
    </row>
    <row r="99" spans="1:7" x14ac:dyDescent="0.3">
      <c r="A99" s="2">
        <v>2</v>
      </c>
      <c r="C99" s="38" t="s">
        <v>40</v>
      </c>
      <c r="D99" s="42">
        <f>TRUNC(8722,-1)</f>
        <v>8720</v>
      </c>
      <c r="E99" s="63">
        <f t="shared" si="3"/>
        <v>28820</v>
      </c>
    </row>
    <row r="100" spans="1:7" x14ac:dyDescent="0.3">
      <c r="A100" s="2">
        <v>3</v>
      </c>
      <c r="C100" s="38" t="s">
        <v>41</v>
      </c>
      <c r="D100" s="42">
        <f>TRUNC(29088,-1)</f>
        <v>29080</v>
      </c>
      <c r="E100" s="63">
        <f t="shared" si="3"/>
        <v>96130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TRUNC(9823,-1)</f>
        <v>9820</v>
      </c>
      <c r="E102" s="63">
        <f t="shared" si="3"/>
        <v>32460</v>
      </c>
    </row>
    <row r="103" spans="1:7" x14ac:dyDescent="0.3">
      <c r="A103" s="2">
        <v>6</v>
      </c>
      <c r="C103" s="38" t="s">
        <v>44</v>
      </c>
      <c r="D103" s="42">
        <f>TRUNC(3895,-1)</f>
        <v>3890</v>
      </c>
      <c r="E103" s="63">
        <f t="shared" si="3"/>
        <v>12850</v>
      </c>
    </row>
    <row r="104" spans="1:7" x14ac:dyDescent="0.3">
      <c r="A104" s="2">
        <v>7</v>
      </c>
      <c r="C104" s="38" t="s">
        <v>45</v>
      </c>
      <c r="D104" s="42">
        <f>TRUNC(4399,-1)</f>
        <v>4390</v>
      </c>
      <c r="E104" s="63">
        <f t="shared" si="3"/>
        <v>14510</v>
      </c>
    </row>
    <row r="105" spans="1:7" x14ac:dyDescent="0.3">
      <c r="A105" s="2">
        <v>8</v>
      </c>
      <c r="C105" s="38" t="s">
        <v>46</v>
      </c>
      <c r="D105" s="42">
        <f>TRUNC(3503,-1)</f>
        <v>3500</v>
      </c>
      <c r="E105" s="63">
        <f t="shared" si="3"/>
        <v>11570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TRUNC(3042,-1)</f>
        <v>3040</v>
      </c>
      <c r="E114" s="63">
        <f t="shared" si="3"/>
        <v>10040</v>
      </c>
      <c r="F114" s="2" t="s">
        <v>256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TRUNC(9079,-1)</f>
        <v>9070</v>
      </c>
      <c r="E116" s="63">
        <f t="shared" si="3"/>
        <v>29980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TRUNC(151211,-1)</f>
        <v>151210</v>
      </c>
      <c r="E117" s="63">
        <f t="shared" si="3"/>
        <v>499870</v>
      </c>
    </row>
    <row r="118" spans="1:7" ht="17.25" thickBot="1" x14ac:dyDescent="0.35">
      <c r="A118" s="2">
        <v>21</v>
      </c>
      <c r="C118" s="38" t="s">
        <v>47</v>
      </c>
      <c r="D118" s="43">
        <f>TRUNC(4481,-1)</f>
        <v>4480</v>
      </c>
      <c r="E118" s="64">
        <f t="shared" si="3"/>
        <v>14800</v>
      </c>
    </row>
    <row r="119" spans="1:7" x14ac:dyDescent="0.3">
      <c r="A119" s="2">
        <v>22</v>
      </c>
      <c r="C119" s="27" t="s">
        <v>112</v>
      </c>
      <c r="D119" s="39">
        <f>SUM(D98:D118)</f>
        <v>237600</v>
      </c>
      <c r="E119" s="39">
        <f>SUM(E98:E118)</f>
        <v>785410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TRUNC(4883,-1)</f>
        <v>4880</v>
      </c>
      <c r="E122" s="62">
        <f t="shared" ref="E122:E132" si="4">TRUNC(+D122*3.3058,-1)</f>
        <v>16130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TRUNC(1646,-1)</f>
        <v>1640</v>
      </c>
      <c r="E124" s="63">
        <f t="shared" si="4"/>
        <v>5420</v>
      </c>
    </row>
    <row r="125" spans="1:7" x14ac:dyDescent="0.3">
      <c r="A125" s="2">
        <v>4</v>
      </c>
      <c r="C125" s="38" t="s">
        <v>138</v>
      </c>
      <c r="D125" s="42">
        <v>5990</v>
      </c>
      <c r="E125" s="63">
        <f t="shared" si="4"/>
        <v>19800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TRUNC(3665,-1)</f>
        <v>3660</v>
      </c>
      <c r="E128" s="63">
        <f t="shared" si="4"/>
        <v>12090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TRUNC(28629,-1)</f>
        <v>28620</v>
      </c>
      <c r="E130" s="63">
        <f t="shared" si="4"/>
        <v>94610</v>
      </c>
    </row>
    <row r="131" spans="1:7" x14ac:dyDescent="0.3">
      <c r="A131" s="2">
        <v>10</v>
      </c>
      <c r="C131" s="38" t="s">
        <v>148</v>
      </c>
      <c r="D131" s="42">
        <f>TRUNC(32129,-1)</f>
        <v>32120</v>
      </c>
      <c r="E131" s="63">
        <f t="shared" si="4"/>
        <v>106180</v>
      </c>
    </row>
    <row r="132" spans="1:7" ht="18" thickBot="1" x14ac:dyDescent="0.35">
      <c r="A132" s="2">
        <v>11</v>
      </c>
      <c r="C132" s="38" t="s">
        <v>47</v>
      </c>
      <c r="D132" s="43">
        <f>TRUNC(2853,-1)</f>
        <v>2850</v>
      </c>
      <c r="E132" s="64">
        <f t="shared" si="4"/>
        <v>9420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79760</v>
      </c>
      <c r="E133" s="39">
        <f>SUM(E122:E132)</f>
        <v>263650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520</v>
      </c>
      <c r="E137" s="63">
        <f t="shared" si="5"/>
        <v>1710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TRUNC(2425,-1)</f>
        <v>2420</v>
      </c>
      <c r="E139" s="63">
        <f t="shared" si="5"/>
        <v>8000</v>
      </c>
    </row>
    <row r="140" spans="1:7" x14ac:dyDescent="0.3">
      <c r="A140" s="2">
        <v>5</v>
      </c>
      <c r="C140" s="38" t="s">
        <v>57</v>
      </c>
      <c r="D140" s="42">
        <f>TRUNC(2436,-1)</f>
        <v>2430</v>
      </c>
      <c r="E140" s="63">
        <f t="shared" si="5"/>
        <v>8030</v>
      </c>
    </row>
    <row r="141" spans="1:7" x14ac:dyDescent="0.3">
      <c r="A141" s="2">
        <v>6</v>
      </c>
      <c r="C141" s="38" t="s">
        <v>59</v>
      </c>
      <c r="D141" s="42">
        <f>TRUNC(26602,-1)</f>
        <v>26600</v>
      </c>
      <c r="E141" s="63">
        <f t="shared" si="5"/>
        <v>87930</v>
      </c>
    </row>
    <row r="142" spans="1:7" x14ac:dyDescent="0.3">
      <c r="A142" s="2">
        <v>7</v>
      </c>
      <c r="C142" s="38" t="s">
        <v>58</v>
      </c>
      <c r="D142" s="42">
        <f>TRUNC(9283,-1)</f>
        <v>9280</v>
      </c>
      <c r="E142" s="63">
        <f t="shared" si="5"/>
        <v>30670</v>
      </c>
    </row>
    <row r="143" spans="1:7" x14ac:dyDescent="0.3">
      <c r="A143" s="2">
        <v>8</v>
      </c>
      <c r="C143" s="38" t="s">
        <v>62</v>
      </c>
      <c r="D143" s="42">
        <v>6160</v>
      </c>
      <c r="E143" s="63">
        <f t="shared" si="5"/>
        <v>20360</v>
      </c>
    </row>
    <row r="144" spans="1:7" x14ac:dyDescent="0.3">
      <c r="A144" s="2">
        <v>9</v>
      </c>
      <c r="C144" s="38" t="s">
        <v>63</v>
      </c>
      <c r="D144" s="42">
        <f>TRUNC(15305,-1)</f>
        <v>15300</v>
      </c>
      <c r="E144" s="63">
        <f t="shared" si="5"/>
        <v>50570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62710</v>
      </c>
      <c r="E146" s="39">
        <f>SUM(E136:E145)</f>
        <v>207270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TRUNC(6184+2529,-1)</f>
        <v>8710</v>
      </c>
      <c r="E149" s="62">
        <f>TRUNC(+D149*3.3058,-1)</f>
        <v>28790</v>
      </c>
    </row>
    <row r="150" spans="1:7" x14ac:dyDescent="0.3">
      <c r="A150" s="2">
        <v>2</v>
      </c>
      <c r="C150" s="38" t="s">
        <v>49</v>
      </c>
      <c r="D150" s="42">
        <f>TRUNC(8438,-1)</f>
        <v>8430</v>
      </c>
      <c r="E150" s="63">
        <f>TRUNC(+D150*3.3058,-1)</f>
        <v>27860</v>
      </c>
    </row>
    <row r="151" spans="1:7" x14ac:dyDescent="0.3">
      <c r="A151" s="2">
        <v>3</v>
      </c>
      <c r="C151" s="38" t="s">
        <v>50</v>
      </c>
      <c r="D151" s="42">
        <v>4400</v>
      </c>
      <c r="E151" s="63">
        <f>TRUNC(+D151*3.3058,-1)</f>
        <v>14540</v>
      </c>
    </row>
    <row r="152" spans="1:7" x14ac:dyDescent="0.3">
      <c r="A152" s="2">
        <v>4</v>
      </c>
      <c r="C152" s="38" t="s">
        <v>47</v>
      </c>
      <c r="D152" s="42">
        <f>TRUNC(203+3075,-1)</f>
        <v>3270</v>
      </c>
      <c r="E152" s="63">
        <f>TRUNC(+D152*3.3058,-1)</f>
        <v>10800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f>TRUNC(30845,-1)</f>
        <v>30840</v>
      </c>
      <c r="E153" s="64">
        <f>TRUNC(+D153*3.3058,-1)</f>
        <v>101950</v>
      </c>
    </row>
    <row r="154" spans="1:7" x14ac:dyDescent="0.3">
      <c r="A154" s="2">
        <v>6</v>
      </c>
      <c r="C154" s="27" t="s">
        <v>112</v>
      </c>
      <c r="D154" s="39">
        <f>SUM(D149:D153)</f>
        <v>55650</v>
      </c>
      <c r="E154" s="39">
        <f>SUM(E149:E153)</f>
        <v>183940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12150</v>
      </c>
      <c r="E157" s="62">
        <f>TRUNC(+D157*3.3058,-1)</f>
        <v>40160</v>
      </c>
    </row>
    <row r="158" spans="1:7" x14ac:dyDescent="0.3">
      <c r="A158" s="2">
        <v>2</v>
      </c>
      <c r="C158" s="38" t="s">
        <v>52</v>
      </c>
      <c r="D158" s="42">
        <f>TRUNC(2831,-1)</f>
        <v>2830</v>
      </c>
      <c r="E158" s="63">
        <f>TRUNC(+D158*3.3058,-1)</f>
        <v>9350</v>
      </c>
    </row>
    <row r="159" spans="1:7" x14ac:dyDescent="0.3">
      <c r="A159" s="2">
        <v>3</v>
      </c>
      <c r="C159" s="38" t="s">
        <v>47</v>
      </c>
      <c r="D159" s="42">
        <f>TRUNC(3701,-1)</f>
        <v>3700</v>
      </c>
      <c r="E159" s="63">
        <f>TRUNC(+D159*3.3058,-1)</f>
        <v>12230</v>
      </c>
      <c r="F159" s="2" t="s">
        <v>260</v>
      </c>
    </row>
    <row r="160" spans="1:7" ht="17.25" thickBot="1" x14ac:dyDescent="0.35">
      <c r="A160" s="2">
        <v>4</v>
      </c>
      <c r="C160" s="38" t="s">
        <v>148</v>
      </c>
      <c r="D160" s="43">
        <f>TRUNC(5926,-1)</f>
        <v>5920</v>
      </c>
      <c r="E160" s="64">
        <f>TRUNC(+D160*3.3058,-1)</f>
        <v>19570</v>
      </c>
    </row>
    <row r="161" spans="1:5" x14ac:dyDescent="0.3">
      <c r="A161" s="2">
        <v>5</v>
      </c>
      <c r="C161" s="27" t="s">
        <v>112</v>
      </c>
      <c r="D161" s="39">
        <f>SUM(D157:D160)</f>
        <v>24600</v>
      </c>
      <c r="E161" s="39">
        <f>SUM(E157:E160)</f>
        <v>81310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2020-12-08T02:51:38Z</dcterms:modified>
</cp:coreProperties>
</file>