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60" i="4"/>
  <c r="D159" i="4"/>
  <c r="D158" i="4"/>
  <c r="D157" i="4"/>
  <c r="D152" i="4"/>
  <c r="D150" i="4"/>
  <c r="D149" i="4"/>
  <c r="D144" i="4"/>
  <c r="D143" i="4"/>
  <c r="D139" i="4"/>
  <c r="D141" i="4"/>
  <c r="D142" i="4"/>
  <c r="D137" i="4"/>
  <c r="D140" i="4"/>
  <c r="D132" i="4"/>
  <c r="D128" i="4"/>
  <c r="D124" i="4"/>
  <c r="D125" i="4"/>
  <c r="D122" i="4"/>
  <c r="D130" i="4"/>
  <c r="D126" i="4"/>
  <c r="D118" i="4"/>
  <c r="D105" i="4"/>
  <c r="D104" i="4"/>
  <c r="D103" i="4"/>
  <c r="D102" i="4"/>
  <c r="D101" i="4"/>
  <c r="D100" i="4"/>
  <c r="D99" i="4"/>
  <c r="D114" i="4"/>
  <c r="D98" i="4"/>
  <c r="D116" i="4"/>
  <c r="D94" i="4"/>
  <c r="D75" i="4"/>
  <c r="D92" i="4"/>
  <c r="D91" i="4"/>
  <c r="D90" i="4"/>
  <c r="D89" i="4"/>
  <c r="D73" i="4"/>
  <c r="D72" i="4"/>
  <c r="D71" i="4"/>
  <c r="D69" i="4"/>
  <c r="D63" i="4"/>
  <c r="D58" i="4"/>
  <c r="D53" i="4"/>
  <c r="D50" i="4"/>
  <c r="D52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<sst xmlns="http://schemas.openxmlformats.org/spreadsheetml/2006/main" count="395" uniqueCount="270">
  <si>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</si>
  <si>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</si>
  <si>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</si>
  <si>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</si>
  <si>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</si>
  <si>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</si>
  <si>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</si>
  <si>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</si>
  <si>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</si>
  <si>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</si>
  <si>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</si>
  <si>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</si>
  <si>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</si>
  <si>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</si>
  <si>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</si>
  <si>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</si>
  <si>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</si>
  <si>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</si>
  <si>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</si>
  <si>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</si>
  <si>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</si>
  <si>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</si>
  <si>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</si>
  <si>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</si>
  <si>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</si>
  <si>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</si>
  <si>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</si>
  <si>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</si>
  <si>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</si>
  <si>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</si>
  <si>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</si>
  <si>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</si>
  <si>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</si>
  <si>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</si>
  <si>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</si>
  <si>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</si>
  <si>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</si>
  <si>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</si>
  <si>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</si>
  <si>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</si>
  <si>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</si>
  <si>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</si>
  <si>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</si>
  <si>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</si>
  <si>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</si>
  <si>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</si>
  <si>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</si>
  <si>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</si>
  <si>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</si>
  <si>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</si>
  <si>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</si>
  <si>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</si>
  <si>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</si>
  <si>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</si>
  <si>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</si>
  <si>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</si>
  <si>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</si>
  <si>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</si>
  <si>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</si>
  <si>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</si>
  <si>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</si>
  <si>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</si>
  <si>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</si>
  <si>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</si>
  <si>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</si>
  <si>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</si>
  <si>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</si>
  <si>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</si>
  <si>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</si>
  <si>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</si>
  <si>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</si>
  <si>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</si>
  <si>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</si>
  <si>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</si>
  <si>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</si>
  <si>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</si>
  <si>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</si>
  <si>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</si>
  <si>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</si>
  <si>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</si>
  <si>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</si>
  <si>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</si>
  <si>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</si>
  <si>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</si>
  <si>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</si>
  <si>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</si>
  <si>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</si>
  <si>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</si>
  <si>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</si>
  <si>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</si>
  <si>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</si>
  <si>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</si>
  <si>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</si>
  <si>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</si>
  <si>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</si>
  <si>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</si>
  <si>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</si>
  <si>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</si>
  <si>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</si>
  <si>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</si>
  <si>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</si>
  <si>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</si>
  <si>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</si>
  <si>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</si>
  <si>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</si>
  <si>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</si>
  <si>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</si>
  <si>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</si>
  <si>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</si>
  <si>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</si>
  <si>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</si>
  <si>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</si>
  <si>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</si>
  <si>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</si>
  <si>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</si>
  <si>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</si>
  <si>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</si>
  <si>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</si>
  <si>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</si>
  <si>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</si>
  <si>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</si>
  <si>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</si>
  <si>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</si>
  <si>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</si>
  <si>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</si>
  <si>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</si>
  <si>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</si>
  <si>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</si>
  <si>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</si>
  <si>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</si>
  <si>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</si>
  <si>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</si>
  <si>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</si>
  <si>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</si>
  <si>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</si>
  <si>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</si>
  <si>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</si>
  <si>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</si>
  <si>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</si>
  <si>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</si>
  <si>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</si>
  <si>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</si>
  <si>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</si>
  <si>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</si>
  <si>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</si>
  <si>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</si>
  <si>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</si>
  <si>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</si>
  <si>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</si>
  <si>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</si>
  <si>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</si>
  <si>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</si>
  <si>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</si>
  <si>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</si>
  <si>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</si>
  <si>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</si>
  <si>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</si>
  <si>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</si>
  <si>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</si>
  <si>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</si>
  <si>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</si>
  <si>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</si>
  <si>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</si>
  <si>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</si>
  <si>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</si>
  <si>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</si>
  <si>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</si>
  <si>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</si>
  <si>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</si>
  <si>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</si>
  <si>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</si>
  <si>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</si>
  <si>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</si>
  <si>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</si>
  <si>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</si>
  <si>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</si>
  <si>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</si>
  <si>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</si>
  <si>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</si>
  <si>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</si>
  <si>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</si>
  <si>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</si>
  <si>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</si>
  <si>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</si>
  <si>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</si>
  <si>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</si>
  <si>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</si>
  <si>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</si>
  <si>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</si>
  <si>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</si>
  <si>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</si>
  <si>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</si>
  <si>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</si>
  <si>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</si>
  <si>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</si>
  <si>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</si>
  <si>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</si>
  <si>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</si>
  <si>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</si>
  <si>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</si>
  <si>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</si>
  <si>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</si>
  <si>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</si>
  <si>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</si>
  <si>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</si>
  <si>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</si>
  <si>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</si>
  <si>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</si>
  <si>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</si>
  <si>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</si>
  <si>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</si>
  <si>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</si>
  <si>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</si>
  <si>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</si>
  <si>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</si>
  <si>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</si>
  <si>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</si>
  <si>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</si>
  <si>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</si>
  <si>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</si>
  <si>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</si>
  <si>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</si>
  <si>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</si>
  <si>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</si>
  <si>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</si>
  <si>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</si>
  <si>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</si>
  <si>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</si>
  <si>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</si>
  <si>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</si>
  <si>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</si>
  <si>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</si>
  <si>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</si>
  <si>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</si>
  <si>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</si>
  <si>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</si>
  <si>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</si>
  <si>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</si>
  <si>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</si>
  <si>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</si>
  <si>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</si>
  <si>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</si>
  <si>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</si>
  <si>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</si>
  <si>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</si>
  <si>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</si>
  <si>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</si>
  <si>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</si>
  <si>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미생물실증지원센터 건립공사</t>
    <phoneticPr fontId="2" type="noConversion"/>
  </si>
  <si>
    <t>공장</t>
  </si>
  <si>
    <t>전라도</t>
  </si>
  <si>
    <t>기초공사,골재비및운반비,작업부산물,품질시험비,기타공사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</si>
  <si>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</si>
  <si>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</si>
  <si>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</si>
  <si>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공조배관공사,난방배관공사,기타공사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</si>
  <si>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</si>
  <si>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</si>
  <si>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</si>
  <si>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기타공사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</si>
  <si>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</si>
  <si>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</si>
  <si>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</si>
  <si>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포장공사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</si>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</sst>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11305.52</v>
      </c>
      <c r="D7" s="36">
        <f>+C7/3.3058</f>
        <v>3419.9044104301533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904020</v>
      </c>
      <c r="E25" s="59">
        <f t="shared" si="0"/>
        <v>2988500</v>
      </c>
    </row>
    <row r="26" spans="1:5" x14ac:dyDescent="0.3">
      <c r="B26" s="2">
        <v>3</v>
      </c>
      <c r="C26" s="35" t="s">
        <v>95</v>
      </c>
      <c r="D26" s="45">
        <f>+D66</f>
        <v>37580</v>
      </c>
      <c r="E26" s="59">
        <f t="shared" si="0"/>
        <v>124230</v>
      </c>
    </row>
    <row r="27" spans="1:5" x14ac:dyDescent="0.3">
      <c r="B27" s="2">
        <v>4</v>
      </c>
      <c r="C27" s="35" t="s">
        <v>96</v>
      </c>
      <c r="D27" s="45">
        <f>+D95</f>
        <v>889130</v>
      </c>
      <c r="E27" s="59">
        <f t="shared" si="0"/>
        <v>2939280</v>
      </c>
    </row>
    <row r="28" spans="1:5" x14ac:dyDescent="0.3">
      <c r="B28" s="2">
        <v>5</v>
      </c>
      <c r="C28" s="35" t="s">
        <v>97</v>
      </c>
      <c r="D28" s="45">
        <f>+D119</f>
        <v>378040</v>
      </c>
      <c r="E28" s="59">
        <f t="shared" si="0"/>
        <v>1249720</v>
      </c>
    </row>
    <row r="29" spans="1:5" x14ac:dyDescent="0.3">
      <c r="B29" s="2">
        <v>6</v>
      </c>
      <c r="C29" s="35" t="s">
        <v>98</v>
      </c>
      <c r="D29" s="45">
        <f>+D133</f>
        <v>44530</v>
      </c>
      <c r="E29" s="59">
        <f t="shared" si="0"/>
        <v>147200</v>
      </c>
    </row>
    <row r="30" spans="1:5" x14ac:dyDescent="0.3">
      <c r="B30" s="2">
        <v>7</v>
      </c>
      <c r="C30" s="35" t="s">
        <v>99</v>
      </c>
      <c r="D30" s="45">
        <f>+D146</f>
        <v>97790</v>
      </c>
      <c r="E30" s="59">
        <f t="shared" si="0"/>
        <v>323270</v>
      </c>
    </row>
    <row r="31" spans="1:5" x14ac:dyDescent="0.3">
      <c r="B31" s="2">
        <v>8</v>
      </c>
      <c r="C31" s="35" t="s">
        <v>100</v>
      </c>
      <c r="D31" s="45">
        <f>+D154</f>
        <v>105160</v>
      </c>
      <c r="E31" s="59">
        <f t="shared" si="0"/>
        <v>347630</v>
      </c>
    </row>
    <row r="32" spans="1:5" x14ac:dyDescent="0.3">
      <c r="B32" s="2">
        <v>9</v>
      </c>
      <c r="C32" s="35" t="s">
        <v>101</v>
      </c>
      <c r="D32" s="45">
        <f>+D161</f>
        <v>21370</v>
      </c>
      <c r="E32" s="59">
        <f t="shared" si="0"/>
        <v>70640</v>
      </c>
    </row>
    <row r="33" spans="1:7" x14ac:dyDescent="0.3">
      <c r="B33" s="2">
        <v>10</v>
      </c>
      <c r="C33" s="35" t="s">
        <v>154</v>
      </c>
      <c r="D33" s="53">
        <f>TRUNC(SUM(D24:D32)*0.275,-1)</f>
        <v>681340</v>
      </c>
      <c r="E33" s="60">
        <f t="shared" si="0"/>
        <v>2252370</v>
      </c>
    </row>
    <row r="34" spans="1:7" x14ac:dyDescent="0.3">
      <c r="C34" s="35" t="s">
        <v>112</v>
      </c>
      <c r="D34" s="44">
        <f>SUM(D24:D33)</f>
        <v>3158960</v>
      </c>
      <c r="E34" s="44">
        <f>SUM(E24:E33)</f>
        <v>10442840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TRUNC(55631,-1)</f>
        <v>55630</v>
      </c>
      <c r="E40" s="62">
        <f t="shared" ref="E40:E59" si="1">TRUNC(+D40*3.3058,-1)</f>
        <v>183900</v>
      </c>
    </row>
    <row r="41" spans="1:7" x14ac:dyDescent="0.3">
      <c r="A41" s="2">
        <v>2</v>
      </c>
      <c r="C41" s="38" t="s">
        <v>13</v>
      </c>
      <c r="D41" s="42">
        <f>TRUNC(115434,-1)</f>
        <v>115430</v>
      </c>
      <c r="E41" s="63">
        <f t="shared" si="1"/>
        <v>381580</v>
      </c>
    </row>
    <row r="42" spans="1:7" x14ac:dyDescent="0.3">
      <c r="A42" s="2">
        <v>3</v>
      </c>
      <c r="C42" s="38" t="s">
        <v>14</v>
      </c>
      <c r="D42" s="42">
        <f>TRUNC(128216,-1)</f>
        <v>128210</v>
      </c>
      <c r="E42" s="63">
        <f t="shared" si="1"/>
        <v>423830</v>
      </c>
    </row>
    <row r="43" spans="1:7" x14ac:dyDescent="0.3">
      <c r="A43" s="2">
        <v>4</v>
      </c>
      <c r="C43" s="38" t="s">
        <v>16</v>
      </c>
      <c r="D43" s="42">
        <f>TRUNC(8162,-1)</f>
        <v>8160</v>
      </c>
      <c r="E43" s="63">
        <f t="shared" si="1"/>
        <v>26970</v>
      </c>
    </row>
    <row r="44" spans="1:7" x14ac:dyDescent="0.3">
      <c r="A44" s="2">
        <v>5</v>
      </c>
      <c r="C44" s="38" t="s">
        <v>17</v>
      </c>
      <c r="D44" s="42">
        <f>TRUNC(35219,-1)</f>
        <v>35210</v>
      </c>
      <c r="E44" s="63">
        <f t="shared" si="1"/>
        <v>116390</v>
      </c>
    </row>
    <row r="45" spans="1:7" x14ac:dyDescent="0.3">
      <c r="A45" s="2">
        <v>6</v>
      </c>
      <c r="C45" s="38" t="s">
        <v>18</v>
      </c>
      <c r="D45" s="42">
        <f>TRUNC(2886,-1)</f>
        <v>2880</v>
      </c>
      <c r="E45" s="63">
        <f t="shared" si="1"/>
        <v>9520</v>
      </c>
    </row>
    <row r="46" spans="1:7" x14ac:dyDescent="0.3">
      <c r="A46" s="2">
        <v>7</v>
      </c>
      <c r="C46" s="38" t="s">
        <v>19</v>
      </c>
      <c r="D46" s="42">
        <f>TRUNC(5062,-1)</f>
        <v>5060</v>
      </c>
      <c r="E46" s="63">
        <f t="shared" si="1"/>
        <v>16720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TRUNC(19618,-1)</f>
        <v>19610</v>
      </c>
      <c r="E48" s="63">
        <f t="shared" si="1"/>
        <v>64820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TRUNC(7635,-1)</f>
        <v>7630</v>
      </c>
      <c r="E49" s="63">
        <f t="shared" si="1"/>
        <v>25220</v>
      </c>
    </row>
    <row r="50" spans="1:7" x14ac:dyDescent="0.3">
      <c r="A50" s="2">
        <v>11</v>
      </c>
      <c r="C50" s="38" t="s">
        <v>155</v>
      </c>
      <c r="D50" s="42">
        <f>TRUNC(35682,-1)</f>
        <v>35680</v>
      </c>
      <c r="E50" s="63">
        <f t="shared" si="1"/>
        <v>117950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TRUNC(10817,-1)</f>
        <v>10810</v>
      </c>
      <c r="E52" s="63">
        <f t="shared" si="1"/>
        <v>35730</v>
      </c>
    </row>
    <row r="53" spans="1:7" x14ac:dyDescent="0.3">
      <c r="A53" s="2">
        <v>14</v>
      </c>
      <c r="C53" s="38" t="s">
        <v>25</v>
      </c>
      <c r="D53" s="42">
        <f>TRUNC(205535,-1)</f>
        <v>205530</v>
      </c>
      <c r="E53" s="63">
        <f t="shared" si="1"/>
        <v>679440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TRUNC(2854+3236-703+190+4330,-1)</f>
        <v>9900</v>
      </c>
      <c r="E58" s="63">
        <f t="shared" si="1"/>
        <v>32720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TRUNC(264282,-1)</f>
        <v>264280</v>
      </c>
      <c r="E59" s="64">
        <f t="shared" si="1"/>
        <v>873650</v>
      </c>
    </row>
    <row r="60" spans="1:7" x14ac:dyDescent="0.3">
      <c r="A60" s="2">
        <v>21</v>
      </c>
      <c r="C60" s="27" t="s">
        <v>112</v>
      </c>
      <c r="D60" s="39">
        <f>SUM(D40:D59)</f>
        <v>904020</v>
      </c>
      <c r="E60" s="39">
        <f>SUM(E40:E59)</f>
        <v>2988440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TRUNC(37581,-1)</f>
        <v>37580</v>
      </c>
      <c r="E63" s="62">
        <f>TRUNC(+D63*3.3058,-1)</f>
        <v>124230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37580</v>
      </c>
      <c r="E66" s="65">
        <f>SUM(E63:E65)</f>
        <v>124230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TRUNC(70704,-1)</f>
        <v>70700</v>
      </c>
      <c r="E69" s="62">
        <f t="shared" ref="E69:E94" si="2">TRUNC(+D69*3.3058,-1)</f>
        <v>233720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TRUNC(56454,-1)</f>
        <v>56450</v>
      </c>
      <c r="E71" s="63">
        <f t="shared" si="2"/>
        <v>186610</v>
      </c>
    </row>
    <row r="72" spans="1:7" x14ac:dyDescent="0.3">
      <c r="A72" s="2">
        <v>4</v>
      </c>
      <c r="C72" s="38" t="s">
        <v>33</v>
      </c>
      <c r="D72" s="42">
        <f>TRUNC(9965,-1)</f>
        <v>9960</v>
      </c>
      <c r="E72" s="63">
        <f t="shared" si="2"/>
        <v>32920</v>
      </c>
    </row>
    <row r="73" spans="1:7" x14ac:dyDescent="0.3">
      <c r="A73" s="2">
        <v>5</v>
      </c>
      <c r="C73" s="38" t="s">
        <v>34</v>
      </c>
      <c r="D73" s="42">
        <f>TRUNC(28981,-1)</f>
        <v>28980</v>
      </c>
      <c r="E73" s="63">
        <f t="shared" si="2"/>
        <v>95800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TRUNC(8834,-1)</f>
        <v>8830</v>
      </c>
      <c r="E75" s="63">
        <f t="shared" si="2"/>
        <v>29190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TRUNC(20309,-1)</f>
        <v>20300</v>
      </c>
      <c r="E89" s="63">
        <f t="shared" si="2"/>
        <v>67100</v>
      </c>
    </row>
    <row r="90" spans="1:7" x14ac:dyDescent="0.3">
      <c r="A90" s="2">
        <v>22</v>
      </c>
      <c r="C90" s="38" t="s">
        <v>36</v>
      </c>
      <c r="D90" s="42">
        <f>TRUNC(3547,-1)</f>
        <v>3540</v>
      </c>
      <c r="E90" s="63">
        <f t="shared" si="2"/>
        <v>11700</v>
      </c>
    </row>
    <row r="91" spans="1:7" x14ac:dyDescent="0.3">
      <c r="A91" s="2">
        <v>23</v>
      </c>
      <c r="C91" s="38" t="s">
        <v>37</v>
      </c>
      <c r="D91" s="42">
        <f>TRUNC(196781,-1)</f>
        <v>196780</v>
      </c>
      <c r="E91" s="63">
        <f t="shared" si="2"/>
        <v>650510</v>
      </c>
    </row>
    <row r="92" spans="1:7" x14ac:dyDescent="0.3">
      <c r="A92" s="2">
        <v>24</v>
      </c>
      <c r="C92" s="38" t="s">
        <v>38</v>
      </c>
      <c r="D92" s="42">
        <f>TRUNC(2228,-1)</f>
        <v>2220</v>
      </c>
      <c r="E92" s="63">
        <f t="shared" si="2"/>
        <v>7330</v>
      </c>
    </row>
    <row r="93" spans="1:7" x14ac:dyDescent="0.3">
      <c r="A93" s="2">
        <v>25</v>
      </c>
      <c r="C93" s="38" t="s">
        <v>148</v>
      </c>
      <c r="D93" s="42">
        <f>TRUNC(375566,-1)</f>
        <v>375560</v>
      </c>
      <c r="E93" s="63">
        <f t="shared" si="2"/>
        <v>1241520</v>
      </c>
    </row>
    <row r="94" spans="1:7" ht="17.25" thickBot="1" x14ac:dyDescent="0.35">
      <c r="A94" s="2">
        <v>26</v>
      </c>
      <c r="C94" s="38" t="s">
        <v>47</v>
      </c>
      <c r="D94" s="43">
        <f>TRUNC(71427+1181+43206,-1)</f>
        <v>115810</v>
      </c>
      <c r="E94" s="64">
        <f t="shared" si="2"/>
        <v>382840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889130</v>
      </c>
      <c r="E95" s="39">
        <f>SUM(E69:E94)</f>
        <v>2939240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TRUNC(48911,-1)</f>
        <v>48910</v>
      </c>
      <c r="E98" s="62">
        <f t="shared" ref="E98:E118" si="3">TRUNC(+D98*3.3058,-1)</f>
        <v>161680</v>
      </c>
    </row>
    <row r="99" spans="1:7" x14ac:dyDescent="0.3">
      <c r="A99" s="2">
        <v>2</v>
      </c>
      <c r="C99" s="38" t="s">
        <v>40</v>
      </c>
      <c r="D99" s="42">
        <f>TRUNC(24256,-1)</f>
        <v>24250</v>
      </c>
      <c r="E99" s="63">
        <f t="shared" si="3"/>
        <v>80160</v>
      </c>
    </row>
    <row r="100" spans="1:7" x14ac:dyDescent="0.3">
      <c r="A100" s="2">
        <v>3</v>
      </c>
      <c r="C100" s="38" t="s">
        <v>41</v>
      </c>
      <c r="D100" s="42">
        <f>TRUNC(44400,-1)</f>
        <v>44400</v>
      </c>
      <c r="E100" s="63">
        <f t="shared" si="3"/>
        <v>146770</v>
      </c>
    </row>
    <row r="101" spans="1:7" x14ac:dyDescent="0.3">
      <c r="A101" s="2">
        <v>4</v>
      </c>
      <c r="C101" s="38" t="s">
        <v>42</v>
      </c>
      <c r="D101" s="42">
        <f>TRUNC(208,-1)</f>
        <v>200</v>
      </c>
      <c r="E101" s="63">
        <f t="shared" si="3"/>
        <v>660</v>
      </c>
    </row>
    <row r="102" spans="1:7" x14ac:dyDescent="0.3">
      <c r="A102" s="2">
        <v>5</v>
      </c>
      <c r="C102" s="38" t="s">
        <v>43</v>
      </c>
      <c r="D102" s="42">
        <f>TRUNC(46281,-1)</f>
        <v>46280</v>
      </c>
      <c r="E102" s="63">
        <f t="shared" si="3"/>
        <v>152990</v>
      </c>
    </row>
    <row r="103" spans="1:7" x14ac:dyDescent="0.3">
      <c r="A103" s="2">
        <v>6</v>
      </c>
      <c r="C103" s="38" t="s">
        <v>44</v>
      </c>
      <c r="D103" s="42">
        <f>TRUNC(2325,-1)</f>
        <v>2320</v>
      </c>
      <c r="E103" s="63">
        <f t="shared" si="3"/>
        <v>7660</v>
      </c>
    </row>
    <row r="104" spans="1:7" x14ac:dyDescent="0.3">
      <c r="A104" s="2">
        <v>7</v>
      </c>
      <c r="C104" s="38" t="s">
        <v>45</v>
      </c>
      <c r="D104" s="42">
        <f>TRUNC(6677,-1)</f>
        <v>6670</v>
      </c>
      <c r="E104" s="63">
        <f t="shared" si="3"/>
        <v>22040</v>
      </c>
    </row>
    <row r="105" spans="1:7" x14ac:dyDescent="0.3">
      <c r="A105" s="2">
        <v>8</v>
      </c>
      <c r="C105" s="38" t="s">
        <v>46</v>
      </c>
      <c r="D105" s="42">
        <f>TRUNC(9148,-1)</f>
        <v>9140</v>
      </c>
      <c r="E105" s="63">
        <f t="shared" si="3"/>
        <v>30210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TRUNC(9685,-1)</f>
        <v>9680</v>
      </c>
      <c r="E114" s="63">
        <f t="shared" si="3"/>
        <v>32000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TRUNC(10959,-1)</f>
        <v>10950</v>
      </c>
      <c r="E116" s="63">
        <f t="shared" si="3"/>
        <v>36190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TRUNC(175088,-1)</f>
        <v>175080</v>
      </c>
      <c r="E117" s="63">
        <f t="shared" si="3"/>
        <v>578770</v>
      </c>
    </row>
    <row r="118" spans="1:7" ht="17.25" thickBot="1" x14ac:dyDescent="0.35">
      <c r="A118" s="2">
        <v>21</v>
      </c>
      <c r="C118" s="38" t="s">
        <v>47</v>
      </c>
      <c r="D118" s="43">
        <f>TRUNC(161,-1)</f>
        <v>160</v>
      </c>
      <c r="E118" s="64">
        <f t="shared" si="3"/>
        <v>520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378040</v>
      </c>
      <c r="E119" s="39">
        <f>SUM(E98:E118)</f>
        <v>1249650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TRUNC(446,-1)</f>
        <v>440</v>
      </c>
      <c r="E122" s="62">
        <f t="shared" ref="E122:E132" si="4">TRUNC(+D122*3.3058,-1)</f>
        <v>1450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TRUNC(371,-1)</f>
        <v>370</v>
      </c>
      <c r="E124" s="63">
        <f t="shared" si="4"/>
        <v>1220</v>
      </c>
    </row>
    <row r="125" spans="1:7" x14ac:dyDescent="0.3">
      <c r="A125" s="2">
        <v>4</v>
      </c>
      <c r="C125" s="38" t="s">
        <v>138</v>
      </c>
      <c r="D125" s="42">
        <f>TRUNC(12441,-1)</f>
        <v>12440</v>
      </c>
      <c r="E125" s="63">
        <f t="shared" si="4"/>
        <v>41120</v>
      </c>
    </row>
    <row r="126" spans="1:7" x14ac:dyDescent="0.3">
      <c r="A126" s="2">
        <v>5</v>
      </c>
      <c r="C126" s="38" t="s">
        <v>53</v>
      </c>
      <c r="D126" s="42">
        <f>TRUNC(708,-1)</f>
        <v>700</v>
      </c>
      <c r="E126" s="63">
        <f t="shared" si="4"/>
        <v>2310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TRUNC(3691,-1)</f>
        <v>3690</v>
      </c>
      <c r="E128" s="63">
        <f t="shared" si="4"/>
        <v>12190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TRUNC(11909,-1)</f>
        <v>11900</v>
      </c>
      <c r="E130" s="63">
        <f t="shared" si="4"/>
        <v>39330</v>
      </c>
    </row>
    <row r="131" spans="1:7" x14ac:dyDescent="0.3">
      <c r="A131" s="2">
        <v>10</v>
      </c>
      <c r="C131" s="38" t="s">
        <v>148</v>
      </c>
      <c r="D131" s="42">
        <f>TRUNC(14833,-1)</f>
        <v>14830</v>
      </c>
      <c r="E131" s="63">
        <f t="shared" si="4"/>
        <v>49020</v>
      </c>
    </row>
    <row r="132" spans="1:7" ht="18" thickBot="1" x14ac:dyDescent="0.35">
      <c r="A132" s="2">
        <v>11</v>
      </c>
      <c r="C132" s="38" t="s">
        <v>47</v>
      </c>
      <c r="D132" s="43">
        <f>TRUNC(161,-1)</f>
        <v>160</v>
      </c>
      <c r="E132" s="64">
        <f t="shared" si="4"/>
        <v>520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44530</v>
      </c>
      <c r="E133" s="39">
        <f>SUM(E122:E132)</f>
        <v>147160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TRUNC(137+1884+3,-1)</f>
        <v>2020</v>
      </c>
      <c r="E137" s="63">
        <f t="shared" si="5"/>
        <v>6670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TRUNC(3236,-1)</f>
        <v>3230</v>
      </c>
      <c r="E139" s="63">
        <f t="shared" si="5"/>
        <v>10670</v>
      </c>
    </row>
    <row r="140" spans="1:7" x14ac:dyDescent="0.3">
      <c r="A140" s="2">
        <v>5</v>
      </c>
      <c r="C140" s="38" t="s">
        <v>57</v>
      </c>
      <c r="D140" s="42">
        <f>TRUNC(1477,-1)</f>
        <v>1470</v>
      </c>
      <c r="E140" s="63">
        <f t="shared" si="5"/>
        <v>4850</v>
      </c>
    </row>
    <row r="141" spans="1:7" x14ac:dyDescent="0.3">
      <c r="A141" s="2">
        <v>6</v>
      </c>
      <c r="C141" s="38" t="s">
        <v>59</v>
      </c>
      <c r="D141" s="42">
        <f>TRUNC(43528,-1)</f>
        <v>43520</v>
      </c>
      <c r="E141" s="63">
        <f t="shared" si="5"/>
        <v>143860</v>
      </c>
    </row>
    <row r="142" spans="1:7" x14ac:dyDescent="0.3">
      <c r="A142" s="2">
        <v>7</v>
      </c>
      <c r="C142" s="38" t="s">
        <v>58</v>
      </c>
      <c r="D142" s="42">
        <f>TRUNC(6983,-1)</f>
        <v>6980</v>
      </c>
      <c r="E142" s="63">
        <f t="shared" si="5"/>
        <v>23070</v>
      </c>
    </row>
    <row r="143" spans="1:7" x14ac:dyDescent="0.3">
      <c r="A143" s="2">
        <v>8</v>
      </c>
      <c r="C143" s="38" t="s">
        <v>62</v>
      </c>
      <c r="D143" s="42">
        <f>TRUNC(11883,-1)</f>
        <v>11880</v>
      </c>
      <c r="E143" s="63">
        <f t="shared" si="5"/>
        <v>39270</v>
      </c>
    </row>
    <row r="144" spans="1:7" x14ac:dyDescent="0.3">
      <c r="A144" s="2">
        <v>9</v>
      </c>
      <c r="C144" s="38" t="s">
        <v>63</v>
      </c>
      <c r="D144" s="42">
        <f>TRUNC(28697,-1)</f>
        <v>28690</v>
      </c>
      <c r="E144" s="63">
        <f t="shared" si="5"/>
        <v>94840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97790</v>
      </c>
      <c r="E146" s="39">
        <f>SUM(E136:E145)</f>
        <v>323230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TRUNC(10569+3217,-1)</f>
        <v>13780</v>
      </c>
      <c r="E149" s="62">
        <f>TRUNC(+D149*3.3058,-1)</f>
        <v>45550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TRUNC(4027,-1)</f>
        <v>4020</v>
      </c>
      <c r="E150" s="63">
        <f>TRUNC(+D150*3.3058,-1)</f>
        <v>13280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TRUNC(24722+1142+762,-1)</f>
        <v>26620</v>
      </c>
      <c r="E152" s="63">
        <f>TRUNC(+D152*3.3058,-1)</f>
        <v>88000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TRUNC(60745,-1)</f>
        <v>60740</v>
      </c>
      <c r="E153" s="64">
        <f>TRUNC(+D153*3.3058,-1)</f>
        <v>200790</v>
      </c>
    </row>
    <row r="154" spans="1:7" x14ac:dyDescent="0.3">
      <c r="A154" s="2">
        <v>6</v>
      </c>
      <c r="C154" s="27" t="s">
        <v>112</v>
      </c>
      <c r="D154" s="39">
        <f>SUM(D149:D153)</f>
        <v>105160</v>
      </c>
      <c r="E154" s="39">
        <f>SUM(E149:E153)</f>
        <v>347620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TRUNC(7388,-1)</f>
        <v>7380</v>
      </c>
      <c r="E157" s="62">
        <f>TRUNC(+D157*3.3058,-1)</f>
        <v>24390</v>
      </c>
    </row>
    <row r="158" spans="1:7" x14ac:dyDescent="0.3">
      <c r="A158" s="2">
        <v>2</v>
      </c>
      <c r="C158" s="38" t="s">
        <v>52</v>
      </c>
      <c r="D158" s="42">
        <f>TRUNC(2333,-1)</f>
        <v>2330</v>
      </c>
      <c r="E158" s="63">
        <f>TRUNC(+D158*3.3058,-1)</f>
        <v>7700</v>
      </c>
      <c r="F158" s="2" t="s">
        <v>264</v>
      </c>
    </row>
    <row r="159" spans="1:7" x14ac:dyDescent="0.3">
      <c r="A159" s="2">
        <v>3</v>
      </c>
      <c r="C159" s="38" t="s">
        <v>47</v>
      </c>
      <c r="D159" s="42">
        <f>TRUNC(4729,-1)</f>
        <v>4720</v>
      </c>
      <c r="E159" s="63">
        <f>TRUNC(+D159*3.3058,-1)</f>
        <v>15600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f>TRUNC(6947,-1)</f>
        <v>6940</v>
      </c>
      <c r="E160" s="64">
        <f>TRUNC(+D160*3.3058,-1)</f>
        <v>22940</v>
      </c>
    </row>
    <row r="161" spans="1:5" x14ac:dyDescent="0.3">
      <c r="A161" s="2">
        <v>5</v>
      </c>
      <c r="C161" s="27" t="s">
        <v>112</v>
      </c>
      <c r="D161" s="39">
        <f>SUM(D157:D160)</f>
        <v>21370</v>
      </c>
      <c r="E161" s="39">
        <f>SUM(E157:E160)</f>
        <v>70630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2020-12-08T04:00:20Z</dcterms:modified>
</cp:coreProperties>
</file>