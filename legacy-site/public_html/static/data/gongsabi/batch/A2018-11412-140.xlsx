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7" i="4"/>
  <c r="D152" i="4"/>
  <c r="D151" i="4"/>
  <c r="D150" i="4"/>
  <c r="D149" i="4"/>
  <c r="D137" i="4"/>
  <c r="D144" i="4"/>
  <c r="D143" i="4"/>
  <c r="D139" i="4"/>
  <c r="D141" i="4"/>
  <c r="D142" i="4"/>
  <c r="D140" i="4"/>
  <c r="D128" i="4"/>
  <c r="D132" i="4"/>
  <c r="D125" i="4"/>
  <c r="D130" i="4"/>
  <c r="D126" i="4"/>
  <c r="D118" i="4"/>
  <c r="D105" i="4"/>
  <c r="D103" i="4"/>
  <c r="D102" i="4"/>
  <c r="D101" i="4"/>
  <c r="D100" i="4"/>
  <c r="D99" i="4"/>
  <c r="D98" i="4"/>
  <c r="D116" i="4"/>
  <c r="D92" i="4"/>
  <c r="D91" i="4"/>
  <c r="D72" i="4"/>
  <c r="D69" i="4"/>
  <c r="D63" i="4"/>
  <c r="D58" i="4"/>
  <c r="D53" i="4"/>
  <c r="D52" i="4"/>
  <c r="D50" i="4"/>
  <c r="D49" i="4"/>
  <c r="D48" i="4"/>
  <c r="D45" i="4"/>
  <c r="D44" i="4"/>
  <c r="D43" i="4"/>
  <c r="D42" i="4"/>
  <c r="D41" i="4"/>
  <c r="D40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<sst xmlns="http://schemas.openxmlformats.org/spreadsheetml/2006/main" count="393" uniqueCount="268">
  <si>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</si>
  <si>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</si>
  <si>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</si>
  <si>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</si>
  <si>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</si>
  <si>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</si>
  <si>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</si>
  <si>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</si>
  <si>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</si>
  <si>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</si>
  <si>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</si>
  <si>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</si>
  <si>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</si>
  <si>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</si>
  <si>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</si>
  <si>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</si>
  <si>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</si>
  <si>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</si>
  <si>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</si>
  <si>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</si>
  <si>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</si>
  <si>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</si>
  <si>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</si>
  <si>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</si>
  <si>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</si>
  <si>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</si>
  <si>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</si>
  <si>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</si>
  <si>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</si>
  <si>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</si>
  <si>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</si>
  <si>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</si>
  <si>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</si>
  <si>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</si>
  <si>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</si>
  <si>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</si>
  <si>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</si>
  <si>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</si>
  <si>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</si>
  <si>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</si>
  <si>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</si>
  <si>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</si>
  <si>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</si>
  <si>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</si>
  <si>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</si>
  <si>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</si>
  <si>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</si>
  <si>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</si>
  <si>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</si>
  <si>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</si>
  <si>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</si>
  <si>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</si>
  <si>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</si>
  <si>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</si>
  <si>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</si>
  <si>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</si>
  <si>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</si>
  <si>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</si>
  <si>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</si>
  <si>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</si>
  <si>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</si>
  <si>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</si>
  <si>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</si>
  <si>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</si>
  <si>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</si>
  <si>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</si>
  <si>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</si>
  <si>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</si>
  <si>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</si>
  <si>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</si>
  <si>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</si>
  <si>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</si>
  <si>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</si>
  <si>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</si>
  <si>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</si>
  <si>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</si>
  <si>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</si>
  <si>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</si>
  <si>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</si>
  <si>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</si>
  <si>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</si>
  <si>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</si>
  <si>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</si>
  <si>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</si>
  <si>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</si>
  <si>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</si>
  <si>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</si>
  <si>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</si>
  <si>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</si>
  <si>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</si>
  <si>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</si>
  <si>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</si>
  <si>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</si>
  <si>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</si>
  <si>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</si>
  <si>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</si>
  <si>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</si>
  <si>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</si>
  <si>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</si>
  <si>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</si>
  <si>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</si>
  <si>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</si>
  <si>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</si>
  <si>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</si>
  <si>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</si>
  <si>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</si>
  <si>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</si>
  <si>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</si>
  <si>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</si>
  <si>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</si>
  <si>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</si>
  <si>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</si>
  <si>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</si>
  <si>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</si>
  <si>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</si>
  <si>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</si>
  <si>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</si>
  <si>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</si>
  <si>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</si>
  <si>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</si>
  <si>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</si>
  <si>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</si>
  <si>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</si>
  <si>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</si>
  <si>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</si>
  <si>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</si>
  <si>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</si>
  <si>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</si>
  <si>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</si>
  <si>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</si>
  <si>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</si>
  <si>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</si>
  <si>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</si>
  <si>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</si>
  <si>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</si>
  <si>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</si>
  <si>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</si>
  <si>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</si>
  <si>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</si>
  <si>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</si>
  <si>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</si>
  <si>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</si>
  <si>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</si>
  <si>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</si>
  <si>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</si>
  <si>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</si>
  <si>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</si>
  <si>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</si>
  <si>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</si>
  <si>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</si>
  <si>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</si>
  <si>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</si>
  <si>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</si>
  <si>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</si>
  <si>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</si>
  <si>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</si>
  <si>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</si>
  <si>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</si>
  <si>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</si>
  <si>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</si>
  <si>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</si>
  <si>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</si>
  <si>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</si>
  <si>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</si>
  <si>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</si>
  <si>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</si>
  <si>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</si>
  <si>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</si>
  <si>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</si>
  <si>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</si>
  <si>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</si>
  <si>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</si>
  <si>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</si>
  <si>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</si>
  <si>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</si>
  <si>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</si>
  <si>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</si>
  <si>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</si>
  <si>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</si>
  <si>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</si>
  <si>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</si>
  <si>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</si>
  <si>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</si>
  <si>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</si>
  <si>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</si>
  <si>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</si>
  <si>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</si>
  <si>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</si>
  <si>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</si>
  <si>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</si>
  <si>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</si>
  <si>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</si>
  <si>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</si>
  <si>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</si>
  <si>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</si>
  <si>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</si>
  <si>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</si>
  <si>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</si>
  <si>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</si>
  <si>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</si>
  <si>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</si>
  <si>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</si>
  <si>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</si>
  <si>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</si>
  <si>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</si>
  <si>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</si>
  <si>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</si>
  <si>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</si>
  <si>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</si>
  <si>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</si>
  <si>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</si>
  <si>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</si>
  <si>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</si>
  <si>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</si>
  <si>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</si>
  <si>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</si>
  <si>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</si>
  <si>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</si>
  <si>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</si>
  <si>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</si>
  <si>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</si>
  <si>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</si>
  <si>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</si>
  <si>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</si>
  <si>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</si>
  <si>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</si>
  <si>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</si>
  <si>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</si>
  <si>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</si>
  <si>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</si>
  <si>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</si>
  <si>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</si>
  <si>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</si>
  <si>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</si>
  <si>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</si>
  <si>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</si>
  <si>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</si>
  <si>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</si>
  <si>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</si>
  <si>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</si>
  <si>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</si>
  <si>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</si>
  <si>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</si>
  <si>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</si>
  <si>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</si>
  <si>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</si>
  <si>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</si>
  <si>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</si>
  <si>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(가칭)구미강동고등학교 교사 신축 공사</t>
    <phoneticPr fontId="2" type="noConversion"/>
  </si>
  <si>
    <t>교육연구</t>
  </si>
  <si>
    <t>경상도</t>
  </si>
  <si>
    <t>조경시설물</t>
    <phoneticPr fontId="2" type="noConversion"/>
  </si>
  <si>
    <t>우수공사</t>
    <phoneticPr fontId="2" type="noConversion"/>
  </si>
  <si>
    <t>운반비,기타공사</t>
    <phoneticPr fontId="2" type="noConversion"/>
  </si>
  <si>
    <t>옥외소화배관공사,펌프실배관공사,기타공사</t>
    <phoneticPr fontId="2" type="noConversion"/>
  </si>
  <si>
    <t>CCTV설비공사,기타공사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</si>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</sst>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12541.81</v>
      </c>
      <c r="D7" s="36">
        <f>+C7/3.3058</f>
        <v>3793.8804525379633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915820</v>
      </c>
      <c r="E25" s="59">
        <f t="shared" si="0"/>
        <v>3027510</v>
      </c>
    </row>
    <row r="26" spans="1:5" x14ac:dyDescent="0.3">
      <c r="B26" s="2">
        <v>3</v>
      </c>
      <c r="C26" s="35" t="s">
        <v>95</v>
      </c>
      <c r="D26" s="45">
        <f>+D66</f>
        <v>13130</v>
      </c>
      <c r="E26" s="59">
        <f t="shared" si="0"/>
        <v>43400</v>
      </c>
    </row>
    <row r="27" spans="1:5" x14ac:dyDescent="0.3">
      <c r="B27" s="2">
        <v>4</v>
      </c>
      <c r="C27" s="35" t="s">
        <v>96</v>
      </c>
      <c r="D27" s="45">
        <f>+D95</f>
        <v>161740</v>
      </c>
      <c r="E27" s="59">
        <f t="shared" si="0"/>
        <v>534680</v>
      </c>
    </row>
    <row r="28" spans="1:5" x14ac:dyDescent="0.3">
      <c r="B28" s="2">
        <v>5</v>
      </c>
      <c r="C28" s="35" t="s">
        <v>97</v>
      </c>
      <c r="D28" s="45">
        <f>+D119</f>
        <v>209960</v>
      </c>
      <c r="E28" s="59">
        <f t="shared" si="0"/>
        <v>694080</v>
      </c>
    </row>
    <row r="29" spans="1:5" x14ac:dyDescent="0.3">
      <c r="B29" s="2">
        <v>6</v>
      </c>
      <c r="C29" s="35" t="s">
        <v>98</v>
      </c>
      <c r="D29" s="45">
        <f>+D133</f>
        <v>59090</v>
      </c>
      <c r="E29" s="59">
        <f t="shared" si="0"/>
        <v>195330</v>
      </c>
    </row>
    <row r="30" spans="1:5" x14ac:dyDescent="0.3">
      <c r="B30" s="2">
        <v>7</v>
      </c>
      <c r="C30" s="35" t="s">
        <v>99</v>
      </c>
      <c r="D30" s="45">
        <f>+D146</f>
        <v>47000</v>
      </c>
      <c r="E30" s="59">
        <f t="shared" si="0"/>
        <v>155370</v>
      </c>
    </row>
    <row r="31" spans="1:5" x14ac:dyDescent="0.3">
      <c r="B31" s="2">
        <v>8</v>
      </c>
      <c r="C31" s="35" t="s">
        <v>100</v>
      </c>
      <c r="D31" s="45">
        <f>+D154</f>
        <v>39410</v>
      </c>
      <c r="E31" s="59">
        <f t="shared" si="0"/>
        <v>130280</v>
      </c>
    </row>
    <row r="32" spans="1:5" x14ac:dyDescent="0.3">
      <c r="B32" s="2">
        <v>9</v>
      </c>
      <c r="C32" s="35" t="s">
        <v>101</v>
      </c>
      <c r="D32" s="45">
        <f>+D161</f>
        <v>14040</v>
      </c>
      <c r="E32" s="59">
        <f t="shared" si="0"/>
        <v>46410</v>
      </c>
    </row>
    <row r="33" spans="1:7" x14ac:dyDescent="0.3">
      <c r="B33" s="2">
        <v>10</v>
      </c>
      <c r="C33" s="35" t="s">
        <v>154</v>
      </c>
      <c r="D33" s="53">
        <f>TRUNC(SUM(D24:D32)*0.275,-1)</f>
        <v>401550</v>
      </c>
      <c r="E33" s="60">
        <f t="shared" si="0"/>
        <v>1327440</v>
      </c>
    </row>
    <row r="34" spans="1:7" x14ac:dyDescent="0.3">
      <c r="C34" s="35" t="s">
        <v>112</v>
      </c>
      <c r="D34" s="44">
        <f>SUM(D24:D33)</f>
        <v>1861740</v>
      </c>
      <c r="E34" s="44">
        <f>SUM(E24:E33)</f>
        <v>6154500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TRUNC(31489,-1)</f>
        <v>31480</v>
      </c>
      <c r="E40" s="62">
        <f t="shared" ref="E40:E59" si="1">TRUNC(+D40*3.3058,-1)</f>
        <v>104060</v>
      </c>
    </row>
    <row r="41" spans="1:7" x14ac:dyDescent="0.3">
      <c r="A41" s="2">
        <v>2</v>
      </c>
      <c r="C41" s="38" t="s">
        <v>13</v>
      </c>
      <c r="D41" s="42">
        <f>TRUNC(186035,-1)</f>
        <v>186030</v>
      </c>
      <c r="E41" s="63">
        <f t="shared" si="1"/>
        <v>614970</v>
      </c>
    </row>
    <row r="42" spans="1:7" x14ac:dyDescent="0.3">
      <c r="A42" s="2">
        <v>3</v>
      </c>
      <c r="C42" s="38" t="s">
        <v>14</v>
      </c>
      <c r="D42" s="42">
        <f>TRUNC(13689,-1)</f>
        <v>13680</v>
      </c>
      <c r="E42" s="63">
        <f t="shared" si="1"/>
        <v>45220</v>
      </c>
    </row>
    <row r="43" spans="1:7" x14ac:dyDescent="0.3">
      <c r="A43" s="2">
        <v>4</v>
      </c>
      <c r="C43" s="38" t="s">
        <v>16</v>
      </c>
      <c r="D43" s="42">
        <f>TRUNC(27365,-1)</f>
        <v>27360</v>
      </c>
      <c r="E43" s="63">
        <f t="shared" si="1"/>
        <v>90440</v>
      </c>
    </row>
    <row r="44" spans="1:7" x14ac:dyDescent="0.3">
      <c r="A44" s="2">
        <v>5</v>
      </c>
      <c r="C44" s="38" t="s">
        <v>17</v>
      </c>
      <c r="D44" s="42">
        <f>TRUNC(16370,-1)</f>
        <v>16370</v>
      </c>
      <c r="E44" s="63">
        <f t="shared" si="1"/>
        <v>54110</v>
      </c>
    </row>
    <row r="45" spans="1:7" x14ac:dyDescent="0.3">
      <c r="A45" s="2">
        <v>6</v>
      </c>
      <c r="C45" s="38" t="s">
        <v>18</v>
      </c>
      <c r="D45" s="42">
        <f>TRUNC(62523,-1)</f>
        <v>62520</v>
      </c>
      <c r="E45" s="63">
        <f t="shared" si="1"/>
        <v>206670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TRUNC(24399,-1)</f>
        <v>24390</v>
      </c>
      <c r="E48" s="63">
        <f t="shared" si="1"/>
        <v>80620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TRUNC(21066,-1)</f>
        <v>21060</v>
      </c>
      <c r="E49" s="63">
        <f t="shared" si="1"/>
        <v>69620</v>
      </c>
    </row>
    <row r="50" spans="1:7" x14ac:dyDescent="0.3">
      <c r="A50" s="2">
        <v>11</v>
      </c>
      <c r="C50" s="38" t="s">
        <v>155</v>
      </c>
      <c r="D50" s="42">
        <f>TRUNC(50674,-1)</f>
        <v>50670</v>
      </c>
      <c r="E50" s="63">
        <f t="shared" si="1"/>
        <v>167500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TRUNC(12958,-1)</f>
        <v>12950</v>
      </c>
      <c r="E52" s="63">
        <f t="shared" si="1"/>
        <v>42810</v>
      </c>
    </row>
    <row r="53" spans="1:7" x14ac:dyDescent="0.3">
      <c r="A53" s="2">
        <v>14</v>
      </c>
      <c r="C53" s="38" t="s">
        <v>25</v>
      </c>
      <c r="D53" s="42">
        <f>TRUNC(74484,-1)</f>
        <v>74480</v>
      </c>
      <c r="E53" s="63">
        <f t="shared" si="1"/>
        <v>246210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TRUNC(39265+5530+45612,-1)</f>
        <v>90400</v>
      </c>
      <c r="E58" s="63">
        <f t="shared" si="1"/>
        <v>298840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TRUNC(304439,-1)</f>
        <v>304430</v>
      </c>
      <c r="E59" s="64">
        <f t="shared" si="1"/>
        <v>1006380</v>
      </c>
    </row>
    <row r="60" spans="1:7" x14ac:dyDescent="0.3">
      <c r="A60" s="2">
        <v>21</v>
      </c>
      <c r="C60" s="27" t="s">
        <v>112</v>
      </c>
      <c r="D60" s="39">
        <f>SUM(D40:D59)</f>
        <v>915820</v>
      </c>
      <c r="E60" s="39">
        <f>SUM(E40:E59)</f>
        <v>3027450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TRUNC(13137,-1)</f>
        <v>13130</v>
      </c>
      <c r="E63" s="62">
        <f>TRUNC(+D63*3.3058,-1)</f>
        <v>43400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13130</v>
      </c>
      <c r="E66" s="65">
        <f>SUM(E63:E65)</f>
        <v>43400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TRUNC(10865,-1)</f>
        <v>10860</v>
      </c>
      <c r="E69" s="62">
        <f t="shared" ref="E69:E94" si="2">TRUNC(+D69*3.3058,-1)</f>
        <v>35900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TRUNC(5041,-1)</f>
        <v>5040</v>
      </c>
      <c r="E72" s="63">
        <f t="shared" si="2"/>
        <v>16660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TRUNC(9518,-1)</f>
        <v>9510</v>
      </c>
      <c r="E91" s="63">
        <f t="shared" si="2"/>
        <v>31430</v>
      </c>
    </row>
    <row r="92" spans="1:7" x14ac:dyDescent="0.3">
      <c r="A92" s="2">
        <v>24</v>
      </c>
      <c r="C92" s="38" t="s">
        <v>38</v>
      </c>
      <c r="D92" s="42">
        <f>TRUNC(15312,-1)</f>
        <v>15310</v>
      </c>
      <c r="E92" s="63">
        <f t="shared" si="2"/>
        <v>50610</v>
      </c>
    </row>
    <row r="93" spans="1:7" x14ac:dyDescent="0.3">
      <c r="A93" s="2">
        <v>25</v>
      </c>
      <c r="C93" s="38" t="s">
        <v>148</v>
      </c>
      <c r="D93" s="42">
        <f>TRUNC(112005,-1)</f>
        <v>112000</v>
      </c>
      <c r="E93" s="63">
        <f t="shared" si="2"/>
        <v>370240</v>
      </c>
    </row>
    <row r="94" spans="1:7" ht="17.25" thickBot="1" x14ac:dyDescent="0.35">
      <c r="A94" s="2">
        <v>26</v>
      </c>
      <c r="C94" s="38" t="s">
        <v>47</v>
      </c>
      <c r="D94" s="43">
        <f>TRUNC(3249+5001+774,-1)</f>
        <v>9020</v>
      </c>
      <c r="E94" s="64">
        <f t="shared" si="2"/>
        <v>29810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161740</v>
      </c>
      <c r="E95" s="39">
        <f>SUM(E69:E94)</f>
        <v>534650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TRUNC(20514,-1)</f>
        <v>20510</v>
      </c>
      <c r="E98" s="62">
        <f t="shared" ref="E98:E118" si="3">TRUNC(+D98*3.3058,-1)</f>
        <v>67800</v>
      </c>
    </row>
    <row r="99" spans="1:7" x14ac:dyDescent="0.3">
      <c r="A99" s="2">
        <v>2</v>
      </c>
      <c r="C99" s="38" t="s">
        <v>40</v>
      </c>
      <c r="D99" s="42">
        <f>TRUNC(3249,-1)</f>
        <v>3240</v>
      </c>
      <c r="E99" s="63">
        <f t="shared" si="3"/>
        <v>10710</v>
      </c>
    </row>
    <row r="100" spans="1:7" x14ac:dyDescent="0.3">
      <c r="A100" s="2">
        <v>3</v>
      </c>
      <c r="C100" s="38" t="s">
        <v>41</v>
      </c>
      <c r="D100" s="42">
        <f>TRUNC(24265,-1)</f>
        <v>24260</v>
      </c>
      <c r="E100" s="63">
        <f t="shared" si="3"/>
        <v>80190</v>
      </c>
    </row>
    <row r="101" spans="1:7" x14ac:dyDescent="0.3">
      <c r="A101" s="2">
        <v>4</v>
      </c>
      <c r="C101" s="38" t="s">
        <v>42</v>
      </c>
      <c r="D101" s="42">
        <f>TRUNC(2991,-1)</f>
        <v>2990</v>
      </c>
      <c r="E101" s="63">
        <f t="shared" si="3"/>
        <v>9880</v>
      </c>
    </row>
    <row r="102" spans="1:7" x14ac:dyDescent="0.3">
      <c r="A102" s="2">
        <v>5</v>
      </c>
      <c r="C102" s="38" t="s">
        <v>43</v>
      </c>
      <c r="D102" s="42">
        <f>TRUNC(12236,-1)</f>
        <v>12230</v>
      </c>
      <c r="E102" s="63">
        <f t="shared" si="3"/>
        <v>40420</v>
      </c>
    </row>
    <row r="103" spans="1:7" x14ac:dyDescent="0.3">
      <c r="A103" s="2">
        <v>6</v>
      </c>
      <c r="C103" s="38" t="s">
        <v>44</v>
      </c>
      <c r="D103" s="42">
        <f>TRUNC(9861,-1)</f>
        <v>9860</v>
      </c>
      <c r="E103" s="63">
        <f t="shared" si="3"/>
        <v>32590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TRUNC(4324,-1)</f>
        <v>4320</v>
      </c>
      <c r="E105" s="63">
        <f t="shared" si="3"/>
        <v>14280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TRUNC(1925,-1)</f>
        <v>1920</v>
      </c>
      <c r="E116" s="63">
        <f t="shared" si="3"/>
        <v>6340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TRUNC(130365,-1)</f>
        <v>130360</v>
      </c>
      <c r="E117" s="63">
        <f t="shared" si="3"/>
        <v>430940</v>
      </c>
    </row>
    <row r="118" spans="1:7" ht="17.25" thickBot="1" x14ac:dyDescent="0.35">
      <c r="A118" s="2">
        <v>21</v>
      </c>
      <c r="C118" s="38" t="s">
        <v>47</v>
      </c>
      <c r="D118" s="43">
        <f>TRUNC(270,-1)</f>
        <v>270</v>
      </c>
      <c r="E118" s="64">
        <f t="shared" si="3"/>
        <v>890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209960</v>
      </c>
      <c r="E119" s="39">
        <f>SUM(E98:E118)</f>
        <v>694040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TRUNC(6769,-1)</f>
        <v>6760</v>
      </c>
      <c r="E125" s="63">
        <f t="shared" si="4"/>
        <v>22340</v>
      </c>
    </row>
    <row r="126" spans="1:7" x14ac:dyDescent="0.3">
      <c r="A126" s="2">
        <v>5</v>
      </c>
      <c r="C126" s="38" t="s">
        <v>53</v>
      </c>
      <c r="D126" s="42">
        <f>TRUNC(1971,-1)</f>
        <v>1970</v>
      </c>
      <c r="E126" s="63">
        <f t="shared" si="4"/>
        <v>6510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TRUNC(4433,-1)</f>
        <v>4430</v>
      </c>
      <c r="E128" s="63">
        <f t="shared" si="4"/>
        <v>14640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TRUNC(17671,-1)</f>
        <v>17670</v>
      </c>
      <c r="E130" s="63">
        <f t="shared" si="4"/>
        <v>58410</v>
      </c>
    </row>
    <row r="131" spans="1:7" x14ac:dyDescent="0.3">
      <c r="A131" s="2">
        <v>10</v>
      </c>
      <c r="C131" s="38" t="s">
        <v>148</v>
      </c>
      <c r="D131" s="42">
        <f>TRUNC(25795,-1)</f>
        <v>25790</v>
      </c>
      <c r="E131" s="63">
        <f t="shared" si="4"/>
        <v>85250</v>
      </c>
    </row>
    <row r="132" spans="1:7" ht="18" thickBot="1" x14ac:dyDescent="0.35">
      <c r="A132" s="2">
        <v>11</v>
      </c>
      <c r="C132" s="38" t="s">
        <v>47</v>
      </c>
      <c r="D132" s="43">
        <f>TRUNC(2416+58,-1)</f>
        <v>2470</v>
      </c>
      <c r="E132" s="64">
        <f t="shared" si="4"/>
        <v>8160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59090</v>
      </c>
      <c r="E133" s="39">
        <f>SUM(E122:E132)</f>
        <v>195310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TRUNC(104+2187+519,-1)</f>
        <v>2810</v>
      </c>
      <c r="E137" s="63">
        <f t="shared" si="5"/>
        <v>9280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TRUNC(1933,-1)</f>
        <v>1930</v>
      </c>
      <c r="E139" s="63">
        <f t="shared" si="5"/>
        <v>6380</v>
      </c>
    </row>
    <row r="140" spans="1:7" x14ac:dyDescent="0.3">
      <c r="A140" s="2">
        <v>5</v>
      </c>
      <c r="C140" s="38" t="s">
        <v>57</v>
      </c>
      <c r="D140" s="42">
        <f>TRUNC(5877,-1)</f>
        <v>5870</v>
      </c>
      <c r="E140" s="63">
        <f t="shared" si="5"/>
        <v>19400</v>
      </c>
    </row>
    <row r="141" spans="1:7" x14ac:dyDescent="0.3">
      <c r="A141" s="2">
        <v>6</v>
      </c>
      <c r="C141" s="38" t="s">
        <v>59</v>
      </c>
      <c r="D141" s="42">
        <f>TRUNC(11058,-1)</f>
        <v>11050</v>
      </c>
      <c r="E141" s="63">
        <f t="shared" si="5"/>
        <v>36520</v>
      </c>
    </row>
    <row r="142" spans="1:7" x14ac:dyDescent="0.3">
      <c r="A142" s="2">
        <v>7</v>
      </c>
      <c r="C142" s="38" t="s">
        <v>58</v>
      </c>
      <c r="D142" s="42">
        <f>TRUNC(6912,-1)</f>
        <v>6910</v>
      </c>
      <c r="E142" s="63">
        <f t="shared" si="5"/>
        <v>22840</v>
      </c>
    </row>
    <row r="143" spans="1:7" x14ac:dyDescent="0.3">
      <c r="A143" s="2">
        <v>8</v>
      </c>
      <c r="C143" s="38" t="s">
        <v>62</v>
      </c>
      <c r="D143" s="42">
        <f>TRUNC(7093,-1)</f>
        <v>7090</v>
      </c>
      <c r="E143" s="63">
        <f t="shared" si="5"/>
        <v>23430</v>
      </c>
    </row>
    <row r="144" spans="1:7" x14ac:dyDescent="0.3">
      <c r="A144" s="2">
        <v>9</v>
      </c>
      <c r="C144" s="38" t="s">
        <v>63</v>
      </c>
      <c r="D144" s="42">
        <f>TRUNC(11341,-1)</f>
        <v>11340</v>
      </c>
      <c r="E144" s="63">
        <f t="shared" si="5"/>
        <v>37480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47000</v>
      </c>
      <c r="E146" s="39">
        <f>SUM(E136:E145)</f>
        <v>155330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TRUNC(9899,-1)</f>
        <v>9890</v>
      </c>
      <c r="E149" s="62">
        <f>TRUNC(+D149*3.3058,-1)</f>
        <v>32690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TRUNC(12967,-1)</f>
        <v>12960</v>
      </c>
      <c r="E150" s="63">
        <f>TRUNC(+D150*3.3058,-1)</f>
        <v>42840</v>
      </c>
    </row>
    <row r="151" spans="1:7" x14ac:dyDescent="0.3">
      <c r="A151" s="2">
        <v>3</v>
      </c>
      <c r="C151" s="38" t="s">
        <v>50</v>
      </c>
      <c r="D151" s="42">
        <f>TRUNC(16237,-1)</f>
        <v>16230</v>
      </c>
      <c r="E151" s="63">
        <f>TRUNC(+D151*3.3058,-1)</f>
        <v>53650</v>
      </c>
    </row>
    <row r="152" spans="1:7" x14ac:dyDescent="0.3">
      <c r="A152" s="2">
        <v>4</v>
      </c>
      <c r="C152" s="38" t="s">
        <v>47</v>
      </c>
      <c r="D152" s="42">
        <f>TRUNC(168+171,-1)</f>
        <v>330</v>
      </c>
      <c r="E152" s="63">
        <f>TRUNC(+D152*3.3058,-1)</f>
        <v>1090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39410</v>
      </c>
      <c r="E154" s="39">
        <f>SUM(E149:E153)</f>
        <v>130270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TRUNC(13343,-1)</f>
        <v>13340</v>
      </c>
      <c r="E157" s="62">
        <f>TRUNC(+D157*3.3058,-1)</f>
        <v>44090</v>
      </c>
    </row>
    <row r="158" spans="1:7" x14ac:dyDescent="0.3">
      <c r="A158" s="2">
        <v>2</v>
      </c>
      <c r="C158" s="38" t="s">
        <v>52</v>
      </c>
      <c r="D158" s="42">
        <f>TRUNC(709,-1)</f>
        <v>700</v>
      </c>
      <c r="E158" s="63">
        <f>TRUNC(+D158*3.3058,-1)</f>
        <v>2310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14040</v>
      </c>
      <c r="E161" s="39">
        <f>SUM(E157:E160)</f>
        <v>46400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2020-12-08T03:57:50Z</dcterms:modified>
</cp:coreProperties>
</file>