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2" i="4"/>
  <c r="D141" i="4"/>
  <c r="D140" i="4"/>
  <c r="D139" i="4"/>
  <c r="D138" i="4"/>
  <c r="D137" i="4"/>
  <c r="D132" i="4"/>
  <c r="D130" i="4"/>
  <c r="D128" i="4"/>
  <c r="D127" i="4"/>
  <c r="D125" i="4"/>
  <c r="D122" i="4"/>
  <c r="D118" i="4"/>
  <c r="D117" i="4"/>
  <c r="D116" i="4"/>
  <c r="D105" i="4"/>
  <c r="D104" i="4"/>
  <c r="D102" i="4"/>
  <c r="D101" i="4"/>
  <c r="D100" i="4"/>
  <c r="D99" i="4"/>
  <c r="D98" i="4"/>
  <c r="D93" i="4"/>
  <c r="D92" i="4"/>
  <c r="D91" i="4"/>
  <c r="D90" i="4"/>
  <c r="D89" i="4"/>
  <c r="D75" i="4"/>
  <c r="D73" i="4"/>
  <c r="D72" i="4"/>
  <c r="D71" i="4"/>
  <c r="D70" i="4"/>
  <c r="D69" i="4"/>
  <c r="D65" i="4"/>
  <c r="D63" i="4"/>
  <c r="D58" i="4"/>
  <c r="D52" i="4"/>
  <c r="D50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<sst xmlns="http://schemas.openxmlformats.org/spreadsheetml/2006/main" count="392" uniqueCount="266">
  <si>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</si>
  <si>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</si>
  <si>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</si>
  <si>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</si>
  <si>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</si>
  <si>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</si>
  <si>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</si>
  <si>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</si>
  <si>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</si>
  <si>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</si>
  <si>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</si>
  <si>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</si>
  <si>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</si>
  <si>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</si>
  <si>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</si>
  <si>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</si>
  <si>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</si>
  <si>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</si>
  <si>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</si>
  <si>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</si>
  <si>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</si>
  <si>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</si>
  <si>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</si>
  <si>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</si>
  <si>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</si>
  <si>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</si>
  <si>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</si>
  <si>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</si>
  <si>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</si>
  <si>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</si>
  <si>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</si>
  <si>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</si>
  <si>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</si>
  <si>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</si>
  <si>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</si>
  <si>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</si>
  <si>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</si>
  <si>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</si>
  <si>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</si>
  <si>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</si>
  <si>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</si>
  <si>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</si>
  <si>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</si>
  <si>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</si>
  <si>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</si>
  <si>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</si>
  <si>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</si>
  <si>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</si>
  <si>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</si>
  <si>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</si>
  <si>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</si>
  <si>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</si>
  <si>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</si>
  <si>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</si>
  <si>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</si>
  <si>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</si>
  <si>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</si>
  <si>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</si>
  <si>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</si>
  <si>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</si>
  <si>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</si>
  <si>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</si>
  <si>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</si>
  <si>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</si>
  <si>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</si>
  <si>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</si>
  <si>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</si>
  <si>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</si>
  <si>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</si>
  <si>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</si>
  <si>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</si>
  <si>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</si>
  <si>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</si>
  <si>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</si>
  <si>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</si>
  <si>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</si>
  <si>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</si>
  <si>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</si>
  <si>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</si>
  <si>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</si>
  <si>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</si>
  <si>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</si>
  <si>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</si>
  <si>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</si>
  <si>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</si>
  <si>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</si>
  <si>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</si>
  <si>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</si>
  <si>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</si>
  <si>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</si>
  <si>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</si>
  <si>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</si>
  <si>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</si>
  <si>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</si>
  <si>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</si>
  <si>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</si>
  <si>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</si>
  <si>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</si>
  <si>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</si>
  <si>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</si>
  <si>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</si>
  <si>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</si>
  <si>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</si>
  <si>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</si>
  <si>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</si>
  <si>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</si>
  <si>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</si>
  <si>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</si>
  <si>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</si>
  <si>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</si>
  <si>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</si>
  <si>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</si>
  <si>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</si>
  <si>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</si>
  <si>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</si>
  <si>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</si>
  <si>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</si>
  <si>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</si>
  <si>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</si>
  <si>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</si>
  <si>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</si>
  <si>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</si>
  <si>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</si>
  <si>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</si>
  <si>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</si>
  <si>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</si>
  <si>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</si>
  <si>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</si>
  <si>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</si>
  <si>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</si>
  <si>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</si>
  <si>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</si>
  <si>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</si>
  <si>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</si>
  <si>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</si>
  <si>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</si>
  <si>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</si>
  <si>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</si>
  <si>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</si>
  <si>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</si>
  <si>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</si>
  <si>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</si>
  <si>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</si>
  <si>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</si>
  <si>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</si>
  <si>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</si>
  <si>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</si>
  <si>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</si>
  <si>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</si>
  <si>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</si>
  <si>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</si>
  <si>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</si>
  <si>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</si>
  <si>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</si>
  <si>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</si>
  <si>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</si>
  <si>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</si>
  <si>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</si>
  <si>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</si>
  <si>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</si>
  <si>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</si>
  <si>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</si>
  <si>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</si>
  <si>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</si>
  <si>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</si>
  <si>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</si>
  <si>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</si>
  <si>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</si>
  <si>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</si>
  <si>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</si>
  <si>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</si>
  <si>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</si>
  <si>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</si>
  <si>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</si>
  <si>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</si>
  <si>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</si>
  <si>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</si>
  <si>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</si>
  <si>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</si>
  <si>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</si>
  <si>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</si>
  <si>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</si>
  <si>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</si>
  <si>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</si>
  <si>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</si>
  <si>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</si>
  <si>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</si>
  <si>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</si>
  <si>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</si>
  <si>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</si>
  <si>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</si>
  <si>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</si>
  <si>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</si>
  <si>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</si>
  <si>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</si>
  <si>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</si>
  <si>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</si>
  <si>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</si>
  <si>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</si>
  <si>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</si>
  <si>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</si>
  <si>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</si>
  <si>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</si>
  <si>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</si>
  <si>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</si>
  <si>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</si>
  <si>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</si>
  <si>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</si>
  <si>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</si>
  <si>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</si>
  <si>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</si>
  <si>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</si>
  <si>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</si>
  <si>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</si>
  <si>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</si>
  <si>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</si>
  <si>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</si>
  <si>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</si>
  <si>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</si>
  <si>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</si>
  <si>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</si>
  <si>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</si>
  <si>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</si>
  <si>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</si>
  <si>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</si>
  <si>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</si>
  <si>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</si>
  <si>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</si>
  <si>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</si>
  <si>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</si>
  <si>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</si>
  <si>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</si>
  <si>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</si>
  <si>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</si>
  <si>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</si>
  <si>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</si>
  <si>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</si>
  <si>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</si>
  <si>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</si>
  <si>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</si>
  <si>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</si>
  <si>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</si>
  <si>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</si>
  <si>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</si>
  <si>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</si>
  <si>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</si>
  <si>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</si>
  <si>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</si>
  <si>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</si>
  <si>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</si>
  <si>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</si>
  <si>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</si>
  <si>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</si>
  <si>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</si>
  <si>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</si>
  <si>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</si>
  <si>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국립어린이과학관 신축공사</t>
    <phoneticPr fontId="2" type="noConversion"/>
  </si>
  <si>
    <t>문화및집회</t>
  </si>
  <si>
    <t>서울</t>
  </si>
  <si>
    <t>해체및철거공사, 골재비및운반비, 작업부산물, 품질시험비, 기타공사</t>
    <phoneticPr fontId="2" type="noConversion"/>
  </si>
  <si>
    <t>공조배관공사, 우수처리시설공사, 바닥난방공사, 기타공사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</si>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</sst>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5570.51</v>
      </c>
      <c r="D7" s="36">
        <f>+C7/3.3058</f>
        <v>1685.0716921773853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945250</v>
      </c>
      <c r="E25" s="59">
        <f t="shared" si="0"/>
        <v>3124800</v>
      </c>
    </row>
    <row r="26" spans="1:5" x14ac:dyDescent="0.3">
      <c r="B26" s="2">
        <v>3</v>
      </c>
      <c r="C26" s="35" t="s">
        <v>95</v>
      </c>
      <c r="D26" s="45">
        <f>+D66</f>
        <v>99120</v>
      </c>
      <c r="E26" s="59">
        <f t="shared" si="0"/>
        <v>327670</v>
      </c>
    </row>
    <row r="27" spans="1:5" x14ac:dyDescent="0.3">
      <c r="B27" s="2">
        <v>4</v>
      </c>
      <c r="C27" s="35" t="s">
        <v>96</v>
      </c>
      <c r="D27" s="45">
        <f>+D95</f>
        <v>385640</v>
      </c>
      <c r="E27" s="59">
        <f t="shared" si="0"/>
        <v>1274840</v>
      </c>
    </row>
    <row r="28" spans="1:5" x14ac:dyDescent="0.3">
      <c r="B28" s="2">
        <v>5</v>
      </c>
      <c r="C28" s="35" t="s">
        <v>97</v>
      </c>
      <c r="D28" s="45">
        <f>+D119</f>
        <v>303460</v>
      </c>
      <c r="E28" s="59">
        <f t="shared" si="0"/>
        <v>1003170</v>
      </c>
    </row>
    <row r="29" spans="1:5" x14ac:dyDescent="0.3">
      <c r="B29" s="2">
        <v>6</v>
      </c>
      <c r="C29" s="35" t="s">
        <v>98</v>
      </c>
      <c r="D29" s="45">
        <f>+D133</f>
        <v>161640</v>
      </c>
      <c r="E29" s="59">
        <f t="shared" si="0"/>
        <v>534340</v>
      </c>
    </row>
    <row r="30" spans="1:5" x14ac:dyDescent="0.3">
      <c r="B30" s="2">
        <v>7</v>
      </c>
      <c r="C30" s="35" t="s">
        <v>99</v>
      </c>
      <c r="D30" s="45">
        <f>+D146</f>
        <v>90500</v>
      </c>
      <c r="E30" s="59">
        <f t="shared" si="0"/>
        <v>299170</v>
      </c>
    </row>
    <row r="31" spans="1:5" x14ac:dyDescent="0.3">
      <c r="B31" s="2">
        <v>8</v>
      </c>
      <c r="C31" s="35" t="s">
        <v>100</v>
      </c>
      <c r="D31" s="45">
        <f>+D154</f>
        <v>26550</v>
      </c>
      <c r="E31" s="59">
        <f t="shared" si="0"/>
        <v>87760</v>
      </c>
    </row>
    <row r="32" spans="1:5" x14ac:dyDescent="0.3">
      <c r="B32" s="2">
        <v>9</v>
      </c>
      <c r="C32" s="35" t="s">
        <v>101</v>
      </c>
      <c r="D32" s="45">
        <f>+D161</f>
        <v>37990</v>
      </c>
      <c r="E32" s="59">
        <f t="shared" si="0"/>
        <v>125580</v>
      </c>
    </row>
    <row r="33" spans="1:7" x14ac:dyDescent="0.3">
      <c r="B33" s="2">
        <v>10</v>
      </c>
      <c r="C33" s="35" t="s">
        <v>155</v>
      </c>
      <c r="D33" s="53">
        <f>TRUNC(SUM(D24:D32)*0.275,-1)</f>
        <v>563790</v>
      </c>
      <c r="E33" s="60">
        <f t="shared" si="0"/>
        <v>1863770</v>
      </c>
    </row>
    <row r="34" spans="1:7" x14ac:dyDescent="0.3">
      <c r="C34" s="35" t="s">
        <v>112</v>
      </c>
      <c r="D34" s="44">
        <f>SUM(D24:D33)</f>
        <v>2613940</v>
      </c>
      <c r="E34" s="44">
        <f>SUM(E24:E33)</f>
        <v>8641100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TRUNC(70995,-1)</f>
        <v>70990</v>
      </c>
      <c r="E40" s="62">
        <f t="shared" ref="E40:E59" si="1">TRUNC(+D40*3.3058,-1)</f>
        <v>234670</v>
      </c>
    </row>
    <row r="41" spans="1:7" x14ac:dyDescent="0.3">
      <c r="A41" s="2">
        <v>2</v>
      </c>
      <c r="C41" s="38" t="s">
        <v>13</v>
      </c>
      <c r="D41" s="42">
        <f>TRUNC(112454,-1)</f>
        <v>112450</v>
      </c>
      <c r="E41" s="63">
        <f t="shared" si="1"/>
        <v>371730</v>
      </c>
    </row>
    <row r="42" spans="1:7" x14ac:dyDescent="0.3">
      <c r="A42" s="2">
        <v>3</v>
      </c>
      <c r="C42" s="38" t="s">
        <v>14</v>
      </c>
      <c r="D42" s="42">
        <f>TRUNC(56789,-1)</f>
        <v>56780</v>
      </c>
      <c r="E42" s="63">
        <f t="shared" si="1"/>
        <v>187700</v>
      </c>
    </row>
    <row r="43" spans="1:7" x14ac:dyDescent="0.3">
      <c r="A43" s="2">
        <v>4</v>
      </c>
      <c r="C43" s="38" t="s">
        <v>16</v>
      </c>
      <c r="D43" s="42">
        <f>TRUNC(25607,-1)</f>
        <v>25600</v>
      </c>
      <c r="E43" s="63">
        <f t="shared" si="1"/>
        <v>84620</v>
      </c>
    </row>
    <row r="44" spans="1:7" x14ac:dyDescent="0.3">
      <c r="A44" s="2">
        <v>5</v>
      </c>
      <c r="C44" s="38" t="s">
        <v>17</v>
      </c>
      <c r="D44" s="42">
        <f>TRUNC(34348,-1)</f>
        <v>34340</v>
      </c>
      <c r="E44" s="63">
        <f t="shared" si="1"/>
        <v>113520</v>
      </c>
    </row>
    <row r="45" spans="1:7" x14ac:dyDescent="0.3">
      <c r="A45" s="2">
        <v>6</v>
      </c>
      <c r="C45" s="38" t="s">
        <v>18</v>
      </c>
      <c r="D45" s="42">
        <f>TRUNC(19925,-1)</f>
        <v>19920</v>
      </c>
      <c r="E45" s="63">
        <f t="shared" si="1"/>
        <v>65850</v>
      </c>
    </row>
    <row r="46" spans="1:7" x14ac:dyDescent="0.3">
      <c r="A46" s="2">
        <v>7</v>
      </c>
      <c r="C46" s="38" t="s">
        <v>19</v>
      </c>
      <c r="D46" s="42">
        <f>TRUNC(10556,-1)</f>
        <v>10550</v>
      </c>
      <c r="E46" s="63">
        <f t="shared" si="1"/>
        <v>34870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TRUNC(32714,-1)</f>
        <v>32710</v>
      </c>
      <c r="E48" s="63">
        <f t="shared" si="1"/>
        <v>108130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TRUNC(6858,-1)</f>
        <v>6850</v>
      </c>
      <c r="E49" s="63">
        <f t="shared" si="1"/>
        <v>22640</v>
      </c>
    </row>
    <row r="50" spans="1:7" x14ac:dyDescent="0.3">
      <c r="A50" s="2">
        <v>11</v>
      </c>
      <c r="C50" s="38" t="s">
        <v>156</v>
      </c>
      <c r="D50" s="42">
        <f>TRUNC(84502,-1)</f>
        <v>84500</v>
      </c>
      <c r="E50" s="63">
        <f t="shared" si="1"/>
        <v>279340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TRUNC(13821,-1)</f>
        <v>13820</v>
      </c>
      <c r="E52" s="63">
        <f t="shared" si="1"/>
        <v>45680</v>
      </c>
    </row>
    <row r="53" spans="1:7" x14ac:dyDescent="0.3">
      <c r="A53" s="2">
        <v>14</v>
      </c>
      <c r="C53" s="38" t="s">
        <v>25</v>
      </c>
      <c r="D53" s="42">
        <v>105450</v>
      </c>
      <c r="E53" s="63">
        <f t="shared" si="1"/>
        <v>348590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TRUNC(42830+1026-332+425+238377,-1)</f>
        <v>282320</v>
      </c>
      <c r="E58" s="63">
        <f t="shared" si="1"/>
        <v>933290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v>88970</v>
      </c>
      <c r="E59" s="64">
        <f t="shared" si="1"/>
        <v>294110</v>
      </c>
    </row>
    <row r="60" spans="1:7" x14ac:dyDescent="0.3">
      <c r="A60" s="2">
        <v>21</v>
      </c>
      <c r="C60" s="27" t="s">
        <v>112</v>
      </c>
      <c r="D60" s="39">
        <f>SUM(D40:D59)</f>
        <v>945250</v>
      </c>
      <c r="E60" s="39">
        <f>SUM(E40:E59)</f>
        <v>3124740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TRUNC(20453,-1)</f>
        <v>20450</v>
      </c>
      <c r="E63" s="62">
        <f>TRUNC(+D63*3.3058,-1)</f>
        <v>67600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TRUNC(78674,-1)</f>
        <v>78670</v>
      </c>
      <c r="E65" s="64">
        <f>TRUNC(+D65*3.3058,-1)</f>
        <v>260060</v>
      </c>
    </row>
    <row r="66" spans="1:7" x14ac:dyDescent="0.3">
      <c r="A66" s="2">
        <v>4</v>
      </c>
      <c r="C66" s="27" t="s">
        <v>112</v>
      </c>
      <c r="D66" s="39">
        <f>SUM(D63:D65)</f>
        <v>99120</v>
      </c>
      <c r="E66" s="65">
        <f>SUM(E63:E65)</f>
        <v>327660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TRUNC(12104,-1)</f>
        <v>12100</v>
      </c>
      <c r="E69" s="62">
        <f t="shared" ref="E69:E94" si="2">TRUNC(+D69*3.3058,-1)</f>
        <v>40000</v>
      </c>
    </row>
    <row r="70" spans="1:7" ht="16.5" customHeight="1" x14ac:dyDescent="0.3">
      <c r="A70" s="2">
        <v>2</v>
      </c>
      <c r="C70" s="38" t="s">
        <v>31</v>
      </c>
      <c r="D70" s="42">
        <f>TRUNC(1075,-1)</f>
        <v>1070</v>
      </c>
      <c r="E70" s="63">
        <f t="shared" si="2"/>
        <v>3530</v>
      </c>
    </row>
    <row r="71" spans="1:7" x14ac:dyDescent="0.3">
      <c r="A71" s="2">
        <v>3</v>
      </c>
      <c r="C71" s="38" t="s">
        <v>32</v>
      </c>
      <c r="D71" s="42">
        <f>TRUNC(16101,-1)</f>
        <v>16100</v>
      </c>
      <c r="E71" s="63">
        <f t="shared" si="2"/>
        <v>53220</v>
      </c>
    </row>
    <row r="72" spans="1:7" x14ac:dyDescent="0.3">
      <c r="A72" s="2">
        <v>4</v>
      </c>
      <c r="C72" s="38" t="s">
        <v>33</v>
      </c>
      <c r="D72" s="42">
        <f>TRUNC(1983,-1)</f>
        <v>1980</v>
      </c>
      <c r="E72" s="63">
        <f t="shared" si="2"/>
        <v>6540</v>
      </c>
    </row>
    <row r="73" spans="1:7" x14ac:dyDescent="0.3">
      <c r="A73" s="2">
        <v>5</v>
      </c>
      <c r="C73" s="38" t="s">
        <v>34</v>
      </c>
      <c r="D73" s="42">
        <f>TRUNC(15356,-1)</f>
        <v>15350</v>
      </c>
      <c r="E73" s="63">
        <f t="shared" si="2"/>
        <v>50740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TRUNC(1928,-1)</f>
        <v>1920</v>
      </c>
      <c r="E75" s="63">
        <f t="shared" si="2"/>
        <v>6340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TRUNC(16902,-1)</f>
        <v>16900</v>
      </c>
      <c r="E89" s="63">
        <f t="shared" si="2"/>
        <v>55860</v>
      </c>
    </row>
    <row r="90" spans="1:7" x14ac:dyDescent="0.3">
      <c r="A90" s="2">
        <v>22</v>
      </c>
      <c r="C90" s="38" t="s">
        <v>36</v>
      </c>
      <c r="D90" s="42">
        <f>TRUNC(3675,-1)</f>
        <v>3670</v>
      </c>
      <c r="E90" s="63">
        <f t="shared" si="2"/>
        <v>12130</v>
      </c>
    </row>
    <row r="91" spans="1:7" x14ac:dyDescent="0.3">
      <c r="A91" s="2">
        <v>23</v>
      </c>
      <c r="C91" s="38" t="s">
        <v>37</v>
      </c>
      <c r="D91" s="42">
        <f>TRUNC(60672,-1)</f>
        <v>60670</v>
      </c>
      <c r="E91" s="63">
        <f t="shared" si="2"/>
        <v>200560</v>
      </c>
    </row>
    <row r="92" spans="1:7" x14ac:dyDescent="0.3">
      <c r="A92" s="2">
        <v>24</v>
      </c>
      <c r="C92" s="38" t="s">
        <v>38</v>
      </c>
      <c r="D92" s="42">
        <f>TRUNC(5579,-1)</f>
        <v>5570</v>
      </c>
      <c r="E92" s="63">
        <f t="shared" si="2"/>
        <v>18410</v>
      </c>
    </row>
    <row r="93" spans="1:7" x14ac:dyDescent="0.3">
      <c r="A93" s="2">
        <v>25</v>
      </c>
      <c r="C93" s="38" t="s">
        <v>149</v>
      </c>
      <c r="D93" s="42">
        <f>TRUNC(216784,-1)</f>
        <v>216780</v>
      </c>
      <c r="E93" s="63">
        <f t="shared" si="2"/>
        <v>716630</v>
      </c>
    </row>
    <row r="94" spans="1:7" ht="17.25" thickBot="1" x14ac:dyDescent="0.35">
      <c r="A94" s="2">
        <v>26</v>
      </c>
      <c r="C94" s="38" t="s">
        <v>47</v>
      </c>
      <c r="D94" s="43">
        <f>15538+8874+245+8873</f>
        <v>33530</v>
      </c>
      <c r="E94" s="64">
        <f t="shared" si="2"/>
        <v>110840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385640</v>
      </c>
      <c r="E95" s="39">
        <f>SUM(E69:E94)</f>
        <v>1274800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TRUNC(27292,-1)</f>
        <v>27290</v>
      </c>
      <c r="E98" s="62">
        <f t="shared" ref="E98:E118" si="3">TRUNC(+D98*3.3058,-1)</f>
        <v>90210</v>
      </c>
    </row>
    <row r="99" spans="1:7" x14ac:dyDescent="0.3">
      <c r="A99" s="2">
        <v>2</v>
      </c>
      <c r="C99" s="38" t="s">
        <v>40</v>
      </c>
      <c r="D99" s="42">
        <f>TRUNC(13214,-1)</f>
        <v>13210</v>
      </c>
      <c r="E99" s="63">
        <f t="shared" si="3"/>
        <v>43660</v>
      </c>
    </row>
    <row r="100" spans="1:7" x14ac:dyDescent="0.3">
      <c r="A100" s="2">
        <v>3</v>
      </c>
      <c r="C100" s="38" t="s">
        <v>41</v>
      </c>
      <c r="D100" s="42">
        <f>TRUNC(37568,-1)</f>
        <v>37560</v>
      </c>
      <c r="E100" s="63">
        <f t="shared" si="3"/>
        <v>124160</v>
      </c>
    </row>
    <row r="101" spans="1:7" x14ac:dyDescent="0.3">
      <c r="A101" s="2">
        <v>4</v>
      </c>
      <c r="C101" s="38" t="s">
        <v>42</v>
      </c>
      <c r="D101" s="42">
        <f>TRUNC(4092,-1)</f>
        <v>4090</v>
      </c>
      <c r="E101" s="63">
        <f t="shared" si="3"/>
        <v>13520</v>
      </c>
    </row>
    <row r="102" spans="1:7" x14ac:dyDescent="0.3">
      <c r="A102" s="2">
        <v>5</v>
      </c>
      <c r="C102" s="38" t="s">
        <v>43</v>
      </c>
      <c r="D102" s="42">
        <f>TRUNC(19458,-1)</f>
        <v>19450</v>
      </c>
      <c r="E102" s="63">
        <f t="shared" si="3"/>
        <v>64290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TRUNC(12221,-1)</f>
        <v>12220</v>
      </c>
      <c r="E104" s="63">
        <f t="shared" si="3"/>
        <v>40390</v>
      </c>
    </row>
    <row r="105" spans="1:7" x14ac:dyDescent="0.3">
      <c r="A105" s="2">
        <v>8</v>
      </c>
      <c r="C105" s="38" t="s">
        <v>46</v>
      </c>
      <c r="D105" s="42">
        <f>TRUNC(14668,-1)</f>
        <v>14660</v>
      </c>
      <c r="E105" s="63">
        <f t="shared" si="3"/>
        <v>48460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TRUNC(7669,-1)</f>
        <v>7660</v>
      </c>
      <c r="E116" s="63">
        <f t="shared" si="3"/>
        <v>25320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TRUNC(165048,-1)</f>
        <v>165040</v>
      </c>
      <c r="E117" s="63">
        <f t="shared" si="3"/>
        <v>545580</v>
      </c>
    </row>
    <row r="118" spans="1:7" ht="17.25" thickBot="1" x14ac:dyDescent="0.35">
      <c r="A118" s="2">
        <v>21</v>
      </c>
      <c r="C118" s="38" t="s">
        <v>47</v>
      </c>
      <c r="D118" s="43">
        <f>TRUNC(2288,-1)</f>
        <v>2280</v>
      </c>
      <c r="E118" s="64">
        <f t="shared" si="3"/>
        <v>7530</v>
      </c>
    </row>
    <row r="119" spans="1:7" x14ac:dyDescent="0.3">
      <c r="A119" s="2">
        <v>22</v>
      </c>
      <c r="C119" s="27" t="s">
        <v>112</v>
      </c>
      <c r="D119" s="39">
        <f>SUM(D98:D118)</f>
        <v>303460</v>
      </c>
      <c r="E119" s="39">
        <f>SUM(E98:E118)</f>
        <v>1003120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TRUNC(3073,-1)</f>
        <v>3070</v>
      </c>
      <c r="E122" s="62">
        <f t="shared" ref="E122:E132" si="4">TRUNC(+D122*3.3058,-1)</f>
        <v>10140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1700</v>
      </c>
      <c r="E124" s="63">
        <f t="shared" si="4"/>
        <v>5610</v>
      </c>
    </row>
    <row r="125" spans="1:7" x14ac:dyDescent="0.3">
      <c r="A125" s="2">
        <v>4</v>
      </c>
      <c r="C125" s="38" t="s">
        <v>138</v>
      </c>
      <c r="D125" s="42">
        <f>TRUNC(11835,-1)</f>
        <v>11830</v>
      </c>
      <c r="E125" s="63">
        <f t="shared" si="4"/>
        <v>39100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TRUNC(5774,-1)</f>
        <v>5770</v>
      </c>
      <c r="E127" s="63">
        <f t="shared" si="4"/>
        <v>19070</v>
      </c>
    </row>
    <row r="128" spans="1:7" x14ac:dyDescent="0.3">
      <c r="A128" s="2">
        <v>7</v>
      </c>
      <c r="C128" s="38" t="s">
        <v>46</v>
      </c>
      <c r="D128" s="42">
        <f>TRUNC(9019,-1)</f>
        <v>9010</v>
      </c>
      <c r="E128" s="63">
        <f t="shared" si="4"/>
        <v>29780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TRUNC(28741,-1)</f>
        <v>28740</v>
      </c>
      <c r="E130" s="63">
        <f t="shared" si="4"/>
        <v>95000</v>
      </c>
    </row>
    <row r="131" spans="1:7" x14ac:dyDescent="0.3">
      <c r="A131" s="2">
        <v>10</v>
      </c>
      <c r="C131" s="38" t="s">
        <v>149</v>
      </c>
      <c r="D131" s="42">
        <v>94480</v>
      </c>
      <c r="E131" s="63">
        <f t="shared" si="4"/>
        <v>312330</v>
      </c>
    </row>
    <row r="132" spans="1:7" ht="18" thickBot="1" x14ac:dyDescent="0.35">
      <c r="A132" s="2">
        <v>11</v>
      </c>
      <c r="C132" s="38" t="s">
        <v>47</v>
      </c>
      <c r="D132" s="43">
        <f>TRUNC(6861+180,-1)</f>
        <v>7040</v>
      </c>
      <c r="E132" s="64">
        <f t="shared" si="4"/>
        <v>23270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161640</v>
      </c>
      <c r="E133" s="39">
        <f>SUM(E122:E132)</f>
        <v>534300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TRUNC(261+4690+1698,-1)</f>
        <v>6640</v>
      </c>
      <c r="E137" s="63">
        <f t="shared" si="5"/>
        <v>21950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TRUNC(5482,-1)</f>
        <v>5480</v>
      </c>
      <c r="E138" s="63">
        <f t="shared" si="5"/>
        <v>18110</v>
      </c>
    </row>
    <row r="139" spans="1:7" x14ac:dyDescent="0.3">
      <c r="A139" s="2">
        <v>4</v>
      </c>
      <c r="C139" s="38" t="s">
        <v>61</v>
      </c>
      <c r="D139" s="42">
        <f>TRUNC(9106,-1)</f>
        <v>9100</v>
      </c>
      <c r="E139" s="63">
        <f t="shared" si="5"/>
        <v>30080</v>
      </c>
    </row>
    <row r="140" spans="1:7" x14ac:dyDescent="0.3">
      <c r="A140" s="2">
        <v>5</v>
      </c>
      <c r="C140" s="38" t="s">
        <v>57</v>
      </c>
      <c r="D140" s="42">
        <f>TRUNC(3356,-1)</f>
        <v>3350</v>
      </c>
      <c r="E140" s="63">
        <f t="shared" si="5"/>
        <v>11070</v>
      </c>
    </row>
    <row r="141" spans="1:7" x14ac:dyDescent="0.3">
      <c r="A141" s="2">
        <v>6</v>
      </c>
      <c r="C141" s="38" t="s">
        <v>59</v>
      </c>
      <c r="D141" s="42">
        <f>TRUNC(30358,-1)</f>
        <v>30350</v>
      </c>
      <c r="E141" s="63">
        <f t="shared" si="5"/>
        <v>100330</v>
      </c>
    </row>
    <row r="142" spans="1:7" x14ac:dyDescent="0.3">
      <c r="A142" s="2">
        <v>7</v>
      </c>
      <c r="C142" s="38" t="s">
        <v>58</v>
      </c>
      <c r="D142" s="42">
        <f>TRUNC(7302,-1)</f>
        <v>7300</v>
      </c>
      <c r="E142" s="63">
        <f t="shared" si="5"/>
        <v>24130</v>
      </c>
    </row>
    <row r="143" spans="1:7" x14ac:dyDescent="0.3">
      <c r="A143" s="2">
        <v>8</v>
      </c>
      <c r="C143" s="38" t="s">
        <v>62</v>
      </c>
      <c r="D143" s="42">
        <v>5840</v>
      </c>
      <c r="E143" s="63">
        <f t="shared" si="5"/>
        <v>19300</v>
      </c>
    </row>
    <row r="144" spans="1:7" x14ac:dyDescent="0.3">
      <c r="A144" s="2">
        <v>9</v>
      </c>
      <c r="C144" s="38" t="s">
        <v>63</v>
      </c>
      <c r="D144" s="42">
        <f>TRUNC(22449,-1)</f>
        <v>22440</v>
      </c>
      <c r="E144" s="63">
        <f t="shared" si="5"/>
        <v>74180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90500</v>
      </c>
      <c r="E146" s="39">
        <f>SUM(E136:E145)</f>
        <v>299150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TRUNC(449,-1)</f>
        <v>440</v>
      </c>
      <c r="E149" s="62">
        <f>TRUNC(+D149*3.3058,-1)</f>
        <v>1450</v>
      </c>
    </row>
    <row r="150" spans="1:7" x14ac:dyDescent="0.3">
      <c r="A150" s="2">
        <v>2</v>
      </c>
      <c r="C150" s="38" t="s">
        <v>49</v>
      </c>
      <c r="D150" s="42">
        <f>TRUNC(3791,-1)</f>
        <v>3790</v>
      </c>
      <c r="E150" s="63">
        <f>TRUNC(+D150*3.3058,-1)</f>
        <v>12520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TRUNC(13562+6160,-1)</f>
        <v>19720</v>
      </c>
      <c r="E152" s="63">
        <f>TRUNC(+D152*3.3058,-1)</f>
        <v>65190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TRUNC(2603,-1)</f>
        <v>2600</v>
      </c>
      <c r="E153" s="64">
        <f>TRUNC(+D153*3.3058,-1)</f>
        <v>8590</v>
      </c>
    </row>
    <row r="154" spans="1:7" x14ac:dyDescent="0.3">
      <c r="A154" s="2">
        <v>6</v>
      </c>
      <c r="C154" s="27" t="s">
        <v>112</v>
      </c>
      <c r="D154" s="39">
        <f>SUM(D149:D153)</f>
        <v>26550</v>
      </c>
      <c r="E154" s="39">
        <f>SUM(E149:E153)</f>
        <v>87750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TRUNC(9187,-1)</f>
        <v>9180</v>
      </c>
      <c r="E157" s="62">
        <f>TRUNC(+D157*3.3058,-1)</f>
        <v>30340</v>
      </c>
    </row>
    <row r="158" spans="1:7" x14ac:dyDescent="0.3">
      <c r="A158" s="2">
        <v>2</v>
      </c>
      <c r="C158" s="38" t="s">
        <v>52</v>
      </c>
      <c r="D158" s="42">
        <f>TRUNC(12841,-1)</f>
        <v>12840</v>
      </c>
      <c r="E158" s="63">
        <f>TRUNC(+D158*3.3058,-1)</f>
        <v>42440</v>
      </c>
    </row>
    <row r="159" spans="1:7" x14ac:dyDescent="0.3">
      <c r="A159" s="2">
        <v>3</v>
      </c>
      <c r="C159" s="38" t="s">
        <v>47</v>
      </c>
      <c r="D159" s="42">
        <f>TRUNC(15947+30,-1)</f>
        <v>15970</v>
      </c>
      <c r="E159" s="63">
        <f>TRUNC(+D159*3.3058,-1)</f>
        <v>52790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37990</v>
      </c>
      <c r="E161" s="39">
        <f>SUM(E157:E160)</f>
        <v>125570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2020-12-08T01:14:21Z</dcterms:modified>
</cp:coreProperties>
</file>