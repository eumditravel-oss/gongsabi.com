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0" i="4"/>
  <c r="D149" i="4"/>
  <c r="D145" i="4"/>
  <c r="D143" i="4"/>
  <c r="D142" i="4"/>
  <c r="D141" i="4"/>
  <c r="D140" i="4"/>
  <c r="D139" i="4"/>
  <c r="D137" i="4"/>
  <c r="D132" i="4"/>
  <c r="D131" i="4"/>
  <c r="D130" i="4"/>
  <c r="D128" i="4"/>
  <c r="D127" i="4"/>
  <c r="D126" i="4"/>
  <c r="D125" i="4"/>
  <c r="D124" i="4"/>
  <c r="D122" i="4"/>
  <c r="D117" i="4"/>
  <c r="D116" i="4"/>
  <c r="D105" i="4"/>
  <c r="D104" i="4"/>
  <c r="D102" i="4"/>
  <c r="D101" i="4"/>
  <c r="D100" i="4"/>
  <c r="D99" i="4"/>
  <c r="D98" i="4"/>
  <c r="D94" i="4"/>
  <c r="D92" i="4"/>
  <c r="D91" i="4"/>
  <c r="D90" i="4"/>
  <c r="D89" i="4"/>
  <c r="D75" i="4"/>
  <c r="D73" i="4"/>
  <c r="D72" i="4"/>
  <c r="D70" i="4"/>
  <c r="D69" i="4"/>
  <c r="D63" i="4"/>
  <c r="D59" i="4"/>
  <c r="D58" i="4"/>
  <c r="D53" i="4"/>
  <c r="D52" i="4"/>
  <c r="D50" i="4"/>
  <c r="D48" i="4"/>
  <c r="D46" i="4"/>
  <c r="D45" i="4"/>
  <c r="D44" i="4"/>
  <c r="D43" i="4"/>
  <c r="D42" i="4"/>
  <c r="D41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<sst xmlns="http://schemas.openxmlformats.org/spreadsheetml/2006/main" count="392" uniqueCount="266">
  <si>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</si>
  <si>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</si>
  <si>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</si>
  <si>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</si>
  <si>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</si>
  <si>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</si>
  <si>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</si>
  <si>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</si>
  <si>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</si>
  <si>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</si>
  <si>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</si>
  <si>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</si>
  <si>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</si>
  <si>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</si>
  <si>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</si>
  <si>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</si>
  <si>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</si>
  <si>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</si>
  <si>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</si>
  <si>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</si>
  <si>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</si>
  <si>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</si>
  <si>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</si>
  <si>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</si>
  <si>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</si>
  <si>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</si>
  <si>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</si>
  <si>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</si>
  <si>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</si>
  <si>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</si>
  <si>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</si>
  <si>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</si>
  <si>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</si>
  <si>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</si>
  <si>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</si>
  <si>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</si>
  <si>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</si>
  <si>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</si>
  <si>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</si>
  <si>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</si>
  <si>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</si>
  <si>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</si>
  <si>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</si>
  <si>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</si>
  <si>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</si>
  <si>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</si>
  <si>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</si>
  <si>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</si>
  <si>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</si>
  <si>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</si>
  <si>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</si>
  <si>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</si>
  <si>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</si>
  <si>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</si>
  <si>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</si>
  <si>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</si>
  <si>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</si>
  <si>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</si>
  <si>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</si>
  <si>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</si>
  <si>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</si>
  <si>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</si>
  <si>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</si>
  <si>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</si>
  <si>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</si>
  <si>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</si>
  <si>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</si>
  <si>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</si>
  <si>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</si>
  <si>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</si>
  <si>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</si>
  <si>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</si>
  <si>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</si>
  <si>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</si>
  <si>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</si>
  <si>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</si>
  <si>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</si>
  <si>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</si>
  <si>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</si>
  <si>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</si>
  <si>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</si>
  <si>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</si>
  <si>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</si>
  <si>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</si>
  <si>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</si>
  <si>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</si>
  <si>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</si>
  <si>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</si>
  <si>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</si>
  <si>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</si>
  <si>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</si>
  <si>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</si>
  <si>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</si>
  <si>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</si>
  <si>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</si>
  <si>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</si>
  <si>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</si>
  <si>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</si>
  <si>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</si>
  <si>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</si>
  <si>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</si>
  <si>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</si>
  <si>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</si>
  <si>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</si>
  <si>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</si>
  <si>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</si>
  <si>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</si>
  <si>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</si>
  <si>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</si>
  <si>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</si>
  <si>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</si>
  <si>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</si>
  <si>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</si>
  <si>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</si>
  <si>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</si>
  <si>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</si>
  <si>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</si>
  <si>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</si>
  <si>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</si>
  <si>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</si>
  <si>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</si>
  <si>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</si>
  <si>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</si>
  <si>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</si>
  <si>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</si>
  <si>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</si>
  <si>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</si>
  <si>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</si>
  <si>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</si>
  <si>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</si>
  <si>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</si>
  <si>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</si>
  <si>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</si>
  <si>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</si>
  <si>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</si>
  <si>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</si>
  <si>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</si>
  <si>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</si>
  <si>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</si>
  <si>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</si>
  <si>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</si>
  <si>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</si>
  <si>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</si>
  <si>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</si>
  <si>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</si>
  <si>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</si>
  <si>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</si>
  <si>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</si>
  <si>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</si>
  <si>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</si>
  <si>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</si>
  <si>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</si>
  <si>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</si>
  <si>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</si>
  <si>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</si>
  <si>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</si>
  <si>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</si>
  <si>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</si>
  <si>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</si>
  <si>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</si>
  <si>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</si>
  <si>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</si>
  <si>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</si>
  <si>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</si>
  <si>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</si>
  <si>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</si>
  <si>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</si>
  <si>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</si>
  <si>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</si>
  <si>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</si>
  <si>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</si>
  <si>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</si>
  <si>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</si>
  <si>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</si>
  <si>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</si>
  <si>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</si>
  <si>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</si>
  <si>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</si>
  <si>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</si>
  <si>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</si>
  <si>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</si>
  <si>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</si>
  <si>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</si>
  <si>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</si>
  <si>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</si>
  <si>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</si>
  <si>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</si>
  <si>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</si>
  <si>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</si>
  <si>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</si>
  <si>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</si>
  <si>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</si>
  <si>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</si>
  <si>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</si>
  <si>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</si>
  <si>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</si>
  <si>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</si>
  <si>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</si>
  <si>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</si>
  <si>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</si>
  <si>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</si>
  <si>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</si>
  <si>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</si>
  <si>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</si>
  <si>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</si>
  <si>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</si>
  <si>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</si>
  <si>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</si>
  <si>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</si>
  <si>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</si>
  <si>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</si>
  <si>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</si>
  <si>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</si>
  <si>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</si>
  <si>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</si>
  <si>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</si>
  <si>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</si>
  <si>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</si>
  <si>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</si>
  <si>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</si>
  <si>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</si>
  <si>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</si>
  <si>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</si>
  <si>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</si>
  <si>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</si>
  <si>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</si>
  <si>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</si>
  <si>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</si>
  <si>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</si>
  <si>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</si>
  <si>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</si>
  <si>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</si>
  <si>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</si>
  <si>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</si>
  <si>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</si>
  <si>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</si>
  <si>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</si>
  <si>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</si>
  <si>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</si>
  <si>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</si>
  <si>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</si>
  <si>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</si>
  <si>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</si>
  <si>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</si>
  <si>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</si>
  <si>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</si>
  <si>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</si>
  <si>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</si>
  <si>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</si>
  <si>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</si>
  <si>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</si>
  <si>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</si>
  <si>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 골재비및운반비, 작업부산물, 기타공사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</si>
  <si>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</si>
  <si>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</si>
  <si>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CCTV설비공사, 기타공사</t>
    <phoneticPr fontId="2" type="noConversion"/>
  </si>
  <si>
    <t>포장공사, 기타공사</t>
    <phoneticPr fontId="2" type="noConversion"/>
  </si>
  <si>
    <t>교육연구</t>
  </si>
  <si>
    <t>광주 바이오에너지 연구개발센터 건설사업</t>
    <phoneticPr fontId="2" type="noConversion"/>
  </si>
  <si>
    <t>광주시</t>
  </si>
  <si>
    <t>공조배관공사, 우수처리시설공사, 기타공사</t>
    <phoneticPr fontId="2" type="noConversion"/>
  </si>
  <si>
    <t>옥외소화배관공사, 펌프실배관공사</t>
    <phoneticPr fontId="2" type="noConversion"/>
  </si>
  <si>
    <t>사급자재비, 운반비,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</si>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</sst>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257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5113.9799999999996</v>
      </c>
      <c r="D7" s="36">
        <f>+C7/3.3058</f>
        <v>1546.9719886260509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1026340</v>
      </c>
      <c r="E25" s="59">
        <f t="shared" si="0"/>
        <v>3392870</v>
      </c>
    </row>
    <row r="26" spans="1:5" x14ac:dyDescent="0.3">
      <c r="B26" s="2">
        <v>3</v>
      </c>
      <c r="C26" s="35" t="s">
        <v>95</v>
      </c>
      <c r="D26" s="45">
        <f>+D66</f>
        <v>15710</v>
      </c>
      <c r="E26" s="59">
        <f t="shared" si="0"/>
        <v>51930</v>
      </c>
    </row>
    <row r="27" spans="1:5" x14ac:dyDescent="0.3">
      <c r="B27" s="2">
        <v>4</v>
      </c>
      <c r="C27" s="35" t="s">
        <v>96</v>
      </c>
      <c r="D27" s="45">
        <f>+D95</f>
        <v>524660</v>
      </c>
      <c r="E27" s="59">
        <f t="shared" si="0"/>
        <v>1734420</v>
      </c>
    </row>
    <row r="28" spans="1:5" x14ac:dyDescent="0.3">
      <c r="B28" s="2">
        <v>5</v>
      </c>
      <c r="C28" s="35" t="s">
        <v>97</v>
      </c>
      <c r="D28" s="45">
        <f>+D119</f>
        <v>312570</v>
      </c>
      <c r="E28" s="59">
        <f t="shared" si="0"/>
        <v>1033290</v>
      </c>
    </row>
    <row r="29" spans="1:5" x14ac:dyDescent="0.3">
      <c r="B29" s="2">
        <v>6</v>
      </c>
      <c r="C29" s="35" t="s">
        <v>98</v>
      </c>
      <c r="D29" s="45">
        <f>+D133</f>
        <v>137380</v>
      </c>
      <c r="E29" s="59">
        <f t="shared" si="0"/>
        <v>454150</v>
      </c>
    </row>
    <row r="30" spans="1:5" x14ac:dyDescent="0.3">
      <c r="B30" s="2">
        <v>7</v>
      </c>
      <c r="C30" s="35" t="s">
        <v>99</v>
      </c>
      <c r="D30" s="45">
        <f>+D146</f>
        <v>41900</v>
      </c>
      <c r="E30" s="59">
        <f t="shared" si="0"/>
        <v>138510</v>
      </c>
    </row>
    <row r="31" spans="1:5" x14ac:dyDescent="0.3">
      <c r="B31" s="2">
        <v>8</v>
      </c>
      <c r="C31" s="35" t="s">
        <v>100</v>
      </c>
      <c r="D31" s="45">
        <f>+D154</f>
        <v>47250</v>
      </c>
      <c r="E31" s="59">
        <f t="shared" si="0"/>
        <v>156190</v>
      </c>
    </row>
    <row r="32" spans="1:5" x14ac:dyDescent="0.3">
      <c r="B32" s="2">
        <v>9</v>
      </c>
      <c r="C32" s="35" t="s">
        <v>101</v>
      </c>
      <c r="D32" s="45">
        <f>+D161</f>
        <v>73300</v>
      </c>
      <c r="E32" s="59">
        <f t="shared" si="0"/>
        <v>242310</v>
      </c>
    </row>
    <row r="33" spans="1:7" x14ac:dyDescent="0.3">
      <c r="B33" s="2">
        <v>10</v>
      </c>
      <c r="C33" s="35" t="s">
        <v>155</v>
      </c>
      <c r="D33" s="53">
        <f>TRUNC(SUM(D24:D32)*0.275,-1)</f>
        <v>599250</v>
      </c>
      <c r="E33" s="60">
        <f t="shared" si="0"/>
        <v>1981000</v>
      </c>
    </row>
    <row r="34" spans="1:7" x14ac:dyDescent="0.3">
      <c r="C34" s="35" t="s">
        <v>112</v>
      </c>
      <c r="D34" s="44">
        <f>SUM(D24:D33)</f>
        <v>2778360</v>
      </c>
      <c r="E34" s="44">
        <f>SUM(E24:E33)</f>
        <v>9184670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v>71280</v>
      </c>
      <c r="E40" s="62">
        <f t="shared" ref="E40:E59" si="1">TRUNC(+D40*3.3058,-1)</f>
        <v>235630</v>
      </c>
    </row>
    <row r="41" spans="1:7" x14ac:dyDescent="0.3">
      <c r="A41" s="2">
        <v>2</v>
      </c>
      <c r="C41" s="38" t="s">
        <v>13</v>
      </c>
      <c r="D41" s="42">
        <f>TRUNC(187641,-1)</f>
        <v>187640</v>
      </c>
      <c r="E41" s="63">
        <f t="shared" si="1"/>
        <v>620300</v>
      </c>
    </row>
    <row r="42" spans="1:7" x14ac:dyDescent="0.3">
      <c r="A42" s="2">
        <v>3</v>
      </c>
      <c r="C42" s="38" t="s">
        <v>14</v>
      </c>
      <c r="D42" s="42">
        <f>TRUNC(35007,-1)</f>
        <v>35000</v>
      </c>
      <c r="E42" s="63">
        <f t="shared" si="1"/>
        <v>115700</v>
      </c>
    </row>
    <row r="43" spans="1:7" x14ac:dyDescent="0.3">
      <c r="A43" s="2">
        <v>4</v>
      </c>
      <c r="C43" s="38" t="s">
        <v>16</v>
      </c>
      <c r="D43" s="42">
        <f>TRUNC(26168,-1)</f>
        <v>26160</v>
      </c>
      <c r="E43" s="63">
        <f t="shared" si="1"/>
        <v>86470</v>
      </c>
    </row>
    <row r="44" spans="1:7" x14ac:dyDescent="0.3">
      <c r="A44" s="2">
        <v>5</v>
      </c>
      <c r="C44" s="38" t="s">
        <v>17</v>
      </c>
      <c r="D44" s="42">
        <f>TRUNC(36816,-1)</f>
        <v>36810</v>
      </c>
      <c r="E44" s="63">
        <f t="shared" si="1"/>
        <v>121680</v>
      </c>
    </row>
    <row r="45" spans="1:7" x14ac:dyDescent="0.3">
      <c r="A45" s="2">
        <v>6</v>
      </c>
      <c r="C45" s="38" t="s">
        <v>18</v>
      </c>
      <c r="D45" s="42">
        <f>TRUNC(12579,-1)</f>
        <v>12570</v>
      </c>
      <c r="E45" s="63">
        <f t="shared" si="1"/>
        <v>41550</v>
      </c>
    </row>
    <row r="46" spans="1:7" x14ac:dyDescent="0.3">
      <c r="A46" s="2">
        <v>7</v>
      </c>
      <c r="C46" s="38" t="s">
        <v>19</v>
      </c>
      <c r="D46" s="42">
        <f>TRUNC(51749,-1)</f>
        <v>51740</v>
      </c>
      <c r="E46" s="63">
        <f t="shared" si="1"/>
        <v>171040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TRUNC(79246,-1)</f>
        <v>79240</v>
      </c>
      <c r="E48" s="63">
        <f t="shared" si="1"/>
        <v>261950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v>19350</v>
      </c>
      <c r="E49" s="63">
        <f t="shared" si="1"/>
        <v>63960</v>
      </c>
    </row>
    <row r="50" spans="1:7" x14ac:dyDescent="0.3">
      <c r="A50" s="2">
        <v>11</v>
      </c>
      <c r="C50" s="38" t="s">
        <v>156</v>
      </c>
      <c r="D50" s="42">
        <f>TRUNC(55351,-1)</f>
        <v>55350</v>
      </c>
      <c r="E50" s="63">
        <f t="shared" si="1"/>
        <v>182970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TRUNC(12292,-1)</f>
        <v>12290</v>
      </c>
      <c r="E52" s="63">
        <f t="shared" si="1"/>
        <v>40620</v>
      </c>
    </row>
    <row r="53" spans="1:7" x14ac:dyDescent="0.3">
      <c r="A53" s="2">
        <v>14</v>
      </c>
      <c r="C53" s="38" t="s">
        <v>25</v>
      </c>
      <c r="D53" s="42">
        <f>TRUNC(86454,-1)</f>
        <v>86450</v>
      </c>
      <c r="E53" s="63">
        <f t="shared" si="1"/>
        <v>285780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TRUNC(16070+7794-509+5851,-1)</f>
        <v>29200</v>
      </c>
      <c r="E58" s="63">
        <f t="shared" si="1"/>
        <v>96520</v>
      </c>
      <c r="F58" s="2" t="s">
        <v>252</v>
      </c>
    </row>
    <row r="59" spans="1:7" ht="17.25" thickBot="1" x14ac:dyDescent="0.35">
      <c r="A59" s="2">
        <v>20</v>
      </c>
      <c r="C59" s="38" t="s">
        <v>149</v>
      </c>
      <c r="D59" s="43">
        <f>TRUNC(323261,-1)</f>
        <v>323260</v>
      </c>
      <c r="E59" s="64">
        <f t="shared" si="1"/>
        <v>1068630</v>
      </c>
    </row>
    <row r="60" spans="1:7" x14ac:dyDescent="0.3">
      <c r="A60" s="2">
        <v>21</v>
      </c>
      <c r="C60" s="27" t="s">
        <v>112</v>
      </c>
      <c r="D60" s="39">
        <f>SUM(D40:D59)</f>
        <v>1026340</v>
      </c>
      <c r="E60" s="39">
        <f>SUM(E40:E59)</f>
        <v>3392800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TRUNC(15712,-1)</f>
        <v>15710</v>
      </c>
      <c r="E63" s="62">
        <f>TRUNC(+D63*3.3058,-1)</f>
        <v>51930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15710</v>
      </c>
      <c r="E66" s="65">
        <f>SUM(E63:E65)</f>
        <v>51930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TRUNC(4604,-1)</f>
        <v>4600</v>
      </c>
      <c r="E69" s="62">
        <f t="shared" ref="E69:E94" si="2">TRUNC(+D69*3.3058,-1)</f>
        <v>15200</v>
      </c>
    </row>
    <row r="70" spans="1:7" ht="16.5" customHeight="1" x14ac:dyDescent="0.3">
      <c r="A70" s="2">
        <v>2</v>
      </c>
      <c r="C70" s="38" t="s">
        <v>31</v>
      </c>
      <c r="D70" s="42">
        <f>TRUNC(3799,-1)</f>
        <v>3790</v>
      </c>
      <c r="E70" s="63">
        <f t="shared" si="2"/>
        <v>12520</v>
      </c>
    </row>
    <row r="71" spans="1:7" x14ac:dyDescent="0.3">
      <c r="A71" s="2">
        <v>3</v>
      </c>
      <c r="C71" s="38" t="s">
        <v>32</v>
      </c>
      <c r="D71" s="42">
        <v>23410</v>
      </c>
      <c r="E71" s="63">
        <f t="shared" si="2"/>
        <v>77380</v>
      </c>
    </row>
    <row r="72" spans="1:7" x14ac:dyDescent="0.3">
      <c r="A72" s="2">
        <v>4</v>
      </c>
      <c r="C72" s="38" t="s">
        <v>33</v>
      </c>
      <c r="D72" s="42">
        <f>TRUNC(27191,-1)</f>
        <v>27190</v>
      </c>
      <c r="E72" s="63">
        <f t="shared" si="2"/>
        <v>89880</v>
      </c>
    </row>
    <row r="73" spans="1:7" x14ac:dyDescent="0.3">
      <c r="A73" s="2">
        <v>5</v>
      </c>
      <c r="C73" s="38" t="s">
        <v>34</v>
      </c>
      <c r="D73" s="42">
        <f>TRUNC(10825,-1)</f>
        <v>10820</v>
      </c>
      <c r="E73" s="63">
        <f t="shared" si="2"/>
        <v>35760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TRUNC(796,-1)</f>
        <v>790</v>
      </c>
      <c r="E75" s="63">
        <f t="shared" si="2"/>
        <v>2610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TRUNC(9838,-1)</f>
        <v>9830</v>
      </c>
      <c r="E89" s="63">
        <f t="shared" si="2"/>
        <v>32490</v>
      </c>
    </row>
    <row r="90" spans="1:7" x14ac:dyDescent="0.3">
      <c r="A90" s="2">
        <v>22</v>
      </c>
      <c r="C90" s="38" t="s">
        <v>36</v>
      </c>
      <c r="D90" s="42">
        <f>TRUNC(2309,-1)</f>
        <v>2300</v>
      </c>
      <c r="E90" s="63">
        <f t="shared" si="2"/>
        <v>7600</v>
      </c>
    </row>
    <row r="91" spans="1:7" x14ac:dyDescent="0.3">
      <c r="A91" s="2">
        <v>23</v>
      </c>
      <c r="C91" s="38" t="s">
        <v>37</v>
      </c>
      <c r="D91" s="42">
        <f>TRUNC(36138,-1)</f>
        <v>36130</v>
      </c>
      <c r="E91" s="63">
        <f t="shared" si="2"/>
        <v>119430</v>
      </c>
    </row>
    <row r="92" spans="1:7" x14ac:dyDescent="0.3">
      <c r="A92" s="2">
        <v>24</v>
      </c>
      <c r="C92" s="38" t="s">
        <v>38</v>
      </c>
      <c r="D92" s="42">
        <f>TRUNC(7883,-1)</f>
        <v>7880</v>
      </c>
      <c r="E92" s="63">
        <f t="shared" si="2"/>
        <v>26040</v>
      </c>
    </row>
    <row r="93" spans="1:7" x14ac:dyDescent="0.3">
      <c r="A93" s="2">
        <v>25</v>
      </c>
      <c r="C93" s="38" t="s">
        <v>149</v>
      </c>
      <c r="D93" s="42">
        <v>299780</v>
      </c>
      <c r="E93" s="63">
        <f t="shared" si="2"/>
        <v>991010</v>
      </c>
    </row>
    <row r="94" spans="1:7" ht="17.25" thickBot="1" x14ac:dyDescent="0.35">
      <c r="A94" s="2">
        <v>26</v>
      </c>
      <c r="C94" s="38" t="s">
        <v>47</v>
      </c>
      <c r="D94" s="43">
        <f>TRUNC(16437+77349+4360,-1)</f>
        <v>98140</v>
      </c>
      <c r="E94" s="64">
        <f t="shared" si="2"/>
        <v>324430</v>
      </c>
      <c r="F94" s="2" t="s">
        <v>260</v>
      </c>
    </row>
    <row r="95" spans="1:7" x14ac:dyDescent="0.3">
      <c r="A95" s="2">
        <v>27</v>
      </c>
      <c r="C95" s="27" t="s">
        <v>112</v>
      </c>
      <c r="D95" s="39">
        <f>SUM(D69:D94)</f>
        <v>524660</v>
      </c>
      <c r="E95" s="39">
        <f>SUM(E69:E94)</f>
        <v>1734350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TRUNC(20358,-1)</f>
        <v>20350</v>
      </c>
      <c r="E98" s="62">
        <f t="shared" ref="E98:E118" si="3">TRUNC(+D98*3.3058,-1)</f>
        <v>67270</v>
      </c>
    </row>
    <row r="99" spans="1:7" x14ac:dyDescent="0.3">
      <c r="A99" s="2">
        <v>2</v>
      </c>
      <c r="C99" s="38" t="s">
        <v>40</v>
      </c>
      <c r="D99" s="42">
        <f>TRUNC(16421,-1)</f>
        <v>16420</v>
      </c>
      <c r="E99" s="63">
        <f t="shared" si="3"/>
        <v>54280</v>
      </c>
    </row>
    <row r="100" spans="1:7" x14ac:dyDescent="0.3">
      <c r="A100" s="2">
        <v>3</v>
      </c>
      <c r="C100" s="38" t="s">
        <v>41</v>
      </c>
      <c r="D100" s="42">
        <f>TRUNC(41169,-1)</f>
        <v>41160</v>
      </c>
      <c r="E100" s="63">
        <f t="shared" si="3"/>
        <v>136060</v>
      </c>
    </row>
    <row r="101" spans="1:7" x14ac:dyDescent="0.3">
      <c r="A101" s="2">
        <v>4</v>
      </c>
      <c r="C101" s="38" t="s">
        <v>42</v>
      </c>
      <c r="D101" s="42">
        <f>TRUNC(254,-1)</f>
        <v>250</v>
      </c>
      <c r="E101" s="63">
        <f t="shared" si="3"/>
        <v>820</v>
      </c>
    </row>
    <row r="102" spans="1:7" x14ac:dyDescent="0.3">
      <c r="A102" s="2">
        <v>5</v>
      </c>
      <c r="C102" s="38" t="s">
        <v>43</v>
      </c>
      <c r="D102" s="42">
        <f>TRUNC(26495,-1)</f>
        <v>26490</v>
      </c>
      <c r="E102" s="63">
        <f t="shared" si="3"/>
        <v>87570</v>
      </c>
    </row>
    <row r="103" spans="1:7" x14ac:dyDescent="0.3">
      <c r="A103" s="2">
        <v>6</v>
      </c>
      <c r="C103" s="38" t="s">
        <v>44</v>
      </c>
      <c r="D103" s="42">
        <v>8860</v>
      </c>
      <c r="E103" s="63">
        <f t="shared" si="3"/>
        <v>29280</v>
      </c>
    </row>
    <row r="104" spans="1:7" x14ac:dyDescent="0.3">
      <c r="A104" s="2">
        <v>7</v>
      </c>
      <c r="C104" s="38" t="s">
        <v>45</v>
      </c>
      <c r="D104" s="42">
        <f>TRUNC(9198,-1)</f>
        <v>9190</v>
      </c>
      <c r="E104" s="63">
        <f t="shared" si="3"/>
        <v>30380</v>
      </c>
    </row>
    <row r="105" spans="1:7" x14ac:dyDescent="0.3">
      <c r="A105" s="2">
        <v>8</v>
      </c>
      <c r="C105" s="38" t="s">
        <v>46</v>
      </c>
      <c r="D105" s="42">
        <f>TRUNC(12006,-1)</f>
        <v>12000</v>
      </c>
      <c r="E105" s="63">
        <f t="shared" si="3"/>
        <v>39660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TRUNC(40221,-1)</f>
        <v>40220</v>
      </c>
      <c r="E116" s="63">
        <f t="shared" si="3"/>
        <v>132950</v>
      </c>
      <c r="F116" s="2" t="s">
        <v>253</v>
      </c>
    </row>
    <row r="117" spans="1:7" x14ac:dyDescent="0.3">
      <c r="A117" s="2">
        <v>20</v>
      </c>
      <c r="C117" s="38" t="s">
        <v>149</v>
      </c>
      <c r="D117" s="42">
        <f>TRUNC(137637,-1)</f>
        <v>137630</v>
      </c>
      <c r="E117" s="63">
        <f t="shared" si="3"/>
        <v>454970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312570</v>
      </c>
      <c r="E119" s="39">
        <f>SUM(E98:E118)</f>
        <v>1033240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TRUNC(5941,-1)</f>
        <v>5940</v>
      </c>
      <c r="E122" s="62">
        <f t="shared" ref="E122:E132" si="4">TRUNC(+D122*3.3058,-1)</f>
        <v>19630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TRUNC(1602,-1)</f>
        <v>1600</v>
      </c>
      <c r="E124" s="63">
        <f t="shared" si="4"/>
        <v>5280</v>
      </c>
    </row>
    <row r="125" spans="1:7" x14ac:dyDescent="0.3">
      <c r="A125" s="2">
        <v>4</v>
      </c>
      <c r="C125" s="38" t="s">
        <v>138</v>
      </c>
      <c r="D125" s="42">
        <f>TRUNC(5306,-1)</f>
        <v>5300</v>
      </c>
      <c r="E125" s="63">
        <f t="shared" si="4"/>
        <v>17520</v>
      </c>
    </row>
    <row r="126" spans="1:7" x14ac:dyDescent="0.3">
      <c r="A126" s="2">
        <v>5</v>
      </c>
      <c r="C126" s="38" t="s">
        <v>53</v>
      </c>
      <c r="D126" s="42">
        <f>TRUNC(27904,-1)</f>
        <v>27900</v>
      </c>
      <c r="E126" s="63">
        <f t="shared" si="4"/>
        <v>92230</v>
      </c>
    </row>
    <row r="127" spans="1:7" x14ac:dyDescent="0.3">
      <c r="A127" s="2">
        <v>6</v>
      </c>
      <c r="C127" s="38" t="s">
        <v>56</v>
      </c>
      <c r="D127" s="42">
        <f>TRUNC(3058,-1)</f>
        <v>3050</v>
      </c>
      <c r="E127" s="63">
        <f t="shared" si="4"/>
        <v>10080</v>
      </c>
    </row>
    <row r="128" spans="1:7" x14ac:dyDescent="0.3">
      <c r="A128" s="2">
        <v>7</v>
      </c>
      <c r="C128" s="38" t="s">
        <v>46</v>
      </c>
      <c r="D128" s="42">
        <f>TRUNC(6443,-1)</f>
        <v>6440</v>
      </c>
      <c r="E128" s="63">
        <f t="shared" si="4"/>
        <v>21280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TRUNC(25937,-1)</f>
        <v>25930</v>
      </c>
      <c r="E130" s="63">
        <f t="shared" si="4"/>
        <v>85710</v>
      </c>
    </row>
    <row r="131" spans="1:7" x14ac:dyDescent="0.3">
      <c r="A131" s="2">
        <v>10</v>
      </c>
      <c r="C131" s="38" t="s">
        <v>149</v>
      </c>
      <c r="D131" s="42">
        <f>TRUNC(59508,-1)</f>
        <v>59500</v>
      </c>
      <c r="E131" s="63">
        <f t="shared" si="4"/>
        <v>196690</v>
      </c>
    </row>
    <row r="132" spans="1:7" ht="18" thickBot="1" x14ac:dyDescent="0.35">
      <c r="A132" s="2">
        <v>11</v>
      </c>
      <c r="C132" s="38" t="s">
        <v>47</v>
      </c>
      <c r="D132" s="43">
        <f>TRUNC(1727,-1)</f>
        <v>1720</v>
      </c>
      <c r="E132" s="64">
        <f t="shared" si="4"/>
        <v>5680</v>
      </c>
      <c r="F132" s="54" t="s">
        <v>255</v>
      </c>
    </row>
    <row r="133" spans="1:7" x14ac:dyDescent="0.3">
      <c r="A133" s="2">
        <v>12</v>
      </c>
      <c r="C133" s="27" t="s">
        <v>112</v>
      </c>
      <c r="D133" s="39">
        <f>SUM(D122:D132)</f>
        <v>137380</v>
      </c>
      <c r="E133" s="39">
        <f>SUM(E122:E132)</f>
        <v>454100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TRUNC(5961+2698,-1)</f>
        <v>8650</v>
      </c>
      <c r="E137" s="63">
        <f t="shared" si="5"/>
        <v>28590</v>
      </c>
      <c r="F137" s="2" t="s">
        <v>261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TRUNC(4719,-1)</f>
        <v>4710</v>
      </c>
      <c r="E139" s="63">
        <f t="shared" si="5"/>
        <v>15570</v>
      </c>
    </row>
    <row r="140" spans="1:7" x14ac:dyDescent="0.3">
      <c r="A140" s="2">
        <v>5</v>
      </c>
      <c r="C140" s="38" t="s">
        <v>57</v>
      </c>
      <c r="D140" s="42">
        <f>TRUNC(2013,-1)</f>
        <v>2010</v>
      </c>
      <c r="E140" s="63">
        <f t="shared" si="5"/>
        <v>6640</v>
      </c>
    </row>
    <row r="141" spans="1:7" x14ac:dyDescent="0.3">
      <c r="A141" s="2">
        <v>6</v>
      </c>
      <c r="C141" s="38" t="s">
        <v>59</v>
      </c>
      <c r="D141" s="42">
        <f>TRUNC(1037,-1)</f>
        <v>1030</v>
      </c>
      <c r="E141" s="63">
        <f t="shared" si="5"/>
        <v>3400</v>
      </c>
    </row>
    <row r="142" spans="1:7" x14ac:dyDescent="0.3">
      <c r="A142" s="2">
        <v>7</v>
      </c>
      <c r="C142" s="38" t="s">
        <v>58</v>
      </c>
      <c r="D142" s="42">
        <f>TRUNC(4704,-1)</f>
        <v>4700</v>
      </c>
      <c r="E142" s="63">
        <f t="shared" si="5"/>
        <v>15530</v>
      </c>
    </row>
    <row r="143" spans="1:7" x14ac:dyDescent="0.3">
      <c r="A143" s="2">
        <v>8</v>
      </c>
      <c r="C143" s="38" t="s">
        <v>62</v>
      </c>
      <c r="D143" s="42">
        <f>TRUNC(4507,-1)</f>
        <v>4500</v>
      </c>
      <c r="E143" s="63">
        <f t="shared" si="5"/>
        <v>14870</v>
      </c>
    </row>
    <row r="144" spans="1:7" x14ac:dyDescent="0.3">
      <c r="A144" s="2">
        <v>9</v>
      </c>
      <c r="C144" s="38" t="s">
        <v>63</v>
      </c>
      <c r="D144" s="42">
        <v>12430</v>
      </c>
      <c r="E144" s="63">
        <f t="shared" si="5"/>
        <v>41090</v>
      </c>
    </row>
    <row r="145" spans="1:7" ht="17.25" thickBot="1" x14ac:dyDescent="0.35">
      <c r="A145" s="2">
        <v>10</v>
      </c>
      <c r="C145" s="38" t="s">
        <v>149</v>
      </c>
      <c r="D145" s="43">
        <f>TRUNC(3872,-1)</f>
        <v>3870</v>
      </c>
      <c r="E145" s="64">
        <f t="shared" si="5"/>
        <v>12790</v>
      </c>
    </row>
    <row r="146" spans="1:7" x14ac:dyDescent="0.3">
      <c r="A146" s="2">
        <v>11</v>
      </c>
      <c r="C146" s="27" t="s">
        <v>112</v>
      </c>
      <c r="D146" s="39">
        <f>SUM(D136:D145)</f>
        <v>41900</v>
      </c>
      <c r="E146" s="39">
        <f>SUM(E136:E145)</f>
        <v>138480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TRUNC(22359+6882,-1)</f>
        <v>29240</v>
      </c>
      <c r="E149" s="62">
        <f>TRUNC(+D149*3.3058,-1)</f>
        <v>96660</v>
      </c>
    </row>
    <row r="150" spans="1:7" x14ac:dyDescent="0.3">
      <c r="A150" s="2">
        <v>2</v>
      </c>
      <c r="C150" s="38" t="s">
        <v>49</v>
      </c>
      <c r="D150" s="42">
        <f>TRUNC(9549,-1)</f>
        <v>9540</v>
      </c>
      <c r="E150" s="63">
        <f>TRUNC(+D150*3.3058,-1)</f>
        <v>31530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TRUNC(7494+465+520,-1)</f>
        <v>8470</v>
      </c>
      <c r="E152" s="63">
        <f>TRUNC(+D152*3.3058,-1)</f>
        <v>28000</v>
      </c>
      <c r="F152" s="2" t="s">
        <v>262</v>
      </c>
    </row>
    <row r="153" spans="1:7" ht="17.25" thickBot="1" x14ac:dyDescent="0.35">
      <c r="A153" s="2">
        <v>5</v>
      </c>
      <c r="C153" s="38" t="s">
        <v>149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47250</v>
      </c>
      <c r="E154" s="39">
        <f>SUM(E149:E153)</f>
        <v>156190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TRUNC(60753,-1)</f>
        <v>60750</v>
      </c>
      <c r="E157" s="62">
        <f>TRUNC(+D157*3.3058,-1)</f>
        <v>200820</v>
      </c>
    </row>
    <row r="158" spans="1:7" x14ac:dyDescent="0.3">
      <c r="A158" s="2">
        <v>2</v>
      </c>
      <c r="C158" s="38" t="s">
        <v>52</v>
      </c>
      <c r="D158" s="42">
        <f>TRUNC(3553,-1)</f>
        <v>3550</v>
      </c>
      <c r="E158" s="63">
        <f>TRUNC(+D158*3.3058,-1)</f>
        <v>11730</v>
      </c>
    </row>
    <row r="159" spans="1:7" x14ac:dyDescent="0.3">
      <c r="A159" s="2">
        <v>3</v>
      </c>
      <c r="C159" s="38" t="s">
        <v>47</v>
      </c>
      <c r="D159" s="42">
        <f>TRUNC(7532+1475,-1)</f>
        <v>9000</v>
      </c>
      <c r="E159" s="63">
        <f>TRUNC(+D159*3.3058,-1)</f>
        <v>29750</v>
      </c>
      <c r="F159" s="2" t="s">
        <v>256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73300</v>
      </c>
      <c r="E161" s="39">
        <f>SUM(E157:E160)</f>
        <v>242300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2020-12-08T01:17:23Z</dcterms:modified>
</cp:coreProperties>
</file>