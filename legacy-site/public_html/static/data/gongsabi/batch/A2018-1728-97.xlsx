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8" i="4" l="1"/>
  <c r="D53" i="4"/>
  <c r="D52" i="4"/>
  <c r="D50" i="4"/>
  <c r="D49" i="4"/>
  <c r="D48" i="4"/>
  <c r="D46" i="4"/>
  <c r="D45" i="4"/>
  <c r="D44" i="4"/>
  <c r="D43" i="4"/>
  <c r="D42" i="4"/>
  <c r="D41" i="4"/>
  <c r="D40" i="4"/>
  <c r="D94" i="4"/>
  <c r="D92" i="4"/>
  <c r="D91" i="4"/>
  <c r="D89" i="4"/>
  <c r="D75" i="4"/>
  <c r="D73" i="4"/>
  <c r="D72" i="4"/>
  <c r="D71" i="4"/>
  <c r="D70" i="4"/>
  <c r="D69" i="4"/>
  <c r="D63" i="4"/>
  <c r="D118" i="4"/>
  <c r="D116" i="4"/>
  <c r="D114" i="4"/>
  <c r="D105" i="4"/>
  <c r="D104" i="4"/>
  <c r="D103" i="4"/>
  <c r="D102" i="4"/>
  <c r="D100" i="4"/>
  <c r="D99" i="4"/>
  <c r="D98" i="4"/>
  <c r="D132" i="4"/>
  <c r="D130" i="4"/>
  <c r="D128" i="4"/>
  <c r="D125" i="4"/>
  <c r="D144" i="4"/>
  <c r="D143" i="4"/>
  <c r="D142" i="4"/>
  <c r="D152" i="4"/>
  <c r="D151" i="4"/>
  <c r="D149" i="4"/>
  <c r="D157" i="4"/>
  <c r="D153" i="4"/>
  <c r="D145" i="4"/>
  <c r="D131" i="4"/>
  <c r="D117" i="4"/>
  <c r="D93" i="4"/>
  <c r="D59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l="1"/>
  <c r="D34" i="4"/>
</calcChain>
</file>

<file path=xl/sharedStrings.xml><?xml version="1.0" encoding="utf-8"?>
<sst xmlns="http://schemas.openxmlformats.org/spreadsheetml/2006/main" count="391" uniqueCount="266">
  <si>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</si>
  <si>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</si>
  <si>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</si>
  <si>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</si>
  <si>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</si>
  <si>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</si>
  <si>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</si>
  <si>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</si>
  <si>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</si>
  <si>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</si>
  <si>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</si>
  <si>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</si>
  <si>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</si>
  <si>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</si>
  <si>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</si>
  <si>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</si>
  <si>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</si>
  <si>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</si>
  <si>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</si>
  <si>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</si>
  <si>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</si>
  <si>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</si>
  <si>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</si>
  <si>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</si>
  <si>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</si>
  <si>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</si>
  <si>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</si>
  <si>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</si>
  <si>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</si>
  <si>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</si>
  <si>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</si>
  <si>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</si>
  <si>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</si>
  <si>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</si>
  <si>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</si>
  <si>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</si>
  <si>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</si>
  <si>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</si>
  <si>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</si>
  <si>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</si>
  <si>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</si>
  <si>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</si>
  <si>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</si>
  <si>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</si>
  <si>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</si>
  <si>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</si>
  <si>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</si>
  <si>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</si>
  <si>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</si>
  <si>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</si>
  <si>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</si>
  <si>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</si>
  <si>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</si>
  <si>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</si>
  <si>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</si>
  <si>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</si>
  <si>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</si>
  <si>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</si>
  <si>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</si>
  <si>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</si>
  <si>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</si>
  <si>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</si>
  <si>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</si>
  <si>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</si>
  <si>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</si>
  <si>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</si>
  <si>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</si>
  <si>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</si>
  <si>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</si>
  <si>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</si>
  <si>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</si>
  <si>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</si>
  <si>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</si>
  <si>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</si>
  <si>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</si>
  <si>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</si>
  <si>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</si>
  <si>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</si>
  <si>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</si>
  <si>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</si>
  <si>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</si>
  <si>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</si>
  <si>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</si>
  <si>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</si>
  <si>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</si>
  <si>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</si>
  <si>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</si>
  <si>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</si>
  <si>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</si>
  <si>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</si>
  <si>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</si>
  <si>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</si>
  <si>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</si>
  <si>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</si>
  <si>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</si>
  <si>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</si>
  <si>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</si>
  <si>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</si>
  <si>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</si>
  <si>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</si>
  <si>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</si>
  <si>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</si>
  <si>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</si>
  <si>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</si>
  <si>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</si>
  <si>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</si>
  <si>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</si>
  <si>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</si>
  <si>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</si>
  <si>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</si>
  <si>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</si>
  <si>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</si>
  <si>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</si>
  <si>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</si>
  <si>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</si>
  <si>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</si>
  <si>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</si>
  <si>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</si>
  <si>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</si>
  <si>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</si>
  <si>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</si>
  <si>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</si>
  <si>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</si>
  <si>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</si>
  <si>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</si>
  <si>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</si>
  <si>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</si>
  <si>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</si>
  <si>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</si>
  <si>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</si>
  <si>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</si>
  <si>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</si>
  <si>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</si>
  <si>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</si>
  <si>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</si>
  <si>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</si>
  <si>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</si>
  <si>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</si>
  <si>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</si>
  <si>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</si>
  <si>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</si>
  <si>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</si>
  <si>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</si>
  <si>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</si>
  <si>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</si>
  <si>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</si>
  <si>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</si>
  <si>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</si>
  <si>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</si>
  <si>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</si>
  <si>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</si>
  <si>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</si>
  <si>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</si>
  <si>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</si>
  <si>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</si>
  <si>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</si>
  <si>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</si>
  <si>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</si>
  <si>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</si>
  <si>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</si>
  <si>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</si>
  <si>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</si>
  <si>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</si>
  <si>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</si>
  <si>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</si>
  <si>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</si>
  <si>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</si>
  <si>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</si>
  <si>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</si>
  <si>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</si>
  <si>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</si>
  <si>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</si>
  <si>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</si>
  <si>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</si>
  <si>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</si>
  <si>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</si>
  <si>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</si>
  <si>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</si>
  <si>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</si>
  <si>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</si>
  <si>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</si>
  <si>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</si>
  <si>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</si>
  <si>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</si>
  <si>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</si>
  <si>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</si>
  <si>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</si>
  <si>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</si>
  <si>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</si>
  <si>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</si>
  <si>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</si>
  <si>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</si>
  <si>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</si>
  <si>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</si>
  <si>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</si>
  <si>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</si>
  <si>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</si>
  <si>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</si>
  <si>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</si>
  <si>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</si>
  <si>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</si>
  <si>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</si>
  <si>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</si>
  <si>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</si>
  <si>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</si>
  <si>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</si>
  <si>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</si>
  <si>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</si>
  <si>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</si>
  <si>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</si>
  <si>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</si>
  <si>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</si>
  <si>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</si>
  <si>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</si>
  <si>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</si>
  <si>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</si>
  <si>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</si>
  <si>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</si>
  <si>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</si>
  <si>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</si>
  <si>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</si>
  <si>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</si>
  <si>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</si>
  <si>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</si>
  <si>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</si>
  <si>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</si>
  <si>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</si>
  <si>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</si>
  <si>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</si>
  <si>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</si>
  <si>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</si>
  <si>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</si>
  <si>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</si>
  <si>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</si>
  <si>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</si>
  <si>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</si>
  <si>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</si>
  <si>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</si>
  <si>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</si>
  <si>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</si>
  <si>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</si>
  <si>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</si>
  <si>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</si>
  <si>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</si>
  <si>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</si>
  <si>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</si>
  <si>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</si>
  <si>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</si>
  <si>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기타</t>
  </si>
  <si>
    <t>정부세종청사 직장어린이집(1-53) 건설공사</t>
    <phoneticPr fontId="2" type="noConversion"/>
  </si>
  <si>
    <t>세종시</t>
  </si>
  <si>
    <t>(지붕및홈통공사 포함)</t>
    <phoneticPr fontId="2" type="noConversion"/>
  </si>
  <si>
    <t>창호및유리공사</t>
    <phoneticPr fontId="2" type="noConversion"/>
  </si>
  <si>
    <t xml:space="preserve">목공사및수장공사(인테리어공사 포함)  </t>
    <phoneticPr fontId="2" type="noConversion"/>
  </si>
  <si>
    <t>기초공사,골재비및운반비,작업부산물,기타공사</t>
    <phoneticPr fontId="2" type="noConversion"/>
  </si>
  <si>
    <t>난방배관공사</t>
    <phoneticPr fontId="2" type="noConversion"/>
  </si>
  <si>
    <t xml:space="preserve">전기인입 및 수변전 설비공사  </t>
    <phoneticPr fontId="2" type="noConversion"/>
  </si>
  <si>
    <t xml:space="preserve">기타공사 </t>
    <phoneticPr fontId="2" type="noConversion"/>
  </si>
  <si>
    <t>CCTV설비공사</t>
    <phoneticPr fontId="2" type="noConversion"/>
  </si>
  <si>
    <t>우수공사</t>
    <phoneticPr fontId="2" type="noConversion"/>
  </si>
  <si>
    <t>사급자재비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</si>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</sst>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2039.87</v>
      </c>
      <c r="D7" s="36">
        <f>+C7/3.3058</f>
        <v>617.05789823945793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1053630</v>
      </c>
      <c r="E25" s="59">
        <f t="shared" si="0"/>
        <v>3483090</v>
      </c>
    </row>
    <row r="26" spans="1:5" x14ac:dyDescent="0.3">
      <c r="B26" s="2">
        <v>3</v>
      </c>
      <c r="C26" s="35" t="s">
        <v>95</v>
      </c>
      <c r="D26" s="45">
        <f>+D66</f>
        <v>20710</v>
      </c>
      <c r="E26" s="59">
        <f t="shared" si="0"/>
        <v>68460</v>
      </c>
    </row>
    <row r="27" spans="1:5" x14ac:dyDescent="0.3">
      <c r="B27" s="2">
        <v>4</v>
      </c>
      <c r="C27" s="35" t="s">
        <v>96</v>
      </c>
      <c r="D27" s="45">
        <f>+D95</f>
        <v>272910</v>
      </c>
      <c r="E27" s="59">
        <f t="shared" si="0"/>
        <v>902180</v>
      </c>
    </row>
    <row r="28" spans="1:5" x14ac:dyDescent="0.3">
      <c r="B28" s="2">
        <v>5</v>
      </c>
      <c r="C28" s="35" t="s">
        <v>97</v>
      </c>
      <c r="D28" s="45">
        <f>+D119</f>
        <v>214450</v>
      </c>
      <c r="E28" s="59">
        <f t="shared" si="0"/>
        <v>708920</v>
      </c>
    </row>
    <row r="29" spans="1:5" x14ac:dyDescent="0.3">
      <c r="B29" s="2">
        <v>6</v>
      </c>
      <c r="C29" s="35" t="s">
        <v>98</v>
      </c>
      <c r="D29" s="45">
        <f>+D133</f>
        <v>65650</v>
      </c>
      <c r="E29" s="59">
        <f t="shared" si="0"/>
        <v>217020</v>
      </c>
    </row>
    <row r="30" spans="1:5" x14ac:dyDescent="0.3">
      <c r="B30" s="2">
        <v>7</v>
      </c>
      <c r="C30" s="35" t="s">
        <v>99</v>
      </c>
      <c r="D30" s="45">
        <f>+D146</f>
        <v>88320</v>
      </c>
      <c r="E30" s="59">
        <f t="shared" si="0"/>
        <v>291960</v>
      </c>
    </row>
    <row r="31" spans="1:5" x14ac:dyDescent="0.3">
      <c r="B31" s="2">
        <v>8</v>
      </c>
      <c r="C31" s="35" t="s">
        <v>100</v>
      </c>
      <c r="D31" s="45">
        <f>+D154</f>
        <v>135440</v>
      </c>
      <c r="E31" s="59">
        <f t="shared" si="0"/>
        <v>447730</v>
      </c>
    </row>
    <row r="32" spans="1:5" x14ac:dyDescent="0.3">
      <c r="B32" s="2">
        <v>9</v>
      </c>
      <c r="C32" s="35" t="s">
        <v>101</v>
      </c>
      <c r="D32" s="45">
        <f>+D161</f>
        <v>12030</v>
      </c>
      <c r="E32" s="59">
        <f t="shared" si="0"/>
        <v>39760</v>
      </c>
    </row>
    <row r="33" spans="1:7" x14ac:dyDescent="0.3">
      <c r="B33" s="2">
        <v>10</v>
      </c>
      <c r="C33" s="35" t="s">
        <v>154</v>
      </c>
      <c r="D33" s="53">
        <f>TRUNC(SUM(D24:D32)*0.275,-1)</f>
        <v>512360</v>
      </c>
      <c r="E33" s="60">
        <f t="shared" si="0"/>
        <v>1693750</v>
      </c>
    </row>
    <row r="34" spans="1:7" x14ac:dyDescent="0.3">
      <c r="C34" s="35" t="s">
        <v>112</v>
      </c>
      <c r="D34" s="44">
        <f>SUM(D24:D33)</f>
        <v>2375500</v>
      </c>
      <c r="E34" s="44">
        <f>SUM(E24:E33)</f>
        <v>7852870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261</v>
      </c>
      <c r="E39" s="67" t="s">
        <v>262</v>
      </c>
      <c r="G39" s="68"/>
    </row>
    <row r="40" spans="1:7" x14ac:dyDescent="0.3">
      <c r="A40" s="2">
        <v>1</v>
      </c>
      <c r="C40" s="38" t="s">
        <v>15</v>
      </c>
      <c r="D40" s="40">
        <f>TRUNC(34774,-1)</f>
        <v>34770</v>
      </c>
      <c r="E40" s="62">
        <f t="shared" ref="E40:E59" si="1">TRUNC(+D40*3.3058,-1)</f>
        <v>114940</v>
      </c>
    </row>
    <row r="41" spans="1:7" x14ac:dyDescent="0.3">
      <c r="A41" s="2">
        <v>2</v>
      </c>
      <c r="C41" s="38" t="s">
        <v>13</v>
      </c>
      <c r="D41" s="42">
        <f>TRUNC(111693,-1)</f>
        <v>111690</v>
      </c>
      <c r="E41" s="63">
        <f t="shared" si="1"/>
        <v>369220</v>
      </c>
    </row>
    <row r="42" spans="1:7" x14ac:dyDescent="0.3">
      <c r="A42" s="2">
        <v>3</v>
      </c>
      <c r="C42" s="38" t="s">
        <v>14</v>
      </c>
      <c r="D42" s="42">
        <f>TRUNC(125804,-1)</f>
        <v>125800</v>
      </c>
      <c r="E42" s="63">
        <f t="shared" si="1"/>
        <v>415860</v>
      </c>
    </row>
    <row r="43" spans="1:7" x14ac:dyDescent="0.3">
      <c r="A43" s="2">
        <v>4</v>
      </c>
      <c r="C43" s="38" t="s">
        <v>16</v>
      </c>
      <c r="D43" s="42">
        <f>TRUNC(27286,-1)</f>
        <v>27280</v>
      </c>
      <c r="E43" s="63">
        <f t="shared" si="1"/>
        <v>90180</v>
      </c>
    </row>
    <row r="44" spans="1:7" x14ac:dyDescent="0.3">
      <c r="A44" s="2">
        <v>5</v>
      </c>
      <c r="C44" s="38" t="s">
        <v>17</v>
      </c>
      <c r="D44" s="42">
        <f>TRUNC(57197,-1)</f>
        <v>57190</v>
      </c>
      <c r="E44" s="63">
        <f t="shared" si="1"/>
        <v>189050</v>
      </c>
    </row>
    <row r="45" spans="1:7" x14ac:dyDescent="0.3">
      <c r="A45" s="2">
        <v>6</v>
      </c>
      <c r="C45" s="38" t="s">
        <v>18</v>
      </c>
      <c r="D45" s="42">
        <f>TRUNC(16173,-1)</f>
        <v>16170</v>
      </c>
      <c r="E45" s="63">
        <f t="shared" si="1"/>
        <v>53450</v>
      </c>
    </row>
    <row r="46" spans="1:7" x14ac:dyDescent="0.3">
      <c r="A46" s="2">
        <v>7</v>
      </c>
      <c r="C46" s="38" t="s">
        <v>19</v>
      </c>
      <c r="D46" s="42">
        <f>TRUNC(794,-1)</f>
        <v>790</v>
      </c>
      <c r="E46" s="63">
        <f t="shared" si="1"/>
        <v>2610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TRUNC(47016,-1)</f>
        <v>47010</v>
      </c>
      <c r="E48" s="63">
        <f t="shared" si="1"/>
        <v>155400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TRUNC(18266,-1)</f>
        <v>18260</v>
      </c>
      <c r="E49" s="63">
        <f t="shared" si="1"/>
        <v>60360</v>
      </c>
    </row>
    <row r="50" spans="1:7" x14ac:dyDescent="0.3">
      <c r="A50" s="2">
        <v>11</v>
      </c>
      <c r="C50" s="38" t="s">
        <v>155</v>
      </c>
      <c r="D50" s="42">
        <f>TRUNC(33702,-1)</f>
        <v>33700</v>
      </c>
      <c r="E50" s="63">
        <f t="shared" si="1"/>
        <v>111400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TRUNC(5876,-1)</f>
        <v>5870</v>
      </c>
      <c r="E52" s="63">
        <f t="shared" si="1"/>
        <v>19400</v>
      </c>
    </row>
    <row r="53" spans="1:7" x14ac:dyDescent="0.3">
      <c r="A53" s="2">
        <v>14</v>
      </c>
      <c r="C53" s="38" t="s">
        <v>25</v>
      </c>
      <c r="D53" s="42">
        <f>TRUNC(318186,-1)</f>
        <v>318180</v>
      </c>
      <c r="E53" s="63">
        <f t="shared" si="1"/>
        <v>1051830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TRUNC(2020+10840-1831+11218,-1)</f>
        <v>22240</v>
      </c>
      <c r="E58" s="63">
        <f t="shared" si="1"/>
        <v>73520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TRUNC(234681,-1)</f>
        <v>234680</v>
      </c>
      <c r="E59" s="64">
        <f t="shared" si="1"/>
        <v>775800</v>
      </c>
    </row>
    <row r="60" spans="1:7" x14ac:dyDescent="0.3">
      <c r="A60" s="2">
        <v>21</v>
      </c>
      <c r="C60" s="27" t="s">
        <v>112</v>
      </c>
      <c r="D60" s="39">
        <f>SUM(D40:D59)</f>
        <v>1053630</v>
      </c>
      <c r="E60" s="39">
        <f>SUM(E40:E59)</f>
        <v>3483020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TRUNC(20713,-1)</f>
        <v>20710</v>
      </c>
      <c r="E63" s="62">
        <f>TRUNC(+D63*3.3058,-1)</f>
        <v>68460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20710</v>
      </c>
      <c r="E66" s="65">
        <f>SUM(E63:E65)</f>
        <v>68460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TRUNC(10123,-1)</f>
        <v>10120</v>
      </c>
      <c r="E69" s="62">
        <f t="shared" ref="E69:E94" si="2">TRUNC(+D69*3.3058,-1)</f>
        <v>33450</v>
      </c>
    </row>
    <row r="70" spans="1:7" ht="16.5" customHeight="1" x14ac:dyDescent="0.3">
      <c r="A70" s="2">
        <v>2</v>
      </c>
      <c r="C70" s="38" t="s">
        <v>31</v>
      </c>
      <c r="D70" s="42">
        <f>TRUNC(10658,-1)</f>
        <v>10650</v>
      </c>
      <c r="E70" s="63">
        <f t="shared" si="2"/>
        <v>35200</v>
      </c>
    </row>
    <row r="71" spans="1:7" x14ac:dyDescent="0.3">
      <c r="A71" s="2">
        <v>3</v>
      </c>
      <c r="C71" s="38" t="s">
        <v>32</v>
      </c>
      <c r="D71" s="42">
        <f>TRUNC(20371,-1)</f>
        <v>20370</v>
      </c>
      <c r="E71" s="63">
        <f t="shared" si="2"/>
        <v>67330</v>
      </c>
    </row>
    <row r="72" spans="1:7" x14ac:dyDescent="0.3">
      <c r="A72" s="2">
        <v>4</v>
      </c>
      <c r="C72" s="38" t="s">
        <v>33</v>
      </c>
      <c r="D72" s="42">
        <f>TRUNC(5377,-1)</f>
        <v>5370</v>
      </c>
      <c r="E72" s="63">
        <f t="shared" si="2"/>
        <v>17750</v>
      </c>
    </row>
    <row r="73" spans="1:7" x14ac:dyDescent="0.3">
      <c r="A73" s="2">
        <v>5</v>
      </c>
      <c r="C73" s="38" t="s">
        <v>34</v>
      </c>
      <c r="D73" s="42">
        <f>TRUNC(14412,-1)</f>
        <v>14410</v>
      </c>
      <c r="E73" s="63">
        <f t="shared" si="2"/>
        <v>47630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TRUNC(300,-1)</f>
        <v>300</v>
      </c>
      <c r="E75" s="63">
        <f t="shared" si="2"/>
        <v>990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TRUNC(15312,-1)</f>
        <v>15310</v>
      </c>
      <c r="E89" s="63">
        <f t="shared" si="2"/>
        <v>50610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TRUNC(11366,-1)</f>
        <v>11360</v>
      </c>
      <c r="E91" s="63">
        <f t="shared" si="2"/>
        <v>37550</v>
      </c>
    </row>
    <row r="92" spans="1:7" x14ac:dyDescent="0.3">
      <c r="A92" s="2">
        <v>24</v>
      </c>
      <c r="C92" s="38" t="s">
        <v>38</v>
      </c>
      <c r="D92" s="42">
        <f>TRUNC(18196,-1)</f>
        <v>18190</v>
      </c>
      <c r="E92" s="63">
        <f t="shared" si="2"/>
        <v>60130</v>
      </c>
    </row>
    <row r="93" spans="1:7" x14ac:dyDescent="0.3">
      <c r="A93" s="2">
        <v>25</v>
      </c>
      <c r="C93" s="38" t="s">
        <v>148</v>
      </c>
      <c r="D93" s="42">
        <f>TRUNC(124326,-1)</f>
        <v>124320</v>
      </c>
      <c r="E93" s="63">
        <f t="shared" si="2"/>
        <v>410970</v>
      </c>
    </row>
    <row r="94" spans="1:7" ht="17.25" thickBot="1" x14ac:dyDescent="0.35">
      <c r="A94" s="2">
        <v>26</v>
      </c>
      <c r="C94" s="38" t="s">
        <v>47</v>
      </c>
      <c r="D94" s="43">
        <f>TRUNC(42510,-1)</f>
        <v>42510</v>
      </c>
      <c r="E94" s="64">
        <f t="shared" si="2"/>
        <v>140520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272910</v>
      </c>
      <c r="E95" s="39">
        <f>SUM(E69:E94)</f>
        <v>902130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TRUNC(5908,-1)</f>
        <v>5900</v>
      </c>
      <c r="E98" s="62">
        <f t="shared" ref="E98:E118" si="3">TRUNC(+D98*3.3058,-1)</f>
        <v>19500</v>
      </c>
    </row>
    <row r="99" spans="1:7" x14ac:dyDescent="0.3">
      <c r="A99" s="2">
        <v>2</v>
      </c>
      <c r="C99" s="38" t="s">
        <v>40</v>
      </c>
      <c r="D99" s="42">
        <f>TRUNC(8237,-1)</f>
        <v>8230</v>
      </c>
      <c r="E99" s="63">
        <f t="shared" si="3"/>
        <v>27200</v>
      </c>
    </row>
    <row r="100" spans="1:7" x14ac:dyDescent="0.3">
      <c r="A100" s="2">
        <v>3</v>
      </c>
      <c r="C100" s="38" t="s">
        <v>41</v>
      </c>
      <c r="D100" s="42">
        <f>TRUNC(22343,-1)</f>
        <v>22340</v>
      </c>
      <c r="E100" s="63">
        <f t="shared" si="3"/>
        <v>73850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TRUNC(12987,-1)</f>
        <v>12980</v>
      </c>
      <c r="E102" s="63">
        <f t="shared" si="3"/>
        <v>42900</v>
      </c>
    </row>
    <row r="103" spans="1:7" x14ac:dyDescent="0.3">
      <c r="A103" s="2">
        <v>6</v>
      </c>
      <c r="C103" s="38" t="s">
        <v>44</v>
      </c>
      <c r="D103" s="42">
        <f>TRUNC(6453,-1)</f>
        <v>6450</v>
      </c>
      <c r="E103" s="63">
        <f t="shared" si="3"/>
        <v>21320</v>
      </c>
    </row>
    <row r="104" spans="1:7" x14ac:dyDescent="0.3">
      <c r="A104" s="2">
        <v>7</v>
      </c>
      <c r="C104" s="38" t="s">
        <v>45</v>
      </c>
      <c r="D104" s="42">
        <f>TRUNC(2938,-1)</f>
        <v>2930</v>
      </c>
      <c r="E104" s="63">
        <f t="shared" si="3"/>
        <v>9680</v>
      </c>
    </row>
    <row r="105" spans="1:7" x14ac:dyDescent="0.3">
      <c r="A105" s="2">
        <v>8</v>
      </c>
      <c r="C105" s="38" t="s">
        <v>46</v>
      </c>
      <c r="D105" s="42">
        <f>TRUNC(5564,-1)</f>
        <v>5560</v>
      </c>
      <c r="E105" s="63">
        <f t="shared" si="3"/>
        <v>18380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TRUNC(5807,-1)</f>
        <v>5800</v>
      </c>
      <c r="E114" s="63">
        <f t="shared" si="3"/>
        <v>19170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TRUNC(5501,-1)</f>
        <v>5500</v>
      </c>
      <c r="E116" s="63">
        <f t="shared" si="3"/>
        <v>18180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TRUNC(136393,-1)</f>
        <v>136390</v>
      </c>
      <c r="E117" s="63">
        <f t="shared" si="3"/>
        <v>450870</v>
      </c>
    </row>
    <row r="118" spans="1:7" ht="17.25" thickBot="1" x14ac:dyDescent="0.35">
      <c r="A118" s="2">
        <v>21</v>
      </c>
      <c r="C118" s="38" t="s">
        <v>47</v>
      </c>
      <c r="D118" s="43">
        <f>TRUNC(2374,-1)</f>
        <v>2370</v>
      </c>
      <c r="E118" s="64">
        <f t="shared" si="3"/>
        <v>7830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214450</v>
      </c>
      <c r="E119" s="39">
        <f>SUM(E98:E118)</f>
        <v>708880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TRUNC(16532,-1)</f>
        <v>16530</v>
      </c>
      <c r="E125" s="63">
        <f t="shared" si="4"/>
        <v>54640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TRUNC(5124,-1)</f>
        <v>5120</v>
      </c>
      <c r="E128" s="63">
        <f t="shared" si="4"/>
        <v>16920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TRUNC(10522,-1)</f>
        <v>10520</v>
      </c>
      <c r="E130" s="63">
        <f t="shared" si="4"/>
        <v>34770</v>
      </c>
    </row>
    <row r="131" spans="1:7" x14ac:dyDescent="0.3">
      <c r="A131" s="2">
        <v>10</v>
      </c>
      <c r="C131" s="38" t="s">
        <v>148</v>
      </c>
      <c r="D131" s="42">
        <f>TRUNC(31694,-1)</f>
        <v>31690</v>
      </c>
      <c r="E131" s="63">
        <f t="shared" si="4"/>
        <v>104760</v>
      </c>
    </row>
    <row r="132" spans="1:7" ht="18" thickBot="1" x14ac:dyDescent="0.35">
      <c r="A132" s="2">
        <v>11</v>
      </c>
      <c r="C132" s="38" t="s">
        <v>47</v>
      </c>
      <c r="D132" s="43">
        <f>TRUNC(1794,-1)</f>
        <v>1790</v>
      </c>
      <c r="E132" s="64">
        <f t="shared" si="4"/>
        <v>5910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65650</v>
      </c>
      <c r="E133" s="39">
        <f>SUM(E122:E132)</f>
        <v>217000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TRUNC(51112,-1)</f>
        <v>51110</v>
      </c>
      <c r="E142" s="63">
        <f t="shared" si="5"/>
        <v>168950</v>
      </c>
    </row>
    <row r="143" spans="1:7" x14ac:dyDescent="0.3">
      <c r="A143" s="2">
        <v>8</v>
      </c>
      <c r="C143" s="38" t="s">
        <v>62</v>
      </c>
      <c r="D143" s="42">
        <f>TRUNC(5698,-1)</f>
        <v>5690</v>
      </c>
      <c r="E143" s="63">
        <f t="shared" si="5"/>
        <v>18810</v>
      </c>
    </row>
    <row r="144" spans="1:7" x14ac:dyDescent="0.3">
      <c r="A144" s="2">
        <v>9</v>
      </c>
      <c r="C144" s="38" t="s">
        <v>63</v>
      </c>
      <c r="D144" s="42">
        <f>TRUNC(24504,-1)</f>
        <v>24500</v>
      </c>
      <c r="E144" s="63">
        <f t="shared" si="5"/>
        <v>80990</v>
      </c>
    </row>
    <row r="145" spans="1:7" ht="17.25" thickBot="1" x14ac:dyDescent="0.35">
      <c r="A145" s="2">
        <v>10</v>
      </c>
      <c r="C145" s="38" t="s">
        <v>148</v>
      </c>
      <c r="D145" s="43">
        <f>TRUNC(7028,-1)</f>
        <v>7020</v>
      </c>
      <c r="E145" s="64">
        <f t="shared" si="5"/>
        <v>23200</v>
      </c>
    </row>
    <row r="146" spans="1:7" x14ac:dyDescent="0.3">
      <c r="A146" s="2">
        <v>11</v>
      </c>
      <c r="C146" s="27" t="s">
        <v>112</v>
      </c>
      <c r="D146" s="39">
        <f>SUM(D136:D145)</f>
        <v>88320</v>
      </c>
      <c r="E146" s="39">
        <f>SUM(E136:E145)</f>
        <v>291950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TRUNC(71595,-1)</f>
        <v>71590</v>
      </c>
      <c r="E149" s="62">
        <f>TRUNC(+D149*3.3058,-1)</f>
        <v>236660</v>
      </c>
      <c r="F149" s="2" t="s">
        <v>259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f>TRUNC(29043,-1)</f>
        <v>29040</v>
      </c>
      <c r="E151" s="63">
        <f>TRUNC(+D151*3.3058,-1)</f>
        <v>96000</v>
      </c>
    </row>
    <row r="152" spans="1:7" x14ac:dyDescent="0.3">
      <c r="A152" s="2">
        <v>4</v>
      </c>
      <c r="C152" s="38" t="s">
        <v>47</v>
      </c>
      <c r="D152" s="42">
        <f>TRUNC(6945,-1)</f>
        <v>6940</v>
      </c>
      <c r="E152" s="63">
        <f>TRUNC(+D152*3.3058,-1)</f>
        <v>22940</v>
      </c>
      <c r="F152" s="2" t="s">
        <v>260</v>
      </c>
    </row>
    <row r="153" spans="1:7" ht="17.25" thickBot="1" x14ac:dyDescent="0.35">
      <c r="A153" s="2">
        <v>5</v>
      </c>
      <c r="C153" s="38" t="s">
        <v>148</v>
      </c>
      <c r="D153" s="43">
        <f>TRUNC(27879,-1)</f>
        <v>27870</v>
      </c>
      <c r="E153" s="64">
        <f>TRUNC(+D153*3.3058,-1)</f>
        <v>92130</v>
      </c>
    </row>
    <row r="154" spans="1:7" x14ac:dyDescent="0.3">
      <c r="A154" s="2">
        <v>6</v>
      </c>
      <c r="C154" s="27" t="s">
        <v>112</v>
      </c>
      <c r="D154" s="39">
        <f>SUM(D149:D153)</f>
        <v>135440</v>
      </c>
      <c r="E154" s="39">
        <f>SUM(E149:E153)</f>
        <v>447730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TRUNC(12036,-1)</f>
        <v>12030</v>
      </c>
      <c r="E157" s="62">
        <f>TRUNC(+D157*3.3058,-1)</f>
        <v>39760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12030</v>
      </c>
      <c r="E161" s="39">
        <f>SUM(E157:E160)</f>
        <v>39760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2020-12-08T02:35:27Z</dcterms:modified>
</cp:coreProperties>
</file>