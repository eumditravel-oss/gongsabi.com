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45" i="4"/>
  <c r="E139" i="4"/>
  <c r="E138" i="4"/>
  <c r="E136" i="4"/>
  <c r="E130" i="4"/>
  <c r="E129" i="4"/>
  <c r="E127" i="4"/>
  <c r="E123" i="4"/>
  <c r="E115" i="4"/>
  <c r="E113" i="4"/>
  <c r="E112" i="4"/>
  <c r="E111" i="4"/>
  <c r="E110" i="4"/>
  <c r="E109" i="4"/>
  <c r="E108" i="4"/>
  <c r="E107" i="4"/>
  <c r="E106" i="4"/>
  <c r="E101" i="4"/>
  <c r="E93" i="4"/>
  <c r="E90" i="4"/>
  <c r="E89" i="4"/>
  <c r="E88" i="4"/>
  <c r="E87" i="4"/>
  <c r="E86" i="4"/>
  <c r="E85" i="4"/>
  <c r="E83" i="4"/>
  <c r="E82" i="4"/>
  <c r="E81" i="4"/>
  <c r="E80" i="4"/>
  <c r="E79" i="4"/>
  <c r="E78" i="4"/>
  <c r="E77" i="4"/>
  <c r="E75" i="4"/>
  <c r="E74" i="4"/>
  <c r="E70" i="4"/>
  <c r="E65" i="4"/>
  <c r="E64" i="4"/>
  <c r="E57" i="4"/>
  <c r="E56" i="4"/>
  <c r="E55" i="4"/>
  <c r="E54" i="4"/>
  <c r="E53" i="4"/>
  <c r="E51" i="4"/>
  <c r="E47" i="4"/>
  <c r="E37" i="4"/>
  <c r="D117" i="4" l="1"/>
  <c r="E117" i="4" s="1"/>
  <c r="D116" i="4"/>
  <c r="E116" i="4" s="1"/>
  <c r="D159" i="4" l="1"/>
  <c r="E159" i="4" s="1"/>
  <c r="D158" i="4"/>
  <c r="E158" i="4" s="1"/>
  <c r="D157" i="4"/>
  <c r="E157" i="4" s="1"/>
  <c r="D152" i="4"/>
  <c r="E152" i="4" s="1"/>
  <c r="D151" i="4"/>
  <c r="E151" i="4" s="1"/>
  <c r="D150" i="4"/>
  <c r="E150" i="4" s="1"/>
  <c r="D149" i="4"/>
  <c r="D144" i="4"/>
  <c r="E144" i="4" s="1"/>
  <c r="D143" i="4"/>
  <c r="E143" i="4" s="1"/>
  <c r="D142" i="4"/>
  <c r="E142" i="4" s="1"/>
  <c r="D141" i="4"/>
  <c r="E141" i="4" s="1"/>
  <c r="D140" i="4"/>
  <c r="E140" i="4" s="1"/>
  <c r="D137" i="4"/>
  <c r="D132" i="4"/>
  <c r="E132" i="4" s="1"/>
  <c r="D131" i="4"/>
  <c r="E131" i="4" s="1"/>
  <c r="D128" i="4"/>
  <c r="E128" i="4" s="1"/>
  <c r="D126" i="4"/>
  <c r="D125" i="4"/>
  <c r="E125" i="4" s="1"/>
  <c r="D124" i="4"/>
  <c r="E124" i="4" s="1"/>
  <c r="D122" i="4"/>
  <c r="E122" i="4" s="1"/>
  <c r="D118" i="4"/>
  <c r="E118" i="4" s="1"/>
  <c r="D114" i="4"/>
  <c r="E114" i="4" s="1"/>
  <c r="D105" i="4"/>
  <c r="E105" i="4" s="1"/>
  <c r="D104" i="4"/>
  <c r="E104" i="4" s="1"/>
  <c r="D103" i="4"/>
  <c r="E103" i="4" s="1"/>
  <c r="D102" i="4"/>
  <c r="E102" i="4" s="1"/>
  <c r="D100" i="4"/>
  <c r="D99" i="4"/>
  <c r="E99" i="4" s="1"/>
  <c r="D98" i="4"/>
  <c r="E98" i="4" s="1"/>
  <c r="D94" i="4"/>
  <c r="E94" i="4" s="1"/>
  <c r="D92" i="4"/>
  <c r="E92" i="4" s="1"/>
  <c r="D91" i="4"/>
  <c r="E91" i="4" s="1"/>
  <c r="D84" i="4"/>
  <c r="E84" i="4" s="1"/>
  <c r="D76" i="4"/>
  <c r="E76" i="4" s="1"/>
  <c r="D73" i="4"/>
  <c r="E73" i="4" s="1"/>
  <c r="D72" i="4"/>
  <c r="E72" i="4" s="1"/>
  <c r="D71" i="4"/>
  <c r="D69" i="4"/>
  <c r="E69" i="4" s="1"/>
  <c r="D63" i="4"/>
  <c r="D59" i="4"/>
  <c r="E59" i="4" s="1"/>
  <c r="D58" i="4"/>
  <c r="E58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D40" i="4"/>
  <c r="E40" i="4" s="1"/>
  <c r="D24" i="4"/>
  <c r="E24" i="4" s="1"/>
  <c r="D7" i="4"/>
  <c r="D161" i="4" l="1"/>
  <c r="D32" i="4" s="1"/>
  <c r="E32" i="4" s="1"/>
  <c r="D60" i="4"/>
  <c r="D25" i="4" s="1"/>
  <c r="E25" i="4" s="1"/>
  <c r="E41" i="4"/>
  <c r="D66" i="4"/>
  <c r="D26" i="4" s="1"/>
  <c r="E26" i="4" s="1"/>
  <c r="E63" i="4"/>
  <c r="E66" i="4" s="1"/>
  <c r="D119" i="4"/>
  <c r="D28" i="4" s="1"/>
  <c r="E28" i="4" s="1"/>
  <c r="E100" i="4"/>
  <c r="D154" i="4"/>
  <c r="D31" i="4" s="1"/>
  <c r="E31" i="4" s="1"/>
  <c r="E149" i="4"/>
  <c r="E154" i="4" s="1"/>
  <c r="E161" i="4"/>
  <c r="D95" i="4"/>
  <c r="D27" i="4" s="1"/>
  <c r="E27" i="4" s="1"/>
  <c r="E71" i="4"/>
  <c r="D133" i="4"/>
  <c r="D29" i="4" s="1"/>
  <c r="E29" i="4" s="1"/>
  <c r="E126" i="4"/>
  <c r="E133" i="4" s="1"/>
  <c r="D146" i="4"/>
  <c r="D30" i="4" s="1"/>
  <c r="E30" i="4" s="1"/>
  <c r="E137" i="4"/>
  <c r="E146" i="4" s="1"/>
  <c r="E95" i="4"/>
  <c r="E60" i="4"/>
  <c r="E119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<sst xmlns="http://schemas.openxmlformats.org/spreadsheetml/2006/main" count="397" uniqueCount="269">
  <si>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</si>
  <si>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</si>
  <si>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</si>
  <si>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</si>
  <si>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</si>
  <si>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</si>
  <si>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</si>
  <si>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</si>
  <si>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</si>
  <si>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</si>
  <si>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</si>
  <si>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</si>
  <si>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</si>
  <si>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</si>
  <si>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</si>
  <si>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</si>
  <si>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</si>
  <si>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</si>
  <si>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</si>
  <si>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</si>
  <si>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</si>
  <si>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</si>
  <si>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</si>
  <si>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</si>
  <si>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</si>
  <si>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</si>
  <si>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</si>
  <si>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</si>
  <si>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</si>
  <si>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</si>
  <si>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</si>
  <si>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</si>
  <si>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</si>
  <si>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</si>
  <si>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</si>
  <si>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</si>
  <si>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</si>
  <si>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</si>
  <si>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</si>
  <si>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</si>
  <si>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</si>
  <si>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</si>
  <si>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</si>
  <si>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</si>
  <si>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</si>
  <si>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</si>
  <si>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</si>
  <si>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</si>
  <si>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</si>
  <si>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</si>
  <si>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</si>
  <si>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</si>
  <si>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</si>
  <si>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</si>
  <si>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</si>
  <si>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</si>
  <si>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</si>
  <si>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</si>
  <si>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</si>
  <si>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</si>
  <si>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</si>
  <si>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</si>
  <si>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</si>
  <si>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</si>
  <si>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</si>
  <si>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</si>
  <si>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</si>
  <si>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</si>
  <si>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</si>
  <si>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</si>
  <si>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</si>
  <si>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</si>
  <si>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</si>
  <si>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</si>
  <si>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</si>
  <si>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</si>
  <si>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</si>
  <si>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</si>
  <si>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</si>
  <si>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</si>
  <si>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</si>
  <si>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</si>
  <si>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</si>
  <si>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</si>
  <si>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</si>
  <si>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</si>
  <si>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</si>
  <si>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</si>
  <si>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</si>
  <si>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</si>
  <si>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</si>
  <si>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</si>
  <si>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</si>
  <si>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</si>
  <si>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</si>
  <si>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</si>
  <si>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</si>
  <si>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</si>
  <si>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</si>
  <si>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</si>
  <si>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</si>
  <si>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</si>
  <si>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</si>
  <si>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</si>
  <si>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</si>
  <si>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</si>
  <si>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</si>
  <si>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</si>
  <si>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</si>
  <si>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</si>
  <si>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</si>
  <si>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</si>
  <si>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</si>
  <si>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</si>
  <si>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</si>
  <si>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</si>
  <si>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</si>
  <si>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</si>
  <si>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</si>
  <si>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</si>
  <si>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</si>
  <si>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</si>
  <si>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</si>
  <si>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</si>
  <si>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</si>
  <si>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</si>
  <si>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</si>
  <si>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</si>
  <si>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</si>
  <si>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</si>
  <si>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</si>
  <si>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</si>
  <si>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</si>
  <si>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</si>
  <si>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</si>
  <si>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</si>
  <si>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</si>
  <si>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</si>
  <si>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</si>
  <si>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</si>
  <si>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</si>
  <si>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</si>
  <si>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</si>
  <si>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</si>
  <si>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</si>
  <si>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</si>
  <si>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</si>
  <si>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</si>
  <si>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</si>
  <si>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</si>
  <si>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</si>
  <si>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</si>
  <si>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</si>
  <si>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</si>
  <si>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</si>
  <si>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</si>
  <si>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</si>
  <si>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</si>
  <si>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</si>
  <si>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</si>
  <si>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</si>
  <si>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</si>
  <si>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</si>
  <si>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</si>
  <si>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</si>
  <si>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</si>
  <si>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</si>
  <si>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</si>
  <si>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</si>
  <si>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</si>
  <si>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</si>
  <si>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</si>
  <si>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</si>
  <si>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</si>
  <si>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</si>
  <si>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</si>
  <si>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</si>
  <si>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</si>
  <si>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</si>
  <si>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</si>
  <si>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</si>
  <si>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</si>
  <si>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</si>
  <si>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</si>
  <si>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</si>
  <si>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</si>
  <si>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</si>
  <si>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</si>
  <si>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</si>
  <si>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</si>
  <si>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</si>
  <si>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</si>
  <si>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</si>
  <si>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</si>
  <si>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</si>
  <si>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</si>
  <si>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</si>
  <si>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</si>
  <si>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</si>
  <si>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</si>
  <si>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</si>
  <si>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</si>
  <si>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</si>
  <si>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</si>
  <si>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</si>
  <si>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</si>
  <si>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</si>
  <si>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</si>
  <si>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</si>
  <si>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</si>
  <si>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</si>
  <si>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</si>
  <si>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</si>
  <si>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</si>
  <si>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</si>
  <si>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</si>
  <si>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</si>
  <si>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</si>
  <si>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</si>
  <si>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</si>
  <si>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</si>
  <si>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</si>
  <si>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</si>
  <si>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</si>
  <si>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</si>
  <si>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</si>
  <si>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</si>
  <si>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</si>
  <si>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</si>
  <si>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</si>
  <si>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</si>
  <si>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</si>
  <si>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</si>
  <si>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</si>
  <si>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</si>
  <si>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</si>
  <si>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</si>
  <si>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</si>
  <si>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</si>
  <si>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</si>
  <si>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</si>
  <si>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</si>
  <si>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</si>
  <si>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</si>
  <si>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 xml:space="preserve"> 염작초등학교 이전 신축공사</t>
  </si>
  <si>
    <t>교육연구</t>
  </si>
  <si>
    <t>충청도</t>
  </si>
  <si>
    <t>평</t>
    <phoneticPr fontId="2" type="noConversion"/>
  </si>
  <si>
    <t>원/ m2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</si>
  <si>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</si>
  <si>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</si>
  <si>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</si>
  <si>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기초공사,골재비및운반비,작업부산물,기타공사</t>
  </si>
  <si>
    <t>공조배관공사, 바닥난방공사, 기타공사</t>
  </si>
  <si>
    <t>옥외보안등설비공사</t>
    <phoneticPr fontId="2" type="noConversion"/>
  </si>
  <si>
    <t>전기인입 및 수변전 설비공사</t>
    <phoneticPr fontId="2" type="noConversion"/>
  </si>
  <si>
    <t>원격검침 설비공사, 기타공사</t>
  </si>
  <si>
    <t>CCTV설비공사,주차관제설비공사, 기타공사</t>
  </si>
  <si>
    <t>옥외소화배관공사, 펌프실배관공사, 기타공사</t>
    <phoneticPr fontId="2" type="noConversion"/>
  </si>
  <si>
    <t>토목</t>
    <phoneticPr fontId="2" type="noConversion"/>
  </si>
  <si>
    <t>토목 사급자재비, 토목 기타공사</t>
    <phoneticPr fontId="2" type="noConversion"/>
  </si>
  <si>
    <t>포장공사, 기타공사</t>
    <phoneticPr fontId="2" type="noConversion"/>
  </si>
  <si>
    <t>원/ m2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</si>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</sst>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15874.1</v>
      </c>
      <c r="D7" s="36">
        <f>+C7/3.3058</f>
        <v>4801.8936414786131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248</v>
      </c>
      <c r="E23" s="35" t="s">
        <v>263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747850</v>
      </c>
      <c r="E25" s="60">
        <f t="shared" si="0"/>
        <v>2472240</v>
      </c>
    </row>
    <row r="26" spans="1:5" x14ac:dyDescent="0.3">
      <c r="B26" s="2">
        <v>3</v>
      </c>
      <c r="C26" s="35" t="s">
        <v>95</v>
      </c>
      <c r="D26" s="45">
        <f>+D66</f>
        <v>4730</v>
      </c>
      <c r="E26" s="60">
        <f t="shared" si="0"/>
        <v>15630</v>
      </c>
    </row>
    <row r="27" spans="1:5" x14ac:dyDescent="0.3">
      <c r="B27" s="2">
        <v>4</v>
      </c>
      <c r="C27" s="35" t="s">
        <v>96</v>
      </c>
      <c r="D27" s="45">
        <f>+D95</f>
        <v>77230</v>
      </c>
      <c r="E27" s="60">
        <f t="shared" si="0"/>
        <v>255300</v>
      </c>
    </row>
    <row r="28" spans="1:5" x14ac:dyDescent="0.3">
      <c r="B28" s="2">
        <v>5</v>
      </c>
      <c r="C28" s="35" t="s">
        <v>97</v>
      </c>
      <c r="D28" s="45">
        <f>+D119</f>
        <v>120460</v>
      </c>
      <c r="E28" s="60">
        <f t="shared" si="0"/>
        <v>398210</v>
      </c>
    </row>
    <row r="29" spans="1:5" x14ac:dyDescent="0.3">
      <c r="B29" s="2">
        <v>6</v>
      </c>
      <c r="C29" s="35" t="s">
        <v>98</v>
      </c>
      <c r="D29" s="45">
        <f>+D133</f>
        <v>47350</v>
      </c>
      <c r="E29" s="60">
        <f t="shared" si="0"/>
        <v>156520</v>
      </c>
    </row>
    <row r="30" spans="1:5" x14ac:dyDescent="0.3">
      <c r="B30" s="2">
        <v>7</v>
      </c>
      <c r="C30" s="35" t="s">
        <v>99</v>
      </c>
      <c r="D30" s="45">
        <f>+D146</f>
        <v>34260</v>
      </c>
      <c r="E30" s="60">
        <f t="shared" si="0"/>
        <v>113250</v>
      </c>
    </row>
    <row r="31" spans="1:5" x14ac:dyDescent="0.3">
      <c r="B31" s="2">
        <v>8</v>
      </c>
      <c r="C31" s="35" t="s">
        <v>100</v>
      </c>
      <c r="D31" s="45">
        <f>+D154</f>
        <v>20610</v>
      </c>
      <c r="E31" s="60">
        <f t="shared" si="0"/>
        <v>68130</v>
      </c>
    </row>
    <row r="32" spans="1:5" x14ac:dyDescent="0.3">
      <c r="B32" s="2">
        <v>9</v>
      </c>
      <c r="C32" s="35" t="s">
        <v>101</v>
      </c>
      <c r="D32" s="45">
        <f>+D161</f>
        <v>28730</v>
      </c>
      <c r="E32" s="60">
        <f t="shared" si="0"/>
        <v>94970</v>
      </c>
    </row>
    <row r="33" spans="1:7" x14ac:dyDescent="0.3">
      <c r="B33" s="2">
        <v>10</v>
      </c>
      <c r="C33" s="35" t="s">
        <v>153</v>
      </c>
      <c r="D33" s="53">
        <f>TRUNC(SUM(D24:D32)*0.275,-1)</f>
        <v>297330</v>
      </c>
      <c r="E33" s="61">
        <f t="shared" si="0"/>
        <v>982910</v>
      </c>
    </row>
    <row r="34" spans="1:7" x14ac:dyDescent="0.3">
      <c r="C34" s="35" t="s">
        <v>112</v>
      </c>
      <c r="D34" s="44">
        <f>SUM(D24:D33)</f>
        <v>1378550</v>
      </c>
      <c r="E34" s="44">
        <f>SUM(E24:E33)</f>
        <v>4557160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234</v>
      </c>
      <c r="D36" s="56" t="s">
        <v>262</v>
      </c>
      <c r="E36" s="56" t="s">
        <v>263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238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TRUNC(37907,-1)</f>
        <v>37900</v>
      </c>
      <c r="E40" s="63">
        <f t="shared" ref="E40:E59" si="1">TRUNC(+D40*3.3058,-1)</f>
        <v>125280</v>
      </c>
    </row>
    <row r="41" spans="1:7" x14ac:dyDescent="0.3">
      <c r="A41" s="2">
        <v>2</v>
      </c>
      <c r="C41" s="38" t="s">
        <v>13</v>
      </c>
      <c r="D41" s="42">
        <f>TRUNC(133335,-1)</f>
        <v>133330</v>
      </c>
      <c r="E41" s="64">
        <f t="shared" si="1"/>
        <v>440760</v>
      </c>
    </row>
    <row r="42" spans="1:7" x14ac:dyDescent="0.3">
      <c r="A42" s="2">
        <v>3</v>
      </c>
      <c r="C42" s="38" t="s">
        <v>14</v>
      </c>
      <c r="D42" s="42">
        <f>TRUNC(6909,-1)</f>
        <v>6900</v>
      </c>
      <c r="E42" s="64">
        <f t="shared" si="1"/>
        <v>22810</v>
      </c>
    </row>
    <row r="43" spans="1:7" x14ac:dyDescent="0.3">
      <c r="A43" s="2">
        <v>4</v>
      </c>
      <c r="C43" s="38" t="s">
        <v>16</v>
      </c>
      <c r="D43" s="42">
        <f>TRUNC(37482,-1)</f>
        <v>37480</v>
      </c>
      <c r="E43" s="64">
        <f t="shared" si="1"/>
        <v>123900</v>
      </c>
    </row>
    <row r="44" spans="1:7" x14ac:dyDescent="0.3">
      <c r="A44" s="2">
        <v>5</v>
      </c>
      <c r="C44" s="38" t="s">
        <v>17</v>
      </c>
      <c r="D44" s="42">
        <f>TRUNC(21538,-1)</f>
        <v>21530</v>
      </c>
      <c r="E44" s="64">
        <f t="shared" si="1"/>
        <v>71170</v>
      </c>
    </row>
    <row r="45" spans="1:7" x14ac:dyDescent="0.3">
      <c r="A45" s="2">
        <v>6</v>
      </c>
      <c r="C45" s="38" t="s">
        <v>18</v>
      </c>
      <c r="D45" s="42">
        <f>TRUNC(7497,-1)</f>
        <v>7490</v>
      </c>
      <c r="E45" s="64">
        <f t="shared" si="1"/>
        <v>24760</v>
      </c>
    </row>
    <row r="46" spans="1:7" x14ac:dyDescent="0.3">
      <c r="A46" s="2">
        <v>7</v>
      </c>
      <c r="C46" s="38" t="s">
        <v>19</v>
      </c>
      <c r="D46" s="42">
        <f>TRUNC(12777,-1)</f>
        <v>12770</v>
      </c>
      <c r="E46" s="64">
        <f t="shared" si="1"/>
        <v>42210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TRUNC(37286,-1)</f>
        <v>37280</v>
      </c>
      <c r="E48" s="64">
        <f t="shared" si="1"/>
        <v>123240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TRUNC(17642,-1)</f>
        <v>17640</v>
      </c>
      <c r="E49" s="64">
        <f t="shared" si="1"/>
        <v>58310</v>
      </c>
    </row>
    <row r="50" spans="1:7" x14ac:dyDescent="0.3">
      <c r="A50" s="2">
        <v>11</v>
      </c>
      <c r="C50" s="38" t="s">
        <v>154</v>
      </c>
      <c r="D50" s="42">
        <f>TRUNC(35335,-1)</f>
        <v>35330</v>
      </c>
      <c r="E50" s="64">
        <f t="shared" si="1"/>
        <v>116790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TRUNC(8672,-1)</f>
        <v>8670</v>
      </c>
      <c r="E52" s="64">
        <f t="shared" si="1"/>
        <v>28660</v>
      </c>
    </row>
    <row r="53" spans="1:7" x14ac:dyDescent="0.3">
      <c r="A53" s="2">
        <v>14</v>
      </c>
      <c r="C53" s="38" t="s">
        <v>25</v>
      </c>
      <c r="D53" s="42">
        <v>55350</v>
      </c>
      <c r="E53" s="64">
        <f t="shared" si="1"/>
        <v>182970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TRUNC(8335+3423-449+3808,-1)</f>
        <v>15110</v>
      </c>
      <c r="E58" s="64">
        <f t="shared" si="1"/>
        <v>49950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TRUNC(321076,-1)</f>
        <v>321070</v>
      </c>
      <c r="E59" s="65">
        <f t="shared" si="1"/>
        <v>1061390</v>
      </c>
    </row>
    <row r="60" spans="1:7" x14ac:dyDescent="0.3">
      <c r="A60" s="2">
        <v>21</v>
      </c>
      <c r="C60" s="27" t="s">
        <v>112</v>
      </c>
      <c r="D60" s="39">
        <f>SUM(D40:D59)</f>
        <v>747850</v>
      </c>
      <c r="E60" s="39">
        <f>SUM(E40:E59)</f>
        <v>2472200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235</v>
      </c>
      <c r="C62" s="55" t="s">
        <v>236</v>
      </c>
      <c r="D62" s="56" t="s">
        <v>262</v>
      </c>
      <c r="E62" s="56" t="s">
        <v>263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TRUNC(4736,-1)</f>
        <v>4730</v>
      </c>
      <c r="E63" s="63">
        <f>TRUNC(+D63*3.3058,-1)</f>
        <v>15630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4730</v>
      </c>
      <c r="E66" s="57">
        <f>SUM(E63:E65)</f>
        <v>15630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237</v>
      </c>
      <c r="C68" s="55" t="s">
        <v>238</v>
      </c>
      <c r="D68" s="56" t="s">
        <v>262</v>
      </c>
      <c r="E68" s="56" t="s">
        <v>263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TRUNC(4835,-1)</f>
        <v>4830</v>
      </c>
      <c r="E69" s="63">
        <f t="shared" ref="E69:E94" si="2">TRUNC(+D69*3.3058,-1)</f>
        <v>15960</v>
      </c>
    </row>
    <row r="70" spans="1:7" ht="16.5" customHeight="1" x14ac:dyDescent="0.3">
      <c r="A70" s="2">
        <v>2</v>
      </c>
      <c r="C70" s="38" t="s">
        <v>31</v>
      </c>
      <c r="D70" s="42">
        <v>530</v>
      </c>
      <c r="E70" s="64">
        <f t="shared" si="2"/>
        <v>1750</v>
      </c>
    </row>
    <row r="71" spans="1:7" x14ac:dyDescent="0.3">
      <c r="A71" s="2">
        <v>3</v>
      </c>
      <c r="C71" s="38" t="s">
        <v>32</v>
      </c>
      <c r="D71" s="42">
        <f>TRUNC(3587,-1)</f>
        <v>3580</v>
      </c>
      <c r="E71" s="64">
        <f t="shared" si="2"/>
        <v>11830</v>
      </c>
    </row>
    <row r="72" spans="1:7" x14ac:dyDescent="0.3">
      <c r="A72" s="2">
        <v>4</v>
      </c>
      <c r="C72" s="38" t="s">
        <v>33</v>
      </c>
      <c r="D72" s="42">
        <f>TRUNC(2359,-1)</f>
        <v>2350</v>
      </c>
      <c r="E72" s="64">
        <f t="shared" si="2"/>
        <v>7760</v>
      </c>
    </row>
    <row r="73" spans="1:7" x14ac:dyDescent="0.3">
      <c r="A73" s="2">
        <v>5</v>
      </c>
      <c r="C73" s="38" t="s">
        <v>34</v>
      </c>
      <c r="D73" s="42">
        <f>TRUNC(8329,-1)</f>
        <v>8320</v>
      </c>
      <c r="E73" s="64">
        <f t="shared" si="2"/>
        <v>27500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TRUNC(33017,-1)</f>
        <v>33010</v>
      </c>
      <c r="E76" s="64">
        <f t="shared" si="2"/>
        <v>109120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TRUNC(1517,-1)</f>
        <v>1510</v>
      </c>
      <c r="E84" s="64">
        <f t="shared" si="2"/>
        <v>4990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v>4320</v>
      </c>
      <c r="E89" s="64">
        <f t="shared" si="2"/>
        <v>14280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TRUNC(4061,-1)</f>
        <v>4060</v>
      </c>
      <c r="E91" s="64">
        <f t="shared" si="2"/>
        <v>13420</v>
      </c>
    </row>
    <row r="92" spans="1:7" x14ac:dyDescent="0.3">
      <c r="A92" s="2">
        <v>24</v>
      </c>
      <c r="C92" s="38" t="s">
        <v>38</v>
      </c>
      <c r="D92" s="42">
        <f>TRUNC(5958,-1)</f>
        <v>5950</v>
      </c>
      <c r="E92" s="64">
        <f t="shared" si="2"/>
        <v>19660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TRUNC(38+626+8112,-1)</f>
        <v>8770</v>
      </c>
      <c r="E94" s="65">
        <f t="shared" si="2"/>
        <v>28990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77230</v>
      </c>
      <c r="E95" s="39">
        <f>SUM(E69:E94)</f>
        <v>255260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239</v>
      </c>
      <c r="C97" s="55" t="s">
        <v>238</v>
      </c>
      <c r="D97" s="56" t="s">
        <v>262</v>
      </c>
      <c r="E97" s="56" t="s">
        <v>263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TRUNC(9447,-1)</f>
        <v>9440</v>
      </c>
      <c r="E98" s="63">
        <f t="shared" ref="E98:E118" si="3">TRUNC(+D98*3.3058,-1)</f>
        <v>31200</v>
      </c>
    </row>
    <row r="99" spans="1:7" x14ac:dyDescent="0.3">
      <c r="A99" s="2">
        <v>2</v>
      </c>
      <c r="C99" s="38" t="s">
        <v>40</v>
      </c>
      <c r="D99" s="42">
        <f>TRUNC(2628,-1)</f>
        <v>2620</v>
      </c>
      <c r="E99" s="64">
        <f t="shared" si="3"/>
        <v>8660</v>
      </c>
    </row>
    <row r="100" spans="1:7" x14ac:dyDescent="0.3">
      <c r="A100" s="2">
        <v>3</v>
      </c>
      <c r="C100" s="38" t="s">
        <v>41</v>
      </c>
      <c r="D100" s="42">
        <f>TRUNC(23394,-1)</f>
        <v>23390</v>
      </c>
      <c r="E100" s="64">
        <f t="shared" si="3"/>
        <v>77320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TRUNC(18468,-1)</f>
        <v>18460</v>
      </c>
      <c r="E102" s="64">
        <f t="shared" si="3"/>
        <v>61020</v>
      </c>
    </row>
    <row r="103" spans="1:7" x14ac:dyDescent="0.3">
      <c r="A103" s="2">
        <v>6</v>
      </c>
      <c r="C103" s="38" t="s">
        <v>44</v>
      </c>
      <c r="D103" s="42">
        <f>TRUNC(4357,-1)</f>
        <v>4350</v>
      </c>
      <c r="E103" s="64">
        <f t="shared" si="3"/>
        <v>14380</v>
      </c>
    </row>
    <row r="104" spans="1:7" x14ac:dyDescent="0.3">
      <c r="A104" s="2">
        <v>7</v>
      </c>
      <c r="C104" s="38" t="s">
        <v>45</v>
      </c>
      <c r="D104" s="42">
        <f>TRUNC(1502,-1)</f>
        <v>1500</v>
      </c>
      <c r="E104" s="64">
        <f t="shared" si="3"/>
        <v>4950</v>
      </c>
    </row>
    <row r="105" spans="1:7" x14ac:dyDescent="0.3">
      <c r="A105" s="2">
        <v>8</v>
      </c>
      <c r="C105" s="38" t="s">
        <v>46</v>
      </c>
      <c r="D105" s="42">
        <f>TRUNC(3706,-1)</f>
        <v>3700</v>
      </c>
      <c r="E105" s="64">
        <f t="shared" si="3"/>
        <v>12230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TRUNC(1923,-1)</f>
        <v>1920</v>
      </c>
      <c r="E114" s="64">
        <f t="shared" si="3"/>
        <v>6340</v>
      </c>
      <c r="F114" s="2" t="s">
        <v>254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TRUNC(2442,-1)</f>
        <v>2440</v>
      </c>
      <c r="E116" s="64">
        <f t="shared" si="3"/>
        <v>8060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TRUNC(51538,-1)</f>
        <v>51530</v>
      </c>
      <c r="E117" s="64">
        <f t="shared" si="3"/>
        <v>170340</v>
      </c>
    </row>
    <row r="118" spans="1:7" ht="17.25" thickBot="1" x14ac:dyDescent="0.35">
      <c r="A118" s="2">
        <v>21</v>
      </c>
      <c r="C118" s="38" t="s">
        <v>47</v>
      </c>
      <c r="D118" s="43">
        <f>TRUNC(899+220,-1)</f>
        <v>1110</v>
      </c>
      <c r="E118" s="65">
        <f t="shared" si="3"/>
        <v>3660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120460</v>
      </c>
      <c r="E119" s="39">
        <f>SUM(E98:E118)</f>
        <v>398160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240</v>
      </c>
      <c r="C121" s="55" t="s">
        <v>238</v>
      </c>
      <c r="D121" s="56" t="s">
        <v>262</v>
      </c>
      <c r="E121" s="56" t="s">
        <v>263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TRUNC(3267,-1)</f>
        <v>3260</v>
      </c>
      <c r="E122" s="63">
        <f t="shared" ref="E122:E132" si="4">TRUNC(+D122*3.3058,-1)</f>
        <v>10770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TRUNC(524,-1)</f>
        <v>520</v>
      </c>
      <c r="E124" s="64">
        <f t="shared" si="4"/>
        <v>1710</v>
      </c>
    </row>
    <row r="125" spans="1:7" x14ac:dyDescent="0.3">
      <c r="A125" s="2">
        <v>4</v>
      </c>
      <c r="C125" s="38" t="s">
        <v>138</v>
      </c>
      <c r="D125" s="42">
        <f>TRUNC(4395,-1)</f>
        <v>4390</v>
      </c>
      <c r="E125" s="64">
        <f t="shared" si="4"/>
        <v>14510</v>
      </c>
    </row>
    <row r="126" spans="1:7" x14ac:dyDescent="0.3">
      <c r="A126" s="2">
        <v>5</v>
      </c>
      <c r="C126" s="38" t="s">
        <v>53</v>
      </c>
      <c r="D126" s="42">
        <f>TRUNC(10439,-1)</f>
        <v>10430</v>
      </c>
      <c r="E126" s="64">
        <f t="shared" si="4"/>
        <v>34470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TRUNC(5407,-1)</f>
        <v>5400</v>
      </c>
      <c r="E128" s="64">
        <f t="shared" si="4"/>
        <v>17850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TRUNC(20613,-1)</f>
        <v>20610</v>
      </c>
      <c r="E131" s="64">
        <f t="shared" si="4"/>
        <v>68130</v>
      </c>
    </row>
    <row r="132" spans="1:7" ht="17.25" thickBot="1" x14ac:dyDescent="0.35">
      <c r="A132" s="2">
        <v>11</v>
      </c>
      <c r="C132" s="38" t="s">
        <v>47</v>
      </c>
      <c r="D132" s="43">
        <f>TRUNC(1523+722+496,-1)</f>
        <v>2740</v>
      </c>
      <c r="E132" s="65">
        <f t="shared" si="4"/>
        <v>9050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47350</v>
      </c>
      <c r="E133" s="39">
        <f>SUM(E122:E132)</f>
        <v>156490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241</v>
      </c>
      <c r="C135" s="55" t="s">
        <v>238</v>
      </c>
      <c r="D135" s="56" t="s">
        <v>262</v>
      </c>
      <c r="E135" s="56" t="s">
        <v>263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TRUNC(101+1480+801,-1)</f>
        <v>2380</v>
      </c>
      <c r="E137" s="64">
        <f t="shared" si="5"/>
        <v>7860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TRUNC(814,-1)</f>
        <v>810</v>
      </c>
      <c r="E140" s="64">
        <f t="shared" si="5"/>
        <v>2670</v>
      </c>
    </row>
    <row r="141" spans="1:7" x14ac:dyDescent="0.3">
      <c r="A141" s="2">
        <v>6</v>
      </c>
      <c r="C141" s="38" t="s">
        <v>59</v>
      </c>
      <c r="D141" s="42">
        <f>TRUNC(9587,-1)</f>
        <v>9580</v>
      </c>
      <c r="E141" s="64">
        <f t="shared" si="5"/>
        <v>31660</v>
      </c>
    </row>
    <row r="142" spans="1:7" x14ac:dyDescent="0.3">
      <c r="A142" s="2">
        <v>7</v>
      </c>
      <c r="C142" s="38" t="s">
        <v>58</v>
      </c>
      <c r="D142" s="42">
        <f>TRUNC(6429,-1)</f>
        <v>6420</v>
      </c>
      <c r="E142" s="64">
        <f t="shared" si="5"/>
        <v>21220</v>
      </c>
    </row>
    <row r="143" spans="1:7" x14ac:dyDescent="0.3">
      <c r="A143" s="2">
        <v>8</v>
      </c>
      <c r="C143" s="38" t="s">
        <v>62</v>
      </c>
      <c r="D143" s="42">
        <f>TRUNC(3372,-1)</f>
        <v>3370</v>
      </c>
      <c r="E143" s="64">
        <f t="shared" si="5"/>
        <v>11140</v>
      </c>
    </row>
    <row r="144" spans="1:7" x14ac:dyDescent="0.3">
      <c r="A144" s="2">
        <v>9</v>
      </c>
      <c r="C144" s="38" t="s">
        <v>63</v>
      </c>
      <c r="D144" s="42">
        <f>TRUNC(11709,-1)</f>
        <v>11700</v>
      </c>
      <c r="E144" s="64">
        <f t="shared" si="5"/>
        <v>38670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34260</v>
      </c>
      <c r="E146" s="39">
        <f>SUM(E136:E145)</f>
        <v>113220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242</v>
      </c>
      <c r="C148" s="55" t="s">
        <v>238</v>
      </c>
      <c r="D148" s="56" t="s">
        <v>262</v>
      </c>
      <c r="E148" s="56" t="s">
        <v>263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TRUNC(7880+2573,-1)</f>
        <v>10450</v>
      </c>
      <c r="E149" s="63">
        <f>TRUNC(+D149*3.3058,-1)</f>
        <v>34540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TRUNC(2697,-1)</f>
        <v>2690</v>
      </c>
      <c r="E150" s="64">
        <f>TRUNC(+D150*3.3058,-1)</f>
        <v>8890</v>
      </c>
      <c r="F150" s="2" t="s">
        <v>259</v>
      </c>
    </row>
    <row r="151" spans="1:7" x14ac:dyDescent="0.3">
      <c r="A151" s="2">
        <v>3</v>
      </c>
      <c r="C151" s="38" t="s">
        <v>50</v>
      </c>
      <c r="D151" s="42">
        <f>TRUNC(3318,-1)</f>
        <v>3310</v>
      </c>
      <c r="E151" s="64">
        <f>TRUNC(+D151*3.3058,-1)</f>
        <v>10940</v>
      </c>
      <c r="F151" s="2" t="s">
        <v>259</v>
      </c>
    </row>
    <row r="152" spans="1:7" x14ac:dyDescent="0.3">
      <c r="A152" s="2">
        <v>4</v>
      </c>
      <c r="C152" s="38" t="s">
        <v>47</v>
      </c>
      <c r="D152" s="42">
        <f>TRUNC(3883+283,-1)</f>
        <v>4160</v>
      </c>
      <c r="E152" s="64">
        <f>TRUNC(+D152*3.3058,-1)</f>
        <v>13750</v>
      </c>
      <c r="F152" s="58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  <c r="F153" s="2" t="s">
        <v>259</v>
      </c>
    </row>
    <row r="154" spans="1:7" x14ac:dyDescent="0.3">
      <c r="A154" s="2">
        <v>6</v>
      </c>
      <c r="C154" s="27" t="s">
        <v>112</v>
      </c>
      <c r="D154" s="39">
        <f>SUM(D149:D153)</f>
        <v>20610</v>
      </c>
      <c r="E154" s="39">
        <f>SUM(E149:E153)</f>
        <v>68120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243</v>
      </c>
      <c r="C156" s="55" t="s">
        <v>238</v>
      </c>
      <c r="D156" s="56" t="s">
        <v>262</v>
      </c>
      <c r="E156" s="56" t="s">
        <v>263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TRUNC(21072,-1)</f>
        <v>21070</v>
      </c>
      <c r="E157" s="63">
        <f>TRUNC(+D157*3.3058,-1)</f>
        <v>69650</v>
      </c>
    </row>
    <row r="158" spans="1:7" x14ac:dyDescent="0.3">
      <c r="A158" s="2">
        <v>2</v>
      </c>
      <c r="C158" s="38" t="s">
        <v>52</v>
      </c>
      <c r="D158" s="42">
        <f>TRUNC(4251,-1)</f>
        <v>4250</v>
      </c>
      <c r="E158" s="64">
        <f>TRUNC(+D158*3.3058,-1)</f>
        <v>14040</v>
      </c>
    </row>
    <row r="159" spans="1:7" x14ac:dyDescent="0.3">
      <c r="A159" s="2">
        <v>3</v>
      </c>
      <c r="C159" s="38" t="s">
        <v>47</v>
      </c>
      <c r="D159" s="42">
        <f>TRUNC(2485+932,-1)</f>
        <v>3410</v>
      </c>
      <c r="E159" s="64">
        <f>TRUNC(+D159*3.3058,-1)</f>
        <v>11270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28730</v>
      </c>
      <c r="E161" s="39">
        <f>SUM(E157:E160)</f>
        <v>94960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2020-12-07T10:13:57Z</dcterms:modified>
</cp:coreProperties>
</file>