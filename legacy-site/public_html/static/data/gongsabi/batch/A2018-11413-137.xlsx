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44" i="4"/>
  <c r="D143" i="4"/>
  <c r="D140" i="4"/>
  <c r="D132" i="4"/>
  <c r="D128" i="4"/>
  <c r="D125" i="4"/>
  <c r="D124" i="4"/>
  <c r="D122" i="4"/>
  <c r="D130" i="4"/>
  <c r="D126" i="4"/>
  <c r="D118" i="4"/>
  <c r="D105" i="4"/>
  <c r="D104" i="4"/>
  <c r="D103" i="4"/>
  <c r="D102" i="4"/>
  <c r="D101" i="4"/>
  <c r="D100" i="4"/>
  <c r="D99" i="4"/>
  <c r="D98" i="4"/>
  <c r="D114" i="4"/>
  <c r="D116" i="4"/>
  <c r="D91" i="4"/>
  <c r="D92" i="4"/>
  <c r="D89" i="4"/>
  <c r="D76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60" i="4"/>
  <c r="D153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54" i="4"/>
  <c r="E133" i="4"/>
  <c r="E95" i="4"/>
  <c r="E60" i="4"/>
  <c r="E119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<sst xmlns="http://schemas.openxmlformats.org/spreadsheetml/2006/main" count="394" uniqueCount="269">
  <si>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</si>
  <si>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</si>
  <si>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</si>
  <si>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</si>
  <si>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</si>
  <si>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</si>
  <si>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</si>
  <si>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</si>
  <si>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</si>
  <si>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</si>
  <si>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</si>
  <si>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</si>
  <si>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</si>
  <si>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</si>
  <si>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</si>
  <si>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</si>
  <si>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</si>
  <si>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</si>
  <si>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</si>
  <si>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</si>
  <si>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</si>
  <si>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</si>
  <si>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</si>
  <si>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</si>
  <si>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</si>
  <si>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</si>
  <si>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</si>
  <si>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</si>
  <si>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</si>
  <si>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</si>
  <si>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</si>
  <si>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</si>
  <si>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</si>
  <si>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</si>
  <si>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</si>
  <si>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</si>
  <si>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</si>
  <si>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</si>
  <si>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</si>
  <si>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</si>
  <si>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</si>
  <si>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</si>
  <si>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</si>
  <si>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</si>
  <si>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</si>
  <si>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</si>
  <si>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</si>
  <si>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</si>
  <si>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</si>
  <si>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</si>
  <si>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</si>
  <si>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</si>
  <si>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</si>
  <si>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</si>
  <si>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</si>
  <si>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</si>
  <si>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</si>
  <si>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</si>
  <si>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</si>
  <si>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</si>
  <si>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</si>
  <si>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</si>
  <si>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</si>
  <si>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</si>
  <si>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</si>
  <si>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</si>
  <si>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</si>
  <si>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</si>
  <si>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</si>
  <si>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</si>
  <si>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</si>
  <si>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</si>
  <si>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</si>
  <si>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</si>
  <si>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</si>
  <si>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</si>
  <si>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</si>
  <si>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</si>
  <si>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</si>
  <si>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</si>
  <si>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</si>
  <si>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</si>
  <si>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</si>
  <si>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</si>
  <si>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</si>
  <si>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</si>
  <si>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</si>
  <si>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</si>
  <si>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</si>
  <si>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</si>
  <si>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</si>
  <si>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</si>
  <si>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</si>
  <si>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</si>
  <si>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</si>
  <si>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</si>
  <si>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</si>
  <si>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</si>
  <si>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</si>
  <si>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</si>
  <si>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</si>
  <si>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</si>
  <si>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</si>
  <si>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</si>
  <si>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</si>
  <si>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</si>
  <si>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</si>
  <si>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</si>
  <si>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</si>
  <si>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</si>
  <si>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</si>
  <si>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</si>
  <si>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</si>
  <si>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</si>
  <si>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</si>
  <si>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</si>
  <si>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</si>
  <si>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</si>
  <si>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</si>
  <si>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</si>
  <si>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</si>
  <si>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</si>
  <si>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</si>
  <si>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</si>
  <si>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</si>
  <si>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</si>
  <si>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</si>
  <si>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</si>
  <si>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</si>
  <si>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</si>
  <si>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</si>
  <si>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</si>
  <si>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</si>
  <si>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</si>
  <si>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</si>
  <si>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</si>
  <si>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</si>
  <si>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</si>
  <si>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</si>
  <si>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</si>
  <si>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</si>
  <si>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</si>
  <si>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</si>
  <si>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</si>
  <si>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</si>
  <si>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</si>
  <si>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</si>
  <si>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</si>
  <si>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</si>
  <si>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</si>
  <si>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</si>
  <si>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</si>
  <si>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</si>
  <si>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</si>
  <si>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</si>
  <si>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</si>
  <si>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</si>
  <si>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</si>
  <si>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</si>
  <si>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</si>
  <si>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</si>
  <si>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</si>
  <si>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</si>
  <si>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</si>
  <si>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</si>
  <si>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</si>
  <si>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</si>
  <si>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</si>
  <si>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</si>
  <si>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</si>
  <si>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</si>
  <si>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</si>
  <si>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</si>
  <si>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</si>
  <si>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</si>
  <si>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</si>
  <si>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</si>
  <si>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</si>
  <si>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</si>
  <si>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</si>
  <si>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</si>
  <si>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</si>
  <si>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</si>
  <si>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</si>
  <si>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</si>
  <si>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</si>
  <si>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</si>
  <si>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</si>
  <si>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</si>
  <si>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</si>
  <si>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</si>
  <si>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</si>
  <si>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</si>
  <si>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</si>
  <si>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</si>
  <si>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</si>
  <si>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</si>
  <si>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</si>
  <si>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</si>
  <si>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</si>
  <si>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</si>
  <si>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</si>
  <si>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</si>
  <si>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</si>
  <si>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</si>
  <si>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</si>
  <si>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</si>
  <si>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</si>
  <si>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</si>
  <si>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</si>
  <si>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</si>
  <si>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</si>
  <si>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</si>
  <si>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</si>
  <si>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</si>
  <si>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</si>
  <si>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</si>
  <si>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</si>
  <si>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</si>
  <si>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</si>
  <si>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</si>
  <si>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</si>
  <si>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</si>
  <si>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</si>
  <si>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</si>
  <si>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</si>
  <si>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</si>
  <si>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</si>
  <si>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</si>
  <si>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</si>
  <si>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</si>
  <si>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</si>
  <si>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</si>
  <si>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</si>
  <si>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</si>
  <si>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</si>
  <si>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</si>
  <si>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</si>
  <si>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</si>
  <si>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</si>
  <si>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</si>
  <si>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</si>
  <si>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</si>
  <si>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</si>
  <si>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</si>
  <si>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</si>
  <si>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</si>
  <si>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</si>
  <si>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(가칭)전주봉암초등학교 신축공사</t>
    <phoneticPr fontId="2" type="noConversion"/>
  </si>
  <si>
    <t>교육연구</t>
  </si>
  <si>
    <t>전라도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</si>
  <si>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</si>
  <si>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</si>
  <si>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</si>
  <si>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운반비,기타공사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</si>
  <si>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</si>
  <si>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</si>
  <si>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</si>
  <si>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</si>
  <si>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</si>
  <si>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</si>
  <si>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</si>
  <si>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</si>
  <si>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>공조배관공사,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</si>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</sst>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27" sqref="C27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13949.92</v>
      </c>
      <c r="D7" s="36">
        <f>+C7/3.3058</f>
        <v>4219.8318107568512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924550</v>
      </c>
      <c r="E25" s="59">
        <f t="shared" si="0"/>
        <v>3056370</v>
      </c>
    </row>
    <row r="26" spans="1:5" x14ac:dyDescent="0.3">
      <c r="B26" s="2">
        <v>3</v>
      </c>
      <c r="C26" s="35" t="s">
        <v>95</v>
      </c>
      <c r="D26" s="45">
        <f>+D66</f>
        <v>2540</v>
      </c>
      <c r="E26" s="59">
        <f t="shared" si="0"/>
        <v>8390</v>
      </c>
    </row>
    <row r="27" spans="1:5" x14ac:dyDescent="0.3">
      <c r="B27" s="2">
        <v>4</v>
      </c>
      <c r="C27" s="35" t="s">
        <v>96</v>
      </c>
      <c r="D27" s="45">
        <f>+D95</f>
        <v>185940</v>
      </c>
      <c r="E27" s="59">
        <f t="shared" si="0"/>
        <v>614680</v>
      </c>
    </row>
    <row r="28" spans="1:5" x14ac:dyDescent="0.3">
      <c r="B28" s="2">
        <v>5</v>
      </c>
      <c r="C28" s="35" t="s">
        <v>97</v>
      </c>
      <c r="D28" s="45">
        <f>+D119</f>
        <v>163600</v>
      </c>
      <c r="E28" s="59">
        <f t="shared" si="0"/>
        <v>540820</v>
      </c>
    </row>
    <row r="29" spans="1:5" x14ac:dyDescent="0.3">
      <c r="B29" s="2">
        <v>6</v>
      </c>
      <c r="C29" s="35" t="s">
        <v>98</v>
      </c>
      <c r="D29" s="45">
        <f>+D133</f>
        <v>35780</v>
      </c>
      <c r="E29" s="59">
        <f t="shared" si="0"/>
        <v>118280</v>
      </c>
    </row>
    <row r="30" spans="1:5" x14ac:dyDescent="0.3">
      <c r="B30" s="2">
        <v>7</v>
      </c>
      <c r="C30" s="35" t="s">
        <v>99</v>
      </c>
      <c r="D30" s="45">
        <f>+D146</f>
        <v>40190</v>
      </c>
      <c r="E30" s="59">
        <f t="shared" si="0"/>
        <v>132860</v>
      </c>
    </row>
    <row r="31" spans="1:5" x14ac:dyDescent="0.3">
      <c r="B31" s="2">
        <v>8</v>
      </c>
      <c r="C31" s="35" t="s">
        <v>100</v>
      </c>
      <c r="D31" s="45">
        <f>+D154</f>
        <v>41820</v>
      </c>
      <c r="E31" s="59">
        <f t="shared" si="0"/>
        <v>138240</v>
      </c>
    </row>
    <row r="32" spans="1:5" x14ac:dyDescent="0.3">
      <c r="B32" s="2">
        <v>9</v>
      </c>
      <c r="C32" s="35" t="s">
        <v>101</v>
      </c>
      <c r="D32" s="45">
        <f>+D161</f>
        <v>41460</v>
      </c>
      <c r="E32" s="59">
        <f t="shared" si="0"/>
        <v>137050</v>
      </c>
    </row>
    <row r="33" spans="1:7" x14ac:dyDescent="0.3">
      <c r="B33" s="2">
        <v>10</v>
      </c>
      <c r="C33" s="35" t="s">
        <v>154</v>
      </c>
      <c r="D33" s="53">
        <f>TRUNC(SUM(D24:D32)*0.275,-1)</f>
        <v>394860</v>
      </c>
      <c r="E33" s="60">
        <f t="shared" si="0"/>
        <v>1305320</v>
      </c>
    </row>
    <row r="34" spans="1:7" x14ac:dyDescent="0.3">
      <c r="C34" s="35" t="s">
        <v>112</v>
      </c>
      <c r="D34" s="44">
        <f>SUM(D24:D33)</f>
        <v>1830740</v>
      </c>
      <c r="E34" s="44">
        <f>SUM(E24:E33)</f>
        <v>6052010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TRUNC(53587,-1)</f>
        <v>53580</v>
      </c>
      <c r="E40" s="62">
        <f t="shared" ref="E40:E59" si="1">TRUNC(+D40*3.3058,-1)</f>
        <v>177120</v>
      </c>
    </row>
    <row r="41" spans="1:7" x14ac:dyDescent="0.3">
      <c r="A41" s="2">
        <v>2</v>
      </c>
      <c r="C41" s="38" t="s">
        <v>13</v>
      </c>
      <c r="D41" s="42">
        <f>TRUNC(151789,-1)</f>
        <v>151780</v>
      </c>
      <c r="E41" s="63">
        <f t="shared" si="1"/>
        <v>501750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TRUNC(37694,-1)</f>
        <v>37690</v>
      </c>
      <c r="E43" s="63">
        <f t="shared" si="1"/>
        <v>124590</v>
      </c>
    </row>
    <row r="44" spans="1:7" x14ac:dyDescent="0.3">
      <c r="A44" s="2">
        <v>5</v>
      </c>
      <c r="C44" s="38" t="s">
        <v>17</v>
      </c>
      <c r="D44" s="42">
        <f>TRUNC(20260,-1)</f>
        <v>20260</v>
      </c>
      <c r="E44" s="63">
        <f t="shared" si="1"/>
        <v>66970</v>
      </c>
    </row>
    <row r="45" spans="1:7" x14ac:dyDescent="0.3">
      <c r="A45" s="2">
        <v>6</v>
      </c>
      <c r="C45" s="38" t="s">
        <v>18</v>
      </c>
      <c r="D45" s="42">
        <f>TRUNC(13716,-1)</f>
        <v>13710</v>
      </c>
      <c r="E45" s="63">
        <f t="shared" si="1"/>
        <v>45320</v>
      </c>
    </row>
    <row r="46" spans="1:7" x14ac:dyDescent="0.3">
      <c r="A46" s="2">
        <v>7</v>
      </c>
      <c r="C46" s="38" t="s">
        <v>19</v>
      </c>
      <c r="D46" s="42">
        <f>TRUNC(36279,-1)</f>
        <v>36270</v>
      </c>
      <c r="E46" s="63">
        <f t="shared" si="1"/>
        <v>119900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TRUNC(56896,-1)</f>
        <v>56890</v>
      </c>
      <c r="E48" s="63">
        <f t="shared" si="1"/>
        <v>188060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TRUNC(16482,-1)</f>
        <v>16480</v>
      </c>
      <c r="E49" s="63">
        <f t="shared" si="1"/>
        <v>54470</v>
      </c>
    </row>
    <row r="50" spans="1:7" x14ac:dyDescent="0.3">
      <c r="A50" s="2">
        <v>11</v>
      </c>
      <c r="C50" s="38" t="s">
        <v>155</v>
      </c>
      <c r="D50" s="42">
        <f>TRUNC(50650,-1)</f>
        <v>50650</v>
      </c>
      <c r="E50" s="63">
        <f t="shared" si="1"/>
        <v>167430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TRUNC(14610,-1)</f>
        <v>14610</v>
      </c>
      <c r="E52" s="63">
        <f t="shared" si="1"/>
        <v>48290</v>
      </c>
    </row>
    <row r="53" spans="1:7" x14ac:dyDescent="0.3">
      <c r="A53" s="2">
        <v>14</v>
      </c>
      <c r="C53" s="38" t="s">
        <v>25</v>
      </c>
      <c r="D53" s="42">
        <f>TRUNC(121523,-1)</f>
        <v>121520</v>
      </c>
      <c r="E53" s="63">
        <f t="shared" si="1"/>
        <v>401720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TRUNC(27311+10699-751+750+25218,-1)</f>
        <v>63220</v>
      </c>
      <c r="E58" s="63">
        <f t="shared" si="1"/>
        <v>208990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TRUNC(287898,-1)</f>
        <v>287890</v>
      </c>
      <c r="E59" s="64">
        <f t="shared" si="1"/>
        <v>951700</v>
      </c>
    </row>
    <row r="60" spans="1:7" x14ac:dyDescent="0.3">
      <c r="A60" s="2">
        <v>21</v>
      </c>
      <c r="C60" s="27" t="s">
        <v>112</v>
      </c>
      <c r="D60" s="39">
        <f>SUM(D40:D59)</f>
        <v>924550</v>
      </c>
      <c r="E60" s="39">
        <f>SUM(E40:E59)</f>
        <v>3056310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TRUNC(2547,-1)</f>
        <v>2540</v>
      </c>
      <c r="E63" s="62">
        <f>TRUNC(+D63*3.3058,-1)</f>
        <v>8390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2540</v>
      </c>
      <c r="E66" s="65">
        <f>SUM(E63:E65)</f>
        <v>8390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TRUNC(8215,-1)</f>
        <v>8210</v>
      </c>
      <c r="E69" s="62">
        <f t="shared" ref="E69:E94" si="2">TRUNC(+D69*3.3058,-1)</f>
        <v>27140</v>
      </c>
    </row>
    <row r="70" spans="1:7" ht="16.5" customHeight="1" x14ac:dyDescent="0.3">
      <c r="A70" s="2">
        <v>2</v>
      </c>
      <c r="C70" s="38" t="s">
        <v>31</v>
      </c>
      <c r="D70" s="42">
        <f>TRUNC(2914,-1)</f>
        <v>2910</v>
      </c>
      <c r="E70" s="63">
        <f t="shared" si="2"/>
        <v>9610</v>
      </c>
    </row>
    <row r="71" spans="1:7" x14ac:dyDescent="0.3">
      <c r="A71" s="2">
        <v>3</v>
      </c>
      <c r="C71" s="38" t="s">
        <v>32</v>
      </c>
      <c r="D71" s="42">
        <f>TRUNC(6924,-1)</f>
        <v>6920</v>
      </c>
      <c r="E71" s="63">
        <f t="shared" si="2"/>
        <v>22870</v>
      </c>
    </row>
    <row r="72" spans="1:7" x14ac:dyDescent="0.3">
      <c r="A72" s="2">
        <v>4</v>
      </c>
      <c r="C72" s="38" t="s">
        <v>33</v>
      </c>
      <c r="D72" s="42">
        <f>TRUNC(5279,-1)</f>
        <v>5270</v>
      </c>
      <c r="E72" s="63">
        <f t="shared" si="2"/>
        <v>17420</v>
      </c>
    </row>
    <row r="73" spans="1:7" x14ac:dyDescent="0.3">
      <c r="A73" s="2">
        <v>5</v>
      </c>
      <c r="C73" s="38" t="s">
        <v>34</v>
      </c>
      <c r="D73" s="42">
        <f>TRUNC(15702,-1)</f>
        <v>15700</v>
      </c>
      <c r="E73" s="63">
        <f t="shared" si="2"/>
        <v>51900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TRUNC(2124,-1)</f>
        <v>2120</v>
      </c>
      <c r="E75" s="63">
        <f t="shared" si="2"/>
        <v>7000</v>
      </c>
    </row>
    <row r="76" spans="1:7" x14ac:dyDescent="0.3">
      <c r="A76" s="2">
        <v>8</v>
      </c>
      <c r="C76" s="38" t="s">
        <v>119</v>
      </c>
      <c r="D76" s="42">
        <f>TRUNC(43145,-1)</f>
        <v>43140</v>
      </c>
      <c r="E76" s="63">
        <f t="shared" si="2"/>
        <v>142610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TRUNC(5127,-1)</f>
        <v>5120</v>
      </c>
      <c r="E89" s="63">
        <f t="shared" si="2"/>
        <v>16920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TRUNC(4699,-1)</f>
        <v>4690</v>
      </c>
      <c r="E91" s="63">
        <f t="shared" si="2"/>
        <v>15500</v>
      </c>
    </row>
    <row r="92" spans="1:7" x14ac:dyDescent="0.3">
      <c r="A92" s="2">
        <v>24</v>
      </c>
      <c r="C92" s="38" t="s">
        <v>38</v>
      </c>
      <c r="D92" s="42">
        <f>TRUNC(11077,-1)</f>
        <v>11070</v>
      </c>
      <c r="E92" s="63">
        <f t="shared" si="2"/>
        <v>36590</v>
      </c>
    </row>
    <row r="93" spans="1:7" x14ac:dyDescent="0.3">
      <c r="A93" s="2">
        <v>25</v>
      </c>
      <c r="C93" s="38" t="s">
        <v>148</v>
      </c>
      <c r="D93" s="42">
        <f>TRUNC(77409,-1)</f>
        <v>77400</v>
      </c>
      <c r="E93" s="63">
        <f t="shared" si="2"/>
        <v>255860</v>
      </c>
    </row>
    <row r="94" spans="1:7" ht="17.25" thickBot="1" x14ac:dyDescent="0.35">
      <c r="A94" s="2">
        <v>26</v>
      </c>
      <c r="C94" s="38" t="s">
        <v>47</v>
      </c>
      <c r="D94" s="43">
        <f>TRUNC(1883+1513,-1)</f>
        <v>3390</v>
      </c>
      <c r="E94" s="64">
        <f t="shared" si="2"/>
        <v>11200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185940</v>
      </c>
      <c r="E95" s="39">
        <f>SUM(E69:E94)</f>
        <v>614620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TRUNC(11529,-1)</f>
        <v>11520</v>
      </c>
      <c r="E98" s="62">
        <f t="shared" ref="E98:E118" si="3">TRUNC(+D98*3.3058,-1)</f>
        <v>38080</v>
      </c>
    </row>
    <row r="99" spans="1:7" x14ac:dyDescent="0.3">
      <c r="A99" s="2">
        <v>2</v>
      </c>
      <c r="C99" s="38" t="s">
        <v>40</v>
      </c>
      <c r="D99" s="42">
        <f>TRUNC(3390,-1)</f>
        <v>3390</v>
      </c>
      <c r="E99" s="63">
        <f t="shared" si="3"/>
        <v>11200</v>
      </c>
    </row>
    <row r="100" spans="1:7" x14ac:dyDescent="0.3">
      <c r="A100" s="2">
        <v>3</v>
      </c>
      <c r="C100" s="38" t="s">
        <v>41</v>
      </c>
      <c r="D100" s="42">
        <f>TRUNC(26412,-1)</f>
        <v>26410</v>
      </c>
      <c r="E100" s="63">
        <f t="shared" si="3"/>
        <v>87300</v>
      </c>
    </row>
    <row r="101" spans="1:7" x14ac:dyDescent="0.3">
      <c r="A101" s="2">
        <v>4</v>
      </c>
      <c r="C101" s="38" t="s">
        <v>42</v>
      </c>
      <c r="D101" s="42">
        <f>TRUNC(11565,-1)</f>
        <v>11560</v>
      </c>
      <c r="E101" s="63">
        <f t="shared" si="3"/>
        <v>38210</v>
      </c>
    </row>
    <row r="102" spans="1:7" x14ac:dyDescent="0.3">
      <c r="A102" s="2">
        <v>5</v>
      </c>
      <c r="C102" s="38" t="s">
        <v>43</v>
      </c>
      <c r="D102" s="42">
        <f>TRUNC(13914,-1)</f>
        <v>13910</v>
      </c>
      <c r="E102" s="63">
        <f t="shared" si="3"/>
        <v>45980</v>
      </c>
    </row>
    <row r="103" spans="1:7" x14ac:dyDescent="0.3">
      <c r="A103" s="2">
        <v>6</v>
      </c>
      <c r="C103" s="38" t="s">
        <v>44</v>
      </c>
      <c r="D103" s="42">
        <f>TRUNC(8609,-1)</f>
        <v>8600</v>
      </c>
      <c r="E103" s="63">
        <f t="shared" si="3"/>
        <v>28420</v>
      </c>
    </row>
    <row r="104" spans="1:7" x14ac:dyDescent="0.3">
      <c r="A104" s="2">
        <v>7</v>
      </c>
      <c r="C104" s="38" t="s">
        <v>45</v>
      </c>
      <c r="D104" s="42">
        <f>TRUNC(3473,-1)</f>
        <v>3470</v>
      </c>
      <c r="E104" s="63">
        <f t="shared" si="3"/>
        <v>11470</v>
      </c>
    </row>
    <row r="105" spans="1:7" x14ac:dyDescent="0.3">
      <c r="A105" s="2">
        <v>8</v>
      </c>
      <c r="C105" s="38" t="s">
        <v>46</v>
      </c>
      <c r="D105" s="42">
        <f>TRUNC(5477,-1)</f>
        <v>5470</v>
      </c>
      <c r="E105" s="63">
        <f t="shared" si="3"/>
        <v>18080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TRUNC(3036,-1)</f>
        <v>3030</v>
      </c>
      <c r="E114" s="63">
        <f t="shared" si="3"/>
        <v>10010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TRUNC(2542,-1)</f>
        <v>2540</v>
      </c>
      <c r="E116" s="63">
        <f t="shared" si="3"/>
        <v>8390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TRUNC(71663,-1)</f>
        <v>71660</v>
      </c>
      <c r="E117" s="63">
        <f t="shared" si="3"/>
        <v>236890</v>
      </c>
    </row>
    <row r="118" spans="1:7" ht="17.25" thickBot="1" x14ac:dyDescent="0.35">
      <c r="A118" s="2">
        <v>21</v>
      </c>
      <c r="C118" s="38" t="s">
        <v>47</v>
      </c>
      <c r="D118" s="43">
        <f>TRUNC(2047,-1)</f>
        <v>2040</v>
      </c>
      <c r="E118" s="64">
        <f t="shared" si="3"/>
        <v>6740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163600</v>
      </c>
      <c r="E119" s="39">
        <f>SUM(E98:E118)</f>
        <v>540770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TRUNC(3925,-1)</f>
        <v>3920</v>
      </c>
      <c r="E122" s="62">
        <f t="shared" ref="E122:E132" si="4">TRUNC(+D122*3.3058,-1)</f>
        <v>12950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TRUNC(1873,-1)</f>
        <v>1870</v>
      </c>
      <c r="E124" s="63">
        <f t="shared" si="4"/>
        <v>6180</v>
      </c>
    </row>
    <row r="125" spans="1:7" x14ac:dyDescent="0.3">
      <c r="A125" s="2">
        <v>4</v>
      </c>
      <c r="C125" s="38" t="s">
        <v>138</v>
      </c>
      <c r="D125" s="42">
        <f>TRUNC(6260,-1)</f>
        <v>6260</v>
      </c>
      <c r="E125" s="63">
        <f t="shared" si="4"/>
        <v>20690</v>
      </c>
    </row>
    <row r="126" spans="1:7" x14ac:dyDescent="0.3">
      <c r="A126" s="2">
        <v>5</v>
      </c>
      <c r="C126" s="38" t="s">
        <v>53</v>
      </c>
      <c r="D126" s="42">
        <f>TRUNC(3544,-1)</f>
        <v>3540</v>
      </c>
      <c r="E126" s="63">
        <f t="shared" si="4"/>
        <v>11700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TRUNC(6465,-1)</f>
        <v>6460</v>
      </c>
      <c r="E128" s="63">
        <f t="shared" si="4"/>
        <v>21350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TRUNC(12049,-1)</f>
        <v>12040</v>
      </c>
      <c r="E130" s="63">
        <f t="shared" si="4"/>
        <v>39800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TRUNC(249+1447,-1)</f>
        <v>1690</v>
      </c>
      <c r="E132" s="64">
        <f t="shared" si="4"/>
        <v>5580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35780</v>
      </c>
      <c r="E133" s="39">
        <f>SUM(E122:E132)</f>
        <v>118250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TRUNC(21120,-1)</f>
        <v>21120</v>
      </c>
      <c r="E140" s="63">
        <f t="shared" si="5"/>
        <v>69810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TRUNC(5246,-1)</f>
        <v>5240</v>
      </c>
      <c r="E143" s="63">
        <f t="shared" si="5"/>
        <v>17320</v>
      </c>
    </row>
    <row r="144" spans="1:7" x14ac:dyDescent="0.3">
      <c r="A144" s="2">
        <v>9</v>
      </c>
      <c r="C144" s="38" t="s">
        <v>63</v>
      </c>
      <c r="D144" s="42">
        <f>TRUNC(13833,-1)</f>
        <v>13830</v>
      </c>
      <c r="E144" s="63">
        <f t="shared" si="5"/>
        <v>45710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40190</v>
      </c>
      <c r="E146" s="39">
        <f>SUM(E136:E145)</f>
        <v>132840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TRUNC(6075+930,-1)</f>
        <v>7000</v>
      </c>
      <c r="E149" s="62">
        <f>TRUNC(+D149*3.3058,-1)</f>
        <v>23140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TRUNC(15059,-1)</f>
        <v>15050</v>
      </c>
      <c r="E150" s="63">
        <f>TRUNC(+D150*3.3058,-1)</f>
        <v>49750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TRUNC(70+3739,-1)</f>
        <v>3800</v>
      </c>
      <c r="E152" s="63">
        <f>TRUNC(+D152*3.3058,-1)</f>
        <v>12560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TRUNC(15976,-1)</f>
        <v>15970</v>
      </c>
      <c r="E153" s="64">
        <f>TRUNC(+D153*3.3058,-1)</f>
        <v>52790</v>
      </c>
    </row>
    <row r="154" spans="1:7" x14ac:dyDescent="0.3">
      <c r="A154" s="2">
        <v>6</v>
      </c>
      <c r="C154" s="27" t="s">
        <v>112</v>
      </c>
      <c r="D154" s="39">
        <f>SUM(D149:D153)</f>
        <v>41820</v>
      </c>
      <c r="E154" s="39">
        <f>SUM(E149:E153)</f>
        <v>138240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TRUNC(16393,-1)</f>
        <v>16390</v>
      </c>
      <c r="E157" s="62">
        <f>TRUNC(+D157*3.3058,-1)</f>
        <v>54180</v>
      </c>
    </row>
    <row r="158" spans="1:7" x14ac:dyDescent="0.3">
      <c r="A158" s="2">
        <v>2</v>
      </c>
      <c r="C158" s="38" t="s">
        <v>52</v>
      </c>
      <c r="D158" s="42">
        <f>TRUNC(6675,-1)</f>
        <v>6670</v>
      </c>
      <c r="E158" s="63">
        <f>TRUNC(+D158*3.3058,-1)</f>
        <v>22040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TRUNC(4231,-1)</f>
        <v>4230</v>
      </c>
      <c r="E159" s="63">
        <f>TRUNC(+D159*3.3058,-1)</f>
        <v>13980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f>TRUNC(14178,-1)</f>
        <v>14170</v>
      </c>
      <c r="E160" s="64">
        <f>TRUNC(+D160*3.3058,-1)</f>
        <v>46840</v>
      </c>
    </row>
    <row r="161" spans="1:5" x14ac:dyDescent="0.3">
      <c r="A161" s="2">
        <v>5</v>
      </c>
      <c r="C161" s="27" t="s">
        <v>112</v>
      </c>
      <c r="D161" s="39">
        <f>SUM(D157:D160)</f>
        <v>41460</v>
      </c>
      <c r="E161" s="39">
        <f>SUM(E157:E160)</f>
        <v>137040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2020-12-08T04:03:39Z</dcterms:modified>
</cp:coreProperties>
</file>