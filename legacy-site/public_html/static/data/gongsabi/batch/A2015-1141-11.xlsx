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3" i="4"/>
  <c r="D152" i="4"/>
  <c r="D150" i="4"/>
  <c r="D144" i="4"/>
  <c r="D143" i="4"/>
  <c r="D142" i="4"/>
  <c r="D141" i="4"/>
  <c r="D138" i="4"/>
  <c r="D137" i="4"/>
  <c r="D136" i="4"/>
  <c r="D131" i="4"/>
  <c r="D132" i="4"/>
  <c r="D130" i="4"/>
  <c r="D128" i="4"/>
  <c r="D127" i="4"/>
  <c r="D125" i="4"/>
  <c r="D124" i="4"/>
  <c r="D122" i="4"/>
  <c r="D118" i="4"/>
  <c r="D117" i="4"/>
  <c r="D116" i="4"/>
  <c r="D104" i="4"/>
  <c r="D100" i="4"/>
  <c r="D98" i="4"/>
  <c r="D94" i="4"/>
  <c r="D92" i="4"/>
  <c r="D91" i="4"/>
  <c r="D90" i="4"/>
  <c r="D89" i="4"/>
  <c r="D76" i="4"/>
  <c r="D75" i="4"/>
  <c r="D73" i="4"/>
  <c r="D72" i="4"/>
  <c r="D71" i="4"/>
  <c r="D70" i="4"/>
  <c r="D69" i="4"/>
  <c r="D65" i="4"/>
  <c r="D63" i="4"/>
  <c r="D58" i="4"/>
  <c r="D53" i="4"/>
  <c r="D52" i="4"/>
  <c r="D50" i="4"/>
  <c r="D49" i="4"/>
  <c r="D48" i="4"/>
  <c r="D46" i="4"/>
  <c r="D45" i="4"/>
  <c r="D44" i="4"/>
  <c r="D43" i="4"/>
  <c r="D42" i="4"/>
  <c r="D40" i="4"/>
  <c r="D14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66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D34" i="4" l="1"/>
  <c r="E34" i="4"/>
</calcChain>
</file>

<file path=xl/sharedStrings.xml><?xml version="1.0" encoding="utf-8"?>
<sst xmlns="http://schemas.openxmlformats.org/spreadsheetml/2006/main" count="393" uniqueCount="269">
  <si>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</si>
  <si>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</si>
  <si>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</si>
  <si>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</si>
  <si>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</si>
  <si>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</si>
  <si>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</si>
  <si>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</si>
  <si>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</si>
  <si>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</si>
  <si>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</si>
  <si>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</si>
  <si>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</si>
  <si>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</si>
  <si>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</si>
  <si>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</si>
  <si>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</si>
  <si>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</si>
  <si>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</si>
  <si>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</si>
  <si>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</si>
  <si>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</si>
  <si>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</si>
  <si>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</si>
  <si>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</si>
  <si>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</si>
  <si>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</si>
  <si>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</si>
  <si>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</si>
  <si>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</si>
  <si>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</si>
  <si>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</si>
  <si>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</si>
  <si>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</si>
  <si>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</si>
  <si>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</si>
  <si>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</si>
  <si>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</si>
  <si>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</si>
  <si>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</si>
  <si>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</si>
  <si>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</si>
  <si>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</si>
  <si>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</si>
  <si>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</si>
  <si>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</si>
  <si>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</si>
  <si>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</si>
  <si>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</si>
  <si>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</si>
  <si>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</si>
  <si>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</si>
  <si>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</si>
  <si>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</si>
  <si>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</si>
  <si>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</si>
  <si>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</si>
  <si>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</si>
  <si>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</si>
  <si>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</si>
  <si>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</si>
  <si>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</si>
  <si>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</si>
  <si>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</si>
  <si>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</si>
  <si>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</si>
  <si>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</si>
  <si>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</si>
  <si>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</si>
  <si>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</si>
  <si>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</si>
  <si>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</si>
  <si>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</si>
  <si>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</si>
  <si>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</si>
  <si>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</si>
  <si>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</si>
  <si>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</si>
  <si>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</si>
  <si>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</si>
  <si>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</si>
  <si>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</si>
  <si>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</si>
  <si>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</si>
  <si>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</si>
  <si>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</si>
  <si>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</si>
  <si>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</si>
  <si>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</si>
  <si>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</si>
  <si>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</si>
  <si>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</si>
  <si>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</si>
  <si>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</si>
  <si>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</si>
  <si>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</si>
  <si>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</si>
  <si>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</si>
  <si>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</si>
  <si>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</si>
  <si>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</si>
  <si>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</si>
  <si>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</si>
  <si>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</si>
  <si>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</si>
  <si>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</si>
  <si>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</si>
  <si>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</si>
  <si>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</si>
  <si>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</si>
  <si>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</si>
  <si>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</si>
  <si>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</si>
  <si>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</si>
  <si>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</si>
  <si>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</si>
  <si>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</si>
  <si>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</si>
  <si>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</si>
  <si>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</si>
  <si>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</si>
  <si>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</si>
  <si>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</si>
  <si>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</si>
  <si>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</si>
  <si>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</si>
  <si>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</si>
  <si>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</si>
  <si>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</si>
  <si>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</si>
  <si>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</si>
  <si>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</si>
  <si>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</si>
  <si>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</si>
  <si>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</si>
  <si>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</si>
  <si>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</si>
  <si>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</si>
  <si>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</si>
  <si>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</si>
  <si>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</si>
  <si>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</si>
  <si>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</si>
  <si>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</si>
  <si>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</si>
  <si>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</si>
  <si>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</si>
  <si>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</si>
  <si>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</si>
  <si>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</si>
  <si>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</si>
  <si>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</si>
  <si>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</si>
  <si>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</si>
  <si>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</si>
  <si>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</si>
  <si>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</si>
  <si>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</si>
  <si>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</si>
  <si>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</si>
  <si>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</si>
  <si>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</si>
  <si>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</si>
  <si>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</si>
  <si>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</si>
  <si>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</si>
  <si>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</si>
  <si>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</si>
  <si>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</si>
  <si>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</si>
  <si>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</si>
  <si>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</si>
  <si>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</si>
  <si>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</si>
  <si>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</si>
  <si>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</si>
  <si>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</si>
  <si>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</si>
  <si>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</si>
  <si>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</si>
  <si>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</si>
  <si>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</si>
  <si>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</si>
  <si>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</si>
  <si>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</si>
  <si>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</si>
  <si>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</si>
  <si>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</si>
  <si>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</si>
  <si>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</si>
  <si>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</si>
  <si>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</si>
  <si>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</si>
  <si>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</si>
  <si>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</si>
  <si>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</si>
  <si>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</si>
  <si>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</si>
  <si>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</si>
  <si>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</si>
  <si>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</si>
  <si>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</si>
  <si>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</si>
  <si>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</si>
  <si>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</si>
  <si>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</si>
  <si>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</si>
  <si>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</si>
  <si>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</si>
  <si>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</si>
  <si>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</si>
  <si>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</si>
  <si>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</si>
  <si>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</si>
  <si>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</si>
  <si>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</si>
  <si>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</si>
  <si>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</si>
  <si>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</si>
  <si>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</si>
  <si>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</si>
  <si>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</si>
  <si>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</si>
  <si>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</si>
  <si>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</si>
  <si>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</si>
  <si>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</si>
  <si>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</si>
  <si>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</si>
  <si>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</si>
  <si>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</si>
  <si>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</si>
  <si>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</si>
  <si>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</si>
  <si>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</si>
  <si>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</si>
  <si>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</si>
  <si>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</si>
  <si>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</si>
  <si>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</si>
  <si>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</si>
  <si>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</si>
  <si>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</si>
  <si>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</si>
  <si>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</si>
  <si>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</si>
  <si>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</si>
  <si>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</si>
  <si>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</si>
  <si>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</si>
  <si>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</si>
  <si>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</si>
  <si>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</si>
  <si>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</si>
  <si>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</si>
  <si>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</si>
  <si>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</si>
  <si>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L3 연구동 건설공사</t>
    <phoneticPr fontId="2" type="noConversion"/>
  </si>
  <si>
    <t>서울</t>
  </si>
  <si>
    <t>기초공사, 해체및철거공사, 폐기물처리비, 골재비및운반비, 기타공사</t>
    <phoneticPr fontId="2" type="noConversion"/>
  </si>
  <si>
    <t>공조배관공사,우수처리시설공사, 바닥난방공사,기타공사</t>
    <phoneticPr fontId="2" type="noConversion"/>
  </si>
  <si>
    <t>원격검침 설비공사, 기타공사</t>
    <phoneticPr fontId="2" type="noConversion"/>
  </si>
  <si>
    <t>CCTV설비공사, 주차관제설비공사, 기타공사</t>
    <phoneticPr fontId="2" type="noConversion"/>
  </si>
  <si>
    <t>옥외소화배관공사, 펌프실배관공사, 무선통신보조설비공사, 기타공사</t>
    <phoneticPr fontId="2" type="noConversion"/>
  </si>
  <si>
    <t>상수도공사, 사급자재비, 기타공사</t>
    <phoneticPr fontId="2" type="noConversion"/>
  </si>
  <si>
    <t>포장공사,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</si>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</sst>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23877</v>
      </c>
      <c r="D7" s="36">
        <f>+C7/3.3058</f>
        <v>7222.7599975800103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887440</v>
      </c>
      <c r="E25" s="59">
        <f t="shared" si="0"/>
        <v>2933690</v>
      </c>
    </row>
    <row r="26" spans="1:5" x14ac:dyDescent="0.3">
      <c r="B26" s="2">
        <v>3</v>
      </c>
      <c r="C26" s="35" t="s">
        <v>95</v>
      </c>
      <c r="D26" s="45">
        <f>+D66</f>
        <v>102520</v>
      </c>
      <c r="E26" s="59">
        <f t="shared" si="0"/>
        <v>338910</v>
      </c>
    </row>
    <row r="27" spans="1:5" x14ac:dyDescent="0.3">
      <c r="B27" s="2">
        <v>4</v>
      </c>
      <c r="C27" s="35" t="s">
        <v>96</v>
      </c>
      <c r="D27" s="45">
        <f>+D95</f>
        <v>407170</v>
      </c>
      <c r="E27" s="59">
        <f t="shared" si="0"/>
        <v>1346020</v>
      </c>
    </row>
    <row r="28" spans="1:5" x14ac:dyDescent="0.3">
      <c r="B28" s="2">
        <v>5</v>
      </c>
      <c r="C28" s="35" t="s">
        <v>97</v>
      </c>
      <c r="D28" s="45">
        <f>+D119</f>
        <v>280330</v>
      </c>
      <c r="E28" s="59">
        <f t="shared" si="0"/>
        <v>926710</v>
      </c>
    </row>
    <row r="29" spans="1:5" x14ac:dyDescent="0.3">
      <c r="B29" s="2">
        <v>6</v>
      </c>
      <c r="C29" s="35" t="s">
        <v>98</v>
      </c>
      <c r="D29" s="45">
        <f>+D133</f>
        <v>150240</v>
      </c>
      <c r="E29" s="59">
        <f t="shared" si="0"/>
        <v>496660</v>
      </c>
    </row>
    <row r="30" spans="1:5" x14ac:dyDescent="0.3">
      <c r="B30" s="2">
        <v>7</v>
      </c>
      <c r="C30" s="35" t="s">
        <v>99</v>
      </c>
      <c r="D30" s="45">
        <f>+D146</f>
        <v>74940</v>
      </c>
      <c r="E30" s="59">
        <f t="shared" si="0"/>
        <v>247730</v>
      </c>
    </row>
    <row r="31" spans="1:5" x14ac:dyDescent="0.3">
      <c r="B31" s="2">
        <v>8</v>
      </c>
      <c r="C31" s="35" t="s">
        <v>100</v>
      </c>
      <c r="D31" s="45">
        <f>+D154</f>
        <v>27720</v>
      </c>
      <c r="E31" s="59">
        <f t="shared" si="0"/>
        <v>91630</v>
      </c>
    </row>
    <row r="32" spans="1:5" x14ac:dyDescent="0.3">
      <c r="B32" s="2">
        <v>9</v>
      </c>
      <c r="C32" s="35" t="s">
        <v>101</v>
      </c>
      <c r="D32" s="45">
        <f>+D161</f>
        <v>29410</v>
      </c>
      <c r="E32" s="59">
        <f t="shared" si="0"/>
        <v>97220</v>
      </c>
    </row>
    <row r="33" spans="1:7" x14ac:dyDescent="0.3">
      <c r="B33" s="2">
        <v>10</v>
      </c>
      <c r="C33" s="35" t="s">
        <v>154</v>
      </c>
      <c r="D33" s="53">
        <f>TRUNC(SUM(D24:D32)*0.275,-1)</f>
        <v>538930</v>
      </c>
      <c r="E33" s="60">
        <f t="shared" si="0"/>
        <v>1781590</v>
      </c>
    </row>
    <row r="34" spans="1:7" x14ac:dyDescent="0.3">
      <c r="C34" s="35" t="s">
        <v>112</v>
      </c>
      <c r="D34" s="44">
        <f>SUM(D24:D33)</f>
        <v>2498700</v>
      </c>
      <c r="E34" s="44">
        <f>SUM(E24:E33)</f>
        <v>8260160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249</v>
      </c>
      <c r="D39" s="57" t="s">
        <v>250</v>
      </c>
      <c r="E39" s="57" t="s">
        <v>251</v>
      </c>
      <c r="G39" s="55"/>
    </row>
    <row r="40" spans="1:7" x14ac:dyDescent="0.3">
      <c r="A40" s="2">
        <v>1</v>
      </c>
      <c r="C40" s="38" t="s">
        <v>15</v>
      </c>
      <c r="D40" s="40">
        <f>TRUNC(68547,-1)</f>
        <v>68540</v>
      </c>
      <c r="E40" s="62">
        <f t="shared" ref="E40:E59" si="1">TRUNC(+D40*3.3058,-1)</f>
        <v>226570</v>
      </c>
    </row>
    <row r="41" spans="1:7" x14ac:dyDescent="0.3">
      <c r="A41" s="2">
        <v>2</v>
      </c>
      <c r="C41" s="38" t="s">
        <v>13</v>
      </c>
      <c r="D41" s="42">
        <v>197900</v>
      </c>
      <c r="E41" s="63">
        <f t="shared" si="1"/>
        <v>654210</v>
      </c>
    </row>
    <row r="42" spans="1:7" x14ac:dyDescent="0.3">
      <c r="A42" s="2">
        <v>3</v>
      </c>
      <c r="C42" s="38" t="s">
        <v>14</v>
      </c>
      <c r="D42" s="42">
        <f>TRUNC(2778,-1)</f>
        <v>2770</v>
      </c>
      <c r="E42" s="63">
        <f t="shared" si="1"/>
        <v>9150</v>
      </c>
    </row>
    <row r="43" spans="1:7" x14ac:dyDescent="0.3">
      <c r="A43" s="2">
        <v>4</v>
      </c>
      <c r="C43" s="38" t="s">
        <v>16</v>
      </c>
      <c r="D43" s="42">
        <f>TRUNC(19477,-1)</f>
        <v>19470</v>
      </c>
      <c r="E43" s="63">
        <f t="shared" si="1"/>
        <v>64360</v>
      </c>
    </row>
    <row r="44" spans="1:7" x14ac:dyDescent="0.3">
      <c r="A44" s="2">
        <v>5</v>
      </c>
      <c r="C44" s="38" t="s">
        <v>17</v>
      </c>
      <c r="D44" s="42">
        <f>TRUNC(22598,-1)</f>
        <v>22590</v>
      </c>
      <c r="E44" s="63">
        <f t="shared" si="1"/>
        <v>74670</v>
      </c>
    </row>
    <row r="45" spans="1:7" x14ac:dyDescent="0.3">
      <c r="A45" s="2">
        <v>6</v>
      </c>
      <c r="C45" s="38" t="s">
        <v>18</v>
      </c>
      <c r="D45" s="42">
        <f>TRUNC(3331,-1)</f>
        <v>3330</v>
      </c>
      <c r="E45" s="63">
        <f t="shared" si="1"/>
        <v>11000</v>
      </c>
    </row>
    <row r="46" spans="1:7" x14ac:dyDescent="0.3">
      <c r="A46" s="2">
        <v>7</v>
      </c>
      <c r="C46" s="38" t="s">
        <v>19</v>
      </c>
      <c r="D46" s="42">
        <f>TRUNC(3411,-1)</f>
        <v>3410</v>
      </c>
      <c r="E46" s="63">
        <f t="shared" si="1"/>
        <v>11270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TRUNC(107963,-1)</f>
        <v>107960</v>
      </c>
      <c r="E48" s="63">
        <f t="shared" si="1"/>
        <v>356890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TRUNC(23436,-1)</f>
        <v>23430</v>
      </c>
      <c r="E49" s="63">
        <f t="shared" si="1"/>
        <v>77450</v>
      </c>
    </row>
    <row r="50" spans="1:7" x14ac:dyDescent="0.3">
      <c r="A50" s="2">
        <v>11</v>
      </c>
      <c r="C50" s="38" t="s">
        <v>155</v>
      </c>
      <c r="D50" s="42">
        <f>TRUNC(59832,-1)</f>
        <v>59830</v>
      </c>
      <c r="E50" s="63">
        <f t="shared" si="1"/>
        <v>197780</v>
      </c>
      <c r="F50" s="2" t="s">
        <v>255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TRUNC(16237,-1)</f>
        <v>16230</v>
      </c>
      <c r="E52" s="63">
        <f t="shared" si="1"/>
        <v>53650</v>
      </c>
    </row>
    <row r="53" spans="1:7" x14ac:dyDescent="0.3">
      <c r="A53" s="2">
        <v>14</v>
      </c>
      <c r="C53" s="38" t="s">
        <v>25</v>
      </c>
      <c r="D53" s="42">
        <f>TRUNC(77451,-1)</f>
        <v>77450</v>
      </c>
      <c r="E53" s="63">
        <f t="shared" si="1"/>
        <v>256030</v>
      </c>
      <c r="F53" s="2" t="s">
        <v>256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TRUNC(169+11946+1013+4838+53586,-1)</f>
        <v>71550</v>
      </c>
      <c r="E58" s="63">
        <f t="shared" si="1"/>
        <v>236520</v>
      </c>
      <c r="F58" s="2" t="s">
        <v>259</v>
      </c>
    </row>
    <row r="59" spans="1:7" ht="17.25" thickBot="1" x14ac:dyDescent="0.35">
      <c r="A59" s="2">
        <v>20</v>
      </c>
      <c r="C59" s="38" t="s">
        <v>148</v>
      </c>
      <c r="D59" s="43">
        <v>212980</v>
      </c>
      <c r="E59" s="64">
        <f t="shared" si="1"/>
        <v>704060</v>
      </c>
    </row>
    <row r="60" spans="1:7" x14ac:dyDescent="0.3">
      <c r="A60" s="2">
        <v>21</v>
      </c>
      <c r="C60" s="27" t="s">
        <v>112</v>
      </c>
      <c r="D60" s="39">
        <f>SUM(D40:D59)</f>
        <v>887440</v>
      </c>
      <c r="E60" s="39">
        <f>SUM(E40:E59)</f>
        <v>2933610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TRUNC(2674,-1)</f>
        <v>2670</v>
      </c>
      <c r="E63" s="62">
        <f>TRUNC(+D63*3.3058,-1)</f>
        <v>8820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TRUNC(99855,-1)</f>
        <v>99850</v>
      </c>
      <c r="E65" s="64">
        <f>TRUNC(+D65*3.3058,-1)</f>
        <v>330080</v>
      </c>
    </row>
    <row r="66" spans="1:7" x14ac:dyDescent="0.3">
      <c r="A66" s="2">
        <v>4</v>
      </c>
      <c r="C66" s="27" t="s">
        <v>112</v>
      </c>
      <c r="D66" s="39">
        <f>SUM(D63:D65)</f>
        <v>102520</v>
      </c>
      <c r="E66" s="65">
        <f>SUM(E63:E65)</f>
        <v>338900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TRUNC(20334,-1)</f>
        <v>20330</v>
      </c>
      <c r="E69" s="62">
        <f t="shared" ref="E69:E94" si="2">TRUNC(+D69*3.3058,-1)</f>
        <v>67200</v>
      </c>
    </row>
    <row r="70" spans="1:7" ht="16.5" customHeight="1" x14ac:dyDescent="0.3">
      <c r="A70" s="2">
        <v>2</v>
      </c>
      <c r="C70" s="38" t="s">
        <v>31</v>
      </c>
      <c r="D70" s="42">
        <f>TRUNC(74,-1)</f>
        <v>70</v>
      </c>
      <c r="E70" s="63">
        <f t="shared" si="2"/>
        <v>230</v>
      </c>
    </row>
    <row r="71" spans="1:7" x14ac:dyDescent="0.3">
      <c r="A71" s="2">
        <v>3</v>
      </c>
      <c r="C71" s="38" t="s">
        <v>32</v>
      </c>
      <c r="D71" s="42">
        <f>TRUNC(25055,-1)</f>
        <v>25050</v>
      </c>
      <c r="E71" s="63">
        <f t="shared" si="2"/>
        <v>82810</v>
      </c>
    </row>
    <row r="72" spans="1:7" x14ac:dyDescent="0.3">
      <c r="A72" s="2">
        <v>4</v>
      </c>
      <c r="C72" s="38" t="s">
        <v>33</v>
      </c>
      <c r="D72" s="42">
        <f>TRUNC(3797,-1)</f>
        <v>3790</v>
      </c>
      <c r="E72" s="63">
        <f t="shared" si="2"/>
        <v>12520</v>
      </c>
    </row>
    <row r="73" spans="1:7" x14ac:dyDescent="0.3">
      <c r="A73" s="2">
        <v>5</v>
      </c>
      <c r="C73" s="38" t="s">
        <v>34</v>
      </c>
      <c r="D73" s="42">
        <f>TRUNC(12119,-1)</f>
        <v>12110</v>
      </c>
      <c r="E73" s="63">
        <f t="shared" si="2"/>
        <v>40030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TRUNC(3661,-1)</f>
        <v>3660</v>
      </c>
      <c r="E75" s="63">
        <f t="shared" si="2"/>
        <v>12090</v>
      </c>
    </row>
    <row r="76" spans="1:7" x14ac:dyDescent="0.3">
      <c r="A76" s="2">
        <v>8</v>
      </c>
      <c r="C76" s="38" t="s">
        <v>119</v>
      </c>
      <c r="D76" s="42">
        <f>TRUNC(52982,-1)</f>
        <v>52980</v>
      </c>
      <c r="E76" s="63">
        <f t="shared" si="2"/>
        <v>175140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TRUNC(16558,-1)</f>
        <v>16550</v>
      </c>
      <c r="E89" s="63">
        <f t="shared" si="2"/>
        <v>54710</v>
      </c>
    </row>
    <row r="90" spans="1:7" x14ac:dyDescent="0.3">
      <c r="A90" s="2">
        <v>22</v>
      </c>
      <c r="C90" s="38" t="s">
        <v>36</v>
      </c>
      <c r="D90" s="42">
        <f>TRUNC(3347,-1)</f>
        <v>3340</v>
      </c>
      <c r="E90" s="63">
        <f t="shared" si="2"/>
        <v>11040</v>
      </c>
    </row>
    <row r="91" spans="1:7" x14ac:dyDescent="0.3">
      <c r="A91" s="2">
        <v>23</v>
      </c>
      <c r="C91" s="38" t="s">
        <v>37</v>
      </c>
      <c r="D91" s="42">
        <f>TRUNC(71317,-1)</f>
        <v>71310</v>
      </c>
      <c r="E91" s="63">
        <f t="shared" si="2"/>
        <v>235730</v>
      </c>
    </row>
    <row r="92" spans="1:7" x14ac:dyDescent="0.3">
      <c r="A92" s="2">
        <v>24</v>
      </c>
      <c r="C92" s="38" t="s">
        <v>38</v>
      </c>
      <c r="D92" s="42">
        <f>TRUNC(5026,-1)</f>
        <v>5020</v>
      </c>
      <c r="E92" s="63">
        <f t="shared" si="2"/>
        <v>16590</v>
      </c>
    </row>
    <row r="93" spans="1:7" x14ac:dyDescent="0.3">
      <c r="A93" s="2">
        <v>25</v>
      </c>
      <c r="C93" s="38" t="s">
        <v>148</v>
      </c>
      <c r="D93" s="42">
        <v>122810</v>
      </c>
      <c r="E93" s="63">
        <f t="shared" si="2"/>
        <v>405980</v>
      </c>
    </row>
    <row r="94" spans="1:7" ht="17.25" thickBot="1" x14ac:dyDescent="0.35">
      <c r="A94" s="2">
        <v>26</v>
      </c>
      <c r="C94" s="38" t="s">
        <v>47</v>
      </c>
      <c r="D94" s="43">
        <f>TRUNC(58166+5822+239+5928,-1)</f>
        <v>70150</v>
      </c>
      <c r="E94" s="64">
        <f t="shared" si="2"/>
        <v>231900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407170</v>
      </c>
      <c r="E95" s="39">
        <f>SUM(E69:E94)</f>
        <v>1345970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TRUNC(58926,-1)</f>
        <v>58920</v>
      </c>
      <c r="E98" s="62">
        <f t="shared" ref="E98:E118" si="3">TRUNC(+D98*3.3058,-1)</f>
        <v>194770</v>
      </c>
    </row>
    <row r="99" spans="1:7" x14ac:dyDescent="0.3">
      <c r="A99" s="2">
        <v>2</v>
      </c>
      <c r="C99" s="38" t="s">
        <v>40</v>
      </c>
      <c r="D99" s="42">
        <v>17160</v>
      </c>
      <c r="E99" s="63">
        <f t="shared" si="3"/>
        <v>56720</v>
      </c>
    </row>
    <row r="100" spans="1:7" x14ac:dyDescent="0.3">
      <c r="A100" s="2">
        <v>3</v>
      </c>
      <c r="C100" s="38" t="s">
        <v>41</v>
      </c>
      <c r="D100" s="42">
        <f>TRUNC(37659,-1)</f>
        <v>37650</v>
      </c>
      <c r="E100" s="63">
        <f t="shared" si="3"/>
        <v>124460</v>
      </c>
    </row>
    <row r="101" spans="1:7" x14ac:dyDescent="0.3">
      <c r="A101" s="2">
        <v>4</v>
      </c>
      <c r="C101" s="38" t="s">
        <v>42</v>
      </c>
      <c r="D101" s="42">
        <v>130</v>
      </c>
      <c r="E101" s="63">
        <f t="shared" si="3"/>
        <v>420</v>
      </c>
    </row>
    <row r="102" spans="1:7" x14ac:dyDescent="0.3">
      <c r="A102" s="2">
        <v>5</v>
      </c>
      <c r="C102" s="38" t="s">
        <v>43</v>
      </c>
      <c r="D102" s="42">
        <v>17540</v>
      </c>
      <c r="E102" s="63">
        <f t="shared" si="3"/>
        <v>57980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TRUNC(878,-1)</f>
        <v>870</v>
      </c>
      <c r="E104" s="63">
        <f t="shared" si="3"/>
        <v>2870</v>
      </c>
    </row>
    <row r="105" spans="1:7" x14ac:dyDescent="0.3">
      <c r="A105" s="2">
        <v>8</v>
      </c>
      <c r="C105" s="38" t="s">
        <v>46</v>
      </c>
      <c r="D105" s="42">
        <v>9440</v>
      </c>
      <c r="E105" s="63">
        <f t="shared" si="3"/>
        <v>31200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TRUNC(6863,-1)</f>
        <v>6860</v>
      </c>
      <c r="E116" s="63">
        <f t="shared" si="3"/>
        <v>22670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f>TRUNC(130398,-1)</f>
        <v>130390</v>
      </c>
      <c r="E117" s="63">
        <f t="shared" si="3"/>
        <v>431040</v>
      </c>
    </row>
    <row r="118" spans="1:7" ht="17.25" thickBot="1" x14ac:dyDescent="0.35">
      <c r="A118" s="2">
        <v>21</v>
      </c>
      <c r="C118" s="38" t="s">
        <v>47</v>
      </c>
      <c r="D118" s="43">
        <f>TRUNC(750+628,-1)</f>
        <v>1370</v>
      </c>
      <c r="E118" s="64">
        <f t="shared" si="3"/>
        <v>4520</v>
      </c>
      <c r="F118" s="2" t="s">
        <v>261</v>
      </c>
    </row>
    <row r="119" spans="1:7" x14ac:dyDescent="0.3">
      <c r="A119" s="2">
        <v>22</v>
      </c>
      <c r="C119" s="27" t="s">
        <v>112</v>
      </c>
      <c r="D119" s="39">
        <f>SUM(D98:D118)</f>
        <v>280330</v>
      </c>
      <c r="E119" s="39">
        <f>SUM(E98:E118)</f>
        <v>926650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TRUNC(6042,-1)</f>
        <v>6040</v>
      </c>
      <c r="E122" s="62">
        <f t="shared" ref="E122:E132" si="4">TRUNC(+D122*3.3058,-1)</f>
        <v>19960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TRUNC(1073,-1)</f>
        <v>1070</v>
      </c>
      <c r="E124" s="63">
        <f t="shared" si="4"/>
        <v>3530</v>
      </c>
    </row>
    <row r="125" spans="1:7" x14ac:dyDescent="0.3">
      <c r="A125" s="2">
        <v>4</v>
      </c>
      <c r="C125" s="38" t="s">
        <v>138</v>
      </c>
      <c r="D125" s="42">
        <f>TRUNC(8768,-1)</f>
        <v>8760</v>
      </c>
      <c r="E125" s="63">
        <f t="shared" si="4"/>
        <v>28950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TRUNC(1854,-1)</f>
        <v>1850</v>
      </c>
      <c r="E127" s="63">
        <f t="shared" si="4"/>
        <v>6110</v>
      </c>
    </row>
    <row r="128" spans="1:7" x14ac:dyDescent="0.3">
      <c r="A128" s="2">
        <v>7</v>
      </c>
      <c r="C128" s="38" t="s">
        <v>46</v>
      </c>
      <c r="D128" s="42">
        <f>TRUNC(3423,-1)</f>
        <v>3420</v>
      </c>
      <c r="E128" s="63">
        <f t="shared" si="4"/>
        <v>11300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TRUNC(46899,-1)</f>
        <v>46890</v>
      </c>
      <c r="E130" s="63">
        <f t="shared" si="4"/>
        <v>155000</v>
      </c>
    </row>
    <row r="131" spans="1:7" x14ac:dyDescent="0.3">
      <c r="A131" s="2">
        <v>10</v>
      </c>
      <c r="C131" s="38" t="s">
        <v>148</v>
      </c>
      <c r="D131" s="42">
        <f>TRUNC(72624,-1)</f>
        <v>72620</v>
      </c>
      <c r="E131" s="63">
        <f t="shared" si="4"/>
        <v>240060</v>
      </c>
    </row>
    <row r="132" spans="1:7" ht="18" thickBot="1" x14ac:dyDescent="0.35">
      <c r="A132" s="2">
        <v>11</v>
      </c>
      <c r="C132" s="38" t="s">
        <v>47</v>
      </c>
      <c r="D132" s="43">
        <f>TRUNC(1542+1599+6451,-1)</f>
        <v>9590</v>
      </c>
      <c r="E132" s="64">
        <f t="shared" si="4"/>
        <v>31700</v>
      </c>
      <c r="F132" s="54" t="s">
        <v>262</v>
      </c>
    </row>
    <row r="133" spans="1:7" x14ac:dyDescent="0.3">
      <c r="A133" s="2">
        <v>12</v>
      </c>
      <c r="C133" s="27" t="s">
        <v>112</v>
      </c>
      <c r="D133" s="39">
        <f>SUM(D122:D132)</f>
        <v>150240</v>
      </c>
      <c r="E133" s="39">
        <f>SUM(E122:E132)</f>
        <v>496610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TRUNC(554,-1)</f>
        <v>550</v>
      </c>
      <c r="E136" s="62">
        <f t="shared" ref="E136:E145" si="5">TRUNC(+D136*3.3058,-1)</f>
        <v>1810</v>
      </c>
    </row>
    <row r="137" spans="1:7" x14ac:dyDescent="0.3">
      <c r="A137" s="2">
        <v>2</v>
      </c>
      <c r="C137" s="38" t="s">
        <v>47</v>
      </c>
      <c r="D137" s="42">
        <f>TRUNC(603+1059+773+8226,-1)</f>
        <v>10660</v>
      </c>
      <c r="E137" s="63">
        <f t="shared" si="5"/>
        <v>35230</v>
      </c>
      <c r="F137" s="2" t="s">
        <v>263</v>
      </c>
    </row>
    <row r="138" spans="1:7" x14ac:dyDescent="0.3">
      <c r="A138" s="2">
        <v>3</v>
      </c>
      <c r="C138" s="38" t="s">
        <v>60</v>
      </c>
      <c r="D138" s="42">
        <f>TRUNC(5215,-1)</f>
        <v>5210</v>
      </c>
      <c r="E138" s="63">
        <f t="shared" si="5"/>
        <v>17220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f>TRUNC(28827,-1)</f>
        <v>28820</v>
      </c>
      <c r="E141" s="63">
        <f t="shared" si="5"/>
        <v>95270</v>
      </c>
    </row>
    <row r="142" spans="1:7" x14ac:dyDescent="0.3">
      <c r="A142" s="2">
        <v>7</v>
      </c>
      <c r="C142" s="38" t="s">
        <v>58</v>
      </c>
      <c r="D142" s="42">
        <f>TRUNC(7693,-1)</f>
        <v>7690</v>
      </c>
      <c r="E142" s="63">
        <f t="shared" si="5"/>
        <v>25420</v>
      </c>
    </row>
    <row r="143" spans="1:7" x14ac:dyDescent="0.3">
      <c r="A143" s="2">
        <v>8</v>
      </c>
      <c r="C143" s="38" t="s">
        <v>62</v>
      </c>
      <c r="D143" s="42">
        <f>TRUNC(5835,-1)</f>
        <v>5830</v>
      </c>
      <c r="E143" s="63">
        <f t="shared" si="5"/>
        <v>19270</v>
      </c>
    </row>
    <row r="144" spans="1:7" x14ac:dyDescent="0.3">
      <c r="A144" s="2">
        <v>9</v>
      </c>
      <c r="C144" s="38" t="s">
        <v>63</v>
      </c>
      <c r="D144" s="42">
        <f>TRUNC(16181,-1)</f>
        <v>16180</v>
      </c>
      <c r="E144" s="63">
        <f t="shared" si="5"/>
        <v>53480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74940</v>
      </c>
      <c r="E146" s="39">
        <f>SUM(E136:E145)</f>
        <v>247700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2690+580</f>
        <v>3270</v>
      </c>
      <c r="E149" s="62">
        <f>TRUNC(+D149*3.3058,-1)</f>
        <v>10800</v>
      </c>
    </row>
    <row r="150" spans="1:7" x14ac:dyDescent="0.3">
      <c r="A150" s="2">
        <v>2</v>
      </c>
      <c r="C150" s="38" t="s">
        <v>49</v>
      </c>
      <c r="D150" s="42">
        <f>TRUNC(2373,-1)</f>
        <v>2370</v>
      </c>
      <c r="E150" s="63">
        <f>TRUNC(+D150*3.3058,-1)</f>
        <v>7830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TRUNC(680+4797+5,-1)</f>
        <v>5480</v>
      </c>
      <c r="E152" s="63">
        <f>TRUNC(+D152*3.3058,-1)</f>
        <v>18110</v>
      </c>
      <c r="F152" s="2" t="s">
        <v>264</v>
      </c>
    </row>
    <row r="153" spans="1:7" ht="17.25" thickBot="1" x14ac:dyDescent="0.35">
      <c r="A153" s="2">
        <v>5</v>
      </c>
      <c r="C153" s="38" t="s">
        <v>148</v>
      </c>
      <c r="D153" s="43">
        <f>TRUNC(16601,-1)</f>
        <v>16600</v>
      </c>
      <c r="E153" s="64">
        <f>TRUNC(+D153*3.3058,-1)</f>
        <v>54870</v>
      </c>
    </row>
    <row r="154" spans="1:7" x14ac:dyDescent="0.3">
      <c r="A154" s="2">
        <v>6</v>
      </c>
      <c r="C154" s="27" t="s">
        <v>112</v>
      </c>
      <c r="D154" s="39">
        <f>SUM(D149:D153)</f>
        <v>27720</v>
      </c>
      <c r="E154" s="39">
        <f>SUM(E149:E153)</f>
        <v>91610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TRUNC(10145,-1)</f>
        <v>10140</v>
      </c>
      <c r="E157" s="62">
        <f>TRUNC(+D157*3.3058,-1)</f>
        <v>33520</v>
      </c>
    </row>
    <row r="158" spans="1:7" x14ac:dyDescent="0.3">
      <c r="A158" s="2">
        <v>2</v>
      </c>
      <c r="C158" s="38" t="s">
        <v>52</v>
      </c>
      <c r="D158" s="42">
        <f>TRUNC(15135,-1)</f>
        <v>15130</v>
      </c>
      <c r="E158" s="63">
        <f>TRUNC(+D158*3.3058,-1)</f>
        <v>50010</v>
      </c>
    </row>
    <row r="159" spans="1:7" x14ac:dyDescent="0.3">
      <c r="A159" s="2">
        <v>3</v>
      </c>
      <c r="C159" s="38" t="s">
        <v>47</v>
      </c>
      <c r="D159" s="42">
        <f>TRUNC(3426+715,-1)</f>
        <v>4140</v>
      </c>
      <c r="E159" s="63">
        <f>TRUNC(+D159*3.3058,-1)</f>
        <v>13680</v>
      </c>
      <c r="F159" s="2" t="s">
        <v>265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29410</v>
      </c>
      <c r="E161" s="39">
        <f>SUM(E157:E160)</f>
        <v>97210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2020-12-07T09:56:06Z</dcterms:modified>
</cp:coreProperties>
</file>