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4" i="4"/>
  <c r="D143" i="4"/>
  <c r="D141" i="4"/>
  <c r="D140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3" i="4"/>
  <c r="D92" i="4"/>
  <c r="D90" i="4"/>
  <c r="D89" i="4"/>
  <c r="D75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<sst xmlns="http://schemas.openxmlformats.org/spreadsheetml/2006/main" count="391" uniqueCount="267">
  <si>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</si>
  <si>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</si>
  <si>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</si>
  <si>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</si>
  <si>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</si>
  <si>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</si>
  <si>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</si>
  <si>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</si>
  <si>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</si>
  <si>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</si>
  <si>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</si>
  <si>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</si>
  <si>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</si>
  <si>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</si>
  <si>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</si>
  <si>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</si>
  <si>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</si>
  <si>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</si>
  <si>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</si>
  <si>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</si>
  <si>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</si>
  <si>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</si>
  <si>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</si>
  <si>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</si>
  <si>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</si>
  <si>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</si>
  <si>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</si>
  <si>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</si>
  <si>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</si>
  <si>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</si>
  <si>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</si>
  <si>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</si>
  <si>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</si>
  <si>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</si>
  <si>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</si>
  <si>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</si>
  <si>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</si>
  <si>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</si>
  <si>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</si>
  <si>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</si>
  <si>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</si>
  <si>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</si>
  <si>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</si>
  <si>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</si>
  <si>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</si>
  <si>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</si>
  <si>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</si>
  <si>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</si>
  <si>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</si>
  <si>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</si>
  <si>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</si>
  <si>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</si>
  <si>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</si>
  <si>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</si>
  <si>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</si>
  <si>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</si>
  <si>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</si>
  <si>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</si>
  <si>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</si>
  <si>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</si>
  <si>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</si>
  <si>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</si>
  <si>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</si>
  <si>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</si>
  <si>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</si>
  <si>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</si>
  <si>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</si>
  <si>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</si>
  <si>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</si>
  <si>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</si>
  <si>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</si>
  <si>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</si>
  <si>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</si>
  <si>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</si>
  <si>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</si>
  <si>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</si>
  <si>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</si>
  <si>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</si>
  <si>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</si>
  <si>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</si>
  <si>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</si>
  <si>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</si>
  <si>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</si>
  <si>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</si>
  <si>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</si>
  <si>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</si>
  <si>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</si>
  <si>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</si>
  <si>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</si>
  <si>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</si>
  <si>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</si>
  <si>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</si>
  <si>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</si>
  <si>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</si>
  <si>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</si>
  <si>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</si>
  <si>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</si>
  <si>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</si>
  <si>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</si>
  <si>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</si>
  <si>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</si>
  <si>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</si>
  <si>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</si>
  <si>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</si>
  <si>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</si>
  <si>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</si>
  <si>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</si>
  <si>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</si>
  <si>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</si>
  <si>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</si>
  <si>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</si>
  <si>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</si>
  <si>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</si>
  <si>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</si>
  <si>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</si>
  <si>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</si>
  <si>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</si>
  <si>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</si>
  <si>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</si>
  <si>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</si>
  <si>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</si>
  <si>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</si>
  <si>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</si>
  <si>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</si>
  <si>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</si>
  <si>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</si>
  <si>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</si>
  <si>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</si>
  <si>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</si>
  <si>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</si>
  <si>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</si>
  <si>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</si>
  <si>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</si>
  <si>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</si>
  <si>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</si>
  <si>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</si>
  <si>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</si>
  <si>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</si>
  <si>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</si>
  <si>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</si>
  <si>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</si>
  <si>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</si>
  <si>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</si>
  <si>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</si>
  <si>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</si>
  <si>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</si>
  <si>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</si>
  <si>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</si>
  <si>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</si>
  <si>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</si>
  <si>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</si>
  <si>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</si>
  <si>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</si>
  <si>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</si>
  <si>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</si>
  <si>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</si>
  <si>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</si>
  <si>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</si>
  <si>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</si>
  <si>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</si>
  <si>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</si>
  <si>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</si>
  <si>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</si>
  <si>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</si>
  <si>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</si>
  <si>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</si>
  <si>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</si>
  <si>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</si>
  <si>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</si>
  <si>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</si>
  <si>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</si>
  <si>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</si>
  <si>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</si>
  <si>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</si>
  <si>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</si>
  <si>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</si>
  <si>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</si>
  <si>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</si>
  <si>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</si>
  <si>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</si>
  <si>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</si>
  <si>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</si>
  <si>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</si>
  <si>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</si>
  <si>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</si>
  <si>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</si>
  <si>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</si>
  <si>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</si>
  <si>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</si>
  <si>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</si>
  <si>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</si>
  <si>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</si>
  <si>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</si>
  <si>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</si>
  <si>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</si>
  <si>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</si>
  <si>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</si>
  <si>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</si>
  <si>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</si>
  <si>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</si>
  <si>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</si>
  <si>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</si>
  <si>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</si>
  <si>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</si>
  <si>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</si>
  <si>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</si>
  <si>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</si>
  <si>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</si>
  <si>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</si>
  <si>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</si>
  <si>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</si>
  <si>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</si>
  <si>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</si>
  <si>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</si>
  <si>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</si>
  <si>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</si>
  <si>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</si>
  <si>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</si>
  <si>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</si>
  <si>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</si>
  <si>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</si>
  <si>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</si>
  <si>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</si>
  <si>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</si>
  <si>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</si>
  <si>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</si>
  <si>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</si>
  <si>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</si>
  <si>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</si>
  <si>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</si>
  <si>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</si>
  <si>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</si>
  <si>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</si>
  <si>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</si>
  <si>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</si>
  <si>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</si>
  <si>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</si>
  <si>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</si>
  <si>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</si>
  <si>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</si>
  <si>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</si>
  <si>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</si>
  <si>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</si>
  <si>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</si>
  <si>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</si>
  <si>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</si>
  <si>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</si>
  <si>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</si>
  <si>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</si>
  <si>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</si>
  <si>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</si>
  <si>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</si>
  <si>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</si>
  <si>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</si>
  <si>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</si>
  <si>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</si>
  <si>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</si>
  <si>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</si>
  <si>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해양과학기술전문대학원관 신축공사</t>
    <phoneticPr fontId="2" type="noConversion"/>
  </si>
  <si>
    <t>부산시</t>
  </si>
  <si>
    <t>공조배관공사,난방배관공사,우수처리시설공사, 기타공사</t>
    <phoneticPr fontId="2" type="noConversion"/>
  </si>
  <si>
    <t>옥외보안등설비공사</t>
    <phoneticPr fontId="2" type="noConversion"/>
  </si>
  <si>
    <t>옥외소화배관공사, 펌프실배관공사, 제연덕트설치공사, 기타공사</t>
    <phoneticPr fontId="2" type="noConversion"/>
  </si>
  <si>
    <t>상수도공사, 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</si>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</sst>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3" sqref="A2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14254</v>
      </c>
      <c r="D7" s="36">
        <f>+C7/3.3058</f>
        <v>4311.8155968298142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799250</v>
      </c>
      <c r="E25" s="59">
        <f t="shared" si="0"/>
        <v>2642160</v>
      </c>
    </row>
    <row r="26" spans="1:5" x14ac:dyDescent="0.3">
      <c r="B26" s="2">
        <v>3</v>
      </c>
      <c r="C26" s="35" t="s">
        <v>95</v>
      </c>
      <c r="D26" s="45">
        <f>+D66</f>
        <v>20110</v>
      </c>
      <c r="E26" s="59">
        <f t="shared" si="0"/>
        <v>66470</v>
      </c>
    </row>
    <row r="27" spans="1:5" x14ac:dyDescent="0.3">
      <c r="B27" s="2">
        <v>4</v>
      </c>
      <c r="C27" s="35" t="s">
        <v>96</v>
      </c>
      <c r="D27" s="45">
        <f>+D95</f>
        <v>271490</v>
      </c>
      <c r="E27" s="59">
        <f t="shared" si="0"/>
        <v>897490</v>
      </c>
    </row>
    <row r="28" spans="1:5" x14ac:dyDescent="0.3">
      <c r="B28" s="2">
        <v>5</v>
      </c>
      <c r="C28" s="35" t="s">
        <v>97</v>
      </c>
      <c r="D28" s="45">
        <f>+D119</f>
        <v>242930</v>
      </c>
      <c r="E28" s="59">
        <f t="shared" si="0"/>
        <v>803070</v>
      </c>
    </row>
    <row r="29" spans="1:5" x14ac:dyDescent="0.3">
      <c r="B29" s="2">
        <v>6</v>
      </c>
      <c r="C29" s="35" t="s">
        <v>98</v>
      </c>
      <c r="D29" s="45">
        <f>+D133</f>
        <v>79060</v>
      </c>
      <c r="E29" s="59">
        <f t="shared" si="0"/>
        <v>261350</v>
      </c>
    </row>
    <row r="30" spans="1:5" x14ac:dyDescent="0.3">
      <c r="B30" s="2">
        <v>7</v>
      </c>
      <c r="C30" s="35" t="s">
        <v>99</v>
      </c>
      <c r="D30" s="45">
        <f>+D146</f>
        <v>57270</v>
      </c>
      <c r="E30" s="59">
        <f t="shared" si="0"/>
        <v>189320</v>
      </c>
    </row>
    <row r="31" spans="1:5" x14ac:dyDescent="0.3">
      <c r="B31" s="2">
        <v>8</v>
      </c>
      <c r="C31" s="35" t="s">
        <v>100</v>
      </c>
      <c r="D31" s="45">
        <f>+D154</f>
        <v>9960</v>
      </c>
      <c r="E31" s="59">
        <f t="shared" si="0"/>
        <v>32920</v>
      </c>
    </row>
    <row r="32" spans="1:5" x14ac:dyDescent="0.3">
      <c r="B32" s="2">
        <v>9</v>
      </c>
      <c r="C32" s="35" t="s">
        <v>101</v>
      </c>
      <c r="D32" s="45">
        <f>+D161</f>
        <v>21520</v>
      </c>
      <c r="E32" s="59">
        <f t="shared" si="0"/>
        <v>71140</v>
      </c>
    </row>
    <row r="33" spans="1:7" x14ac:dyDescent="0.3">
      <c r="B33" s="2">
        <v>10</v>
      </c>
      <c r="C33" s="35" t="s">
        <v>154</v>
      </c>
      <c r="D33" s="53">
        <f>TRUNC(SUM(D24:D32)*0.275,-1)</f>
        <v>412930</v>
      </c>
      <c r="E33" s="60">
        <f t="shared" si="0"/>
        <v>1365060</v>
      </c>
    </row>
    <row r="34" spans="1:7" x14ac:dyDescent="0.3">
      <c r="C34" s="35" t="s">
        <v>112</v>
      </c>
      <c r="D34" s="44">
        <f>SUM(D24:D33)</f>
        <v>1914520</v>
      </c>
      <c r="E34" s="44">
        <f>SUM(E24:E33)</f>
        <v>6328980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TRUNC(53446,-1)</f>
        <v>53440</v>
      </c>
      <c r="E40" s="62">
        <f t="shared" ref="E40:E59" si="1">TRUNC(+D40*3.3058,-1)</f>
        <v>176660</v>
      </c>
    </row>
    <row r="41" spans="1:7" x14ac:dyDescent="0.3">
      <c r="A41" s="2">
        <v>2</v>
      </c>
      <c r="C41" s="38" t="s">
        <v>13</v>
      </c>
      <c r="D41" s="42">
        <f>TRUNC(93528,-1)</f>
        <v>93520</v>
      </c>
      <c r="E41" s="63">
        <f t="shared" si="1"/>
        <v>309150</v>
      </c>
    </row>
    <row r="42" spans="1:7" x14ac:dyDescent="0.3">
      <c r="A42" s="2">
        <v>3</v>
      </c>
      <c r="C42" s="38" t="s">
        <v>14</v>
      </c>
      <c r="D42" s="42">
        <f>TRUNC(5863,-1)</f>
        <v>5860</v>
      </c>
      <c r="E42" s="63">
        <f t="shared" si="1"/>
        <v>19370</v>
      </c>
    </row>
    <row r="43" spans="1:7" x14ac:dyDescent="0.3">
      <c r="A43" s="2">
        <v>4</v>
      </c>
      <c r="C43" s="38" t="s">
        <v>16</v>
      </c>
      <c r="D43" s="42">
        <f>TRUNC(19758,-1)</f>
        <v>19750</v>
      </c>
      <c r="E43" s="63">
        <f t="shared" si="1"/>
        <v>65280</v>
      </c>
    </row>
    <row r="44" spans="1:7" x14ac:dyDescent="0.3">
      <c r="A44" s="2">
        <v>5</v>
      </c>
      <c r="C44" s="38" t="s">
        <v>17</v>
      </c>
      <c r="D44" s="42">
        <f>TRUNC(19151,-1)</f>
        <v>19150</v>
      </c>
      <c r="E44" s="63">
        <f t="shared" si="1"/>
        <v>63300</v>
      </c>
    </row>
    <row r="45" spans="1:7" x14ac:dyDescent="0.3">
      <c r="A45" s="2">
        <v>6</v>
      </c>
      <c r="C45" s="38" t="s">
        <v>18</v>
      </c>
      <c r="D45" s="42">
        <f>TRUNC(4178,-1)</f>
        <v>4170</v>
      </c>
      <c r="E45" s="63">
        <f t="shared" si="1"/>
        <v>13780</v>
      </c>
    </row>
    <row r="46" spans="1:7" x14ac:dyDescent="0.3">
      <c r="A46" s="2">
        <v>7</v>
      </c>
      <c r="C46" s="38" t="s">
        <v>19</v>
      </c>
      <c r="D46" s="42">
        <v>27110</v>
      </c>
      <c r="E46" s="63">
        <f t="shared" si="1"/>
        <v>89620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TRUNC(78618,-1)</f>
        <v>78610</v>
      </c>
      <c r="E48" s="63">
        <f t="shared" si="1"/>
        <v>259860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TRUNC(18822,-1)</f>
        <v>18820</v>
      </c>
      <c r="E49" s="63">
        <f t="shared" si="1"/>
        <v>62210</v>
      </c>
    </row>
    <row r="50" spans="1:7" x14ac:dyDescent="0.3">
      <c r="A50" s="2">
        <v>11</v>
      </c>
      <c r="C50" s="38" t="s">
        <v>155</v>
      </c>
      <c r="D50" s="42">
        <f>TRUNC(61552,-1)</f>
        <v>61550</v>
      </c>
      <c r="E50" s="63">
        <f t="shared" si="1"/>
        <v>203470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TRUNC(14387,-1)</f>
        <v>14380</v>
      </c>
      <c r="E52" s="63">
        <f t="shared" si="1"/>
        <v>47530</v>
      </c>
    </row>
    <row r="53" spans="1:7" x14ac:dyDescent="0.3">
      <c r="A53" s="2">
        <v>14</v>
      </c>
      <c r="C53" s="38" t="s">
        <v>25</v>
      </c>
      <c r="D53" s="42">
        <f>TRUNC(35401,-1)</f>
        <v>35400</v>
      </c>
      <c r="E53" s="63">
        <f t="shared" si="1"/>
        <v>117020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TRUNC(19816+4879+520,-1)</f>
        <v>25210</v>
      </c>
      <c r="E58" s="63">
        <f t="shared" si="1"/>
        <v>83330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TRUNC(342285,-1)</f>
        <v>342280</v>
      </c>
      <c r="E59" s="64">
        <f t="shared" si="1"/>
        <v>1131500</v>
      </c>
    </row>
    <row r="60" spans="1:7" x14ac:dyDescent="0.3">
      <c r="A60" s="2">
        <v>21</v>
      </c>
      <c r="C60" s="27" t="s">
        <v>112</v>
      </c>
      <c r="D60" s="39">
        <f>SUM(D40:D59)</f>
        <v>799250</v>
      </c>
      <c r="E60" s="39">
        <f>SUM(E40:E59)</f>
        <v>2642080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TRUNC(20117,-1)</f>
        <v>20110</v>
      </c>
      <c r="E63" s="62">
        <f>TRUNC(+D63*3.3058,-1)</f>
        <v>66470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20110</v>
      </c>
      <c r="E66" s="65">
        <f>SUM(E63:E65)</f>
        <v>66470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TRUNC(9779,-1)</f>
        <v>9770</v>
      </c>
      <c r="E69" s="62">
        <f t="shared" ref="E69:E94" si="2">TRUNC(+D69*3.3058,-1)</f>
        <v>32290</v>
      </c>
    </row>
    <row r="70" spans="1:7" ht="16.5" customHeight="1" x14ac:dyDescent="0.3">
      <c r="A70" s="2">
        <v>2</v>
      </c>
      <c r="C70" s="38" t="s">
        <v>31</v>
      </c>
      <c r="D70" s="42">
        <f>TRUNC(595,-1)</f>
        <v>590</v>
      </c>
      <c r="E70" s="63">
        <f t="shared" si="2"/>
        <v>1950</v>
      </c>
    </row>
    <row r="71" spans="1:7" x14ac:dyDescent="0.3">
      <c r="A71" s="2">
        <v>3</v>
      </c>
      <c r="C71" s="38" t="s">
        <v>32</v>
      </c>
      <c r="D71" s="42">
        <f>TRUNC(13436,-1)</f>
        <v>13430</v>
      </c>
      <c r="E71" s="63">
        <f t="shared" si="2"/>
        <v>44390</v>
      </c>
    </row>
    <row r="72" spans="1:7" x14ac:dyDescent="0.3">
      <c r="A72" s="2">
        <v>4</v>
      </c>
      <c r="C72" s="38" t="s">
        <v>33</v>
      </c>
      <c r="D72" s="42">
        <f>TRUNC(11942,-1)</f>
        <v>11940</v>
      </c>
      <c r="E72" s="63">
        <f t="shared" si="2"/>
        <v>39470</v>
      </c>
    </row>
    <row r="73" spans="1:7" x14ac:dyDescent="0.3">
      <c r="A73" s="2">
        <v>5</v>
      </c>
      <c r="C73" s="38" t="s">
        <v>34</v>
      </c>
      <c r="D73" s="42">
        <f>TRUNC(7234,-1)</f>
        <v>7230</v>
      </c>
      <c r="E73" s="63">
        <f t="shared" si="2"/>
        <v>23900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TRUNC(2734,-1)</f>
        <v>2730</v>
      </c>
      <c r="E75" s="63">
        <f t="shared" si="2"/>
        <v>9020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TRUNC(11225,-1)</f>
        <v>11220</v>
      </c>
      <c r="E89" s="63">
        <f t="shared" si="2"/>
        <v>37090</v>
      </c>
    </row>
    <row r="90" spans="1:7" x14ac:dyDescent="0.3">
      <c r="A90" s="2">
        <v>22</v>
      </c>
      <c r="C90" s="38" t="s">
        <v>36</v>
      </c>
      <c r="D90" s="42">
        <f>TRUNC(1724,-1)</f>
        <v>1720</v>
      </c>
      <c r="E90" s="63">
        <f t="shared" si="2"/>
        <v>5680</v>
      </c>
    </row>
    <row r="91" spans="1:7" x14ac:dyDescent="0.3">
      <c r="A91" s="2">
        <v>23</v>
      </c>
      <c r="C91" s="38" t="s">
        <v>37</v>
      </c>
      <c r="D91" s="42">
        <v>25860</v>
      </c>
      <c r="E91" s="63">
        <f t="shared" si="2"/>
        <v>85480</v>
      </c>
    </row>
    <row r="92" spans="1:7" x14ac:dyDescent="0.3">
      <c r="A92" s="2">
        <v>24</v>
      </c>
      <c r="C92" s="38" t="s">
        <v>38</v>
      </c>
      <c r="D92" s="42">
        <f>TRUNC(5076,-1)</f>
        <v>5070</v>
      </c>
      <c r="E92" s="63">
        <f t="shared" si="2"/>
        <v>16760</v>
      </c>
    </row>
    <row r="93" spans="1:7" x14ac:dyDescent="0.3">
      <c r="A93" s="2">
        <v>25</v>
      </c>
      <c r="C93" s="38" t="s">
        <v>148</v>
      </c>
      <c r="D93" s="42">
        <f>TRUNC(137836,-1)</f>
        <v>137830</v>
      </c>
      <c r="E93" s="63">
        <f t="shared" si="2"/>
        <v>455630</v>
      </c>
    </row>
    <row r="94" spans="1:7" ht="17.25" thickBot="1" x14ac:dyDescent="0.35">
      <c r="A94" s="2">
        <v>26</v>
      </c>
      <c r="C94" s="38" t="s">
        <v>47</v>
      </c>
      <c r="D94" s="43">
        <f>TRUNC(39250+594+3494+769,-1)</f>
        <v>44100</v>
      </c>
      <c r="E94" s="64">
        <f t="shared" si="2"/>
        <v>145780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271490</v>
      </c>
      <c r="E95" s="39">
        <f>SUM(E69:E94)</f>
        <v>897440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TRUNC(21688,-1)</f>
        <v>21680</v>
      </c>
      <c r="E98" s="62">
        <f t="shared" ref="E98:E118" si="3">TRUNC(+D98*3.3058,-1)</f>
        <v>71660</v>
      </c>
    </row>
    <row r="99" spans="1:7" x14ac:dyDescent="0.3">
      <c r="A99" s="2">
        <v>2</v>
      </c>
      <c r="C99" s="38" t="s">
        <v>40</v>
      </c>
      <c r="D99" s="42">
        <f>TRUNC(13371,-1)</f>
        <v>13370</v>
      </c>
      <c r="E99" s="63">
        <f t="shared" si="3"/>
        <v>44190</v>
      </c>
    </row>
    <row r="100" spans="1:7" x14ac:dyDescent="0.3">
      <c r="A100" s="2">
        <v>3</v>
      </c>
      <c r="C100" s="38" t="s">
        <v>41</v>
      </c>
      <c r="D100" s="42">
        <f>TRUNC(30345,-1)</f>
        <v>30340</v>
      </c>
      <c r="E100" s="63">
        <f t="shared" si="3"/>
        <v>100290</v>
      </c>
    </row>
    <row r="101" spans="1:7" x14ac:dyDescent="0.3">
      <c r="A101" s="2">
        <v>4</v>
      </c>
      <c r="C101" s="38" t="s">
        <v>42</v>
      </c>
      <c r="D101" s="42">
        <f>TRUNC(2215,-1)</f>
        <v>2210</v>
      </c>
      <c r="E101" s="63">
        <f t="shared" si="3"/>
        <v>7300</v>
      </c>
    </row>
    <row r="102" spans="1:7" x14ac:dyDescent="0.3">
      <c r="A102" s="2">
        <v>5</v>
      </c>
      <c r="C102" s="38" t="s">
        <v>43</v>
      </c>
      <c r="D102" s="42">
        <f>TRUNC(18788,-1)</f>
        <v>18780</v>
      </c>
      <c r="E102" s="63">
        <f t="shared" si="3"/>
        <v>62080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TRUNC(3666,-1)</f>
        <v>3660</v>
      </c>
      <c r="E104" s="63">
        <f t="shared" si="3"/>
        <v>12090</v>
      </c>
    </row>
    <row r="105" spans="1:7" x14ac:dyDescent="0.3">
      <c r="A105" s="2">
        <v>8</v>
      </c>
      <c r="C105" s="38" t="s">
        <v>46</v>
      </c>
      <c r="D105" s="42">
        <f>TRUNC(5346,-1)</f>
        <v>5340</v>
      </c>
      <c r="E105" s="63">
        <f t="shared" si="3"/>
        <v>17650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TRUNC(1254,-1)</f>
        <v>1250</v>
      </c>
      <c r="E114" s="63">
        <f t="shared" si="3"/>
        <v>4130</v>
      </c>
      <c r="F114" s="2" t="s">
        <v>261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TRUNC(3616,-1)</f>
        <v>3610</v>
      </c>
      <c r="E116" s="63">
        <f t="shared" si="3"/>
        <v>11930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TRUNC(141246,-1)</f>
        <v>141240</v>
      </c>
      <c r="E117" s="63">
        <f t="shared" si="3"/>
        <v>466910</v>
      </c>
    </row>
    <row r="118" spans="1:7" ht="17.25" thickBot="1" x14ac:dyDescent="0.35">
      <c r="A118" s="2">
        <v>21</v>
      </c>
      <c r="C118" s="38" t="s">
        <v>47</v>
      </c>
      <c r="D118" s="43">
        <f>TRUNC(1454,-1)</f>
        <v>1450</v>
      </c>
      <c r="E118" s="64">
        <f t="shared" si="3"/>
        <v>4790</v>
      </c>
    </row>
    <row r="119" spans="1:7" x14ac:dyDescent="0.3">
      <c r="A119" s="2">
        <v>22</v>
      </c>
      <c r="C119" s="27" t="s">
        <v>112</v>
      </c>
      <c r="D119" s="39">
        <f>SUM(D98:D118)</f>
        <v>242930</v>
      </c>
      <c r="E119" s="39">
        <f>SUM(E98:E118)</f>
        <v>803020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TRUNC(3082,-1)</f>
        <v>3080</v>
      </c>
      <c r="E122" s="62">
        <f t="shared" ref="E122:E132" si="4">TRUNC(+D122*3.3058,-1)</f>
        <v>10180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TRUNC(819,-1)</f>
        <v>810</v>
      </c>
      <c r="E124" s="63">
        <f t="shared" si="4"/>
        <v>2670</v>
      </c>
    </row>
    <row r="125" spans="1:7" x14ac:dyDescent="0.3">
      <c r="A125" s="2">
        <v>4</v>
      </c>
      <c r="C125" s="38" t="s">
        <v>138</v>
      </c>
      <c r="D125" s="42">
        <f>TRUNC(4845,-1)</f>
        <v>4840</v>
      </c>
      <c r="E125" s="63">
        <f t="shared" si="4"/>
        <v>16000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TRUNC(4859,-1)</f>
        <v>4850</v>
      </c>
      <c r="E128" s="63">
        <f t="shared" si="4"/>
        <v>16030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TRUNC(18769,-1)</f>
        <v>18760</v>
      </c>
      <c r="E130" s="63">
        <f t="shared" si="4"/>
        <v>62010</v>
      </c>
    </row>
    <row r="131" spans="1:7" x14ac:dyDescent="0.3">
      <c r="A131" s="2">
        <v>10</v>
      </c>
      <c r="C131" s="38" t="s">
        <v>148</v>
      </c>
      <c r="D131" s="42">
        <f>TRUNC(45197,-1)</f>
        <v>45190</v>
      </c>
      <c r="E131" s="63">
        <f t="shared" si="4"/>
        <v>149380</v>
      </c>
    </row>
    <row r="132" spans="1:7" ht="18" thickBot="1" x14ac:dyDescent="0.35">
      <c r="A132" s="2">
        <v>11</v>
      </c>
      <c r="C132" s="38" t="s">
        <v>47</v>
      </c>
      <c r="D132" s="43">
        <f>TRUNC(1534,-1)</f>
        <v>1530</v>
      </c>
      <c r="E132" s="64">
        <f t="shared" si="4"/>
        <v>5050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79060</v>
      </c>
      <c r="E133" s="39">
        <f>SUM(E122:E132)</f>
        <v>261320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TRUNC(98+5721+3869+1499,-1)</f>
        <v>11180</v>
      </c>
      <c r="E137" s="63">
        <f t="shared" si="5"/>
        <v>36950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TRUNC(3958,-1)</f>
        <v>3950</v>
      </c>
      <c r="E140" s="63">
        <f t="shared" si="5"/>
        <v>13050</v>
      </c>
    </row>
    <row r="141" spans="1:7" x14ac:dyDescent="0.3">
      <c r="A141" s="2">
        <v>6</v>
      </c>
      <c r="C141" s="38" t="s">
        <v>59</v>
      </c>
      <c r="D141" s="42">
        <f>TRUNC(22778,-1)</f>
        <v>22770</v>
      </c>
      <c r="E141" s="63">
        <f t="shared" si="5"/>
        <v>75270</v>
      </c>
    </row>
    <row r="142" spans="1:7" x14ac:dyDescent="0.3">
      <c r="A142" s="2">
        <v>7</v>
      </c>
      <c r="C142" s="38" t="s">
        <v>58</v>
      </c>
      <c r="D142" s="42">
        <v>4680</v>
      </c>
      <c r="E142" s="63">
        <f t="shared" si="5"/>
        <v>15470</v>
      </c>
    </row>
    <row r="143" spans="1:7" x14ac:dyDescent="0.3">
      <c r="A143" s="2">
        <v>8</v>
      </c>
      <c r="C143" s="38" t="s">
        <v>62</v>
      </c>
      <c r="D143" s="42">
        <f>TRUNC(4245,-1)</f>
        <v>4240</v>
      </c>
      <c r="E143" s="63">
        <f t="shared" si="5"/>
        <v>14010</v>
      </c>
    </row>
    <row r="144" spans="1:7" x14ac:dyDescent="0.3">
      <c r="A144" s="2">
        <v>9</v>
      </c>
      <c r="C144" s="38" t="s">
        <v>63</v>
      </c>
      <c r="D144" s="42">
        <f>TRUNC(10459,-1)</f>
        <v>10450</v>
      </c>
      <c r="E144" s="63">
        <f t="shared" si="5"/>
        <v>34540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57270</v>
      </c>
      <c r="E146" s="39">
        <f>SUM(E136:E145)</f>
        <v>189290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TRUNC(4800+664,-1)</f>
        <v>5460</v>
      </c>
      <c r="E149" s="62">
        <f>TRUNC(+D149*3.3058,-1)</f>
        <v>18040</v>
      </c>
    </row>
    <row r="150" spans="1:7" x14ac:dyDescent="0.3">
      <c r="A150" s="2">
        <v>2</v>
      </c>
      <c r="C150" s="38" t="s">
        <v>49</v>
      </c>
      <c r="D150" s="42">
        <f>TRUNC(259,-1)</f>
        <v>250</v>
      </c>
      <c r="E150" s="63">
        <f>TRUNC(+D150*3.3058,-1)</f>
        <v>820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TRUNC(250+2384+1210,-1)</f>
        <v>3840</v>
      </c>
      <c r="E152" s="63">
        <f>TRUNC(+D152*3.3058,-1)</f>
        <v>12690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f>TRUNC(412,-1)</f>
        <v>410</v>
      </c>
      <c r="E153" s="64">
        <f>TRUNC(+D153*3.3058,-1)</f>
        <v>1350</v>
      </c>
    </row>
    <row r="154" spans="1:7" x14ac:dyDescent="0.3">
      <c r="A154" s="2">
        <v>6</v>
      </c>
      <c r="C154" s="27" t="s">
        <v>112</v>
      </c>
      <c r="D154" s="39">
        <f>SUM(D149:D153)</f>
        <v>9960</v>
      </c>
      <c r="E154" s="39">
        <f>SUM(E149:E153)</f>
        <v>32900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TRUNC(7106,-1)</f>
        <v>7100</v>
      </c>
      <c r="E157" s="62">
        <f>TRUNC(+D157*3.3058,-1)</f>
        <v>23470</v>
      </c>
    </row>
    <row r="158" spans="1:7" x14ac:dyDescent="0.3">
      <c r="A158" s="2">
        <v>2</v>
      </c>
      <c r="C158" s="38" t="s">
        <v>52</v>
      </c>
      <c r="D158" s="42">
        <f>TRUNC(5865,-1)</f>
        <v>5860</v>
      </c>
      <c r="E158" s="63">
        <f>TRUNC(+D158*3.3058,-1)</f>
        <v>19370</v>
      </c>
    </row>
    <row r="159" spans="1:7" x14ac:dyDescent="0.3">
      <c r="A159" s="2">
        <v>3</v>
      </c>
      <c r="C159" s="38" t="s">
        <v>47</v>
      </c>
      <c r="D159" s="42">
        <f>TRUNC(8561,-1)</f>
        <v>8560</v>
      </c>
      <c r="E159" s="63">
        <f>TRUNC(+D159*3.3058,-1)</f>
        <v>28290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21520</v>
      </c>
      <c r="E161" s="39">
        <f>SUM(E157:E160)</f>
        <v>71130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2020-12-07T10:00:13Z</dcterms:modified>
</cp:coreProperties>
</file>