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59" i="4" l="1"/>
  <c r="D158" i="4"/>
  <c r="D157" i="4"/>
  <c r="D153" i="4"/>
  <c r="D152" i="4"/>
  <c r="D150" i="4"/>
  <c r="D149" i="4"/>
  <c r="D144" i="4"/>
  <c r="D143" i="4"/>
  <c r="D142" i="4"/>
  <c r="D141" i="4"/>
  <c r="D140" i="4"/>
  <c r="D139" i="4"/>
  <c r="D137" i="4"/>
  <c r="D131" i="4"/>
  <c r="D130" i="4"/>
  <c r="D128" i="4"/>
  <c r="D125" i="4"/>
  <c r="D117" i="4"/>
  <c r="D116" i="4"/>
  <c r="D114" i="4"/>
  <c r="D105" i="4"/>
  <c r="D104" i="4"/>
  <c r="D103" i="4"/>
  <c r="D102" i="4"/>
  <c r="D99" i="4"/>
  <c r="D98" i="4"/>
  <c r="D92" i="4"/>
  <c r="D91" i="4"/>
  <c r="D89" i="4"/>
  <c r="D73" i="4"/>
  <c r="D72" i="4"/>
  <c r="D69" i="4"/>
  <c r="D63" i="4"/>
  <c r="D59" i="4"/>
  <c r="D58" i="4"/>
  <c r="D53" i="4"/>
  <c r="D52" i="4"/>
  <c r="D50" i="4"/>
  <c r="D49" i="4"/>
  <c r="D48" i="4"/>
  <c r="D45" i="4"/>
  <c r="D44" i="4"/>
  <c r="D43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33" i="4"/>
  <c r="E161" i="4"/>
  <c r="E154" i="4"/>
  <c r="E146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<sst xmlns="http://schemas.openxmlformats.org/spreadsheetml/2006/main" count="392" uniqueCount="265">
  <si>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</si>
  <si>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</si>
  <si>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</si>
  <si>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</si>
  <si>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</si>
  <si>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</si>
  <si>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</si>
  <si>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</si>
  <si>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</si>
  <si>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</si>
  <si>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</si>
  <si>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</si>
  <si>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</si>
  <si>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</si>
  <si>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</si>
  <si>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</si>
  <si>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</si>
  <si>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</si>
  <si>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</si>
  <si>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</si>
  <si>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</si>
  <si>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</si>
  <si>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</si>
  <si>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</si>
  <si>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</si>
  <si>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</si>
  <si>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</si>
  <si>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</si>
  <si>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</si>
  <si>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</si>
  <si>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</si>
  <si>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</si>
  <si>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</si>
  <si>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</si>
  <si>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</si>
  <si>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</si>
  <si>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</si>
  <si>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</si>
  <si>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</si>
  <si>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</si>
  <si>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</si>
  <si>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</si>
  <si>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</si>
  <si>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</si>
  <si>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</si>
  <si>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</si>
  <si>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</si>
  <si>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</si>
  <si>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</si>
  <si>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</si>
  <si>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</si>
  <si>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</si>
  <si>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</si>
  <si>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</si>
  <si>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</si>
  <si>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</si>
  <si>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</si>
  <si>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</si>
  <si>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</si>
  <si>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</si>
  <si>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</si>
  <si>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</si>
  <si>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</si>
  <si>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</si>
  <si>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</si>
  <si>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</si>
  <si>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</si>
  <si>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</si>
  <si>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</si>
  <si>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</si>
  <si>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</si>
  <si>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</si>
  <si>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</si>
  <si>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</si>
  <si>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</si>
  <si>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</si>
  <si>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</si>
  <si>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</si>
  <si>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</si>
  <si>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</si>
  <si>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</si>
  <si>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</si>
  <si>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</si>
  <si>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</si>
  <si>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</si>
  <si>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</si>
  <si>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</si>
  <si>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</si>
  <si>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</si>
  <si>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</si>
  <si>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</si>
  <si>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</si>
  <si>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</si>
  <si>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</si>
  <si>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</si>
  <si>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</si>
  <si>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</si>
  <si>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</si>
  <si>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</si>
  <si>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</si>
  <si>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</si>
  <si>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</si>
  <si>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</si>
  <si>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</si>
  <si>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</si>
  <si>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</si>
  <si>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</si>
  <si>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</si>
  <si>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</si>
  <si>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</si>
  <si>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</si>
  <si>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</si>
  <si>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</si>
  <si>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</si>
  <si>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</si>
  <si>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</si>
  <si>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</si>
  <si>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</si>
  <si>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</si>
  <si>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</si>
  <si>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</si>
  <si>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</si>
  <si>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</si>
  <si>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</si>
  <si>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</si>
  <si>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</si>
  <si>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</si>
  <si>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</si>
  <si>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</si>
  <si>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</si>
  <si>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</si>
  <si>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</si>
  <si>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</si>
  <si>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</si>
  <si>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</si>
  <si>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</si>
  <si>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</si>
  <si>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</si>
  <si>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</si>
  <si>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</si>
  <si>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</si>
  <si>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</si>
  <si>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</si>
  <si>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</si>
  <si>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</si>
  <si>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</si>
  <si>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</si>
  <si>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</si>
  <si>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</si>
  <si>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</si>
  <si>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</si>
  <si>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</si>
  <si>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</si>
  <si>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</si>
  <si>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</si>
  <si>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</si>
  <si>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</si>
  <si>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</si>
  <si>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</si>
  <si>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</si>
  <si>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</si>
  <si>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</si>
  <si>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</si>
  <si>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</si>
  <si>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</si>
  <si>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</si>
  <si>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</si>
  <si>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</si>
  <si>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</si>
  <si>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</si>
  <si>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</si>
  <si>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</si>
  <si>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</si>
  <si>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</si>
  <si>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</si>
  <si>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</si>
  <si>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</si>
  <si>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</si>
  <si>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</si>
  <si>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</si>
  <si>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</si>
  <si>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</si>
  <si>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</si>
  <si>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</si>
  <si>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</si>
  <si>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</si>
  <si>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</si>
  <si>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</si>
  <si>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</si>
  <si>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</si>
  <si>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</si>
  <si>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</si>
  <si>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</si>
  <si>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</si>
  <si>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</si>
  <si>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</si>
  <si>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</si>
  <si>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</si>
  <si>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</si>
  <si>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</si>
  <si>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</si>
  <si>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</si>
  <si>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</si>
  <si>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</si>
  <si>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</si>
  <si>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</si>
  <si>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</si>
  <si>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</si>
  <si>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</si>
  <si>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</si>
  <si>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</si>
  <si>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</si>
  <si>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</si>
  <si>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</si>
  <si>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</si>
  <si>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</si>
  <si>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</si>
  <si>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</si>
  <si>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</si>
  <si>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</si>
  <si>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</si>
  <si>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</si>
  <si>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</si>
  <si>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</si>
  <si>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</si>
  <si>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</si>
  <si>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</si>
  <si>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</si>
  <si>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</si>
  <si>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</si>
  <si>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</si>
  <si>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</si>
  <si>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</si>
  <si>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</si>
  <si>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</si>
  <si>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</si>
  <si>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</si>
  <si>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</si>
  <si>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</si>
  <si>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</si>
  <si>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</si>
  <si>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</si>
  <si>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</si>
  <si>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</si>
  <si>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</si>
  <si>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</si>
  <si>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</si>
  <si>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</si>
  <si>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</si>
  <si>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동물의료센터 및 임상교육관 신축공사(건축,토목,조경)</t>
    <phoneticPr fontId="2" type="noConversion"/>
  </si>
  <si>
    <t>교육연구</t>
  </si>
  <si>
    <t>광주시</t>
  </si>
  <si>
    <t>(지붕및홈통공사 포함)</t>
    <phoneticPr fontId="2" type="noConversion"/>
  </si>
  <si>
    <t>창호및유리공사</t>
    <phoneticPr fontId="2" type="noConversion"/>
  </si>
  <si>
    <t xml:space="preserve">목공사및수장공사(인테리어공사 포함)  </t>
    <phoneticPr fontId="2" type="noConversion"/>
  </si>
  <si>
    <t>기초공사,골재비및운반비,기타공사</t>
    <phoneticPr fontId="2" type="noConversion"/>
  </si>
  <si>
    <t xml:space="preserve">전기인입 및 수변전 설비공사  </t>
    <phoneticPr fontId="2" type="noConversion"/>
  </si>
  <si>
    <t>옥외소화배관공사,기타공사</t>
    <phoneticPr fontId="2" type="noConversion"/>
  </si>
  <si>
    <t>우수공사,오수공사</t>
    <phoneticPr fontId="2" type="noConversion"/>
  </si>
  <si>
    <t>기타공사</t>
    <phoneticPr fontId="2" type="noConversion"/>
  </si>
  <si>
    <t>조경시설물</t>
    <phoneticPr fontId="2" type="noConversion"/>
  </si>
  <si>
    <t>공조배관공사, 바닥난방공사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</si>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</sst>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5999.6</v>
      </c>
      <c r="D7" s="36">
        <f>+C7/3.3058</f>
        <v>1814.8708330812512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927870</v>
      </c>
      <c r="E25" s="59">
        <f t="shared" si="0"/>
        <v>3067350</v>
      </c>
    </row>
    <row r="26" spans="1:5" x14ac:dyDescent="0.3">
      <c r="B26" s="2">
        <v>3</v>
      </c>
      <c r="C26" s="35" t="s">
        <v>95</v>
      </c>
      <c r="D26" s="45">
        <f>+D66</f>
        <v>18830</v>
      </c>
      <c r="E26" s="59">
        <f t="shared" si="0"/>
        <v>62240</v>
      </c>
    </row>
    <row r="27" spans="1:5" x14ac:dyDescent="0.3">
      <c r="B27" s="2">
        <v>4</v>
      </c>
      <c r="C27" s="35" t="s">
        <v>96</v>
      </c>
      <c r="D27" s="45">
        <f>+D95</f>
        <v>283650</v>
      </c>
      <c r="E27" s="59">
        <f t="shared" si="0"/>
        <v>937690</v>
      </c>
    </row>
    <row r="28" spans="1:5" x14ac:dyDescent="0.3">
      <c r="B28" s="2">
        <v>5</v>
      </c>
      <c r="C28" s="35" t="s">
        <v>97</v>
      </c>
      <c r="D28" s="45">
        <f>+D119</f>
        <v>230370</v>
      </c>
      <c r="E28" s="59">
        <f t="shared" si="0"/>
        <v>761550</v>
      </c>
    </row>
    <row r="29" spans="1:5" x14ac:dyDescent="0.3">
      <c r="B29" s="2">
        <v>6</v>
      </c>
      <c r="C29" s="35" t="s">
        <v>98</v>
      </c>
      <c r="D29" s="45">
        <f>+D133</f>
        <v>55030</v>
      </c>
      <c r="E29" s="59">
        <f t="shared" si="0"/>
        <v>181910</v>
      </c>
    </row>
    <row r="30" spans="1:5" x14ac:dyDescent="0.3">
      <c r="B30" s="2">
        <v>7</v>
      </c>
      <c r="C30" s="35" t="s">
        <v>99</v>
      </c>
      <c r="D30" s="45">
        <f>+D146</f>
        <v>54960</v>
      </c>
      <c r="E30" s="59">
        <f t="shared" si="0"/>
        <v>181680</v>
      </c>
    </row>
    <row r="31" spans="1:5" x14ac:dyDescent="0.3">
      <c r="B31" s="2">
        <v>8</v>
      </c>
      <c r="C31" s="35" t="s">
        <v>100</v>
      </c>
      <c r="D31" s="45">
        <f>+D154</f>
        <v>39440</v>
      </c>
      <c r="E31" s="59">
        <f t="shared" si="0"/>
        <v>130380</v>
      </c>
    </row>
    <row r="32" spans="1:5" x14ac:dyDescent="0.3">
      <c r="B32" s="2">
        <v>9</v>
      </c>
      <c r="C32" s="35" t="s">
        <v>101</v>
      </c>
      <c r="D32" s="45">
        <f>+D161</f>
        <v>11700</v>
      </c>
      <c r="E32" s="59">
        <f t="shared" si="0"/>
        <v>38670</v>
      </c>
    </row>
    <row r="33" spans="1:7" x14ac:dyDescent="0.3">
      <c r="B33" s="2">
        <v>10</v>
      </c>
      <c r="C33" s="35" t="s">
        <v>154</v>
      </c>
      <c r="D33" s="53">
        <f>TRUNC(SUM(D24:D32)*0.275,-1)</f>
        <v>446000</v>
      </c>
      <c r="E33" s="60">
        <f t="shared" si="0"/>
        <v>1474380</v>
      </c>
    </row>
    <row r="34" spans="1:7" x14ac:dyDescent="0.3">
      <c r="C34" s="35" t="s">
        <v>112</v>
      </c>
      <c r="D34" s="44">
        <f>SUM(D24:D33)</f>
        <v>2067850</v>
      </c>
      <c r="E34" s="44">
        <f>SUM(E24:E33)</f>
        <v>6835850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238</v>
      </c>
      <c r="E39" s="57" t="s">
        <v>236</v>
      </c>
      <c r="G39" s="55"/>
    </row>
    <row r="40" spans="1:7" x14ac:dyDescent="0.3">
      <c r="A40" s="2">
        <v>1</v>
      </c>
      <c r="C40" s="38" t="s">
        <v>15</v>
      </c>
      <c r="D40" s="40">
        <f>TRUNC(69041,-1)</f>
        <v>69040</v>
      </c>
      <c r="E40" s="62">
        <f t="shared" ref="E40:E59" si="1">TRUNC(+D40*3.3058,-1)</f>
        <v>228230</v>
      </c>
    </row>
    <row r="41" spans="1:7" x14ac:dyDescent="0.3">
      <c r="A41" s="2">
        <v>2</v>
      </c>
      <c r="C41" s="38" t="s">
        <v>13</v>
      </c>
      <c r="D41" s="42">
        <f>TRUNC(228705,-1)</f>
        <v>228700</v>
      </c>
      <c r="E41" s="63">
        <f t="shared" si="1"/>
        <v>756030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TRUNC(52498,-1)</f>
        <v>52490</v>
      </c>
      <c r="E43" s="63">
        <f t="shared" si="1"/>
        <v>173520</v>
      </c>
    </row>
    <row r="44" spans="1:7" x14ac:dyDescent="0.3">
      <c r="A44" s="2">
        <v>5</v>
      </c>
      <c r="C44" s="38" t="s">
        <v>17</v>
      </c>
      <c r="D44" s="42">
        <f>TRUNC(14684,-1)</f>
        <v>14680</v>
      </c>
      <c r="E44" s="63">
        <f t="shared" si="1"/>
        <v>48520</v>
      </c>
    </row>
    <row r="45" spans="1:7" x14ac:dyDescent="0.3">
      <c r="A45" s="2">
        <v>6</v>
      </c>
      <c r="C45" s="38" t="s">
        <v>18</v>
      </c>
      <c r="D45" s="42">
        <f>TRUNC(13977,-1)</f>
        <v>13970</v>
      </c>
      <c r="E45" s="63">
        <f t="shared" si="1"/>
        <v>46180</v>
      </c>
    </row>
    <row r="46" spans="1:7" x14ac:dyDescent="0.3">
      <c r="A46" s="2">
        <v>7</v>
      </c>
      <c r="C46" s="38" t="s">
        <v>19</v>
      </c>
      <c r="D46" s="42">
        <v>25610</v>
      </c>
      <c r="E46" s="63">
        <f t="shared" si="1"/>
        <v>84660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TRUNC(38739,-1)</f>
        <v>38730</v>
      </c>
      <c r="E48" s="63">
        <f t="shared" si="1"/>
        <v>128030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TRUNC(22787,-1)</f>
        <v>22780</v>
      </c>
      <c r="E49" s="63">
        <f t="shared" si="1"/>
        <v>75300</v>
      </c>
    </row>
    <row r="50" spans="1:7" x14ac:dyDescent="0.3">
      <c r="A50" s="2">
        <v>11</v>
      </c>
      <c r="C50" s="38" t="s">
        <v>155</v>
      </c>
      <c r="D50" s="42">
        <f>TRUNC(54812,-1)</f>
        <v>54810</v>
      </c>
      <c r="E50" s="63">
        <f t="shared" si="1"/>
        <v>181190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TRUNC(20834,-1)</f>
        <v>20830</v>
      </c>
      <c r="E52" s="63">
        <f t="shared" si="1"/>
        <v>68850</v>
      </c>
    </row>
    <row r="53" spans="1:7" x14ac:dyDescent="0.3">
      <c r="A53" s="2">
        <v>14</v>
      </c>
      <c r="C53" s="38" t="s">
        <v>25</v>
      </c>
      <c r="D53" s="42">
        <f>TRUNC(28301,-1)</f>
        <v>28300</v>
      </c>
      <c r="E53" s="63">
        <f t="shared" si="1"/>
        <v>93550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TRUNC(22973+5981+6088,-1)</f>
        <v>35040</v>
      </c>
      <c r="E58" s="63">
        <f t="shared" si="1"/>
        <v>115830</v>
      </c>
      <c r="F58" s="2" t="s">
        <v>255</v>
      </c>
    </row>
    <row r="59" spans="1:7" ht="17.25" thickBot="1" x14ac:dyDescent="0.35">
      <c r="A59" s="2">
        <v>20</v>
      </c>
      <c r="C59" s="38" t="s">
        <v>148</v>
      </c>
      <c r="D59" s="43">
        <f>TRUNC(322896,-1)</f>
        <v>322890</v>
      </c>
      <c r="E59" s="64">
        <f t="shared" si="1"/>
        <v>1067400</v>
      </c>
    </row>
    <row r="60" spans="1:7" x14ac:dyDescent="0.3">
      <c r="A60" s="2">
        <v>21</v>
      </c>
      <c r="C60" s="27" t="s">
        <v>112</v>
      </c>
      <c r="D60" s="39">
        <f>SUM(D40:D59)</f>
        <v>927870</v>
      </c>
      <c r="E60" s="39">
        <f>SUM(E40:E59)</f>
        <v>3067290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TRUNC(18839,-1)</f>
        <v>18830</v>
      </c>
      <c r="E63" s="62">
        <f>TRUNC(+D63*3.3058,-1)</f>
        <v>62240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18830</v>
      </c>
      <c r="E66" s="65">
        <f>SUM(E63:E65)</f>
        <v>62240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TRUNC(11905,-1)</f>
        <v>11900</v>
      </c>
      <c r="E69" s="62">
        <f t="shared" ref="E69:E94" si="2">TRUNC(+D69*3.3058,-1)</f>
        <v>39330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TRUNC(20017,-1)</f>
        <v>20010</v>
      </c>
      <c r="E72" s="63">
        <f t="shared" si="2"/>
        <v>66140</v>
      </c>
    </row>
    <row r="73" spans="1:7" x14ac:dyDescent="0.3">
      <c r="A73" s="2">
        <v>5</v>
      </c>
      <c r="C73" s="38" t="s">
        <v>34</v>
      </c>
      <c r="D73" s="42">
        <f>TRUNC(17582,-1)</f>
        <v>17580</v>
      </c>
      <c r="E73" s="63">
        <f t="shared" si="2"/>
        <v>58110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6020</v>
      </c>
      <c r="E75" s="63">
        <f t="shared" si="2"/>
        <v>19900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TRUNC(8941,-1)</f>
        <v>8940</v>
      </c>
      <c r="E89" s="63">
        <f t="shared" si="2"/>
        <v>29550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TRUNC(29498,-1)</f>
        <v>29490</v>
      </c>
      <c r="E91" s="63">
        <f t="shared" si="2"/>
        <v>97480</v>
      </c>
    </row>
    <row r="92" spans="1:7" x14ac:dyDescent="0.3">
      <c r="A92" s="2">
        <v>24</v>
      </c>
      <c r="C92" s="38" t="s">
        <v>38</v>
      </c>
      <c r="D92" s="42">
        <f>TRUNC(8376,-1)</f>
        <v>8370</v>
      </c>
      <c r="E92" s="63">
        <f t="shared" si="2"/>
        <v>27660</v>
      </c>
    </row>
    <row r="93" spans="1:7" x14ac:dyDescent="0.3">
      <c r="A93" s="2">
        <v>25</v>
      </c>
      <c r="C93" s="38" t="s">
        <v>148</v>
      </c>
      <c r="D93" s="42">
        <v>176180</v>
      </c>
      <c r="E93" s="63">
        <f t="shared" si="2"/>
        <v>582410</v>
      </c>
    </row>
    <row r="94" spans="1:7" ht="17.25" thickBot="1" x14ac:dyDescent="0.35">
      <c r="A94" s="2">
        <v>26</v>
      </c>
      <c r="C94" s="38" t="s">
        <v>47</v>
      </c>
      <c r="D94" s="43">
        <f>TRUNC(4868+301,-1)</f>
        <v>5160</v>
      </c>
      <c r="E94" s="64">
        <f t="shared" si="2"/>
        <v>17050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283650</v>
      </c>
      <c r="E95" s="39">
        <f>SUM(E69:E94)</f>
        <v>937630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TRUNC(19114,-1)</f>
        <v>19110</v>
      </c>
      <c r="E98" s="62">
        <f t="shared" ref="E98:E118" si="3">TRUNC(+D98*3.3058,-1)</f>
        <v>63170</v>
      </c>
    </row>
    <row r="99" spans="1:7" x14ac:dyDescent="0.3">
      <c r="A99" s="2">
        <v>2</v>
      </c>
      <c r="C99" s="38" t="s">
        <v>40</v>
      </c>
      <c r="D99" s="42">
        <f>TRUNC(10938,-1)</f>
        <v>10930</v>
      </c>
      <c r="E99" s="63">
        <f t="shared" si="3"/>
        <v>36130</v>
      </c>
    </row>
    <row r="100" spans="1:7" x14ac:dyDescent="0.3">
      <c r="A100" s="2">
        <v>3</v>
      </c>
      <c r="C100" s="38" t="s">
        <v>41</v>
      </c>
      <c r="D100" s="42">
        <v>55820</v>
      </c>
      <c r="E100" s="63">
        <f t="shared" si="3"/>
        <v>184520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TRUNC(18985,-1)</f>
        <v>18980</v>
      </c>
      <c r="E102" s="63">
        <f t="shared" si="3"/>
        <v>62740</v>
      </c>
    </row>
    <row r="103" spans="1:7" x14ac:dyDescent="0.3">
      <c r="A103" s="2">
        <v>6</v>
      </c>
      <c r="C103" s="38" t="s">
        <v>44</v>
      </c>
      <c r="D103" s="42">
        <f>TRUNC(9194,-1)</f>
        <v>9190</v>
      </c>
      <c r="E103" s="63">
        <f t="shared" si="3"/>
        <v>30380</v>
      </c>
    </row>
    <row r="104" spans="1:7" x14ac:dyDescent="0.3">
      <c r="A104" s="2">
        <v>7</v>
      </c>
      <c r="C104" s="38" t="s">
        <v>45</v>
      </c>
      <c r="D104" s="42">
        <f>TRUNC(2793,-1)</f>
        <v>2790</v>
      </c>
      <c r="E104" s="63">
        <f t="shared" si="3"/>
        <v>9220</v>
      </c>
    </row>
    <row r="105" spans="1:7" x14ac:dyDescent="0.3">
      <c r="A105" s="2">
        <v>8</v>
      </c>
      <c r="C105" s="38" t="s">
        <v>46</v>
      </c>
      <c r="D105" s="42">
        <f>TRUNC(4102,-1)</f>
        <v>4100</v>
      </c>
      <c r="E105" s="63">
        <f t="shared" si="3"/>
        <v>13550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TRUNC(2255,-1)</f>
        <v>2250</v>
      </c>
      <c r="E114" s="63">
        <f t="shared" si="3"/>
        <v>7430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TRUNC(7495,-1)</f>
        <v>7490</v>
      </c>
      <c r="E116" s="63">
        <f t="shared" si="3"/>
        <v>24760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TRUNC(99712,-1)</f>
        <v>99710</v>
      </c>
      <c r="E117" s="63">
        <f t="shared" si="3"/>
        <v>329620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230370</v>
      </c>
      <c r="E119" s="39">
        <f>SUM(E98:E118)</f>
        <v>761520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TRUNC(11432,-1)</f>
        <v>11430</v>
      </c>
      <c r="E125" s="63">
        <f t="shared" si="4"/>
        <v>37780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TRUNC(1508,-1)</f>
        <v>1500</v>
      </c>
      <c r="E128" s="63">
        <f t="shared" si="4"/>
        <v>4950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TRUNC(18047,-1)</f>
        <v>18040</v>
      </c>
      <c r="E130" s="63">
        <f t="shared" si="4"/>
        <v>59630</v>
      </c>
    </row>
    <row r="131" spans="1:7" x14ac:dyDescent="0.3">
      <c r="A131" s="2">
        <v>10</v>
      </c>
      <c r="C131" s="38" t="s">
        <v>148</v>
      </c>
      <c r="D131" s="42">
        <f>TRUNC(24068,-1)</f>
        <v>24060</v>
      </c>
      <c r="E131" s="63">
        <f t="shared" si="4"/>
        <v>79530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55030</v>
      </c>
      <c r="E133" s="39">
        <f>SUM(E122:E132)</f>
        <v>181890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TRUNC(726+979,-1)</f>
        <v>1700</v>
      </c>
      <c r="E137" s="63">
        <f t="shared" si="5"/>
        <v>5610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TRUNC(1437,-1)</f>
        <v>1430</v>
      </c>
      <c r="E139" s="63">
        <f t="shared" si="5"/>
        <v>4720</v>
      </c>
    </row>
    <row r="140" spans="1:7" x14ac:dyDescent="0.3">
      <c r="A140" s="2">
        <v>5</v>
      </c>
      <c r="C140" s="38" t="s">
        <v>57</v>
      </c>
      <c r="D140" s="42">
        <f>TRUNC(7115,-1)</f>
        <v>7110</v>
      </c>
      <c r="E140" s="63">
        <f t="shared" si="5"/>
        <v>23500</v>
      </c>
    </row>
    <row r="141" spans="1:7" x14ac:dyDescent="0.3">
      <c r="A141" s="2">
        <v>6</v>
      </c>
      <c r="C141" s="38" t="s">
        <v>59</v>
      </c>
      <c r="D141" s="42">
        <f>TRUNC(5603,-1)</f>
        <v>5600</v>
      </c>
      <c r="E141" s="63">
        <f t="shared" si="5"/>
        <v>18510</v>
      </c>
    </row>
    <row r="142" spans="1:7" x14ac:dyDescent="0.3">
      <c r="A142" s="2">
        <v>7</v>
      </c>
      <c r="C142" s="38" t="s">
        <v>58</v>
      </c>
      <c r="D142" s="42">
        <f>TRUNC(3377,-1)</f>
        <v>3370</v>
      </c>
      <c r="E142" s="63">
        <f t="shared" si="5"/>
        <v>11140</v>
      </c>
    </row>
    <row r="143" spans="1:7" x14ac:dyDescent="0.3">
      <c r="A143" s="2">
        <v>8</v>
      </c>
      <c r="C143" s="38" t="s">
        <v>62</v>
      </c>
      <c r="D143" s="42">
        <f>TRUNC(7073,-1)</f>
        <v>7070</v>
      </c>
      <c r="E143" s="63">
        <f t="shared" si="5"/>
        <v>23370</v>
      </c>
    </row>
    <row r="144" spans="1:7" x14ac:dyDescent="0.3">
      <c r="A144" s="2">
        <v>9</v>
      </c>
      <c r="C144" s="38" t="s">
        <v>63</v>
      </c>
      <c r="D144" s="42">
        <f>TRUNC(28688,-1)</f>
        <v>28680</v>
      </c>
      <c r="E144" s="63">
        <f t="shared" si="5"/>
        <v>94810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54960</v>
      </c>
      <c r="E146" s="39">
        <f>SUM(E136:E145)</f>
        <v>181660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TRUNC(3713+933,-1)</f>
        <v>4640</v>
      </c>
      <c r="E149" s="62">
        <f>TRUNC(+D149*3.3058,-1)</f>
        <v>15330</v>
      </c>
      <c r="F149" s="2" t="s">
        <v>258</v>
      </c>
    </row>
    <row r="150" spans="1:7" x14ac:dyDescent="0.3">
      <c r="A150" s="2">
        <v>2</v>
      </c>
      <c r="C150" s="38" t="s">
        <v>49</v>
      </c>
      <c r="D150" s="42">
        <f>TRUNC(10447,-1)</f>
        <v>10440</v>
      </c>
      <c r="E150" s="63">
        <f>TRUNC(+D150*3.3058,-1)</f>
        <v>34510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TRUNC(2616,-1)</f>
        <v>2610</v>
      </c>
      <c r="E152" s="63">
        <f>TRUNC(+D152*3.3058,-1)</f>
        <v>8620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f>TRUNC(21758,-1)</f>
        <v>21750</v>
      </c>
      <c r="E153" s="64">
        <f>TRUNC(+D153*3.3058,-1)</f>
        <v>71900</v>
      </c>
    </row>
    <row r="154" spans="1:7" x14ac:dyDescent="0.3">
      <c r="A154" s="2">
        <v>6</v>
      </c>
      <c r="C154" s="27" t="s">
        <v>112</v>
      </c>
      <c r="D154" s="39">
        <f>SUM(D149:D153)</f>
        <v>39440</v>
      </c>
      <c r="E154" s="39">
        <f>SUM(E149:E153)</f>
        <v>130360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TRUNC(9598,-1)</f>
        <v>9590</v>
      </c>
      <c r="E157" s="62">
        <f>TRUNC(+D157*3.3058,-1)</f>
        <v>31700</v>
      </c>
    </row>
    <row r="158" spans="1:7" x14ac:dyDescent="0.3">
      <c r="A158" s="2">
        <v>2</v>
      </c>
      <c r="C158" s="38" t="s">
        <v>52</v>
      </c>
      <c r="D158" s="42">
        <f>TRUNC(17,-1)</f>
        <v>10</v>
      </c>
      <c r="E158" s="63">
        <f>TRUNC(+D158*3.3058,-1)</f>
        <v>30</v>
      </c>
      <c r="F158" s="2" t="s">
        <v>260</v>
      </c>
    </row>
    <row r="159" spans="1:7" x14ac:dyDescent="0.3">
      <c r="A159" s="2">
        <v>3</v>
      </c>
      <c r="C159" s="38" t="s">
        <v>47</v>
      </c>
      <c r="D159" s="42">
        <f>TRUNC(2103,-1)</f>
        <v>2100</v>
      </c>
      <c r="E159" s="63">
        <f>TRUNC(+D159*3.3058,-1)</f>
        <v>6940</v>
      </c>
      <c r="F159" s="2" t="s">
        <v>259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11700</v>
      </c>
      <c r="E161" s="39">
        <f>SUM(E156:E160)</f>
        <v>38670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2020-12-08T04:21:37Z</dcterms:modified>
</cp:coreProperties>
</file>