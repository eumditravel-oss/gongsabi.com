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1" i="4"/>
  <c r="D40" i="4"/>
  <c r="D65" i="4"/>
  <c r="D63" i="4"/>
  <c r="D92" i="4"/>
  <c r="D89" i="4"/>
  <c r="D75" i="4"/>
  <c r="D73" i="4"/>
  <c r="D72" i="4"/>
  <c r="D69" i="4"/>
  <c r="D118" i="4"/>
  <c r="D116" i="4"/>
  <c r="D114" i="4"/>
  <c r="D105" i="4"/>
  <c r="D104" i="4"/>
  <c r="D103" i="4"/>
  <c r="D102" i="4"/>
  <c r="D100" i="4"/>
  <c r="D99" i="4"/>
  <c r="D98" i="4"/>
  <c r="D132" i="4"/>
  <c r="D130" i="4"/>
  <c r="D128" i="4"/>
  <c r="D125" i="4"/>
  <c r="D124" i="4"/>
  <c r="D122" i="4"/>
  <c r="D144" i="4"/>
  <c r="D143" i="4"/>
  <c r="D142" i="4"/>
  <c r="D141" i="4"/>
  <c r="D137" i="4"/>
  <c r="D152" i="4"/>
  <c r="D150" i="4"/>
  <c r="D149" i="4"/>
  <c r="D157" i="4"/>
  <c r="D153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<sst xmlns="http://schemas.openxmlformats.org/spreadsheetml/2006/main" count="393" uniqueCount="268">
  <si>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</si>
  <si>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</si>
  <si>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</si>
  <si>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</si>
  <si>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</si>
  <si>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</si>
  <si>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</si>
  <si>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</si>
  <si>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</si>
  <si>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</si>
  <si>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</si>
  <si>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</si>
  <si>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</si>
  <si>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</si>
  <si>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</si>
  <si>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</si>
  <si>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</si>
  <si>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</si>
  <si>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</si>
  <si>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</si>
  <si>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</si>
  <si>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</si>
  <si>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</si>
  <si>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</si>
  <si>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</si>
  <si>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</si>
  <si>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</si>
  <si>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</si>
  <si>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</si>
  <si>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</si>
  <si>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</si>
  <si>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</si>
  <si>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</si>
  <si>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</si>
  <si>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</si>
  <si>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</si>
  <si>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</si>
  <si>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</si>
  <si>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</si>
  <si>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</si>
  <si>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</si>
  <si>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</si>
  <si>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</si>
  <si>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</si>
  <si>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</si>
  <si>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</si>
  <si>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</si>
  <si>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</si>
  <si>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</si>
  <si>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</si>
  <si>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</si>
  <si>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</si>
  <si>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</si>
  <si>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</si>
  <si>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</si>
  <si>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</si>
  <si>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</si>
  <si>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</si>
  <si>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</si>
  <si>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</si>
  <si>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</si>
  <si>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</si>
  <si>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</si>
  <si>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</si>
  <si>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</si>
  <si>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</si>
  <si>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</si>
  <si>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</si>
  <si>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</si>
  <si>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</si>
  <si>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</si>
  <si>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</si>
  <si>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</si>
  <si>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</si>
  <si>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</si>
  <si>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</si>
  <si>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</si>
  <si>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</si>
  <si>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</si>
  <si>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</si>
  <si>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</si>
  <si>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</si>
  <si>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</si>
  <si>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</si>
  <si>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</si>
  <si>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</si>
  <si>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</si>
  <si>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</si>
  <si>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</si>
  <si>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</si>
  <si>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</si>
  <si>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</si>
  <si>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</si>
  <si>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</si>
  <si>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</si>
  <si>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</si>
  <si>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</si>
  <si>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</si>
  <si>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</si>
  <si>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</si>
  <si>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</si>
  <si>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</si>
  <si>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</si>
  <si>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</si>
  <si>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</si>
  <si>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</si>
  <si>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</si>
  <si>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</si>
  <si>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</si>
  <si>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</si>
  <si>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</si>
  <si>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</si>
  <si>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</si>
  <si>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</si>
  <si>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</si>
  <si>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</si>
  <si>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</si>
  <si>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</si>
  <si>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</si>
  <si>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</si>
  <si>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</si>
  <si>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</si>
  <si>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</si>
  <si>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</si>
  <si>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</si>
  <si>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</si>
  <si>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</si>
  <si>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</si>
  <si>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</si>
  <si>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</si>
  <si>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</si>
  <si>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</si>
  <si>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</si>
  <si>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</si>
  <si>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</si>
  <si>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</si>
  <si>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</si>
  <si>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</si>
  <si>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</si>
  <si>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</si>
  <si>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</si>
  <si>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</si>
  <si>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</si>
  <si>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</si>
  <si>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</si>
  <si>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</si>
  <si>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</si>
  <si>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</si>
  <si>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</si>
  <si>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</si>
  <si>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</si>
  <si>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</si>
  <si>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</si>
  <si>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</si>
  <si>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</si>
  <si>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</si>
  <si>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</si>
  <si>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</si>
  <si>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</si>
  <si>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</si>
  <si>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</si>
  <si>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</si>
  <si>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</si>
  <si>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</si>
  <si>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</si>
  <si>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</si>
  <si>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</si>
  <si>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</si>
  <si>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</si>
  <si>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</si>
  <si>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</si>
  <si>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</si>
  <si>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</si>
  <si>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</si>
  <si>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</si>
  <si>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</si>
  <si>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</si>
  <si>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</si>
  <si>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</si>
  <si>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</si>
  <si>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</si>
  <si>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</si>
  <si>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</si>
  <si>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</si>
  <si>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</si>
  <si>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</si>
  <si>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</si>
  <si>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</si>
  <si>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</si>
  <si>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</si>
  <si>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</si>
  <si>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</si>
  <si>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</si>
  <si>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</si>
  <si>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</si>
  <si>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</si>
  <si>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</si>
  <si>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</si>
  <si>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</si>
  <si>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</si>
  <si>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</si>
  <si>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</si>
  <si>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</si>
  <si>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</si>
  <si>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</si>
  <si>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</si>
  <si>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</si>
  <si>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</si>
  <si>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</si>
  <si>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</si>
  <si>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</si>
  <si>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</si>
  <si>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</si>
  <si>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</si>
  <si>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</si>
  <si>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</si>
  <si>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</si>
  <si>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</si>
  <si>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</si>
  <si>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</si>
  <si>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</si>
  <si>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</si>
  <si>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</si>
  <si>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</si>
  <si>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</si>
  <si>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</si>
  <si>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</si>
  <si>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</si>
  <si>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</si>
  <si>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</si>
  <si>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</si>
  <si>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</si>
  <si>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</si>
  <si>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</si>
  <si>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</si>
  <si>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</si>
  <si>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</si>
  <si>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</si>
  <si>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</si>
  <si>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</si>
  <si>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</si>
  <si>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</si>
  <si>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</si>
  <si>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</si>
  <si>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</si>
  <si>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</si>
  <si>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</si>
  <si>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</si>
  <si>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한국국토정보공사 광주중부지사 사옥신축공사(건축토목기계조경등)</t>
    <phoneticPr fontId="2" type="noConversion"/>
  </si>
  <si>
    <t>업무</t>
  </si>
  <si>
    <t>광주시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</si>
  <si>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</si>
  <si>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</si>
  <si>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</si>
  <si>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기초공사,해체및철거공사,골재비및운반비,기타공사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</si>
  <si>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</si>
  <si>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</si>
  <si>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</si>
  <si>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</si>
  <si>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</si>
  <si>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</si>
  <si>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</si>
  <si>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공조배관공사,난방배관공사,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</si>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</sst>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17" sqref="A17:C19 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2399.9899999999998</v>
      </c>
      <c r="D7" s="36">
        <f>+C7/3.3058</f>
        <v>725.99370802831379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1072410</v>
      </c>
      <c r="E25" s="59">
        <f t="shared" si="0"/>
        <v>3545170</v>
      </c>
    </row>
    <row r="26" spans="1:5" x14ac:dyDescent="0.3">
      <c r="B26" s="2">
        <v>3</v>
      </c>
      <c r="C26" s="35" t="s">
        <v>95</v>
      </c>
      <c r="D26" s="45">
        <f>+D66</f>
        <v>130460</v>
      </c>
      <c r="E26" s="59">
        <f t="shared" si="0"/>
        <v>431270</v>
      </c>
    </row>
    <row r="27" spans="1:5" x14ac:dyDescent="0.3">
      <c r="B27" s="2">
        <v>4</v>
      </c>
      <c r="C27" s="35" t="s">
        <v>96</v>
      </c>
      <c r="D27" s="45">
        <f>+D95</f>
        <v>147280</v>
      </c>
      <c r="E27" s="59">
        <f t="shared" si="0"/>
        <v>486870</v>
      </c>
    </row>
    <row r="28" spans="1:5" x14ac:dyDescent="0.3">
      <c r="B28" s="2">
        <v>5</v>
      </c>
      <c r="C28" s="35" t="s">
        <v>97</v>
      </c>
      <c r="D28" s="45">
        <f>+D119</f>
        <v>285060</v>
      </c>
      <c r="E28" s="59">
        <f t="shared" si="0"/>
        <v>942350</v>
      </c>
    </row>
    <row r="29" spans="1:5" x14ac:dyDescent="0.3">
      <c r="B29" s="2">
        <v>6</v>
      </c>
      <c r="C29" s="35" t="s">
        <v>98</v>
      </c>
      <c r="D29" s="45">
        <f>+D133</f>
        <v>180000</v>
      </c>
      <c r="E29" s="59">
        <f t="shared" si="0"/>
        <v>595040</v>
      </c>
    </row>
    <row r="30" spans="1:5" x14ac:dyDescent="0.3">
      <c r="B30" s="2">
        <v>7</v>
      </c>
      <c r="C30" s="35" t="s">
        <v>99</v>
      </c>
      <c r="D30" s="45">
        <f>+D146</f>
        <v>76980</v>
      </c>
      <c r="E30" s="59">
        <f t="shared" si="0"/>
        <v>254480</v>
      </c>
    </row>
    <row r="31" spans="1:5" x14ac:dyDescent="0.3">
      <c r="B31" s="2">
        <v>8</v>
      </c>
      <c r="C31" s="35" t="s">
        <v>100</v>
      </c>
      <c r="D31" s="45">
        <f>+D154</f>
        <v>24230</v>
      </c>
      <c r="E31" s="59">
        <f t="shared" si="0"/>
        <v>80090</v>
      </c>
    </row>
    <row r="32" spans="1:5" x14ac:dyDescent="0.3">
      <c r="B32" s="2">
        <v>9</v>
      </c>
      <c r="C32" s="35" t="s">
        <v>101</v>
      </c>
      <c r="D32" s="45">
        <f>+D161</f>
        <v>9010</v>
      </c>
      <c r="E32" s="59">
        <f t="shared" si="0"/>
        <v>29780</v>
      </c>
    </row>
    <row r="33" spans="1:7" x14ac:dyDescent="0.3">
      <c r="B33" s="2">
        <v>10</v>
      </c>
      <c r="C33" s="35" t="s">
        <v>154</v>
      </c>
      <c r="D33" s="53">
        <f>TRUNC(SUM(D24:D32)*0.275,-1)</f>
        <v>529490</v>
      </c>
      <c r="E33" s="60">
        <f t="shared" si="0"/>
        <v>1750380</v>
      </c>
    </row>
    <row r="34" spans="1:7" x14ac:dyDescent="0.3">
      <c r="C34" s="35" t="s">
        <v>112</v>
      </c>
      <c r="D34" s="44">
        <f>SUM(D24:D33)</f>
        <v>2454920</v>
      </c>
      <c r="E34" s="44">
        <f>SUM(E24:E33)</f>
        <v>8115430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TRUNC(67296,-1)</f>
        <v>67290</v>
      </c>
      <c r="E40" s="62">
        <f t="shared" ref="E40:E59" si="1">TRUNC(+D40*3.3058,-1)</f>
        <v>222440</v>
      </c>
    </row>
    <row r="41" spans="1:7" x14ac:dyDescent="0.3">
      <c r="A41" s="2">
        <v>2</v>
      </c>
      <c r="C41" s="38" t="s">
        <v>13</v>
      </c>
      <c r="D41" s="42">
        <f>TRUNC(234921,-1)</f>
        <v>234920</v>
      </c>
      <c r="E41" s="63">
        <f t="shared" si="1"/>
        <v>776590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TRUNC(20067,-1)</f>
        <v>20060</v>
      </c>
      <c r="E43" s="63">
        <f t="shared" si="1"/>
        <v>66310</v>
      </c>
    </row>
    <row r="44" spans="1:7" x14ac:dyDescent="0.3">
      <c r="A44" s="2">
        <v>5</v>
      </c>
      <c r="C44" s="38" t="s">
        <v>17</v>
      </c>
      <c r="D44" s="42">
        <f>TRUNC(18916,-1)</f>
        <v>18910</v>
      </c>
      <c r="E44" s="63">
        <f t="shared" si="1"/>
        <v>62510</v>
      </c>
    </row>
    <row r="45" spans="1:7" x14ac:dyDescent="0.3">
      <c r="A45" s="2">
        <v>6</v>
      </c>
      <c r="C45" s="38" t="s">
        <v>18</v>
      </c>
      <c r="D45" s="42">
        <f>TRUNC(30471,-1)</f>
        <v>30470</v>
      </c>
      <c r="E45" s="63">
        <f t="shared" si="1"/>
        <v>100720</v>
      </c>
    </row>
    <row r="46" spans="1:7" x14ac:dyDescent="0.3">
      <c r="A46" s="2">
        <v>7</v>
      </c>
      <c r="C46" s="38" t="s">
        <v>19</v>
      </c>
      <c r="D46" s="42">
        <f>TRUNC(83281,-1)</f>
        <v>83280</v>
      </c>
      <c r="E46" s="63">
        <f t="shared" si="1"/>
        <v>275300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TRUNC(56029,-1)</f>
        <v>56020</v>
      </c>
      <c r="E48" s="63">
        <f t="shared" si="1"/>
        <v>185190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TRUNC(28131,-1)</f>
        <v>28130</v>
      </c>
      <c r="E49" s="63">
        <f t="shared" si="1"/>
        <v>92990</v>
      </c>
    </row>
    <row r="50" spans="1:7" x14ac:dyDescent="0.3">
      <c r="A50" s="2">
        <v>11</v>
      </c>
      <c r="C50" s="38" t="s">
        <v>155</v>
      </c>
      <c r="D50" s="42">
        <f>TRUNC(91157,-1)</f>
        <v>91150</v>
      </c>
      <c r="E50" s="63">
        <f t="shared" si="1"/>
        <v>301320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TRUNC(19342,-1)</f>
        <v>19340</v>
      </c>
      <c r="E52" s="63">
        <f t="shared" si="1"/>
        <v>63930</v>
      </c>
    </row>
    <row r="53" spans="1:7" x14ac:dyDescent="0.3">
      <c r="A53" s="2">
        <v>14</v>
      </c>
      <c r="C53" s="38" t="s">
        <v>25</v>
      </c>
      <c r="D53" s="42">
        <f>TRUNC(49279,-1)</f>
        <v>49270</v>
      </c>
      <c r="E53" s="63">
        <f t="shared" si="1"/>
        <v>162870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TRUNC(34742+17352+3004+4318,-1)</f>
        <v>59410</v>
      </c>
      <c r="E58" s="63">
        <f t="shared" si="1"/>
        <v>196390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TRUNC(314168,-1)</f>
        <v>314160</v>
      </c>
      <c r="E59" s="64">
        <f t="shared" si="1"/>
        <v>1038550</v>
      </c>
    </row>
    <row r="60" spans="1:7" x14ac:dyDescent="0.3">
      <c r="A60" s="2">
        <v>21</v>
      </c>
      <c r="C60" s="27" t="s">
        <v>112</v>
      </c>
      <c r="D60" s="39">
        <f>SUM(D40:D59)</f>
        <v>1072410</v>
      </c>
      <c r="E60" s="39">
        <f>SUM(E40:E59)</f>
        <v>3545110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TRUNC(863,-1)</f>
        <v>860</v>
      </c>
      <c r="E63" s="62">
        <f>TRUNC(+D63*3.3058,-1)</f>
        <v>2840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TRUNC(129608,-1)</f>
        <v>129600</v>
      </c>
      <c r="E65" s="64">
        <f>TRUNC(+D65*3.3058,-1)</f>
        <v>428430</v>
      </c>
    </row>
    <row r="66" spans="1:7" x14ac:dyDescent="0.3">
      <c r="A66" s="2">
        <v>4</v>
      </c>
      <c r="C66" s="27" t="s">
        <v>112</v>
      </c>
      <c r="D66" s="39">
        <f>SUM(D63:D65)</f>
        <v>130460</v>
      </c>
      <c r="E66" s="65">
        <f>SUM(E63:E65)</f>
        <v>431270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TRUNC(9062,-1)</f>
        <v>9060</v>
      </c>
      <c r="E69" s="62">
        <f t="shared" ref="E69:E94" si="2">TRUNC(+D69*3.3058,-1)</f>
        <v>29950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TRUNC(3500,-1)</f>
        <v>3500</v>
      </c>
      <c r="E72" s="63">
        <f t="shared" si="2"/>
        <v>11570</v>
      </c>
    </row>
    <row r="73" spans="1:7" x14ac:dyDescent="0.3">
      <c r="A73" s="2">
        <v>5</v>
      </c>
      <c r="C73" s="38" t="s">
        <v>34</v>
      </c>
      <c r="D73" s="42">
        <f>TRUNC(15424,-1)</f>
        <v>15420</v>
      </c>
      <c r="E73" s="63">
        <f t="shared" si="2"/>
        <v>50970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TRUNC(3660,-1)</f>
        <v>3660</v>
      </c>
      <c r="E75" s="63">
        <f t="shared" si="2"/>
        <v>12090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TRUNC(14899,-1)</f>
        <v>14890</v>
      </c>
      <c r="E89" s="63">
        <f t="shared" si="2"/>
        <v>49220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TRUNC(18379,-1)</f>
        <v>18370</v>
      </c>
      <c r="E92" s="63">
        <f t="shared" si="2"/>
        <v>60720</v>
      </c>
    </row>
    <row r="93" spans="1:7" x14ac:dyDescent="0.3">
      <c r="A93" s="2">
        <v>25</v>
      </c>
      <c r="C93" s="38" t="s">
        <v>148</v>
      </c>
      <c r="D93" s="42">
        <f>TRUNC(74768,-1)</f>
        <v>74760</v>
      </c>
      <c r="E93" s="63">
        <f t="shared" si="2"/>
        <v>247140</v>
      </c>
    </row>
    <row r="94" spans="1:7" ht="17.25" thickBot="1" x14ac:dyDescent="0.35">
      <c r="A94" s="2">
        <v>26</v>
      </c>
      <c r="C94" s="38" t="s">
        <v>47</v>
      </c>
      <c r="D94" s="43">
        <f>TRUNC(4505+2737+385,-1)</f>
        <v>7620</v>
      </c>
      <c r="E94" s="64">
        <f t="shared" si="2"/>
        <v>25190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147280</v>
      </c>
      <c r="E95" s="39">
        <f>SUM(E69:E94)</f>
        <v>486850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TRUNC(9090,-1)</f>
        <v>9090</v>
      </c>
      <c r="E98" s="62">
        <f t="shared" ref="E98:E118" si="3">TRUNC(+D98*3.3058,-1)</f>
        <v>30040</v>
      </c>
    </row>
    <row r="99" spans="1:7" x14ac:dyDescent="0.3">
      <c r="A99" s="2">
        <v>2</v>
      </c>
      <c r="C99" s="38" t="s">
        <v>40</v>
      </c>
      <c r="D99" s="42">
        <f>TRUNC(6856,-1)</f>
        <v>6850</v>
      </c>
      <c r="E99" s="63">
        <f t="shared" si="3"/>
        <v>22640</v>
      </c>
    </row>
    <row r="100" spans="1:7" x14ac:dyDescent="0.3">
      <c r="A100" s="2">
        <v>3</v>
      </c>
      <c r="C100" s="38" t="s">
        <v>41</v>
      </c>
      <c r="D100" s="42">
        <f>TRUNC(39335,-1)</f>
        <v>39330</v>
      </c>
      <c r="E100" s="63">
        <f t="shared" si="3"/>
        <v>130010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TRUNC(28412,-1)</f>
        <v>28410</v>
      </c>
      <c r="E102" s="63">
        <f t="shared" si="3"/>
        <v>93910</v>
      </c>
    </row>
    <row r="103" spans="1:7" x14ac:dyDescent="0.3">
      <c r="A103" s="2">
        <v>6</v>
      </c>
      <c r="C103" s="38" t="s">
        <v>44</v>
      </c>
      <c r="D103" s="42">
        <f>TRUNC(4744,-1)</f>
        <v>4740</v>
      </c>
      <c r="E103" s="63">
        <f t="shared" si="3"/>
        <v>15660</v>
      </c>
    </row>
    <row r="104" spans="1:7" x14ac:dyDescent="0.3">
      <c r="A104" s="2">
        <v>7</v>
      </c>
      <c r="C104" s="38" t="s">
        <v>45</v>
      </c>
      <c r="D104" s="42">
        <f>TRUNC(3812,-1)</f>
        <v>3810</v>
      </c>
      <c r="E104" s="63">
        <f t="shared" si="3"/>
        <v>12590</v>
      </c>
    </row>
    <row r="105" spans="1:7" x14ac:dyDescent="0.3">
      <c r="A105" s="2">
        <v>8</v>
      </c>
      <c r="C105" s="38" t="s">
        <v>46</v>
      </c>
      <c r="D105" s="42">
        <f>TRUNC(4377,-1)</f>
        <v>4370</v>
      </c>
      <c r="E105" s="63">
        <f t="shared" si="3"/>
        <v>14440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TRUNC(3767,-1)</f>
        <v>3760</v>
      </c>
      <c r="E114" s="63">
        <f t="shared" si="3"/>
        <v>12420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TRUNC(13018,-1)</f>
        <v>13010</v>
      </c>
      <c r="E116" s="63">
        <f t="shared" si="3"/>
        <v>43000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TRUNC(164901,-1)</f>
        <v>164900</v>
      </c>
      <c r="E117" s="63">
        <f t="shared" si="3"/>
        <v>545120</v>
      </c>
    </row>
    <row r="118" spans="1:7" ht="17.25" thickBot="1" x14ac:dyDescent="0.35">
      <c r="A118" s="2">
        <v>21</v>
      </c>
      <c r="C118" s="38" t="s">
        <v>47</v>
      </c>
      <c r="D118" s="43">
        <f>TRUNC(6790,-1)</f>
        <v>6790</v>
      </c>
      <c r="E118" s="64">
        <f t="shared" si="3"/>
        <v>22440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285060</v>
      </c>
      <c r="E119" s="39">
        <f>SUM(E98:E118)</f>
        <v>942270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TRUNC(5948,-1)</f>
        <v>5940</v>
      </c>
      <c r="E122" s="62">
        <f t="shared" ref="E122:E132" si="4">TRUNC(+D122*3.3058,-1)</f>
        <v>19630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TRUNC(1649,-1)</f>
        <v>1640</v>
      </c>
      <c r="E124" s="63">
        <f t="shared" si="4"/>
        <v>5420</v>
      </c>
    </row>
    <row r="125" spans="1:7" x14ac:dyDescent="0.3">
      <c r="A125" s="2">
        <v>4</v>
      </c>
      <c r="C125" s="38" t="s">
        <v>138</v>
      </c>
      <c r="D125" s="42">
        <f>TRUNC(8182,-1)</f>
        <v>8180</v>
      </c>
      <c r="E125" s="63">
        <f t="shared" si="4"/>
        <v>27040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TRUNC(3945,-1)</f>
        <v>3940</v>
      </c>
      <c r="E128" s="63">
        <f t="shared" si="4"/>
        <v>13020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TRUNC(34908,-1)</f>
        <v>34900</v>
      </c>
      <c r="E130" s="63">
        <f t="shared" si="4"/>
        <v>115370</v>
      </c>
    </row>
    <row r="131" spans="1:7" x14ac:dyDescent="0.3">
      <c r="A131" s="2">
        <v>10</v>
      </c>
      <c r="C131" s="38" t="s">
        <v>148</v>
      </c>
      <c r="D131" s="42">
        <f>TRUNC(122978,-1)</f>
        <v>122970</v>
      </c>
      <c r="E131" s="63">
        <f t="shared" si="4"/>
        <v>406510</v>
      </c>
    </row>
    <row r="132" spans="1:7" ht="18" thickBot="1" x14ac:dyDescent="0.35">
      <c r="A132" s="2">
        <v>11</v>
      </c>
      <c r="C132" s="38" t="s">
        <v>47</v>
      </c>
      <c r="D132" s="43">
        <f>TRUNC(1866+569,-1)</f>
        <v>2430</v>
      </c>
      <c r="E132" s="64">
        <f t="shared" si="4"/>
        <v>8030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180000</v>
      </c>
      <c r="E133" s="39">
        <f>SUM(E122:E132)</f>
        <v>595020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TRUNC(9895,-1)</f>
        <v>9890</v>
      </c>
      <c r="E137" s="63">
        <f t="shared" si="5"/>
        <v>32690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TRUNC(24605,-1)</f>
        <v>24600</v>
      </c>
      <c r="E141" s="63">
        <f t="shared" si="5"/>
        <v>81320</v>
      </c>
    </row>
    <row r="142" spans="1:7" x14ac:dyDescent="0.3">
      <c r="A142" s="2">
        <v>7</v>
      </c>
      <c r="C142" s="38" t="s">
        <v>58</v>
      </c>
      <c r="D142" s="42">
        <f>TRUNC(7468,-1)</f>
        <v>7460</v>
      </c>
      <c r="E142" s="63">
        <f t="shared" si="5"/>
        <v>24660</v>
      </c>
    </row>
    <row r="143" spans="1:7" x14ac:dyDescent="0.3">
      <c r="A143" s="2">
        <v>8</v>
      </c>
      <c r="C143" s="38" t="s">
        <v>62</v>
      </c>
      <c r="D143" s="42">
        <f>TRUNC(10920,-1)</f>
        <v>10920</v>
      </c>
      <c r="E143" s="63">
        <f t="shared" si="5"/>
        <v>36090</v>
      </c>
    </row>
    <row r="144" spans="1:7" x14ac:dyDescent="0.3">
      <c r="A144" s="2">
        <v>9</v>
      </c>
      <c r="C144" s="38" t="s">
        <v>63</v>
      </c>
      <c r="D144" s="42">
        <f>TRUNC(24119,-1)</f>
        <v>24110</v>
      </c>
      <c r="E144" s="63">
        <f t="shared" si="5"/>
        <v>79700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76980</v>
      </c>
      <c r="E146" s="39">
        <f>SUM(E136:E145)</f>
        <v>254460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TRUNC(775+319,-1)</f>
        <v>1090</v>
      </c>
      <c r="E149" s="62">
        <f>TRUNC(+D149*3.3058,-1)</f>
        <v>3600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TRUNC(3529,-1)</f>
        <v>3520</v>
      </c>
      <c r="E150" s="63">
        <f>TRUNC(+D150*3.3058,-1)</f>
        <v>11630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TRUNC(1038+2511+3504,-1)</f>
        <v>7050</v>
      </c>
      <c r="E152" s="63">
        <f>TRUNC(+D152*3.3058,-1)</f>
        <v>23300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TRUNC(12575,-1)</f>
        <v>12570</v>
      </c>
      <c r="E153" s="64">
        <f>TRUNC(+D153*3.3058,-1)</f>
        <v>41550</v>
      </c>
    </row>
    <row r="154" spans="1:7" x14ac:dyDescent="0.3">
      <c r="A154" s="2">
        <v>6</v>
      </c>
      <c r="C154" s="27" t="s">
        <v>112</v>
      </c>
      <c r="D154" s="39">
        <f>SUM(D149:D153)</f>
        <v>24230</v>
      </c>
      <c r="E154" s="39">
        <f>SUM(E149:E153)</f>
        <v>80080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TRUNC(9017,-1)</f>
        <v>9010</v>
      </c>
      <c r="E157" s="62">
        <f>TRUNC(+D157*3.3058,-1)</f>
        <v>29780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9010</v>
      </c>
      <c r="E161" s="39">
        <f>SUM(E157:E160)</f>
        <v>29780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2020-12-08T02:23:25Z</dcterms:modified>
</cp:coreProperties>
</file>