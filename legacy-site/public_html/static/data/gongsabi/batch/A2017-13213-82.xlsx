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3" i="4"/>
  <c r="D142" i="4"/>
  <c r="D140" i="4"/>
  <c r="D139" i="4"/>
  <c r="D137" i="4"/>
  <c r="D130" i="4"/>
  <c r="D128" i="4"/>
  <c r="D126" i="4"/>
  <c r="D122" i="4"/>
  <c r="D118" i="4"/>
  <c r="D117" i="4"/>
  <c r="D114" i="4"/>
  <c r="D105" i="4"/>
  <c r="D104" i="4"/>
  <c r="D102" i="4"/>
  <c r="D99" i="4"/>
  <c r="D98" i="4"/>
  <c r="D94" i="4"/>
  <c r="D93" i="4"/>
  <c r="D92" i="4"/>
  <c r="D91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6" i="4"/>
  <c r="D45" i="4"/>
  <c r="D44" i="4"/>
  <c r="D43" i="4"/>
  <c r="D42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<sst xmlns="http://schemas.openxmlformats.org/spreadsheetml/2006/main" count="392" uniqueCount="268">
  <si>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</si>
  <si>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</si>
  <si>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</si>
  <si>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</si>
  <si>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</si>
  <si>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</si>
  <si>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</si>
  <si>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</si>
  <si>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</si>
  <si>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</si>
  <si>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</si>
  <si>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</si>
  <si>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</si>
  <si>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</si>
  <si>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</si>
  <si>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</si>
  <si>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</si>
  <si>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</si>
  <si>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</si>
  <si>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</si>
  <si>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</si>
  <si>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</si>
  <si>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</si>
  <si>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</si>
  <si>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</si>
  <si>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</si>
  <si>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</si>
  <si>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</si>
  <si>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</si>
  <si>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</si>
  <si>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</si>
  <si>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</si>
  <si>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</si>
  <si>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</si>
  <si>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</si>
  <si>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</si>
  <si>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</si>
  <si>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</si>
  <si>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</si>
  <si>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</si>
  <si>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</si>
  <si>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</si>
  <si>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</si>
  <si>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</si>
  <si>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</si>
  <si>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</si>
  <si>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</si>
  <si>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</si>
  <si>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</si>
  <si>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</si>
  <si>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</si>
  <si>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</si>
  <si>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</si>
  <si>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</si>
  <si>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</si>
  <si>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</si>
  <si>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</si>
  <si>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</si>
  <si>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</si>
  <si>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</si>
  <si>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</si>
  <si>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</si>
  <si>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</si>
  <si>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</si>
  <si>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</si>
  <si>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</si>
  <si>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</si>
  <si>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</si>
  <si>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</si>
  <si>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</si>
  <si>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</si>
  <si>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</si>
  <si>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</si>
  <si>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</si>
  <si>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</si>
  <si>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</si>
  <si>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</si>
  <si>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</si>
  <si>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</si>
  <si>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</si>
  <si>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</si>
  <si>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</si>
  <si>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</si>
  <si>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</si>
  <si>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</si>
  <si>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</si>
  <si>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</si>
  <si>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</si>
  <si>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</si>
  <si>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</si>
  <si>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</si>
  <si>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</si>
  <si>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</si>
  <si>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</si>
  <si>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</si>
  <si>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</si>
  <si>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</si>
  <si>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</si>
  <si>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</si>
  <si>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</si>
  <si>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</si>
  <si>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</si>
  <si>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</si>
  <si>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</si>
  <si>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</si>
  <si>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</si>
  <si>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</si>
  <si>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</si>
  <si>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</si>
  <si>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</si>
  <si>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</si>
  <si>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</si>
  <si>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</si>
  <si>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</si>
  <si>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</si>
  <si>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</si>
  <si>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</si>
  <si>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</si>
  <si>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</si>
  <si>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</si>
  <si>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</si>
  <si>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</si>
  <si>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</si>
  <si>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</si>
  <si>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</si>
  <si>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</si>
  <si>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</si>
  <si>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</si>
  <si>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</si>
  <si>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</si>
  <si>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</si>
  <si>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</si>
  <si>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</si>
  <si>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</si>
  <si>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</si>
  <si>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</si>
  <si>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</si>
  <si>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</si>
  <si>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</si>
  <si>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</si>
  <si>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</si>
  <si>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</si>
  <si>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</si>
  <si>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</si>
  <si>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</si>
  <si>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</si>
  <si>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</si>
  <si>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</si>
  <si>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</si>
  <si>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</si>
  <si>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</si>
  <si>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</si>
  <si>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</si>
  <si>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</si>
  <si>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</si>
  <si>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</si>
  <si>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</si>
  <si>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</si>
  <si>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</si>
  <si>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</si>
  <si>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</si>
  <si>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</si>
  <si>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</si>
  <si>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</si>
  <si>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</si>
  <si>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</si>
  <si>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</si>
  <si>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</si>
  <si>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</si>
  <si>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</si>
  <si>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</si>
  <si>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</si>
  <si>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</si>
  <si>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</si>
  <si>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</si>
  <si>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</si>
  <si>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</si>
  <si>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</si>
  <si>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</si>
  <si>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</si>
  <si>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</si>
  <si>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</si>
  <si>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</si>
  <si>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</si>
  <si>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</si>
  <si>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</si>
  <si>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</si>
  <si>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</si>
  <si>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</si>
  <si>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</si>
  <si>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</si>
  <si>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</si>
  <si>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</si>
  <si>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</si>
  <si>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</si>
  <si>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</si>
  <si>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</si>
  <si>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</si>
  <si>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</si>
  <si>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</si>
  <si>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</si>
  <si>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</si>
  <si>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</si>
  <si>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</si>
  <si>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</si>
  <si>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</si>
  <si>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</si>
  <si>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</si>
  <si>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</si>
  <si>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</si>
  <si>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</si>
  <si>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</si>
  <si>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</si>
  <si>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</si>
  <si>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</si>
  <si>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</si>
  <si>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</si>
  <si>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</si>
  <si>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</si>
  <si>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</si>
  <si>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</si>
  <si>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</si>
  <si>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</si>
  <si>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</si>
  <si>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</si>
  <si>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</si>
  <si>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</si>
  <si>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</si>
  <si>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</si>
  <si>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</si>
  <si>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</si>
  <si>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</si>
  <si>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</si>
  <si>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</si>
  <si>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</si>
  <si>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</si>
  <si>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</si>
  <si>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</si>
  <si>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</si>
  <si>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</si>
  <si>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</si>
  <si>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</si>
  <si>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</si>
  <si>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</si>
  <si>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</si>
  <si>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</si>
  <si>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</si>
  <si>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</si>
  <si>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</si>
  <si>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</si>
  <si>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</si>
  <si>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</si>
  <si>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</si>
  <si>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</si>
  <si>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</si>
  <si>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</si>
  <si>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농림식품기술기획평가원 신청사 건립공사</t>
    <phoneticPr fontId="2" type="noConversion"/>
  </si>
  <si>
    <t>전라도</t>
  </si>
  <si>
    <t>기초공사, 폐기물처리비, 골재비및운반비, 기타공사</t>
    <phoneticPr fontId="2" type="noConversion"/>
  </si>
  <si>
    <t>공조배관공사, 우수처리시설공사</t>
    <phoneticPr fontId="2" type="noConversion"/>
  </si>
  <si>
    <t>펌프실배관공사, 기타공사</t>
    <phoneticPr fontId="2" type="noConversion"/>
  </si>
  <si>
    <t>상수도공사, 사급자재비,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</si>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</sst>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3841.52</v>
      </c>
      <c r="D7" s="36">
        <f>+C7/3.3058</f>
        <v>1162.0545707544316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1050860</v>
      </c>
      <c r="E25" s="59">
        <f t="shared" si="0"/>
        <v>3473930</v>
      </c>
    </row>
    <row r="26" spans="1:5" x14ac:dyDescent="0.3">
      <c r="B26" s="2">
        <v>3</v>
      </c>
      <c r="C26" s="35" t="s">
        <v>95</v>
      </c>
      <c r="D26" s="45">
        <f>+D66</f>
        <v>5390</v>
      </c>
      <c r="E26" s="59">
        <f t="shared" si="0"/>
        <v>17810</v>
      </c>
    </row>
    <row r="27" spans="1:5" x14ac:dyDescent="0.3">
      <c r="B27" s="2">
        <v>4</v>
      </c>
      <c r="C27" s="35" t="s">
        <v>96</v>
      </c>
      <c r="D27" s="45">
        <f>+D95</f>
        <v>297820</v>
      </c>
      <c r="E27" s="59">
        <f t="shared" si="0"/>
        <v>984530</v>
      </c>
    </row>
    <row r="28" spans="1:5" x14ac:dyDescent="0.3">
      <c r="B28" s="2">
        <v>5</v>
      </c>
      <c r="C28" s="35" t="s">
        <v>97</v>
      </c>
      <c r="D28" s="45">
        <f>+D119</f>
        <v>275300</v>
      </c>
      <c r="E28" s="59">
        <f t="shared" si="0"/>
        <v>910080</v>
      </c>
    </row>
    <row r="29" spans="1:5" x14ac:dyDescent="0.3">
      <c r="B29" s="2">
        <v>6</v>
      </c>
      <c r="C29" s="35" t="s">
        <v>98</v>
      </c>
      <c r="D29" s="45">
        <f>+D133</f>
        <v>44650</v>
      </c>
      <c r="E29" s="59">
        <f t="shared" si="0"/>
        <v>147600</v>
      </c>
    </row>
    <row r="30" spans="1:5" x14ac:dyDescent="0.3">
      <c r="B30" s="2">
        <v>7</v>
      </c>
      <c r="C30" s="35" t="s">
        <v>99</v>
      </c>
      <c r="D30" s="45">
        <f>+D146</f>
        <v>40370</v>
      </c>
      <c r="E30" s="59">
        <f t="shared" si="0"/>
        <v>133450</v>
      </c>
    </row>
    <row r="31" spans="1:5" x14ac:dyDescent="0.3">
      <c r="B31" s="2">
        <v>8</v>
      </c>
      <c r="C31" s="35" t="s">
        <v>100</v>
      </c>
      <c r="D31" s="45">
        <f>+D154</f>
        <v>25430</v>
      </c>
      <c r="E31" s="59">
        <f t="shared" si="0"/>
        <v>84060</v>
      </c>
    </row>
    <row r="32" spans="1:5" x14ac:dyDescent="0.3">
      <c r="B32" s="2">
        <v>9</v>
      </c>
      <c r="C32" s="35" t="s">
        <v>101</v>
      </c>
      <c r="D32" s="45">
        <f>+D161</f>
        <v>54010</v>
      </c>
      <c r="E32" s="59">
        <f t="shared" si="0"/>
        <v>178540</v>
      </c>
    </row>
    <row r="33" spans="1:7" x14ac:dyDescent="0.3">
      <c r="B33" s="2">
        <v>10</v>
      </c>
      <c r="C33" s="35" t="s">
        <v>154</v>
      </c>
      <c r="D33" s="53">
        <f>TRUNC(SUM(D24:D32)*0.275,-1)</f>
        <v>493300</v>
      </c>
      <c r="E33" s="60">
        <f t="shared" si="0"/>
        <v>1630750</v>
      </c>
    </row>
    <row r="34" spans="1:7" x14ac:dyDescent="0.3">
      <c r="C34" s="35" t="s">
        <v>112</v>
      </c>
      <c r="D34" s="44">
        <f>SUM(D24:D33)</f>
        <v>2287130</v>
      </c>
      <c r="E34" s="44">
        <f>SUM(E24:E33)</f>
        <v>7560750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v>60420</v>
      </c>
      <c r="E40" s="62">
        <f t="shared" ref="E40:E59" si="1">TRUNC(+D40*3.3058,-1)</f>
        <v>199730</v>
      </c>
    </row>
    <row r="41" spans="1:7" x14ac:dyDescent="0.3">
      <c r="A41" s="2">
        <v>2</v>
      </c>
      <c r="C41" s="38" t="s">
        <v>13</v>
      </c>
      <c r="D41" s="42">
        <f>TRUNC(208141,-1)</f>
        <v>208140</v>
      </c>
      <c r="E41" s="63">
        <f t="shared" si="1"/>
        <v>688060</v>
      </c>
    </row>
    <row r="42" spans="1:7" x14ac:dyDescent="0.3">
      <c r="A42" s="2">
        <v>3</v>
      </c>
      <c r="C42" s="38" t="s">
        <v>14</v>
      </c>
      <c r="D42" s="42">
        <f>TRUNC(15336,-1)</f>
        <v>15330</v>
      </c>
      <c r="E42" s="63">
        <f t="shared" si="1"/>
        <v>50670</v>
      </c>
    </row>
    <row r="43" spans="1:7" x14ac:dyDescent="0.3">
      <c r="A43" s="2">
        <v>4</v>
      </c>
      <c r="C43" s="38" t="s">
        <v>16</v>
      </c>
      <c r="D43" s="42">
        <f>TRUNC(15578,-1)</f>
        <v>15570</v>
      </c>
      <c r="E43" s="63">
        <f t="shared" si="1"/>
        <v>51470</v>
      </c>
    </row>
    <row r="44" spans="1:7" x14ac:dyDescent="0.3">
      <c r="A44" s="2">
        <v>5</v>
      </c>
      <c r="C44" s="38" t="s">
        <v>17</v>
      </c>
      <c r="D44" s="42">
        <f>TRUNC(38211,-1)</f>
        <v>38210</v>
      </c>
      <c r="E44" s="63">
        <f t="shared" si="1"/>
        <v>126310</v>
      </c>
    </row>
    <row r="45" spans="1:7" x14ac:dyDescent="0.3">
      <c r="A45" s="2">
        <v>6</v>
      </c>
      <c r="C45" s="38" t="s">
        <v>18</v>
      </c>
      <c r="D45" s="42">
        <f>TRUNC(16679,-1)</f>
        <v>16670</v>
      </c>
      <c r="E45" s="63">
        <f t="shared" si="1"/>
        <v>55100</v>
      </c>
    </row>
    <row r="46" spans="1:7" x14ac:dyDescent="0.3">
      <c r="A46" s="2">
        <v>7</v>
      </c>
      <c r="C46" s="38" t="s">
        <v>19</v>
      </c>
      <c r="D46" s="42">
        <f>TRUNC(23474,-1)</f>
        <v>23470</v>
      </c>
      <c r="E46" s="63">
        <f t="shared" si="1"/>
        <v>77580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51030</v>
      </c>
      <c r="E48" s="63">
        <f t="shared" si="1"/>
        <v>168690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TRUNC(28516,-1)</f>
        <v>28510</v>
      </c>
      <c r="E49" s="63">
        <f t="shared" si="1"/>
        <v>94240</v>
      </c>
    </row>
    <row r="50" spans="1:7" x14ac:dyDescent="0.3">
      <c r="A50" s="2">
        <v>11</v>
      </c>
      <c r="C50" s="38" t="s">
        <v>155</v>
      </c>
      <c r="D50" s="42">
        <f>TRUNC(38963,-1)</f>
        <v>38960</v>
      </c>
      <c r="E50" s="63">
        <f t="shared" si="1"/>
        <v>128790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TRUNC(19228,-1)</f>
        <v>19220</v>
      </c>
      <c r="E52" s="63">
        <f t="shared" si="1"/>
        <v>63530</v>
      </c>
    </row>
    <row r="53" spans="1:7" x14ac:dyDescent="0.3">
      <c r="A53" s="2">
        <v>14</v>
      </c>
      <c r="C53" s="38" t="s">
        <v>25</v>
      </c>
      <c r="D53" s="42">
        <f>TRUNC(123808,-1)</f>
        <v>123800</v>
      </c>
      <c r="E53" s="63">
        <f t="shared" si="1"/>
        <v>409250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TRUNC(62960+855+7776+14074,-1)</f>
        <v>85660</v>
      </c>
      <c r="E58" s="63">
        <f t="shared" si="1"/>
        <v>283170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TRUNC(325876,-1)</f>
        <v>325870</v>
      </c>
      <c r="E59" s="64">
        <f t="shared" si="1"/>
        <v>1077260</v>
      </c>
    </row>
    <row r="60" spans="1:7" x14ac:dyDescent="0.3">
      <c r="A60" s="2">
        <v>21</v>
      </c>
      <c r="C60" s="27" t="s">
        <v>112</v>
      </c>
      <c r="D60" s="39">
        <f>SUM(D40:D59)</f>
        <v>1050860</v>
      </c>
      <c r="E60" s="39">
        <f>SUM(E40:E59)</f>
        <v>3473850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TRUNC(5392,-1)</f>
        <v>5390</v>
      </c>
      <c r="E63" s="62">
        <f>TRUNC(+D63*3.3058,-1)</f>
        <v>17810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5390</v>
      </c>
      <c r="E66" s="65">
        <f>SUM(E63:E65)</f>
        <v>17810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TRUNC(23619,-1)</f>
        <v>23610</v>
      </c>
      <c r="E69" s="62">
        <f t="shared" ref="E69:E94" si="2">TRUNC(+D69*3.3058,-1)</f>
        <v>78040</v>
      </c>
    </row>
    <row r="70" spans="1:7" ht="16.5" customHeight="1" x14ac:dyDescent="0.3">
      <c r="A70" s="2">
        <v>2</v>
      </c>
      <c r="C70" s="38" t="s">
        <v>31</v>
      </c>
      <c r="D70" s="42">
        <f>TRUNC(5467,-1)</f>
        <v>5460</v>
      </c>
      <c r="E70" s="63">
        <f t="shared" si="2"/>
        <v>18040</v>
      </c>
    </row>
    <row r="71" spans="1:7" x14ac:dyDescent="0.3">
      <c r="A71" s="2">
        <v>3</v>
      </c>
      <c r="C71" s="38" t="s">
        <v>32</v>
      </c>
      <c r="D71" s="42">
        <f>TRUNC(30726,-1)</f>
        <v>30720</v>
      </c>
      <c r="E71" s="63">
        <f t="shared" si="2"/>
        <v>101550</v>
      </c>
    </row>
    <row r="72" spans="1:7" x14ac:dyDescent="0.3">
      <c r="A72" s="2">
        <v>4</v>
      </c>
      <c r="C72" s="38" t="s">
        <v>33</v>
      </c>
      <c r="D72" s="42">
        <f>TRUNC(1968,-1)</f>
        <v>1960</v>
      </c>
      <c r="E72" s="63">
        <f t="shared" si="2"/>
        <v>6470</v>
      </c>
    </row>
    <row r="73" spans="1:7" x14ac:dyDescent="0.3">
      <c r="A73" s="2">
        <v>5</v>
      </c>
      <c r="C73" s="38" t="s">
        <v>34</v>
      </c>
      <c r="D73" s="42">
        <f>TRUNC(16917,-1)</f>
        <v>16910</v>
      </c>
      <c r="E73" s="63">
        <f t="shared" si="2"/>
        <v>55900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TRUNC(4262,-1)</f>
        <v>4260</v>
      </c>
      <c r="E75" s="63">
        <f t="shared" si="2"/>
        <v>14080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4110</v>
      </c>
      <c r="E89" s="63">
        <f t="shared" si="2"/>
        <v>13580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TRUNC(5678,-1)</f>
        <v>5670</v>
      </c>
      <c r="E91" s="63">
        <f t="shared" si="2"/>
        <v>18740</v>
      </c>
    </row>
    <row r="92" spans="1:7" x14ac:dyDescent="0.3">
      <c r="A92" s="2">
        <v>24</v>
      </c>
      <c r="C92" s="38" t="s">
        <v>38</v>
      </c>
      <c r="D92" s="42">
        <f>TRUNC(7871,-1)</f>
        <v>7870</v>
      </c>
      <c r="E92" s="63">
        <f t="shared" si="2"/>
        <v>26010</v>
      </c>
    </row>
    <row r="93" spans="1:7" x14ac:dyDescent="0.3">
      <c r="A93" s="2">
        <v>25</v>
      </c>
      <c r="C93" s="38" t="s">
        <v>148</v>
      </c>
      <c r="D93" s="42">
        <f>TRUNC(146151,-1)</f>
        <v>146150</v>
      </c>
      <c r="E93" s="63">
        <f t="shared" si="2"/>
        <v>483140</v>
      </c>
    </row>
    <row r="94" spans="1:7" ht="17.25" thickBot="1" x14ac:dyDescent="0.35">
      <c r="A94" s="2">
        <v>26</v>
      </c>
      <c r="C94" s="38" t="s">
        <v>47</v>
      </c>
      <c r="D94" s="43">
        <f>TRUNC(41014+10093,-1)</f>
        <v>51100</v>
      </c>
      <c r="E94" s="64">
        <f t="shared" si="2"/>
        <v>168920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297820</v>
      </c>
      <c r="E95" s="39">
        <f>SUM(E69:E94)</f>
        <v>984470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TRUNC(16822,-1)</f>
        <v>16820</v>
      </c>
      <c r="E98" s="62">
        <f t="shared" ref="E98:E118" si="3">TRUNC(+D98*3.3058,-1)</f>
        <v>55600</v>
      </c>
    </row>
    <row r="99" spans="1:7" x14ac:dyDescent="0.3">
      <c r="A99" s="2">
        <v>2</v>
      </c>
      <c r="C99" s="38" t="s">
        <v>40</v>
      </c>
      <c r="D99" s="42">
        <f>TRUNC(13671,-1)</f>
        <v>13670</v>
      </c>
      <c r="E99" s="63">
        <f t="shared" si="3"/>
        <v>45190</v>
      </c>
    </row>
    <row r="100" spans="1:7" x14ac:dyDescent="0.3">
      <c r="A100" s="2">
        <v>3</v>
      </c>
      <c r="C100" s="38" t="s">
        <v>41</v>
      </c>
      <c r="D100" s="42">
        <v>50700</v>
      </c>
      <c r="E100" s="63">
        <f t="shared" si="3"/>
        <v>167600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TRUNC(15321,-1)</f>
        <v>15320</v>
      </c>
      <c r="E102" s="63">
        <f t="shared" si="3"/>
        <v>50640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TRUNC(451,-1)</f>
        <v>450</v>
      </c>
      <c r="E104" s="63">
        <f t="shared" si="3"/>
        <v>1480</v>
      </c>
    </row>
    <row r="105" spans="1:7" x14ac:dyDescent="0.3">
      <c r="A105" s="2">
        <v>8</v>
      </c>
      <c r="C105" s="38" t="s">
        <v>46</v>
      </c>
      <c r="D105" s="42">
        <f>TRUNC(2813,-1)</f>
        <v>2810</v>
      </c>
      <c r="E105" s="63">
        <f t="shared" si="3"/>
        <v>9280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TRUNC(2392,-1)</f>
        <v>2390</v>
      </c>
      <c r="E114" s="63">
        <f t="shared" si="3"/>
        <v>7900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6420</v>
      </c>
      <c r="E116" s="63">
        <f t="shared" si="3"/>
        <v>21220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TRUNC(165364,-1)</f>
        <v>165360</v>
      </c>
      <c r="E117" s="63">
        <f t="shared" si="3"/>
        <v>546640</v>
      </c>
    </row>
    <row r="118" spans="1:7" ht="17.25" thickBot="1" x14ac:dyDescent="0.35">
      <c r="A118" s="2">
        <v>21</v>
      </c>
      <c r="C118" s="38" t="s">
        <v>47</v>
      </c>
      <c r="D118" s="43">
        <f>TRUNC(1366,-1)</f>
        <v>1360</v>
      </c>
      <c r="E118" s="64">
        <f t="shared" si="3"/>
        <v>4490</v>
      </c>
    </row>
    <row r="119" spans="1:7" x14ac:dyDescent="0.3">
      <c r="A119" s="2">
        <v>22</v>
      </c>
      <c r="C119" s="27" t="s">
        <v>112</v>
      </c>
      <c r="D119" s="39">
        <f>SUM(D98:D118)</f>
        <v>275300</v>
      </c>
      <c r="E119" s="39">
        <f>SUM(E98:E118)</f>
        <v>910040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TRUNC(4853,-1)</f>
        <v>4850</v>
      </c>
      <c r="E122" s="62">
        <f t="shared" ref="E122:E132" si="4">TRUNC(+D122*3.3058,-1)</f>
        <v>16030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TRUNC(1798,-1)</f>
        <v>1790</v>
      </c>
      <c r="E126" s="63">
        <f t="shared" si="4"/>
        <v>5910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TRUNC(2327,-1)</f>
        <v>2320</v>
      </c>
      <c r="E128" s="63">
        <f t="shared" si="4"/>
        <v>7660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TRUNC(35695,-1)</f>
        <v>35690</v>
      </c>
      <c r="E130" s="63">
        <f t="shared" si="4"/>
        <v>117980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44650</v>
      </c>
      <c r="E133" s="39">
        <f>SUM(E122:E132)</f>
        <v>147580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TRUNC(3822+5270,-1)</f>
        <v>9090</v>
      </c>
      <c r="E137" s="63">
        <f t="shared" si="5"/>
        <v>30040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TRUNC(2168,-1)</f>
        <v>2160</v>
      </c>
      <c r="E139" s="63">
        <f t="shared" si="5"/>
        <v>7140</v>
      </c>
    </row>
    <row r="140" spans="1:7" x14ac:dyDescent="0.3">
      <c r="A140" s="2">
        <v>5</v>
      </c>
      <c r="C140" s="38" t="s">
        <v>57</v>
      </c>
      <c r="D140" s="42">
        <f>TRUNC(1418,-1)</f>
        <v>1410</v>
      </c>
      <c r="E140" s="63">
        <f t="shared" si="5"/>
        <v>4660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TRUNC(5736,-1)</f>
        <v>5730</v>
      </c>
      <c r="E142" s="63">
        <f t="shared" si="5"/>
        <v>18940</v>
      </c>
    </row>
    <row r="143" spans="1:7" x14ac:dyDescent="0.3">
      <c r="A143" s="2">
        <v>8</v>
      </c>
      <c r="C143" s="38" t="s">
        <v>62</v>
      </c>
      <c r="D143" s="42">
        <f>TRUNC(5822,-1)</f>
        <v>5820</v>
      </c>
      <c r="E143" s="63">
        <f t="shared" si="5"/>
        <v>19230</v>
      </c>
    </row>
    <row r="144" spans="1:7" x14ac:dyDescent="0.3">
      <c r="A144" s="2">
        <v>9</v>
      </c>
      <c r="C144" s="38" t="s">
        <v>63</v>
      </c>
      <c r="D144" s="42">
        <v>16160</v>
      </c>
      <c r="E144" s="63">
        <f t="shared" si="5"/>
        <v>53420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40370</v>
      </c>
      <c r="E146" s="39">
        <f>SUM(E136:E145)</f>
        <v>133430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TRUNC(8617+1596,-1)</f>
        <v>10210</v>
      </c>
      <c r="E149" s="62">
        <f>TRUNC(+D149*3.3058,-1)</f>
        <v>33750</v>
      </c>
    </row>
    <row r="150" spans="1:7" x14ac:dyDescent="0.3">
      <c r="A150" s="2">
        <v>2</v>
      </c>
      <c r="C150" s="38" t="s">
        <v>49</v>
      </c>
      <c r="D150" s="42">
        <f>TRUNC(3293,-1)</f>
        <v>3290</v>
      </c>
      <c r="E150" s="63">
        <f>TRUNC(+D150*3.3058,-1)</f>
        <v>10870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TRUNC(502+3917+2879,-1)</f>
        <v>7290</v>
      </c>
      <c r="E152" s="63">
        <f>TRUNC(+D152*3.3058,-1)</f>
        <v>24090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TRUNC(4646,-1)</f>
        <v>4640</v>
      </c>
      <c r="E153" s="64">
        <f>TRUNC(+D153*3.3058,-1)</f>
        <v>15330</v>
      </c>
    </row>
    <row r="154" spans="1:7" x14ac:dyDescent="0.3">
      <c r="A154" s="2">
        <v>6</v>
      </c>
      <c r="C154" s="27" t="s">
        <v>112</v>
      </c>
      <c r="D154" s="39">
        <f>SUM(D149:D153)</f>
        <v>25430</v>
      </c>
      <c r="E154" s="39">
        <f>SUM(E149:E153)</f>
        <v>84040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TRUNC(32968,-1)</f>
        <v>32960</v>
      </c>
      <c r="E157" s="62">
        <f>TRUNC(+D157*3.3058,-1)</f>
        <v>108950</v>
      </c>
    </row>
    <row r="158" spans="1:7" x14ac:dyDescent="0.3">
      <c r="A158" s="2">
        <v>2</v>
      </c>
      <c r="C158" s="38" t="s">
        <v>52</v>
      </c>
      <c r="D158" s="42">
        <f>TRUNC(4546,-1)</f>
        <v>4540</v>
      </c>
      <c r="E158" s="63">
        <f>TRUNC(+D158*3.3058,-1)</f>
        <v>15000</v>
      </c>
    </row>
    <row r="159" spans="1:7" x14ac:dyDescent="0.3">
      <c r="A159" s="2">
        <v>3</v>
      </c>
      <c r="C159" s="38" t="s">
        <v>47</v>
      </c>
      <c r="D159" s="42">
        <f>TRUNC(15894+620,-1)</f>
        <v>16510</v>
      </c>
      <c r="E159" s="63">
        <f>TRUNC(+D159*3.3058,-1)</f>
        <v>54570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54010</v>
      </c>
      <c r="E161" s="39">
        <f>SUM(E157:E160)</f>
        <v>178520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2020-12-08T02:08:47Z</dcterms:modified>
</cp:coreProperties>
</file>