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2" i="4"/>
  <c r="D150" i="4"/>
  <c r="D149" i="4"/>
  <c r="D144" i="4"/>
  <c r="D143" i="4"/>
  <c r="D132" i="4"/>
  <c r="D126" i="4"/>
  <c r="D122" i="4"/>
  <c r="D117" i="4"/>
  <c r="D116" i="4"/>
  <c r="D114" i="4"/>
  <c r="D103" i="4"/>
  <c r="D102" i="4"/>
  <c r="D100" i="4"/>
  <c r="D98" i="4"/>
  <c r="D94" i="4"/>
  <c r="D92" i="4"/>
  <c r="D91" i="4"/>
  <c r="D89" i="4"/>
  <c r="D70" i="4"/>
  <c r="D69" i="4"/>
  <c r="D59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33" i="4" l="1"/>
  <c r="E154" i="4"/>
  <c r="E146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l="1"/>
  <c r="D34" i="4"/>
</calcChain>
</file>

<file path=xl/sharedStrings.xml><?xml version="1.0" encoding="utf-8"?>
<sst xmlns="http://schemas.openxmlformats.org/spreadsheetml/2006/main" count="392" uniqueCount="268">
  <si>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</si>
  <si>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</si>
  <si>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</si>
  <si>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</si>
  <si>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</si>
  <si>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</si>
  <si>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</si>
  <si>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</si>
  <si>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</si>
  <si>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</si>
  <si>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</si>
  <si>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</si>
  <si>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</si>
  <si>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</si>
  <si>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</si>
  <si>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</si>
  <si>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</si>
  <si>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</si>
  <si>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</si>
  <si>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</si>
  <si>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</si>
  <si>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</si>
  <si>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</si>
  <si>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</si>
  <si>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</si>
  <si>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</si>
  <si>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</si>
  <si>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</si>
  <si>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</si>
  <si>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</si>
  <si>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</si>
  <si>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</si>
  <si>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</si>
  <si>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</si>
  <si>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</si>
  <si>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</si>
  <si>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</si>
  <si>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</si>
  <si>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</si>
  <si>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</si>
  <si>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</si>
  <si>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</si>
  <si>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</si>
  <si>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</si>
  <si>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</si>
  <si>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</si>
  <si>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</si>
  <si>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</si>
  <si>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</si>
  <si>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</si>
  <si>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</si>
  <si>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</si>
  <si>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</si>
  <si>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</si>
  <si>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</si>
  <si>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</si>
  <si>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</si>
  <si>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</si>
  <si>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</si>
  <si>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</si>
  <si>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</si>
  <si>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</si>
  <si>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</si>
  <si>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</si>
  <si>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</si>
  <si>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</si>
  <si>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</si>
  <si>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</si>
  <si>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</si>
  <si>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</si>
  <si>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</si>
  <si>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</si>
  <si>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</si>
  <si>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</si>
  <si>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</si>
  <si>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</si>
  <si>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</si>
  <si>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</si>
  <si>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</si>
  <si>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</si>
  <si>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</si>
  <si>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</si>
  <si>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</si>
  <si>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</si>
  <si>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</si>
  <si>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</si>
  <si>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</si>
  <si>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</si>
  <si>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</si>
  <si>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</si>
  <si>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</si>
  <si>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</si>
  <si>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</si>
  <si>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</si>
  <si>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</si>
  <si>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</si>
  <si>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</si>
  <si>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</si>
  <si>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</si>
  <si>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</si>
  <si>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</si>
  <si>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</si>
  <si>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</si>
  <si>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</si>
  <si>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</si>
  <si>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</si>
  <si>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</si>
  <si>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</si>
  <si>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</si>
  <si>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</si>
  <si>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</si>
  <si>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</si>
  <si>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</si>
  <si>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</si>
  <si>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</si>
  <si>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</si>
  <si>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</si>
  <si>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</si>
  <si>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</si>
  <si>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</si>
  <si>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</si>
  <si>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</si>
  <si>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</si>
  <si>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</si>
  <si>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</si>
  <si>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</si>
  <si>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</si>
  <si>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</si>
  <si>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</si>
  <si>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</si>
  <si>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</si>
  <si>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</si>
  <si>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</si>
  <si>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</si>
  <si>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</si>
  <si>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</si>
  <si>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</si>
  <si>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</si>
  <si>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</si>
  <si>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</si>
  <si>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</si>
  <si>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</si>
  <si>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</si>
  <si>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</si>
  <si>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</si>
  <si>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</si>
  <si>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</si>
  <si>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</si>
  <si>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</si>
  <si>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</si>
  <si>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</si>
  <si>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</si>
  <si>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</si>
  <si>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</si>
  <si>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</si>
  <si>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</si>
  <si>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</si>
  <si>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</si>
  <si>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</si>
  <si>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</si>
  <si>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</si>
  <si>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</si>
  <si>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</si>
  <si>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</si>
  <si>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</si>
  <si>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</si>
  <si>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</si>
  <si>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</si>
  <si>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</si>
  <si>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</si>
  <si>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</si>
  <si>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</si>
  <si>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</si>
  <si>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</si>
  <si>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</si>
  <si>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</si>
  <si>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</si>
  <si>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</si>
  <si>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</si>
  <si>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</si>
  <si>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</si>
  <si>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</si>
  <si>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</si>
  <si>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</si>
  <si>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</si>
  <si>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</si>
  <si>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</si>
  <si>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</si>
  <si>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</si>
  <si>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</si>
  <si>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</si>
  <si>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</si>
  <si>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</si>
  <si>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</si>
  <si>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</si>
  <si>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</si>
  <si>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</si>
  <si>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</si>
  <si>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</si>
  <si>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</si>
  <si>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</si>
  <si>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</si>
  <si>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</si>
  <si>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</si>
  <si>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</si>
  <si>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</si>
  <si>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</si>
  <si>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</si>
  <si>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</si>
  <si>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</si>
  <si>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</si>
  <si>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</si>
  <si>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</si>
  <si>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</si>
  <si>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</si>
  <si>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</si>
  <si>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</si>
  <si>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</si>
  <si>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</si>
  <si>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</si>
  <si>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</si>
  <si>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</si>
  <si>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</si>
  <si>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</si>
  <si>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</si>
  <si>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</si>
  <si>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</si>
  <si>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</si>
  <si>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</si>
  <si>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</si>
  <si>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</si>
  <si>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</si>
  <si>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</si>
  <si>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</si>
  <si>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</si>
  <si>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</si>
  <si>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</si>
  <si>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</si>
  <si>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</si>
  <si>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</si>
  <si>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</si>
  <si>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</si>
  <si>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</si>
  <si>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</si>
  <si>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</si>
  <si>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</si>
  <si>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</si>
  <si>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</si>
  <si>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항 목</t>
    <phoneticPr fontId="2" type="noConversion"/>
  </si>
  <si>
    <t>원/ m2</t>
    <phoneticPr fontId="2" type="noConversion"/>
  </si>
  <si>
    <t>원 /평</t>
    <phoneticPr fontId="2" type="noConversion"/>
  </si>
  <si>
    <t>지붕및홈통공사 포함</t>
    <phoneticPr fontId="2" type="noConversion"/>
  </si>
  <si>
    <t>기초공사, 골재비및운반비, 기타공사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</si>
  <si>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</si>
  <si>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</si>
  <si>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옥외소화배관공사, 펌프실배관공사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</si>
  <si>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</si>
  <si>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</si>
  <si>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충남지방경찰청 직원관사신축공사</t>
    <phoneticPr fontId="2" type="noConversion"/>
  </si>
  <si>
    <t>충청도</t>
  </si>
  <si>
    <t>난방배관공사</t>
    <phoneticPr fontId="2" type="noConversion"/>
  </si>
  <si>
    <t>옥외보안등설비공사</t>
    <phoneticPr fontId="2" type="noConversion"/>
  </si>
  <si>
    <t>상수도공사, 사급자재비,운반비, 기타공사</t>
    <phoneticPr fontId="2" type="noConversion"/>
  </si>
  <si>
    <t>포장공사</t>
    <phoneticPr fontId="2" type="noConversion"/>
  </si>
  <si>
    <t>숙박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</si>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</sst>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265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264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1351.81</v>
      </c>
      <c r="D7" s="36">
        <f>+C7/3.3058</f>
        <v>408.92068485691811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259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202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266</v>
      </c>
    </row>
    <row r="19" spans="1:5" x14ac:dyDescent="0.3">
      <c r="A19" s="2">
        <v>9</v>
      </c>
      <c r="B19" s="2" t="s">
        <v>267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930840</v>
      </c>
      <c r="E25" s="59">
        <f t="shared" si="0"/>
        <v>3077170</v>
      </c>
    </row>
    <row r="26" spans="1:5" x14ac:dyDescent="0.3">
      <c r="B26" s="2">
        <v>3</v>
      </c>
      <c r="C26" s="35" t="s">
        <v>95</v>
      </c>
      <c r="D26" s="45">
        <f>+D66</f>
        <v>6770</v>
      </c>
      <c r="E26" s="59">
        <f t="shared" si="0"/>
        <v>22380</v>
      </c>
    </row>
    <row r="27" spans="1:5" x14ac:dyDescent="0.3">
      <c r="B27" s="2">
        <v>4</v>
      </c>
      <c r="C27" s="35" t="s">
        <v>96</v>
      </c>
      <c r="D27" s="45">
        <f>+D95</f>
        <v>176080</v>
      </c>
      <c r="E27" s="59">
        <f t="shared" si="0"/>
        <v>582080</v>
      </c>
    </row>
    <row r="28" spans="1:5" x14ac:dyDescent="0.3">
      <c r="B28" s="2">
        <v>5</v>
      </c>
      <c r="C28" s="35" t="s">
        <v>97</v>
      </c>
      <c r="D28" s="45">
        <f>+D119</f>
        <v>186580</v>
      </c>
      <c r="E28" s="59">
        <f t="shared" si="0"/>
        <v>616790</v>
      </c>
    </row>
    <row r="29" spans="1:5" x14ac:dyDescent="0.3">
      <c r="B29" s="2">
        <v>6</v>
      </c>
      <c r="C29" s="35" t="s">
        <v>98</v>
      </c>
      <c r="D29" s="45">
        <f>+D133</f>
        <v>48490</v>
      </c>
      <c r="E29" s="59">
        <f t="shared" si="0"/>
        <v>160290</v>
      </c>
    </row>
    <row r="30" spans="1:5" x14ac:dyDescent="0.3">
      <c r="B30" s="2">
        <v>7</v>
      </c>
      <c r="C30" s="35" t="s">
        <v>99</v>
      </c>
      <c r="D30" s="45">
        <f>+D146</f>
        <v>18550</v>
      </c>
      <c r="E30" s="59">
        <f t="shared" si="0"/>
        <v>61320</v>
      </c>
    </row>
    <row r="31" spans="1:5" x14ac:dyDescent="0.3">
      <c r="B31" s="2">
        <v>8</v>
      </c>
      <c r="C31" s="35" t="s">
        <v>100</v>
      </c>
      <c r="D31" s="45">
        <f>+D154</f>
        <v>72230</v>
      </c>
      <c r="E31" s="59">
        <f t="shared" si="0"/>
        <v>238770</v>
      </c>
    </row>
    <row r="32" spans="1:5" x14ac:dyDescent="0.3">
      <c r="B32" s="2">
        <v>9</v>
      </c>
      <c r="C32" s="35" t="s">
        <v>101</v>
      </c>
      <c r="D32" s="45">
        <f>+D161</f>
        <v>17540</v>
      </c>
      <c r="E32" s="59">
        <f t="shared" si="0"/>
        <v>57980</v>
      </c>
    </row>
    <row r="33" spans="1:7" x14ac:dyDescent="0.3">
      <c r="B33" s="2">
        <v>10</v>
      </c>
      <c r="C33" s="35" t="s">
        <v>154</v>
      </c>
      <c r="D33" s="53">
        <f>TRUNC(SUM(D24:D32)*0.275,-1)</f>
        <v>400690</v>
      </c>
      <c r="E33" s="60">
        <f t="shared" si="0"/>
        <v>1324600</v>
      </c>
    </row>
    <row r="34" spans="1:7" x14ac:dyDescent="0.3">
      <c r="C34" s="35" t="s">
        <v>112</v>
      </c>
      <c r="D34" s="44">
        <f>SUM(D24:D33)</f>
        <v>1857770</v>
      </c>
      <c r="E34" s="44">
        <f>SUM(E24:E33)</f>
        <v>6141380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248</v>
      </c>
      <c r="D39" s="57" t="s">
        <v>249</v>
      </c>
      <c r="E39" s="57" t="s">
        <v>250</v>
      </c>
      <c r="G39" s="55"/>
    </row>
    <row r="40" spans="1:7" x14ac:dyDescent="0.3">
      <c r="A40" s="2">
        <v>1</v>
      </c>
      <c r="C40" s="38" t="s">
        <v>15</v>
      </c>
      <c r="D40" s="40">
        <f>TRUNC(47642,-1)</f>
        <v>47640</v>
      </c>
      <c r="E40" s="62">
        <f t="shared" ref="E40:E59" si="1">TRUNC(+D40*3.3058,-1)</f>
        <v>157480</v>
      </c>
    </row>
    <row r="41" spans="1:7" x14ac:dyDescent="0.3">
      <c r="A41" s="2">
        <v>2</v>
      </c>
      <c r="C41" s="38" t="s">
        <v>13</v>
      </c>
      <c r="D41" s="42">
        <f>TRUNC(138539,-1)</f>
        <v>138530</v>
      </c>
      <c r="E41" s="63">
        <f t="shared" si="1"/>
        <v>457950</v>
      </c>
    </row>
    <row r="42" spans="1:7" x14ac:dyDescent="0.3">
      <c r="A42" s="2">
        <v>3</v>
      </c>
      <c r="C42" s="38" t="s">
        <v>14</v>
      </c>
      <c r="D42" s="42">
        <f>TRUNC(496,-1)</f>
        <v>490</v>
      </c>
      <c r="E42" s="63">
        <f t="shared" si="1"/>
        <v>1610</v>
      </c>
    </row>
    <row r="43" spans="1:7" x14ac:dyDescent="0.3">
      <c r="A43" s="2">
        <v>4</v>
      </c>
      <c r="C43" s="38" t="s">
        <v>16</v>
      </c>
      <c r="D43" s="42">
        <f>TRUNC(34813,-1)</f>
        <v>34810</v>
      </c>
      <c r="E43" s="63">
        <f t="shared" si="1"/>
        <v>115070</v>
      </c>
    </row>
    <row r="44" spans="1:7" x14ac:dyDescent="0.3">
      <c r="A44" s="2">
        <v>5</v>
      </c>
      <c r="C44" s="38" t="s">
        <v>17</v>
      </c>
      <c r="D44" s="42">
        <f>TRUNC(16531,-1)</f>
        <v>16530</v>
      </c>
      <c r="E44" s="63">
        <f t="shared" si="1"/>
        <v>54640</v>
      </c>
    </row>
    <row r="45" spans="1:7" x14ac:dyDescent="0.3">
      <c r="A45" s="2">
        <v>6</v>
      </c>
      <c r="C45" s="38" t="s">
        <v>18</v>
      </c>
      <c r="D45" s="42">
        <f>TRUNC(30895,-1)</f>
        <v>30890</v>
      </c>
      <c r="E45" s="63">
        <f t="shared" si="1"/>
        <v>102110</v>
      </c>
    </row>
    <row r="46" spans="1:7" x14ac:dyDescent="0.3">
      <c r="A46" s="2">
        <v>7</v>
      </c>
      <c r="C46" s="38" t="s">
        <v>19</v>
      </c>
      <c r="D46" s="42">
        <f>TRUNC(49209,-1)</f>
        <v>49200</v>
      </c>
      <c r="E46" s="63">
        <f t="shared" si="1"/>
        <v>162640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TRUNC(48517,-1)</f>
        <v>48510</v>
      </c>
      <c r="E48" s="63">
        <f t="shared" si="1"/>
        <v>160360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TRUNC(29021,-1)</f>
        <v>29020</v>
      </c>
      <c r="E49" s="63">
        <f t="shared" si="1"/>
        <v>95930</v>
      </c>
    </row>
    <row r="50" spans="1:7" x14ac:dyDescent="0.3">
      <c r="A50" s="2">
        <v>11</v>
      </c>
      <c r="C50" s="38" t="s">
        <v>155</v>
      </c>
      <c r="D50" s="42">
        <f>TRUNC(55457,-1)</f>
        <v>55450</v>
      </c>
      <c r="E50" s="63">
        <f t="shared" si="1"/>
        <v>183300</v>
      </c>
      <c r="F50" s="2" t="s">
        <v>256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TRUNC(5252,-1)</f>
        <v>5250</v>
      </c>
      <c r="E52" s="63">
        <f t="shared" si="1"/>
        <v>17350</v>
      </c>
    </row>
    <row r="53" spans="1:7" x14ac:dyDescent="0.3">
      <c r="A53" s="2">
        <v>14</v>
      </c>
      <c r="C53" s="38" t="s">
        <v>25</v>
      </c>
      <c r="D53" s="42">
        <f>TRUNC(73046,-1)</f>
        <v>73040</v>
      </c>
      <c r="E53" s="63">
        <f t="shared" si="1"/>
        <v>241450</v>
      </c>
      <c r="F53" s="2" t="s">
        <v>257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TRUNC(30+3382+47886,-1)</f>
        <v>51290</v>
      </c>
      <c r="E58" s="63">
        <f t="shared" si="1"/>
        <v>169550</v>
      </c>
      <c r="F58" s="2" t="s">
        <v>252</v>
      </c>
    </row>
    <row r="59" spans="1:7" ht="17.25" thickBot="1" x14ac:dyDescent="0.35">
      <c r="A59" s="2">
        <v>20</v>
      </c>
      <c r="C59" s="38" t="s">
        <v>148</v>
      </c>
      <c r="D59" s="43">
        <f>TRUNC(350197,-1)</f>
        <v>350190</v>
      </c>
      <c r="E59" s="64">
        <f t="shared" si="1"/>
        <v>1157650</v>
      </c>
    </row>
    <row r="60" spans="1:7" x14ac:dyDescent="0.3">
      <c r="A60" s="2">
        <v>21</v>
      </c>
      <c r="C60" s="27" t="s">
        <v>112</v>
      </c>
      <c r="D60" s="39">
        <f>SUM(D40:D59)</f>
        <v>930840</v>
      </c>
      <c r="E60" s="39">
        <f>SUM(E40:E59)</f>
        <v>3077090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v>6770</v>
      </c>
      <c r="E63" s="62">
        <f>TRUNC(+D63*3.3058,-1)</f>
        <v>22380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6770</v>
      </c>
      <c r="E66" s="65">
        <f>SUM(E63:E65)</f>
        <v>22380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TRUNC(13424,-1)</f>
        <v>13420</v>
      </c>
      <c r="E69" s="62">
        <f t="shared" ref="E69:E94" si="2">TRUNC(+D69*3.3058,-1)</f>
        <v>44360</v>
      </c>
    </row>
    <row r="70" spans="1:7" ht="16.5" customHeight="1" x14ac:dyDescent="0.3">
      <c r="A70" s="2">
        <v>2</v>
      </c>
      <c r="C70" s="38" t="s">
        <v>31</v>
      </c>
      <c r="D70" s="42">
        <f>TRUNC(3488,-1)</f>
        <v>3480</v>
      </c>
      <c r="E70" s="63">
        <f t="shared" si="2"/>
        <v>11500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v>38100</v>
      </c>
      <c r="E72" s="63">
        <f t="shared" si="2"/>
        <v>125950</v>
      </c>
    </row>
    <row r="73" spans="1:7" x14ac:dyDescent="0.3">
      <c r="A73" s="2">
        <v>5</v>
      </c>
      <c r="C73" s="38" t="s">
        <v>34</v>
      </c>
      <c r="D73" s="42">
        <v>39200</v>
      </c>
      <c r="E73" s="63">
        <f t="shared" si="2"/>
        <v>129580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TRUNC(28743,-1)</f>
        <v>28740</v>
      </c>
      <c r="E89" s="63">
        <f t="shared" si="2"/>
        <v>95000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TRUNC(12712,-1)</f>
        <v>12710</v>
      </c>
      <c r="E91" s="63">
        <f t="shared" si="2"/>
        <v>42010</v>
      </c>
    </row>
    <row r="92" spans="1:7" x14ac:dyDescent="0.3">
      <c r="A92" s="2">
        <v>24</v>
      </c>
      <c r="C92" s="38" t="s">
        <v>38</v>
      </c>
      <c r="D92" s="42">
        <f>TRUNC(17656,-1)</f>
        <v>17650</v>
      </c>
      <c r="E92" s="63">
        <f t="shared" si="2"/>
        <v>58340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TRUNC(22782,-1)</f>
        <v>22780</v>
      </c>
      <c r="E94" s="64">
        <f t="shared" si="2"/>
        <v>75300</v>
      </c>
      <c r="F94" s="2" t="s">
        <v>260</v>
      </c>
    </row>
    <row r="95" spans="1:7" x14ac:dyDescent="0.3">
      <c r="A95" s="2">
        <v>27</v>
      </c>
      <c r="C95" s="27" t="s">
        <v>112</v>
      </c>
      <c r="D95" s="39">
        <f>SUM(D69:D94)</f>
        <v>176080</v>
      </c>
      <c r="E95" s="39">
        <f>SUM(E69:E94)</f>
        <v>582040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TRUNC(26534,-1)</f>
        <v>26530</v>
      </c>
      <c r="E98" s="62">
        <f t="shared" ref="E98:E118" si="3">TRUNC(+D98*3.3058,-1)</f>
        <v>87700</v>
      </c>
    </row>
    <row r="99" spans="1:7" x14ac:dyDescent="0.3">
      <c r="A99" s="2">
        <v>2</v>
      </c>
      <c r="C99" s="38" t="s">
        <v>40</v>
      </c>
      <c r="D99" s="42">
        <v>0</v>
      </c>
      <c r="E99" s="63">
        <f t="shared" si="3"/>
        <v>0</v>
      </c>
    </row>
    <row r="100" spans="1:7" x14ac:dyDescent="0.3">
      <c r="A100" s="2">
        <v>3</v>
      </c>
      <c r="C100" s="38" t="s">
        <v>41</v>
      </c>
      <c r="D100" s="42">
        <f>TRUNC(15039,-1)</f>
        <v>15030</v>
      </c>
      <c r="E100" s="63">
        <f t="shared" si="3"/>
        <v>49680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TRUNC(4299,-1)</f>
        <v>4290</v>
      </c>
      <c r="E102" s="63">
        <f t="shared" si="3"/>
        <v>14180</v>
      </c>
    </row>
    <row r="103" spans="1:7" x14ac:dyDescent="0.3">
      <c r="A103" s="2">
        <v>6</v>
      </c>
      <c r="C103" s="38" t="s">
        <v>44</v>
      </c>
      <c r="D103" s="42">
        <f>TRUNC(7668,-1)</f>
        <v>7660</v>
      </c>
      <c r="E103" s="63">
        <f t="shared" si="3"/>
        <v>25320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3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TRUNC(6255,-1)</f>
        <v>6250</v>
      </c>
      <c r="E114" s="63">
        <f t="shared" si="3"/>
        <v>20660</v>
      </c>
      <c r="F114" s="2" t="s">
        <v>261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TRUNC(9342,-1)</f>
        <v>9340</v>
      </c>
      <c r="E116" s="63">
        <f t="shared" si="3"/>
        <v>30870</v>
      </c>
      <c r="F116" s="2" t="s">
        <v>253</v>
      </c>
    </row>
    <row r="117" spans="1:7" x14ac:dyDescent="0.3">
      <c r="A117" s="2">
        <v>20</v>
      </c>
      <c r="C117" s="38" t="s">
        <v>148</v>
      </c>
      <c r="D117" s="42">
        <f>TRUNC(75162,-1)</f>
        <v>75160</v>
      </c>
      <c r="E117" s="63">
        <f t="shared" si="3"/>
        <v>248460</v>
      </c>
    </row>
    <row r="118" spans="1:7" ht="17.25" thickBot="1" x14ac:dyDescent="0.35">
      <c r="A118" s="2">
        <v>21</v>
      </c>
      <c r="C118" s="38" t="s">
        <v>47</v>
      </c>
      <c r="D118" s="43">
        <v>42320</v>
      </c>
      <c r="E118" s="64">
        <f t="shared" si="3"/>
        <v>139900</v>
      </c>
    </row>
    <row r="119" spans="1:7" x14ac:dyDescent="0.3">
      <c r="A119" s="2">
        <v>22</v>
      </c>
      <c r="C119" s="27" t="s">
        <v>112</v>
      </c>
      <c r="D119" s="39">
        <f>SUM(D98:D118)</f>
        <v>186580</v>
      </c>
      <c r="E119" s="39">
        <f>SUM(E98:E118)</f>
        <v>616770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TRUNC(9096,-1)</f>
        <v>9090</v>
      </c>
      <c r="E122" s="62">
        <f t="shared" ref="E122:E132" si="4">TRUNC(+D122*3.3058,-1)</f>
        <v>30040</v>
      </c>
      <c r="F122" s="2" t="s">
        <v>254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v>0</v>
      </c>
      <c r="E125" s="63">
        <f t="shared" si="4"/>
        <v>0</v>
      </c>
    </row>
    <row r="126" spans="1:7" x14ac:dyDescent="0.3">
      <c r="A126" s="2">
        <v>5</v>
      </c>
      <c r="C126" s="38" t="s">
        <v>53</v>
      </c>
      <c r="D126" s="42">
        <f>TRUNC(6708,-1)</f>
        <v>6700</v>
      </c>
      <c r="E126" s="63">
        <f t="shared" si="4"/>
        <v>22140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18660</v>
      </c>
      <c r="E130" s="63">
        <f t="shared" si="4"/>
        <v>61680</v>
      </c>
    </row>
    <row r="131" spans="1:7" x14ac:dyDescent="0.3">
      <c r="A131" s="2">
        <v>10</v>
      </c>
      <c r="C131" s="38" t="s">
        <v>148</v>
      </c>
      <c r="D131" s="42">
        <v>0</v>
      </c>
      <c r="E131" s="63">
        <f t="shared" si="4"/>
        <v>0</v>
      </c>
    </row>
    <row r="132" spans="1:7" ht="18" thickBot="1" x14ac:dyDescent="0.35">
      <c r="A132" s="2">
        <v>11</v>
      </c>
      <c r="C132" s="38" t="s">
        <v>47</v>
      </c>
      <c r="D132" s="43">
        <f>TRUNC(14044,-1)</f>
        <v>14040</v>
      </c>
      <c r="E132" s="64">
        <f t="shared" si="4"/>
        <v>46410</v>
      </c>
      <c r="F132" s="54"/>
    </row>
    <row r="133" spans="1:7" x14ac:dyDescent="0.3">
      <c r="A133" s="2">
        <v>12</v>
      </c>
      <c r="C133" s="27" t="s">
        <v>112</v>
      </c>
      <c r="D133" s="39">
        <f>SUM(D122:D132)</f>
        <v>48490</v>
      </c>
      <c r="E133" s="39">
        <f>SUM(E122:E132)</f>
        <v>160270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v>0</v>
      </c>
      <c r="E137" s="63">
        <f t="shared" si="5"/>
        <v>0</v>
      </c>
      <c r="F137" s="2" t="s">
        <v>255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f>TRUNC(2918,-1)</f>
        <v>2910</v>
      </c>
      <c r="E143" s="63">
        <f t="shared" si="5"/>
        <v>9610</v>
      </c>
    </row>
    <row r="144" spans="1:7" x14ac:dyDescent="0.3">
      <c r="A144" s="2">
        <v>9</v>
      </c>
      <c r="C144" s="38" t="s">
        <v>63</v>
      </c>
      <c r="D144" s="42">
        <f>TRUNC(15649,-1)</f>
        <v>15640</v>
      </c>
      <c r="E144" s="63">
        <f t="shared" si="5"/>
        <v>51700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18550</v>
      </c>
      <c r="E146" s="39">
        <f>SUM(E136:E145)</f>
        <v>61310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TRUNC(18130+7727,-1)</f>
        <v>25850</v>
      </c>
      <c r="E149" s="62">
        <f>TRUNC(+D149*3.3058,-1)</f>
        <v>85450</v>
      </c>
    </row>
    <row r="150" spans="1:7" x14ac:dyDescent="0.3">
      <c r="A150" s="2">
        <v>2</v>
      </c>
      <c r="C150" s="38" t="s">
        <v>49</v>
      </c>
      <c r="D150" s="42">
        <f>TRUNC(14173,-1)</f>
        <v>14170</v>
      </c>
      <c r="E150" s="63">
        <f>TRUNC(+D150*3.3058,-1)</f>
        <v>46840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TRUNC(2662+22392+4596+2565,-1)</f>
        <v>32210</v>
      </c>
      <c r="E152" s="63">
        <f>TRUNC(+D152*3.3058,-1)</f>
        <v>106470</v>
      </c>
      <c r="F152" s="2" t="s">
        <v>262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72230</v>
      </c>
      <c r="E154" s="39">
        <f>SUM(E149:E153)</f>
        <v>238760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TRUNC(10052,-1)</f>
        <v>10050</v>
      </c>
      <c r="E157" s="62">
        <f>TRUNC(+D157*3.3058,-1)</f>
        <v>33220</v>
      </c>
    </row>
    <row r="158" spans="1:7" x14ac:dyDescent="0.3">
      <c r="A158" s="2">
        <v>2</v>
      </c>
      <c r="C158" s="38" t="s">
        <v>52</v>
      </c>
      <c r="D158" s="42">
        <f>TRUNC(1126,-1)</f>
        <v>1120</v>
      </c>
      <c r="E158" s="63">
        <f>TRUNC(+D158*3.3058,-1)</f>
        <v>3700</v>
      </c>
    </row>
    <row r="159" spans="1:7" x14ac:dyDescent="0.3">
      <c r="A159" s="2">
        <v>3</v>
      </c>
      <c r="C159" s="38" t="s">
        <v>47</v>
      </c>
      <c r="D159" s="42">
        <f>TRUNC(6371,-1)</f>
        <v>6370</v>
      </c>
      <c r="E159" s="63">
        <f>TRUNC(+D159*3.3058,-1)</f>
        <v>21050</v>
      </c>
      <c r="F159" s="2" t="s">
        <v>263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17540</v>
      </c>
      <c r="E161" s="39">
        <f>SUM(E157:E160)</f>
        <v>57970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2020-12-07T10:20:17Z</dcterms:modified>
</cp:coreProperties>
</file>