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8" i="4" l="1"/>
  <c r="D53" i="4"/>
  <c r="D52" i="4"/>
  <c r="D51" i="4"/>
  <c r="D50" i="4"/>
  <c r="D49" i="4"/>
  <c r="D48" i="4"/>
  <c r="D55" i="4"/>
  <c r="D44" i="4"/>
  <c r="D46" i="4"/>
  <c r="D47" i="4"/>
  <c r="D43" i="4"/>
  <c r="D42" i="4"/>
  <c r="D41" i="4"/>
  <c r="D40" i="4"/>
  <c r="D37" i="4"/>
  <c r="D59" i="4"/>
  <c r="D63" i="4"/>
  <c r="D65" i="4"/>
  <c r="D152" i="4"/>
  <c r="D150" i="4"/>
  <c r="D149" i="4"/>
  <c r="D159" i="4"/>
  <c r="D158" i="4"/>
  <c r="D157" i="4"/>
  <c r="D84" i="4"/>
  <c r="D75" i="4"/>
  <c r="D90" i="4"/>
  <c r="D77" i="4"/>
  <c r="D72" i="4"/>
  <c r="D136" i="4"/>
  <c r="D94" i="4"/>
  <c r="D78" i="4"/>
  <c r="D71" i="4"/>
  <c r="D69" i="4"/>
  <c r="D118" i="4"/>
  <c r="D105" i="4"/>
  <c r="D104" i="4"/>
  <c r="D102" i="4"/>
  <c r="D101" i="4"/>
  <c r="D100" i="4"/>
  <c r="D99" i="4"/>
  <c r="D98" i="4"/>
  <c r="D115" i="4"/>
  <c r="D137" i="4"/>
  <c r="D143" i="4"/>
  <c r="D144" i="4"/>
  <c r="D124" i="4"/>
  <c r="D128" i="4"/>
  <c r="D132" i="4"/>
  <c r="D127" i="4"/>
  <c r="D125" i="4"/>
  <c r="D122" i="4"/>
  <c r="D13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0" i="4" l="1"/>
  <c r="E66" i="4"/>
  <c r="E154" i="4"/>
  <c r="E95" i="4"/>
  <c r="E119" i="4"/>
  <c r="E146" i="4"/>
  <c r="E133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8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<sst xmlns="http://schemas.openxmlformats.org/spreadsheetml/2006/main" count="398" uniqueCount="272">
  <si>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</si>
  <si>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</si>
  <si>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</si>
  <si>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</si>
  <si>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</si>
  <si>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</si>
  <si>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</si>
  <si>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</si>
  <si>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</si>
  <si>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</si>
  <si>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</si>
  <si>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</si>
  <si>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</si>
  <si>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</si>
  <si>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</si>
  <si>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</si>
  <si>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</si>
  <si>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</si>
  <si>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</si>
  <si>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</si>
  <si>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</si>
  <si>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</si>
  <si>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</si>
  <si>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</si>
  <si>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</si>
  <si>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</si>
  <si>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</si>
  <si>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</si>
  <si>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</si>
  <si>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</si>
  <si>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</si>
  <si>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</si>
  <si>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</si>
  <si>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</si>
  <si>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</si>
  <si>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</si>
  <si>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</si>
  <si>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</si>
  <si>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</si>
  <si>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</si>
  <si>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</si>
  <si>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</si>
  <si>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</si>
  <si>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</si>
  <si>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</si>
  <si>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</si>
  <si>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</si>
  <si>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</si>
  <si>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</si>
  <si>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</si>
  <si>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</si>
  <si>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</si>
  <si>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</si>
  <si>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</si>
  <si>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</si>
  <si>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</si>
  <si>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</si>
  <si>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</si>
  <si>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</si>
  <si>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</si>
  <si>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</si>
  <si>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</si>
  <si>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</si>
  <si>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</si>
  <si>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</si>
  <si>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</si>
  <si>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</si>
  <si>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</si>
  <si>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</si>
  <si>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</si>
  <si>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</si>
  <si>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</si>
  <si>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</si>
  <si>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</si>
  <si>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</si>
  <si>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</si>
  <si>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</si>
  <si>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</si>
  <si>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</si>
  <si>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</si>
  <si>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</si>
  <si>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</si>
  <si>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</si>
  <si>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</si>
  <si>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</si>
  <si>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</si>
  <si>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</si>
  <si>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</si>
  <si>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</si>
  <si>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</si>
  <si>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</si>
  <si>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</si>
  <si>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</si>
  <si>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</si>
  <si>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</si>
  <si>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</si>
  <si>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</si>
  <si>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</si>
  <si>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</si>
  <si>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</si>
  <si>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</si>
  <si>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</si>
  <si>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</si>
  <si>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</si>
  <si>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</si>
  <si>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</si>
  <si>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</si>
  <si>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</si>
  <si>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</si>
  <si>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</si>
  <si>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</si>
  <si>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</si>
  <si>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</si>
  <si>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</si>
  <si>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</si>
  <si>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</si>
  <si>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</si>
  <si>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</si>
  <si>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</si>
  <si>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</si>
  <si>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</si>
  <si>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</si>
  <si>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</si>
  <si>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</si>
  <si>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</si>
  <si>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</si>
  <si>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</si>
  <si>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</si>
  <si>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</si>
  <si>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</si>
  <si>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</si>
  <si>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</si>
  <si>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</si>
  <si>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</si>
  <si>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</si>
  <si>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</si>
  <si>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</si>
  <si>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</si>
  <si>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</si>
  <si>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</si>
  <si>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</si>
  <si>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</si>
  <si>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</si>
  <si>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</si>
  <si>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</si>
  <si>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</si>
  <si>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</si>
  <si>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</si>
  <si>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</si>
  <si>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</si>
  <si>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</si>
  <si>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</si>
  <si>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</si>
  <si>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</si>
  <si>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</si>
  <si>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</si>
  <si>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</si>
  <si>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</si>
  <si>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</si>
  <si>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</si>
  <si>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</si>
  <si>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</si>
  <si>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</si>
  <si>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</si>
  <si>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</si>
  <si>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</si>
  <si>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</si>
  <si>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</si>
  <si>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</si>
  <si>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</si>
  <si>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</si>
  <si>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</si>
  <si>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</si>
  <si>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</si>
  <si>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</si>
  <si>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</si>
  <si>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</si>
  <si>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</si>
  <si>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</si>
  <si>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</si>
  <si>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</si>
  <si>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</si>
  <si>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</si>
  <si>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</si>
  <si>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</si>
  <si>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</si>
  <si>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</si>
  <si>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</si>
  <si>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</si>
  <si>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</si>
  <si>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</si>
  <si>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</si>
  <si>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</si>
  <si>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</si>
  <si>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</si>
  <si>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</si>
  <si>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</si>
  <si>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</si>
  <si>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</si>
  <si>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</si>
  <si>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</si>
  <si>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</si>
  <si>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</si>
  <si>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</si>
  <si>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</si>
  <si>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</si>
  <si>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</si>
  <si>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</si>
  <si>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</si>
  <si>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</si>
  <si>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</si>
  <si>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</si>
  <si>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</si>
  <si>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</si>
  <si>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</si>
  <si>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</si>
  <si>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</si>
  <si>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</si>
  <si>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</si>
  <si>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</si>
  <si>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</si>
  <si>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</si>
  <si>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</si>
  <si>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</si>
  <si>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</si>
  <si>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</si>
  <si>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</si>
  <si>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</si>
  <si>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</si>
  <si>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</si>
  <si>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</si>
  <si>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</si>
  <si>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</si>
  <si>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</si>
  <si>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</si>
  <si>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</si>
  <si>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</si>
  <si>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</si>
  <si>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</si>
  <si>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</si>
  <si>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</si>
  <si>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</si>
  <si>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</si>
  <si>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</si>
  <si>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</si>
  <si>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</si>
  <si>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</si>
  <si>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</si>
  <si>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00문화예술회관 신축공사</t>
  </si>
  <si>
    <t>문화및집회</t>
  </si>
  <si>
    <t>서울</t>
  </si>
  <si>
    <t>CCTV설비공사,주차관제설비공사</t>
    <phoneticPr fontId="2" type="noConversion"/>
  </si>
  <si>
    <t>무대전자음향및A/V설비</t>
  </si>
  <si>
    <t>전기 자탐설비공사</t>
    <phoneticPr fontId="2" type="noConversion"/>
  </si>
  <si>
    <t>전기 유도등설비공사</t>
    <phoneticPr fontId="2" type="noConversion"/>
  </si>
  <si>
    <t>전기 무선통신보조설비공사</t>
    <phoneticPr fontId="2" type="noConversion"/>
  </si>
  <si>
    <t>전등설비공사,인테리어전등공사</t>
    <phoneticPr fontId="2" type="noConversion"/>
  </si>
  <si>
    <t>경관조명공사</t>
    <phoneticPr fontId="2" type="noConversion"/>
  </si>
  <si>
    <t>접지설비공사</t>
    <phoneticPr fontId="2" type="noConversion"/>
  </si>
  <si>
    <t>자동제어공사,SNOW MELTING공사,태양광설비공사</t>
    <phoneticPr fontId="2" type="noConversion"/>
  </si>
  <si>
    <t>공조배관공사,위생배관공사</t>
    <phoneticPr fontId="2" type="noConversion"/>
  </si>
  <si>
    <t>기계 소화설비공사</t>
    <phoneticPr fontId="2" type="noConversion"/>
  </si>
  <si>
    <t>냉난방(EHP,환기)공사</t>
  </si>
  <si>
    <t>조경포장공사,우배수공사</t>
    <phoneticPr fontId="2" type="noConversion"/>
  </si>
  <si>
    <t>우수공사,오수공사</t>
  </si>
  <si>
    <t>상수공사,옹벽공사,철거공사</t>
    <phoneticPr fontId="2" type="noConversion"/>
  </si>
  <si>
    <t>타일 및 석공사</t>
  </si>
  <si>
    <t>기타공사,골재비,운반비,작업부산물</t>
    <phoneticPr fontId="2" type="noConversion"/>
  </si>
  <si>
    <t>건축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</si>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</sst>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269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18065</v>
      </c>
      <c r="D7" s="36">
        <f>+C7/3.3058</f>
        <v>5464.6379091294084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270</v>
      </c>
    </row>
    <row r="19" spans="1:5" x14ac:dyDescent="0.3">
      <c r="A19" s="2">
        <v>9</v>
      </c>
      <c r="B19" s="2" t="s">
        <v>271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14670</v>
      </c>
      <c r="E24" s="58">
        <f t="shared" ref="E24:E33" si="0">TRUNC(+D24*3.3058,-1)</f>
        <v>48490</v>
      </c>
    </row>
    <row r="25" spans="1:5" x14ac:dyDescent="0.3">
      <c r="B25" s="2">
        <v>2</v>
      </c>
      <c r="C25" s="35" t="s">
        <v>111</v>
      </c>
      <c r="D25" s="45">
        <f>+D60</f>
        <v>907750</v>
      </c>
      <c r="E25" s="59">
        <f t="shared" si="0"/>
        <v>3000830</v>
      </c>
    </row>
    <row r="26" spans="1:5" x14ac:dyDescent="0.3">
      <c r="B26" s="2">
        <v>3</v>
      </c>
      <c r="C26" s="35" t="s">
        <v>95</v>
      </c>
      <c r="D26" s="45">
        <f>+D66</f>
        <v>107130</v>
      </c>
      <c r="E26" s="59">
        <f t="shared" si="0"/>
        <v>354150</v>
      </c>
    </row>
    <row r="27" spans="1:5" x14ac:dyDescent="0.3">
      <c r="B27" s="2">
        <v>4</v>
      </c>
      <c r="C27" s="35" t="s">
        <v>96</v>
      </c>
      <c r="D27" s="45">
        <f>+D95</f>
        <v>135340</v>
      </c>
      <c r="E27" s="59">
        <f t="shared" si="0"/>
        <v>447400</v>
      </c>
    </row>
    <row r="28" spans="1:5" x14ac:dyDescent="0.3">
      <c r="B28" s="2">
        <v>5</v>
      </c>
      <c r="C28" s="35" t="s">
        <v>97</v>
      </c>
      <c r="D28" s="45">
        <f>+D119</f>
        <v>56120</v>
      </c>
      <c r="E28" s="59">
        <f t="shared" si="0"/>
        <v>185520</v>
      </c>
    </row>
    <row r="29" spans="1:5" x14ac:dyDescent="0.3">
      <c r="B29" s="2">
        <v>6</v>
      </c>
      <c r="C29" s="35" t="s">
        <v>98</v>
      </c>
      <c r="D29" s="45">
        <f>+D133</f>
        <v>22440</v>
      </c>
      <c r="E29" s="59">
        <f t="shared" si="0"/>
        <v>74180</v>
      </c>
    </row>
    <row r="30" spans="1:5" x14ac:dyDescent="0.3">
      <c r="B30" s="2">
        <v>7</v>
      </c>
      <c r="C30" s="35" t="s">
        <v>99</v>
      </c>
      <c r="D30" s="45">
        <f>+D146</f>
        <v>51060</v>
      </c>
      <c r="E30" s="59">
        <f t="shared" si="0"/>
        <v>168790</v>
      </c>
    </row>
    <row r="31" spans="1:5" x14ac:dyDescent="0.3">
      <c r="B31" s="2">
        <v>8</v>
      </c>
      <c r="C31" s="35" t="s">
        <v>100</v>
      </c>
      <c r="D31" s="45">
        <f>+D154</f>
        <v>15070</v>
      </c>
      <c r="E31" s="59">
        <f t="shared" si="0"/>
        <v>49810</v>
      </c>
    </row>
    <row r="32" spans="1:5" x14ac:dyDescent="0.3">
      <c r="B32" s="2">
        <v>9</v>
      </c>
      <c r="C32" s="35" t="s">
        <v>101</v>
      </c>
      <c r="D32" s="45">
        <f>+D161</f>
        <v>97320</v>
      </c>
      <c r="E32" s="59">
        <f t="shared" si="0"/>
        <v>321720</v>
      </c>
    </row>
    <row r="33" spans="1:7" x14ac:dyDescent="0.3">
      <c r="B33" s="2">
        <v>10</v>
      </c>
      <c r="C33" s="35" t="s">
        <v>154</v>
      </c>
      <c r="D33" s="53">
        <f>TRUNC(SUM(D24:D32)*0.275,-1)</f>
        <v>386890</v>
      </c>
      <c r="E33" s="60">
        <f t="shared" si="0"/>
        <v>1278980</v>
      </c>
    </row>
    <row r="34" spans="1:7" x14ac:dyDescent="0.3">
      <c r="C34" s="35" t="s">
        <v>112</v>
      </c>
      <c r="D34" s="44">
        <f>SUM(D24:D33)</f>
        <v>1793790</v>
      </c>
      <c r="E34" s="44">
        <f>SUM(E24:E33)</f>
        <v>5929870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TRUNC(14670.4218654857,-1)</f>
        <v>14670</v>
      </c>
      <c r="E37" s="61">
        <f>TRUNC(+D37*3.3058,-1)</f>
        <v>48490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268</v>
      </c>
      <c r="C39" s="56" t="s">
        <v>113</v>
      </c>
      <c r="D39" s="57" t="s">
        <v>235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TRUNC(32619.4579020205,-1)</f>
        <v>32610</v>
      </c>
      <c r="E40" s="62">
        <f t="shared" ref="E40:E59" si="1">TRUNC(+D40*3.3058,-1)</f>
        <v>107800</v>
      </c>
    </row>
    <row r="41" spans="1:7" x14ac:dyDescent="0.3">
      <c r="A41" s="2">
        <v>2</v>
      </c>
      <c r="C41" s="38" t="s">
        <v>13</v>
      </c>
      <c r="D41" s="42">
        <f>TRUNC(137469.104954332,-1)</f>
        <v>137460</v>
      </c>
      <c r="E41" s="63">
        <f t="shared" si="1"/>
        <v>454410</v>
      </c>
    </row>
    <row r="42" spans="1:7" x14ac:dyDescent="0.3">
      <c r="A42" s="2">
        <v>3</v>
      </c>
      <c r="C42" s="38" t="s">
        <v>14</v>
      </c>
      <c r="D42" s="42">
        <f>TRUNC(149491.639302519,-1)</f>
        <v>149490</v>
      </c>
      <c r="E42" s="63">
        <f t="shared" si="1"/>
        <v>494180</v>
      </c>
    </row>
    <row r="43" spans="1:7" x14ac:dyDescent="0.3">
      <c r="A43" s="2">
        <v>4</v>
      </c>
      <c r="C43" s="38" t="s">
        <v>16</v>
      </c>
      <c r="D43" s="42">
        <f>TRUNC(23292.0378632715,-1)</f>
        <v>23290</v>
      </c>
      <c r="E43" s="63">
        <f t="shared" si="1"/>
        <v>76990</v>
      </c>
    </row>
    <row r="44" spans="1:7" x14ac:dyDescent="0.3">
      <c r="A44" s="2">
        <v>5</v>
      </c>
      <c r="C44" s="38" t="s">
        <v>17</v>
      </c>
      <c r="D44" s="42">
        <f>TRUNC(50113.4151674509,-1)</f>
        <v>50110</v>
      </c>
      <c r="E44" s="63">
        <f t="shared" si="1"/>
        <v>165650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f>TRUNC(4236.78372543593,-1)</f>
        <v>4230</v>
      </c>
      <c r="E46" s="63">
        <f t="shared" si="1"/>
        <v>13980</v>
      </c>
      <c r="F46" s="2" t="s">
        <v>266</v>
      </c>
    </row>
    <row r="47" spans="1:7" x14ac:dyDescent="0.3">
      <c r="A47" s="2">
        <v>8</v>
      </c>
      <c r="C47" s="38" t="s">
        <v>20</v>
      </c>
      <c r="D47" s="42">
        <f>TRUNC(26284.6911707722,-1)</f>
        <v>26280</v>
      </c>
      <c r="E47" s="63">
        <f t="shared" si="1"/>
        <v>86870</v>
      </c>
    </row>
    <row r="48" spans="1:7" x14ac:dyDescent="0.3">
      <c r="A48" s="2">
        <v>9</v>
      </c>
      <c r="C48" s="38" t="s">
        <v>21</v>
      </c>
      <c r="D48" s="42">
        <f>TRUNC(21347.5070578467,-1)</f>
        <v>21340</v>
      </c>
      <c r="E48" s="63">
        <f t="shared" si="1"/>
        <v>70540</v>
      </c>
    </row>
    <row r="49" spans="1:7" x14ac:dyDescent="0.3">
      <c r="A49" s="2">
        <v>10</v>
      </c>
      <c r="C49" s="38" t="s">
        <v>22</v>
      </c>
      <c r="D49" s="42">
        <f>TRUNC(11494.7169665098,-1)</f>
        <v>11490</v>
      </c>
      <c r="E49" s="63">
        <f t="shared" si="1"/>
        <v>37980</v>
      </c>
    </row>
    <row r="50" spans="1:7" x14ac:dyDescent="0.3">
      <c r="A50" s="2">
        <v>11</v>
      </c>
      <c r="C50" s="38" t="s">
        <v>155</v>
      </c>
      <c r="D50" s="42">
        <f>TRUNC(33691.4255189593,-1)</f>
        <v>33690</v>
      </c>
      <c r="E50" s="63">
        <f t="shared" si="1"/>
        <v>111370</v>
      </c>
    </row>
    <row r="51" spans="1:7" x14ac:dyDescent="0.3">
      <c r="A51" s="2">
        <v>12</v>
      </c>
      <c r="C51" s="38" t="s">
        <v>23</v>
      </c>
      <c r="D51" s="42">
        <f>TRUNC(7230.91115416551,-1)</f>
        <v>7230</v>
      </c>
      <c r="E51" s="63">
        <f t="shared" si="1"/>
        <v>23900</v>
      </c>
    </row>
    <row r="52" spans="1:7" x14ac:dyDescent="0.3">
      <c r="A52" s="2">
        <v>13</v>
      </c>
      <c r="C52" s="38" t="s">
        <v>24</v>
      </c>
      <c r="D52" s="42">
        <f>TRUNC(12253.7117630778,-1)</f>
        <v>12250</v>
      </c>
      <c r="E52" s="63">
        <f t="shared" si="1"/>
        <v>40490</v>
      </c>
    </row>
    <row r="53" spans="1:7" x14ac:dyDescent="0.3">
      <c r="A53" s="2">
        <v>14</v>
      </c>
      <c r="C53" s="38" t="s">
        <v>25</v>
      </c>
      <c r="D53" s="42">
        <f>TRUNC(35707.9871574869,-1)</f>
        <v>35700</v>
      </c>
      <c r="E53" s="63">
        <f t="shared" si="1"/>
        <v>118010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TRUNC(85119.9845557708,-1)</f>
        <v>85110</v>
      </c>
      <c r="E55" s="63">
        <f t="shared" si="1"/>
        <v>281350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TRUNC(7801.1357320786+3727.15416551342+3358.6656518129-1561.92637697205,-1)</f>
        <v>13320</v>
      </c>
      <c r="E58" s="63">
        <f t="shared" si="1"/>
        <v>44030</v>
      </c>
      <c r="F58" s="2" t="s">
        <v>267</v>
      </c>
    </row>
    <row r="59" spans="1:7" ht="17.25" thickBot="1" x14ac:dyDescent="0.35">
      <c r="A59" s="2">
        <v>20</v>
      </c>
      <c r="C59" s="38" t="s">
        <v>148</v>
      </c>
      <c r="D59" s="43">
        <f>TRUNC(191065.541101578+73089.1226127872,-1)</f>
        <v>264150</v>
      </c>
      <c r="E59" s="64">
        <f t="shared" si="1"/>
        <v>873220</v>
      </c>
    </row>
    <row r="60" spans="1:7" x14ac:dyDescent="0.3">
      <c r="A60" s="2">
        <v>21</v>
      </c>
      <c r="C60" s="27" t="s">
        <v>112</v>
      </c>
      <c r="D60" s="39">
        <f>SUM(D40:D59)</f>
        <v>907750</v>
      </c>
      <c r="E60" s="39">
        <f>SUM(E40:E59)</f>
        <v>3000770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TRUNC(72846.8141156933,-1)</f>
        <v>72840</v>
      </c>
      <c r="E63" s="62">
        <f>TRUNC(+D63*3.3058,-1)</f>
        <v>240790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TRUNC(34295.2128978688,-1)</f>
        <v>34290</v>
      </c>
      <c r="E65" s="64">
        <f>TRUNC(+D65*3.3058,-1)</f>
        <v>113350</v>
      </c>
    </row>
    <row r="66" spans="1:7" x14ac:dyDescent="0.3">
      <c r="A66" s="2">
        <v>4</v>
      </c>
      <c r="C66" s="27" t="s">
        <v>112</v>
      </c>
      <c r="D66" s="39">
        <f>SUM(D63:D65)</f>
        <v>107130</v>
      </c>
      <c r="E66" s="65">
        <f>SUM(E63:E65)</f>
        <v>354140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TRUNC(12946.7747024633,-1)</f>
        <v>12940</v>
      </c>
      <c r="E69" s="62">
        <f t="shared" ref="E69:E94" si="2">TRUNC(+D69*3.3058,-1)</f>
        <v>42770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TRUNC(12163.4813174647,-1)</f>
        <v>12160</v>
      </c>
      <c r="E71" s="63">
        <f t="shared" si="2"/>
        <v>40190</v>
      </c>
    </row>
    <row r="72" spans="1:7" x14ac:dyDescent="0.3">
      <c r="A72" s="2">
        <v>4</v>
      </c>
      <c r="C72" s="38" t="s">
        <v>33</v>
      </c>
      <c r="D72" s="42">
        <f>TRUNC(3479.73872128425,-1)</f>
        <v>3470</v>
      </c>
      <c r="E72" s="63">
        <f t="shared" si="2"/>
        <v>11470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TRUNC(3855.83980071962,-1)</f>
        <v>3850</v>
      </c>
      <c r="E75" s="63">
        <f t="shared" si="2"/>
        <v>12720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f>TRUNC(17042.9006365901,-1)</f>
        <v>17040</v>
      </c>
      <c r="E77" s="63">
        <f t="shared" si="2"/>
        <v>56330</v>
      </c>
    </row>
    <row r="78" spans="1:7" x14ac:dyDescent="0.3">
      <c r="A78" s="2">
        <v>10</v>
      </c>
      <c r="C78" s="38" t="s">
        <v>137</v>
      </c>
      <c r="D78" s="42">
        <f>TRUNC(46819.585662884,-1)</f>
        <v>46810</v>
      </c>
      <c r="E78" s="63">
        <f t="shared" si="2"/>
        <v>154740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TRUNC(1584.27583725436,-1)</f>
        <v>1580</v>
      </c>
      <c r="E84" s="63">
        <f t="shared" si="2"/>
        <v>5220</v>
      </c>
      <c r="F84" s="2" t="s">
        <v>262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TRUNC(2150.51978964849,-1)</f>
        <v>2150</v>
      </c>
      <c r="E90" s="63">
        <f t="shared" si="2"/>
        <v>7100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TRUNC(10756.1413783559+24589.5271519513,-1)</f>
        <v>35340</v>
      </c>
      <c r="E94" s="64">
        <f t="shared" si="2"/>
        <v>116820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135340</v>
      </c>
      <c r="E95" s="39">
        <f>SUM(E69:E94)</f>
        <v>447360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TRUNC(9380.85258787711,-1)</f>
        <v>9380</v>
      </c>
      <c r="E98" s="62">
        <f t="shared" ref="E98:E118" si="3">TRUNC(+D98*3.3058,-1)</f>
        <v>31000</v>
      </c>
    </row>
    <row r="99" spans="1:7" x14ac:dyDescent="0.3">
      <c r="A99" s="2">
        <v>2</v>
      </c>
      <c r="C99" s="38" t="s">
        <v>40</v>
      </c>
      <c r="D99" s="42">
        <f>TRUNC(5561.29194575145,-1)</f>
        <v>5560</v>
      </c>
      <c r="E99" s="63">
        <f t="shared" si="3"/>
        <v>18380</v>
      </c>
    </row>
    <row r="100" spans="1:7" x14ac:dyDescent="0.3">
      <c r="A100" s="2">
        <v>3</v>
      </c>
      <c r="C100" s="38" t="s">
        <v>41</v>
      </c>
      <c r="D100" s="42">
        <f>TRUNC(8724.77010794354+9149.5321339607,-1)</f>
        <v>17870</v>
      </c>
      <c r="E100" s="63">
        <f t="shared" si="3"/>
        <v>59070</v>
      </c>
      <c r="F100" s="2" t="s">
        <v>256</v>
      </c>
    </row>
    <row r="101" spans="1:7" x14ac:dyDescent="0.3">
      <c r="A101" s="2">
        <v>4</v>
      </c>
      <c r="C101" s="38" t="s">
        <v>42</v>
      </c>
      <c r="D101" s="42">
        <f>TRUNC(5310.87234984777,-1)</f>
        <v>5310</v>
      </c>
      <c r="E101" s="63">
        <f t="shared" si="3"/>
        <v>17550</v>
      </c>
      <c r="F101" s="2" t="s">
        <v>257</v>
      </c>
    </row>
    <row r="102" spans="1:7" x14ac:dyDescent="0.3">
      <c r="A102" s="2">
        <v>5</v>
      </c>
      <c r="C102" s="38" t="s">
        <v>43</v>
      </c>
      <c r="D102" s="42">
        <f>TRUNC(2181.2287295876,-1)</f>
        <v>2180</v>
      </c>
      <c r="E102" s="63">
        <f t="shared" si="3"/>
        <v>7200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TRUNC(5206.92809299751,-1)</f>
        <v>5200</v>
      </c>
      <c r="E104" s="63">
        <f t="shared" si="3"/>
        <v>17190</v>
      </c>
      <c r="F104" s="2" t="s">
        <v>258</v>
      </c>
    </row>
    <row r="105" spans="1:7" x14ac:dyDescent="0.3">
      <c r="A105" s="2">
        <v>8</v>
      </c>
      <c r="C105" s="38" t="s">
        <v>46</v>
      </c>
      <c r="D105" s="42">
        <f>TRUNC(3274.1797398284,-1)</f>
        <v>3270</v>
      </c>
      <c r="E105" s="63">
        <f t="shared" si="3"/>
        <v>10800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TRUNC(4891.93999446443,-1)</f>
        <v>4890</v>
      </c>
      <c r="E115" s="63">
        <f t="shared" si="3"/>
        <v>16160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TRUNC(347.475615831719+1739.27783005812+374.266260725159,-1)</f>
        <v>2460</v>
      </c>
      <c r="E118" s="64">
        <f t="shared" si="3"/>
        <v>8130</v>
      </c>
      <c r="F118" s="2" t="s">
        <v>259</v>
      </c>
    </row>
    <row r="119" spans="1:7" x14ac:dyDescent="0.3">
      <c r="A119" s="2">
        <v>22</v>
      </c>
      <c r="C119" s="27" t="s">
        <v>112</v>
      </c>
      <c r="D119" s="39">
        <f>SUM(D98:D118)</f>
        <v>56120</v>
      </c>
      <c r="E119" s="39">
        <f>SUM(E98:E118)</f>
        <v>185480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TRUNC(1199.76163852754,-1)</f>
        <v>1190</v>
      </c>
      <c r="E122" s="62">
        <f t="shared" ref="E122:E132" si="4">TRUNC(+D122*3.3058,-1)</f>
        <v>3930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TRUNC(10119.7680597841,-1)</f>
        <v>10110</v>
      </c>
      <c r="E124" s="63">
        <f t="shared" si="4"/>
        <v>33420</v>
      </c>
      <c r="F124" s="2" t="s">
        <v>252</v>
      </c>
    </row>
    <row r="125" spans="1:7" x14ac:dyDescent="0.3">
      <c r="A125" s="2">
        <v>4</v>
      </c>
      <c r="C125" s="38" t="s">
        <v>138</v>
      </c>
      <c r="D125" s="42">
        <f>TRUNC(2409.45137005259,-1)</f>
        <v>2400</v>
      </c>
      <c r="E125" s="63">
        <f t="shared" si="4"/>
        <v>7930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TRUNC(771.330196512593,-1)</f>
        <v>770</v>
      </c>
      <c r="E127" s="63">
        <f t="shared" si="4"/>
        <v>2540</v>
      </c>
    </row>
    <row r="128" spans="1:7" x14ac:dyDescent="0.3">
      <c r="A128" s="2">
        <v>7</v>
      </c>
      <c r="C128" s="38" t="s">
        <v>46</v>
      </c>
      <c r="D128" s="42">
        <f>TRUNC(1822.07229449211,-1)</f>
        <v>1820</v>
      </c>
      <c r="E128" s="63">
        <f t="shared" si="4"/>
        <v>6010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TRUNC(2996.7893163576,-1)</f>
        <v>2990</v>
      </c>
      <c r="E130" s="63">
        <f t="shared" si="4"/>
        <v>9880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TRUNC(2013.16457237753+1151.7036811514,-1)</f>
        <v>3160</v>
      </c>
      <c r="E132" s="64">
        <f t="shared" si="4"/>
        <v>10440</v>
      </c>
      <c r="F132" s="54" t="s">
        <v>251</v>
      </c>
    </row>
    <row r="133" spans="1:7" x14ac:dyDescent="0.3">
      <c r="A133" s="2">
        <v>12</v>
      </c>
      <c r="C133" s="27" t="s">
        <v>112</v>
      </c>
      <c r="D133" s="39">
        <f>SUM(D122:D132)</f>
        <v>22440</v>
      </c>
      <c r="E133" s="39">
        <f>SUM(E122:E132)</f>
        <v>74150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TRUNC(33365.6531967894,-1)</f>
        <v>33360</v>
      </c>
      <c r="E136" s="62">
        <f t="shared" ref="E136:E145" si="5">TRUNC(+D136*3.3058,-1)</f>
        <v>110280</v>
      </c>
      <c r="F136" s="2" t="s">
        <v>261</v>
      </c>
    </row>
    <row r="137" spans="1:7" x14ac:dyDescent="0.3">
      <c r="A137" s="2">
        <v>2</v>
      </c>
      <c r="C137" s="38" t="s">
        <v>47</v>
      </c>
      <c r="D137" s="42">
        <f>TRUNC(2308.86437863272,-1)</f>
        <v>2300</v>
      </c>
      <c r="E137" s="63">
        <f t="shared" si="5"/>
        <v>7600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TRUNC(3660.56435095488,-1)</f>
        <v>3660</v>
      </c>
      <c r="E143" s="63">
        <f t="shared" si="5"/>
        <v>12090</v>
      </c>
      <c r="F143" s="2" t="s">
        <v>254</v>
      </c>
    </row>
    <row r="144" spans="1:7" x14ac:dyDescent="0.3">
      <c r="A144" s="2">
        <v>9</v>
      </c>
      <c r="C144" s="38" t="s">
        <v>63</v>
      </c>
      <c r="D144" s="42">
        <f>TRUNC(11747.3564904511,-1)</f>
        <v>11740</v>
      </c>
      <c r="E144" s="63">
        <f t="shared" si="5"/>
        <v>38810</v>
      </c>
      <c r="F144" s="2" t="s">
        <v>253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51060</v>
      </c>
      <c r="E146" s="39">
        <f>SUM(E136:E145)</f>
        <v>168780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TRUNC(4038.5318571824+259.362967063382,-1)</f>
        <v>4290</v>
      </c>
      <c r="E149" s="62">
        <f>TRUNC(+D149*3.3058,-1)</f>
        <v>14180</v>
      </c>
      <c r="F149" s="2" t="s">
        <v>264</v>
      </c>
    </row>
    <row r="150" spans="1:7" x14ac:dyDescent="0.3">
      <c r="A150" s="2">
        <v>2</v>
      </c>
      <c r="C150" s="38" t="s">
        <v>49</v>
      </c>
      <c r="D150" s="42">
        <f>TRUNC(1998.17387212843,-1)</f>
        <v>1990</v>
      </c>
      <c r="E150" s="63">
        <f>TRUNC(+D150*3.3058,-1)</f>
        <v>6570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TRUNC(59.7628009964019+7916.07683365624+818.141599778577,-1)</f>
        <v>8790</v>
      </c>
      <c r="E152" s="63">
        <f>TRUNC(+D152*3.3058,-1)</f>
        <v>29050</v>
      </c>
      <c r="F152" s="2" t="s">
        <v>265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15070</v>
      </c>
      <c r="E154" s="39">
        <f>SUM(E149:E153)</f>
        <v>49800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TRUNC(45493.0554110158,-1)</f>
        <v>45490</v>
      </c>
      <c r="E157" s="62">
        <f>TRUNC(+D157*3.3058,-1)</f>
        <v>150380</v>
      </c>
    </row>
    <row r="158" spans="1:7" x14ac:dyDescent="0.3">
      <c r="A158" s="2">
        <v>2</v>
      </c>
      <c r="C158" s="38" t="s">
        <v>52</v>
      </c>
      <c r="D158" s="42">
        <f>TRUNC(28432.0324937725,-1)</f>
        <v>28430</v>
      </c>
      <c r="E158" s="63">
        <f>TRUNC(+D158*3.3058,-1)</f>
        <v>93980</v>
      </c>
    </row>
    <row r="159" spans="1:7" x14ac:dyDescent="0.3">
      <c r="A159" s="2">
        <v>3</v>
      </c>
      <c r="C159" s="38" t="s">
        <v>47</v>
      </c>
      <c r="D159" s="42">
        <f>TRUNC(21607.4355936894+1793.62939385552,-1)</f>
        <v>23400</v>
      </c>
      <c r="E159" s="63">
        <f>TRUNC(+D159*3.3058,-1)</f>
        <v>77350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97320</v>
      </c>
      <c r="E161" s="39">
        <f>SUM(E157:E160)</f>
        <v>321710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2020-12-07T09:16:21Z</dcterms:modified>
</cp:coreProperties>
</file>