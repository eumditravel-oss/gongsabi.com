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4" i="4" l="1"/>
  <c r="D58" i="4"/>
  <c r="D125" i="4" l="1"/>
  <c r="D124" i="4"/>
  <c r="D122" i="4"/>
  <c r="D123" i="4"/>
  <c r="D132" i="4"/>
  <c r="D118" i="4"/>
  <c r="D105" i="4"/>
  <c r="D104" i="4"/>
  <c r="D114" i="4"/>
  <c r="D100" i="4"/>
  <c r="D108" i="4"/>
  <c r="D99" i="4"/>
  <c r="D102" i="4"/>
  <c r="D98" i="4"/>
  <c r="D115" i="4"/>
  <c r="D94" i="4"/>
  <c r="D85" i="4"/>
  <c r="D75" i="4"/>
  <c r="D90" i="4"/>
  <c r="D72" i="4"/>
  <c r="D92" i="4"/>
  <c r="D78" i="4"/>
  <c r="D71" i="4"/>
  <c r="D70" i="4"/>
  <c r="D69" i="4"/>
  <c r="D45" i="4"/>
  <c r="D41" i="4"/>
  <c r="D42" i="4"/>
  <c r="D50" i="4"/>
  <c r="D55" i="4"/>
  <c r="D43" i="4"/>
  <c r="D51" i="4"/>
  <c r="D53" i="4"/>
  <c r="D46" i="4"/>
  <c r="D44" i="4"/>
  <c r="D49" i="4"/>
  <c r="D52" i="4"/>
  <c r="D48" i="4"/>
  <c r="D37" i="4"/>
  <c r="D40" i="4"/>
  <c r="D54" i="4"/>
  <c r="D137" i="4"/>
  <c r="D136" i="4"/>
  <c r="D159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32" i="4" s="1"/>
  <c r="E32" i="4" s="1"/>
  <c r="D154" i="4"/>
  <c r="D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<sst xmlns="http://schemas.openxmlformats.org/spreadsheetml/2006/main" count="393" uniqueCount="268">
  <si>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</si>
  <si>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</si>
  <si>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</si>
  <si>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</si>
  <si>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</si>
  <si>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</si>
  <si>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</si>
  <si>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</si>
  <si>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</si>
  <si>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</si>
  <si>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</si>
  <si>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</si>
  <si>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</si>
  <si>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</si>
  <si>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</si>
  <si>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</si>
  <si>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</si>
  <si>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</si>
  <si>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</si>
  <si>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</si>
  <si>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</si>
  <si>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</si>
  <si>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</si>
  <si>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</si>
  <si>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</si>
  <si>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</si>
  <si>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</si>
  <si>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</si>
  <si>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</si>
  <si>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</si>
  <si>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</si>
  <si>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</si>
  <si>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</si>
  <si>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</si>
  <si>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</si>
  <si>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</si>
  <si>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</si>
  <si>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</si>
  <si>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</si>
  <si>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</si>
  <si>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</si>
  <si>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</si>
  <si>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</si>
  <si>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</si>
  <si>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</si>
  <si>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</si>
  <si>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</si>
  <si>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</si>
  <si>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</si>
  <si>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</si>
  <si>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</si>
  <si>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</si>
  <si>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</si>
  <si>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</si>
  <si>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</si>
  <si>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</si>
  <si>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</si>
  <si>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</si>
  <si>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</si>
  <si>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</si>
  <si>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</si>
  <si>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</si>
  <si>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</si>
  <si>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</si>
  <si>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</si>
  <si>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</si>
  <si>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</si>
  <si>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</si>
  <si>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</si>
  <si>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</si>
  <si>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</si>
  <si>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</si>
  <si>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</si>
  <si>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</si>
  <si>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</si>
  <si>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</si>
  <si>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</si>
  <si>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</si>
  <si>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</si>
  <si>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</si>
  <si>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</si>
  <si>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</si>
  <si>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</si>
  <si>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</si>
  <si>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</si>
  <si>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</si>
  <si>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</si>
  <si>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</si>
  <si>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</si>
  <si>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</si>
  <si>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</si>
  <si>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</si>
  <si>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</si>
  <si>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</si>
  <si>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</si>
  <si>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</si>
  <si>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</si>
  <si>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</si>
  <si>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</si>
  <si>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</si>
  <si>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</si>
  <si>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</si>
  <si>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</si>
  <si>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</si>
  <si>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</si>
  <si>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</si>
  <si>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</si>
  <si>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</si>
  <si>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</si>
  <si>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</si>
  <si>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</si>
  <si>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</si>
  <si>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</si>
  <si>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</si>
  <si>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</si>
  <si>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</si>
  <si>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</si>
  <si>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</si>
  <si>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</si>
  <si>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</si>
  <si>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</si>
  <si>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</si>
  <si>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</si>
  <si>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</si>
  <si>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</si>
  <si>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</si>
  <si>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</si>
  <si>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</si>
  <si>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</si>
  <si>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</si>
  <si>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</si>
  <si>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</si>
  <si>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</si>
  <si>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</si>
  <si>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</si>
  <si>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</si>
  <si>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</si>
  <si>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</si>
  <si>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</si>
  <si>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</si>
  <si>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</si>
  <si>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</si>
  <si>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</si>
  <si>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</si>
  <si>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</si>
  <si>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</si>
  <si>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</si>
  <si>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</si>
  <si>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</si>
  <si>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</si>
  <si>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</si>
  <si>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</si>
  <si>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</si>
  <si>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</si>
  <si>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</si>
  <si>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</si>
  <si>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</si>
  <si>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</si>
  <si>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</si>
  <si>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</si>
  <si>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</si>
  <si>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</si>
  <si>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</si>
  <si>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</si>
  <si>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</si>
  <si>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</si>
  <si>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</si>
  <si>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</si>
  <si>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</si>
  <si>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</si>
  <si>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</si>
  <si>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</si>
  <si>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</si>
  <si>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</si>
  <si>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</si>
  <si>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</si>
  <si>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</si>
  <si>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</si>
  <si>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</si>
  <si>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</si>
  <si>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</si>
  <si>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</si>
  <si>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</si>
  <si>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</si>
  <si>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</si>
  <si>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</si>
  <si>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</si>
  <si>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</si>
  <si>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</si>
  <si>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</si>
  <si>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</si>
  <si>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</si>
  <si>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</si>
  <si>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</si>
  <si>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</si>
  <si>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</si>
  <si>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</si>
  <si>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</si>
  <si>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</si>
  <si>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</si>
  <si>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</si>
  <si>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</si>
  <si>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</si>
  <si>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</si>
  <si>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</si>
  <si>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</si>
  <si>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</si>
  <si>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</si>
  <si>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</si>
  <si>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</si>
  <si>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</si>
  <si>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</si>
  <si>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</si>
  <si>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</si>
  <si>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</si>
  <si>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</si>
  <si>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</si>
  <si>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</si>
  <si>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</si>
  <si>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</si>
  <si>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</si>
  <si>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</si>
  <si>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</si>
  <si>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</si>
  <si>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</si>
  <si>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</si>
  <si>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</si>
  <si>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</si>
  <si>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</si>
  <si>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</si>
  <si>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</si>
  <si>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</si>
  <si>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</si>
  <si>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</si>
  <si>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</si>
  <si>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</si>
  <si>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</si>
  <si>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</si>
  <si>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</si>
  <si>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</si>
  <si>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</si>
  <si>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</si>
  <si>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</si>
  <si>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</si>
  <si>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</si>
  <si>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</si>
  <si>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</si>
  <si>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</si>
  <si>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00학생진로교육원 신축공사</t>
    <phoneticPr fontId="2" type="noConversion"/>
  </si>
  <si>
    <t>교육연구</t>
  </si>
  <si>
    <t>강원도</t>
  </si>
  <si>
    <t>기계 소화설비공사</t>
    <phoneticPr fontId="2" type="noConversion"/>
  </si>
  <si>
    <t>전기 소방공사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</si>
  <si>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</si>
  <si>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</si>
  <si>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위생설비공사</t>
    <phoneticPr fontId="2" type="noConversion"/>
  </si>
  <si>
    <t>천정형복사판넬설치공사</t>
    <phoneticPr fontId="2" type="noConversion"/>
  </si>
  <si>
    <t>냉난방전원설비공사</t>
    <phoneticPr fontId="2" type="noConversion"/>
  </si>
  <si>
    <t>전등설비,다목적실전등전열설비공사,강당전등전열설비공사</t>
    <phoneticPr fontId="2" type="noConversion"/>
  </si>
  <si>
    <t>전열교환기설비공사,태양광발전설비공사,화장실전기공사,기타공사</t>
    <phoneticPr fontId="2" type="noConversion"/>
  </si>
  <si>
    <t>인입간선설비공사,간선설비공사,기타공사</t>
    <phoneticPr fontId="2" type="noConversion"/>
  </si>
  <si>
    <t>전화/LAN설비공사,옥내무선LAN설비공사</t>
    <phoneticPr fontId="2" type="noConversion"/>
  </si>
  <si>
    <t>건축음향,공동구,기타공사,운반비,작업부산물,주요자재비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</si>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</sst>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10833</v>
      </c>
      <c r="D7" s="36">
        <f>+C7/3.3058</f>
        <v>3276.9677536451086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3370</v>
      </c>
      <c r="E24" s="58">
        <f t="shared" ref="E24:E33" si="0">TRUNC(+D24*3.3058,-1)</f>
        <v>11140</v>
      </c>
    </row>
    <row r="25" spans="1:5" x14ac:dyDescent="0.3">
      <c r="B25" s="2">
        <v>2</v>
      </c>
      <c r="C25" s="35" t="s">
        <v>111</v>
      </c>
      <c r="D25" s="45">
        <f>+D60</f>
        <v>584270</v>
      </c>
      <c r="E25" s="59">
        <f t="shared" si="0"/>
        <v>1931470</v>
      </c>
    </row>
    <row r="26" spans="1:5" x14ac:dyDescent="0.3">
      <c r="B26" s="2">
        <v>3</v>
      </c>
      <c r="C26" s="35" t="s">
        <v>95</v>
      </c>
      <c r="D26" s="45">
        <f>+D66</f>
        <v>20700</v>
      </c>
      <c r="E26" s="59">
        <f t="shared" si="0"/>
        <v>68430</v>
      </c>
    </row>
    <row r="27" spans="1:5" x14ac:dyDescent="0.3">
      <c r="B27" s="2">
        <v>4</v>
      </c>
      <c r="C27" s="35" t="s">
        <v>96</v>
      </c>
      <c r="D27" s="45">
        <f>+D95</f>
        <v>79730</v>
      </c>
      <c r="E27" s="59">
        <f t="shared" si="0"/>
        <v>263570</v>
      </c>
    </row>
    <row r="28" spans="1:5" x14ac:dyDescent="0.3">
      <c r="B28" s="2">
        <v>5</v>
      </c>
      <c r="C28" s="35" t="s">
        <v>97</v>
      </c>
      <c r="D28" s="45">
        <f>+D119</f>
        <v>58370</v>
      </c>
      <c r="E28" s="59">
        <f t="shared" si="0"/>
        <v>192950</v>
      </c>
    </row>
    <row r="29" spans="1:5" x14ac:dyDescent="0.3">
      <c r="B29" s="2">
        <v>6</v>
      </c>
      <c r="C29" s="35" t="s">
        <v>98</v>
      </c>
      <c r="D29" s="45">
        <f>+D133</f>
        <v>19360</v>
      </c>
      <c r="E29" s="59">
        <f t="shared" si="0"/>
        <v>64000</v>
      </c>
    </row>
    <row r="30" spans="1:5" x14ac:dyDescent="0.3">
      <c r="B30" s="2">
        <v>7</v>
      </c>
      <c r="C30" s="35" t="s">
        <v>99</v>
      </c>
      <c r="D30" s="45">
        <f>+D146</f>
        <v>18600</v>
      </c>
      <c r="E30" s="59">
        <f t="shared" si="0"/>
        <v>61480</v>
      </c>
    </row>
    <row r="31" spans="1:5" x14ac:dyDescent="0.3">
      <c r="B31" s="2">
        <v>8</v>
      </c>
      <c r="C31" s="35" t="s">
        <v>100</v>
      </c>
      <c r="D31" s="45">
        <f>+D154</f>
        <v>125000</v>
      </c>
      <c r="E31" s="59">
        <f t="shared" si="0"/>
        <v>413220</v>
      </c>
    </row>
    <row r="32" spans="1:5" x14ac:dyDescent="0.3">
      <c r="B32" s="2">
        <v>9</v>
      </c>
      <c r="C32" s="35" t="s">
        <v>101</v>
      </c>
      <c r="D32" s="45">
        <f>+D161</f>
        <v>43240</v>
      </c>
      <c r="E32" s="59">
        <f t="shared" si="0"/>
        <v>142940</v>
      </c>
    </row>
    <row r="33" spans="1:7" x14ac:dyDescent="0.3">
      <c r="B33" s="2">
        <v>10</v>
      </c>
      <c r="C33" s="35" t="s">
        <v>154</v>
      </c>
      <c r="D33" s="53">
        <f>TRUNC(SUM(D24:D32)*0.275,-1)</f>
        <v>261970</v>
      </c>
      <c r="E33" s="60">
        <f t="shared" si="0"/>
        <v>866020</v>
      </c>
    </row>
    <row r="34" spans="1:7" x14ac:dyDescent="0.3">
      <c r="C34" s="35" t="s">
        <v>112</v>
      </c>
      <c r="D34" s="44">
        <f>SUM(D24:D33)</f>
        <v>1214610</v>
      </c>
      <c r="E34" s="44">
        <f>SUM(E24:E33)</f>
        <v>4015220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TRUNC(3375,-1)</f>
        <v>3370</v>
      </c>
      <c r="E37" s="61">
        <f>TRUNC(+D37*3.3058,-1)</f>
        <v>11140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TRUNC(60851,-1)</f>
        <v>60850</v>
      </c>
      <c r="E40" s="62">
        <f t="shared" ref="E40:E59" si="1">TRUNC(+D40*3.3058,-1)</f>
        <v>201150</v>
      </c>
    </row>
    <row r="41" spans="1:7" x14ac:dyDescent="0.3">
      <c r="A41" s="2">
        <v>2</v>
      </c>
      <c r="C41" s="38" t="s">
        <v>13</v>
      </c>
      <c r="D41" s="42">
        <f>TRUNC(137777,-1)</f>
        <v>137770</v>
      </c>
      <c r="E41" s="63">
        <f t="shared" si="1"/>
        <v>455440</v>
      </c>
    </row>
    <row r="42" spans="1:7" x14ac:dyDescent="0.3">
      <c r="A42" s="2">
        <v>3</v>
      </c>
      <c r="C42" s="38" t="s">
        <v>14</v>
      </c>
      <c r="D42" s="42">
        <f>TRUNC(19471,-1)</f>
        <v>19470</v>
      </c>
      <c r="E42" s="63">
        <f t="shared" si="1"/>
        <v>64360</v>
      </c>
    </row>
    <row r="43" spans="1:7" x14ac:dyDescent="0.3">
      <c r="A43" s="2">
        <v>4</v>
      </c>
      <c r="C43" s="38" t="s">
        <v>16</v>
      </c>
      <c r="D43" s="42">
        <f>TRUNC(9691,-1)</f>
        <v>9690</v>
      </c>
      <c r="E43" s="63">
        <f t="shared" si="1"/>
        <v>32030</v>
      </c>
    </row>
    <row r="44" spans="1:7" x14ac:dyDescent="0.3">
      <c r="A44" s="2">
        <v>5</v>
      </c>
      <c r="C44" s="38" t="s">
        <v>17</v>
      </c>
      <c r="D44" s="42">
        <f>TRUNC(16088,-1)</f>
        <v>16080</v>
      </c>
      <c r="E44" s="63">
        <f t="shared" si="1"/>
        <v>53150</v>
      </c>
    </row>
    <row r="45" spans="1:7" x14ac:dyDescent="0.3">
      <c r="A45" s="2">
        <v>6</v>
      </c>
      <c r="C45" s="38" t="s">
        <v>18</v>
      </c>
      <c r="D45" s="42">
        <f>TRUNC(10889,-1)</f>
        <v>10880</v>
      </c>
      <c r="E45" s="63">
        <f t="shared" si="1"/>
        <v>35960</v>
      </c>
    </row>
    <row r="46" spans="1:7" x14ac:dyDescent="0.3">
      <c r="A46" s="2">
        <v>7</v>
      </c>
      <c r="C46" s="38" t="s">
        <v>19</v>
      </c>
      <c r="D46" s="42">
        <f>TRUNC(12432,-1)</f>
        <v>12430</v>
      </c>
      <c r="E46" s="63">
        <f t="shared" si="1"/>
        <v>41090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TRUNC(69695,-1)</f>
        <v>69690</v>
      </c>
      <c r="E48" s="63">
        <f t="shared" si="1"/>
        <v>230380</v>
      </c>
    </row>
    <row r="49" spans="1:7" x14ac:dyDescent="0.3">
      <c r="A49" s="2">
        <v>10</v>
      </c>
      <c r="C49" s="38" t="s">
        <v>22</v>
      </c>
      <c r="D49" s="42">
        <f>TRUNC(12481,-1)</f>
        <v>12480</v>
      </c>
      <c r="E49" s="63">
        <f t="shared" si="1"/>
        <v>41250</v>
      </c>
    </row>
    <row r="50" spans="1:7" x14ac:dyDescent="0.3">
      <c r="A50" s="2">
        <v>11</v>
      </c>
      <c r="C50" s="38" t="s">
        <v>155</v>
      </c>
      <c r="D50" s="42">
        <f>TRUNC(34867,-1)</f>
        <v>34860</v>
      </c>
      <c r="E50" s="63">
        <f t="shared" si="1"/>
        <v>115240</v>
      </c>
    </row>
    <row r="51" spans="1:7" x14ac:dyDescent="0.3">
      <c r="A51" s="2">
        <v>12</v>
      </c>
      <c r="C51" s="38" t="s">
        <v>23</v>
      </c>
      <c r="D51" s="42">
        <f>TRUNC(25838,-1)</f>
        <v>25830</v>
      </c>
      <c r="E51" s="63">
        <f t="shared" si="1"/>
        <v>85380</v>
      </c>
    </row>
    <row r="52" spans="1:7" x14ac:dyDescent="0.3">
      <c r="A52" s="2">
        <v>13</v>
      </c>
      <c r="C52" s="38" t="s">
        <v>24</v>
      </c>
      <c r="D52" s="42">
        <f>TRUNC(3861,-1)</f>
        <v>3860</v>
      </c>
      <c r="E52" s="63">
        <f t="shared" si="1"/>
        <v>12760</v>
      </c>
    </row>
    <row r="53" spans="1:7" x14ac:dyDescent="0.3">
      <c r="A53" s="2">
        <v>14</v>
      </c>
      <c r="C53" s="38" t="s">
        <v>25</v>
      </c>
      <c r="D53" s="42">
        <f>TRUNC(72066,-1)</f>
        <v>72060</v>
      </c>
      <c r="E53" s="63">
        <f t="shared" si="1"/>
        <v>238210</v>
      </c>
    </row>
    <row r="54" spans="1:7" x14ac:dyDescent="0.3">
      <c r="A54" s="2">
        <v>15</v>
      </c>
      <c r="C54" s="38" t="s">
        <v>147</v>
      </c>
      <c r="D54" s="42">
        <f>TRUNC(16811,-1)</f>
        <v>16810</v>
      </c>
      <c r="E54" s="63">
        <f t="shared" si="1"/>
        <v>55570</v>
      </c>
    </row>
    <row r="55" spans="1:7" x14ac:dyDescent="0.3">
      <c r="A55" s="2">
        <v>16</v>
      </c>
      <c r="C55" s="38" t="s">
        <v>144</v>
      </c>
      <c r="D55" s="42">
        <f>TRUNC(1584,-1)</f>
        <v>1580</v>
      </c>
      <c r="E55" s="63">
        <f t="shared" si="1"/>
        <v>5220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TRUNC(70087+3464+1125+3358-1173+3076,-1)</f>
        <v>79930</v>
      </c>
      <c r="E58" s="63">
        <f t="shared" si="1"/>
        <v>264230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584270</v>
      </c>
      <c r="E60" s="39">
        <f>SUM(E40:E59)</f>
        <v>1931420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TRUNC(20703,-1)</f>
        <v>20700</v>
      </c>
      <c r="E64" s="63">
        <f>TRUNC(+D64*3.3058,-1)</f>
        <v>68430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20700</v>
      </c>
      <c r="E66" s="65">
        <f>SUM(E63:E65)</f>
        <v>68430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TRUNC(7569,-1)</f>
        <v>7560</v>
      </c>
      <c r="E69" s="62">
        <f t="shared" ref="E69:E94" si="2">TRUNC(+D69*3.3058,-1)</f>
        <v>24990</v>
      </c>
    </row>
    <row r="70" spans="1:7" ht="16.5" customHeight="1" x14ac:dyDescent="0.3">
      <c r="A70" s="2">
        <v>2</v>
      </c>
      <c r="C70" s="38" t="s">
        <v>31</v>
      </c>
      <c r="D70" s="42">
        <f>TRUNC(3277,-1)</f>
        <v>3270</v>
      </c>
      <c r="E70" s="63">
        <f t="shared" si="2"/>
        <v>10800</v>
      </c>
    </row>
    <row r="71" spans="1:7" x14ac:dyDescent="0.3">
      <c r="A71" s="2">
        <v>3</v>
      </c>
      <c r="C71" s="38" t="s">
        <v>32</v>
      </c>
      <c r="D71" s="42">
        <f>TRUNC(12701,-1)</f>
        <v>12700</v>
      </c>
      <c r="E71" s="63">
        <f t="shared" si="2"/>
        <v>41980</v>
      </c>
    </row>
    <row r="72" spans="1:7" x14ac:dyDescent="0.3">
      <c r="A72" s="2">
        <v>4</v>
      </c>
      <c r="C72" s="38" t="s">
        <v>33</v>
      </c>
      <c r="D72" s="42">
        <f>TRUNC(7921,-1)</f>
        <v>7920</v>
      </c>
      <c r="E72" s="63">
        <f t="shared" si="2"/>
        <v>26180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TRUNC(760,-1)</f>
        <v>760</v>
      </c>
      <c r="E75" s="63">
        <f t="shared" si="2"/>
        <v>2510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TRUNC(16818,-1)</f>
        <v>16810</v>
      </c>
      <c r="E78" s="63">
        <f t="shared" si="2"/>
        <v>55570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TRUNC(1035,-1)</f>
        <v>1030</v>
      </c>
      <c r="E85" s="63">
        <f t="shared" si="2"/>
        <v>3400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TRUNC(1577,-1)</f>
        <v>1570</v>
      </c>
      <c r="E90" s="63">
        <f t="shared" si="2"/>
        <v>5190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TRUNC(26314,-1)</f>
        <v>26310</v>
      </c>
      <c r="E92" s="63">
        <f t="shared" si="2"/>
        <v>86970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TRUNC(1808,-1)</f>
        <v>1800</v>
      </c>
      <c r="E94" s="64">
        <f t="shared" si="2"/>
        <v>5950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79730</v>
      </c>
      <c r="E95" s="39">
        <f>SUM(E69:E94)</f>
        <v>263540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TRUNC(7134,-1)</f>
        <v>7130</v>
      </c>
      <c r="E98" s="62">
        <f t="shared" ref="E98:E118" si="3">TRUNC(+D98*3.3058,-1)</f>
        <v>23570</v>
      </c>
    </row>
    <row r="99" spans="1:7" x14ac:dyDescent="0.3">
      <c r="A99" s="2">
        <v>2</v>
      </c>
      <c r="C99" s="38" t="s">
        <v>40</v>
      </c>
      <c r="D99" s="42">
        <f>TRUNC(1374,-1)</f>
        <v>1370</v>
      </c>
      <c r="E99" s="63">
        <f t="shared" si="3"/>
        <v>4520</v>
      </c>
    </row>
    <row r="100" spans="1:7" x14ac:dyDescent="0.3">
      <c r="A100" s="2">
        <v>3</v>
      </c>
      <c r="C100" s="38" t="s">
        <v>41</v>
      </c>
      <c r="D100" s="42">
        <f>TRUNC(7894+575+1416,-1)</f>
        <v>9880</v>
      </c>
      <c r="E100" s="63">
        <f t="shared" si="3"/>
        <v>32660</v>
      </c>
      <c r="F100" s="2" t="s">
        <v>258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TRUNC(2721,-1)</f>
        <v>2720</v>
      </c>
      <c r="E102" s="63">
        <f t="shared" si="3"/>
        <v>8990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TRUNC(2095,-1)</f>
        <v>2090</v>
      </c>
      <c r="E104" s="63">
        <f t="shared" si="3"/>
        <v>6900</v>
      </c>
    </row>
    <row r="105" spans="1:7" x14ac:dyDescent="0.3">
      <c r="A105" s="2">
        <v>8</v>
      </c>
      <c r="C105" s="38" t="s">
        <v>46</v>
      </c>
      <c r="D105" s="42">
        <f>TRUNC(4891,-1)</f>
        <v>4890</v>
      </c>
      <c r="E105" s="63">
        <f t="shared" si="3"/>
        <v>16160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TRUNC(3054,-1)</f>
        <v>3050</v>
      </c>
      <c r="E108" s="63">
        <f t="shared" si="3"/>
        <v>10080</v>
      </c>
      <c r="F108" s="2" t="s">
        <v>257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TRUNC(1539,-1)</f>
        <v>1530</v>
      </c>
      <c r="E114" s="63">
        <f t="shared" si="3"/>
        <v>5050</v>
      </c>
    </row>
    <row r="115" spans="1:7" x14ac:dyDescent="0.3">
      <c r="A115" s="2">
        <v>18</v>
      </c>
      <c r="C115" s="38" t="s">
        <v>116</v>
      </c>
      <c r="D115" s="42">
        <f>TRUNC(4619,-1)</f>
        <v>4610</v>
      </c>
      <c r="E115" s="63">
        <f t="shared" si="3"/>
        <v>15230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TRUNC(1219+2235+2673+14973,-1)</f>
        <v>21100</v>
      </c>
      <c r="E118" s="64">
        <f t="shared" si="3"/>
        <v>69750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58370</v>
      </c>
      <c r="E119" s="39">
        <f>SUM(E98:E118)</f>
        <v>192910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TRUNC(608,-1)</f>
        <v>600</v>
      </c>
      <c r="E122" s="62">
        <f t="shared" ref="E122:E132" si="4">TRUNC(+D122*3.3058,-1)</f>
        <v>1980</v>
      </c>
    </row>
    <row r="123" spans="1:7" x14ac:dyDescent="0.3">
      <c r="A123" s="2">
        <v>2</v>
      </c>
      <c r="C123" s="38" t="s">
        <v>124</v>
      </c>
      <c r="D123" s="42">
        <f>TRUNC(1651+245,-1)</f>
        <v>1890</v>
      </c>
      <c r="E123" s="63">
        <f t="shared" si="4"/>
        <v>6240</v>
      </c>
      <c r="F123" s="2" t="s">
        <v>261</v>
      </c>
    </row>
    <row r="124" spans="1:7" x14ac:dyDescent="0.3">
      <c r="A124" s="2">
        <v>3</v>
      </c>
      <c r="C124" s="38" t="s">
        <v>151</v>
      </c>
      <c r="D124" s="42">
        <f>TRUNC(8971,-1)</f>
        <v>8970</v>
      </c>
      <c r="E124" s="63">
        <f t="shared" si="4"/>
        <v>29650</v>
      </c>
    </row>
    <row r="125" spans="1:7" x14ac:dyDescent="0.3">
      <c r="A125" s="2">
        <v>4</v>
      </c>
      <c r="C125" s="38" t="s">
        <v>138</v>
      </c>
      <c r="D125" s="42">
        <f>TRUNC(2044,-1)</f>
        <v>2040</v>
      </c>
      <c r="E125" s="63">
        <f t="shared" si="4"/>
        <v>6740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TRUNC(2288+2363+1217,-1)</f>
        <v>5860</v>
      </c>
      <c r="E132" s="64">
        <f t="shared" si="4"/>
        <v>19370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19360</v>
      </c>
      <c r="E133" s="39">
        <f>SUM(E122:E132)</f>
        <v>63980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TRUNC(6891,-1)</f>
        <v>6890</v>
      </c>
      <c r="E136" s="62">
        <f t="shared" ref="E136:E145" si="5">TRUNC(+D136*3.3058,-1)</f>
        <v>22770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TRUNC(11715,-1)</f>
        <v>11710</v>
      </c>
      <c r="E137" s="63">
        <f t="shared" si="5"/>
        <v>38710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18600</v>
      </c>
      <c r="E146" s="39">
        <f>SUM(E136:E145)</f>
        <v>61480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TRUNC(125005,-1)</f>
        <v>125000</v>
      </c>
      <c r="E152" s="63">
        <f>TRUNC(+D152*3.3058,-1)</f>
        <v>413220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125000</v>
      </c>
      <c r="E154" s="39">
        <f>SUM(E149:E153)</f>
        <v>413220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TRUNC(43245,-1)</f>
        <v>43240</v>
      </c>
      <c r="E159" s="63">
        <f>TRUNC(+D159*3.3058,-1)</f>
        <v>142940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43240</v>
      </c>
      <c r="E161" s="39">
        <f>SUM(E157:E160)</f>
        <v>142940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2020-12-07T09:51:17Z</dcterms:modified>
</cp:coreProperties>
</file>