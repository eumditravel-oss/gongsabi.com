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37" i="4"/>
  <c r="D144" i="4"/>
  <c r="D143" i="4"/>
  <c r="D139" i="4"/>
  <c r="D141" i="4"/>
  <c r="D142" i="4"/>
  <c r="D140" i="4"/>
  <c r="D132" i="4"/>
  <c r="D128" i="4"/>
  <c r="D124" i="4"/>
  <c r="D125" i="4"/>
  <c r="D122" i="4"/>
  <c r="D130" i="4"/>
  <c r="D118" i="4"/>
  <c r="D105" i="4"/>
  <c r="D104" i="4"/>
  <c r="D103" i="4"/>
  <c r="D102" i="4"/>
  <c r="D100" i="4"/>
  <c r="D99" i="4"/>
  <c r="D98" i="4"/>
  <c r="D114" i="4"/>
  <c r="D116" i="4"/>
  <c r="D94" i="4"/>
  <c r="D92" i="4"/>
  <c r="D91" i="4"/>
  <c r="D89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60" i="4"/>
  <c r="D153" i="4"/>
  <c r="D131" i="4"/>
  <c r="D117" i="4"/>
  <c r="D93" i="4"/>
  <c r="D59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46" i="4"/>
  <c r="E119" i="4"/>
  <c r="E95" i="4"/>
  <c r="E60" i="4"/>
  <c r="E154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<sst xmlns="http://schemas.openxmlformats.org/spreadsheetml/2006/main" count="395" uniqueCount="270">
  <si>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</si>
  <si>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</si>
  <si>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</si>
  <si>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</si>
  <si>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</si>
  <si>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</si>
  <si>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</si>
  <si>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</si>
  <si>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</si>
  <si>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</si>
  <si>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</si>
  <si>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</si>
  <si>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</si>
  <si>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</si>
  <si>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</si>
  <si>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</si>
  <si>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</si>
  <si>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</si>
  <si>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</si>
  <si>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</si>
  <si>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</si>
  <si>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</si>
  <si>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</si>
  <si>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</si>
  <si>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</si>
  <si>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</si>
  <si>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</si>
  <si>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</si>
  <si>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</si>
  <si>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</si>
  <si>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</si>
  <si>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</si>
  <si>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</si>
  <si>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</si>
  <si>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</si>
  <si>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</si>
  <si>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</si>
  <si>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</si>
  <si>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</si>
  <si>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</si>
  <si>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</si>
  <si>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</si>
  <si>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</si>
  <si>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</si>
  <si>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</si>
  <si>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</si>
  <si>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</si>
  <si>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</si>
  <si>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</si>
  <si>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</si>
  <si>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</si>
  <si>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</si>
  <si>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</si>
  <si>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</si>
  <si>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</si>
  <si>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</si>
  <si>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</si>
  <si>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</si>
  <si>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</si>
  <si>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</si>
  <si>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</si>
  <si>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</si>
  <si>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</si>
  <si>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</si>
  <si>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</si>
  <si>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</si>
  <si>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</si>
  <si>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</si>
  <si>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</si>
  <si>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</si>
  <si>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</si>
  <si>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</si>
  <si>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</si>
  <si>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</si>
  <si>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</si>
  <si>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</si>
  <si>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</si>
  <si>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</si>
  <si>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</si>
  <si>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</si>
  <si>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</si>
  <si>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</si>
  <si>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</si>
  <si>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</si>
  <si>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</si>
  <si>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</si>
  <si>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</si>
  <si>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</si>
  <si>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</si>
  <si>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</si>
  <si>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</si>
  <si>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</si>
  <si>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</si>
  <si>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</si>
  <si>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</si>
  <si>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</si>
  <si>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</si>
  <si>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</si>
  <si>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</si>
  <si>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</si>
  <si>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</si>
  <si>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</si>
  <si>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</si>
  <si>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</si>
  <si>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</si>
  <si>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</si>
  <si>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</si>
  <si>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</si>
  <si>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</si>
  <si>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</si>
  <si>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</si>
  <si>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</si>
  <si>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</si>
  <si>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</si>
  <si>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</si>
  <si>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</si>
  <si>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</si>
  <si>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</si>
  <si>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</si>
  <si>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</si>
  <si>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</si>
  <si>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</si>
  <si>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</si>
  <si>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</si>
  <si>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</si>
  <si>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</si>
  <si>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</si>
  <si>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</si>
  <si>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</si>
  <si>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</si>
  <si>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</si>
  <si>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</si>
  <si>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</si>
  <si>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</si>
  <si>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</si>
  <si>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</si>
  <si>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</si>
  <si>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</si>
  <si>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</si>
  <si>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</si>
  <si>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</si>
  <si>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</si>
  <si>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</si>
  <si>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</si>
  <si>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</si>
  <si>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</si>
  <si>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</si>
  <si>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</si>
  <si>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</si>
  <si>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</si>
  <si>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</si>
  <si>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</si>
  <si>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</si>
  <si>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</si>
  <si>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</si>
  <si>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</si>
  <si>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</si>
  <si>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</si>
  <si>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</si>
  <si>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</si>
  <si>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</si>
  <si>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</si>
  <si>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</si>
  <si>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</si>
  <si>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</si>
  <si>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</si>
  <si>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</si>
  <si>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</si>
  <si>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</si>
  <si>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</si>
  <si>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</si>
  <si>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</si>
  <si>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</si>
  <si>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</si>
  <si>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</si>
  <si>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</si>
  <si>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</si>
  <si>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</si>
  <si>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</si>
  <si>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</si>
  <si>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</si>
  <si>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</si>
  <si>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</si>
  <si>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</si>
  <si>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</si>
  <si>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</si>
  <si>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</si>
  <si>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</si>
  <si>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</si>
  <si>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</si>
  <si>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</si>
  <si>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</si>
  <si>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</si>
  <si>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</si>
  <si>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</si>
  <si>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</si>
  <si>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</si>
  <si>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</si>
  <si>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</si>
  <si>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</si>
  <si>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</si>
  <si>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</si>
  <si>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</si>
  <si>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</si>
  <si>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</si>
  <si>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</si>
  <si>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</si>
  <si>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</si>
  <si>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</si>
  <si>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</si>
  <si>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</si>
  <si>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</si>
  <si>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</si>
  <si>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</si>
  <si>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</si>
  <si>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</si>
  <si>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</si>
  <si>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</si>
  <si>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</si>
  <si>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</si>
  <si>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</si>
  <si>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</si>
  <si>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</si>
  <si>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</si>
  <si>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</si>
  <si>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</si>
  <si>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</si>
  <si>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</si>
  <si>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</si>
  <si>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</si>
  <si>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</si>
  <si>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</si>
  <si>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</si>
  <si>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</si>
  <si>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</si>
  <si>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</si>
  <si>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</si>
  <si>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</si>
  <si>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</si>
  <si>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</si>
  <si>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</si>
  <si>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</si>
  <si>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</si>
  <si>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</si>
  <si>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</si>
  <si>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</si>
  <si>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</si>
  <si>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</si>
  <si>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학성초등학교 이전 신축공사</t>
    <phoneticPr fontId="2" type="noConversion"/>
  </si>
  <si>
    <t>교육연구</t>
  </si>
  <si>
    <t>강원도</t>
  </si>
  <si>
    <t>포장공사</t>
    <phoneticPr fontId="2" type="noConversion"/>
  </si>
  <si>
    <t>조경시설물</t>
    <phoneticPr fontId="2" type="noConversion"/>
  </si>
  <si>
    <t>우수공사,오수공사</t>
    <phoneticPr fontId="2" type="noConversion"/>
  </si>
  <si>
    <t>운반비</t>
    <phoneticPr fontId="2" type="noConversion"/>
  </si>
  <si>
    <t>펌프실배관공사,기타공사</t>
    <phoneticPr fontId="2" type="noConversion"/>
  </si>
  <si>
    <t>CATV 및 TV 설비공사</t>
    <phoneticPr fontId="2" type="noConversion"/>
  </si>
  <si>
    <t>CCTV설비공사</t>
    <phoneticPr fontId="2" type="noConversion"/>
  </si>
  <si>
    <t xml:space="preserve">기타공사 </t>
    <phoneticPr fontId="2" type="noConversion"/>
  </si>
  <si>
    <t>전기인입 및 수변전 설비공사</t>
    <phoneticPr fontId="2" type="noConversion"/>
  </si>
  <si>
    <t>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</si>
  <si>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</si>
  <si>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</si>
  <si>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</si>
  <si>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기초공사,골재비및운반비,작업부산물,품질시험비,기타공사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</si>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</sst>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10165.959999999999</v>
      </c>
      <c r="D7" s="36">
        <f>+C7/3.3058</f>
        <v>3075.1890616492224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1050200</v>
      </c>
      <c r="E25" s="59">
        <f t="shared" si="0"/>
        <v>3471750</v>
      </c>
    </row>
    <row r="26" spans="1:5" x14ac:dyDescent="0.3">
      <c r="B26" s="2">
        <v>3</v>
      </c>
      <c r="C26" s="35" t="s">
        <v>95</v>
      </c>
      <c r="D26" s="45">
        <f>+D66</f>
        <v>21340</v>
      </c>
      <c r="E26" s="59">
        <f t="shared" si="0"/>
        <v>70540</v>
      </c>
    </row>
    <row r="27" spans="1:5" x14ac:dyDescent="0.3">
      <c r="B27" s="2">
        <v>4</v>
      </c>
      <c r="C27" s="35" t="s">
        <v>96</v>
      </c>
      <c r="D27" s="45">
        <f>+D95</f>
        <v>197170</v>
      </c>
      <c r="E27" s="59">
        <f t="shared" si="0"/>
        <v>651800</v>
      </c>
    </row>
    <row r="28" spans="1:5" x14ac:dyDescent="0.3">
      <c r="B28" s="2">
        <v>5</v>
      </c>
      <c r="C28" s="35" t="s">
        <v>97</v>
      </c>
      <c r="D28" s="45">
        <f>+D119</f>
        <v>196400</v>
      </c>
      <c r="E28" s="59">
        <f t="shared" si="0"/>
        <v>649250</v>
      </c>
    </row>
    <row r="29" spans="1:5" x14ac:dyDescent="0.3">
      <c r="B29" s="2">
        <v>6</v>
      </c>
      <c r="C29" s="35" t="s">
        <v>98</v>
      </c>
      <c r="D29" s="45">
        <f>+D133</f>
        <v>87900</v>
      </c>
      <c r="E29" s="59">
        <f t="shared" si="0"/>
        <v>290570</v>
      </c>
    </row>
    <row r="30" spans="1:5" x14ac:dyDescent="0.3">
      <c r="B30" s="2">
        <v>7</v>
      </c>
      <c r="C30" s="35" t="s">
        <v>99</v>
      </c>
      <c r="D30" s="45">
        <f>+D146</f>
        <v>49240</v>
      </c>
      <c r="E30" s="59">
        <f t="shared" si="0"/>
        <v>162770</v>
      </c>
    </row>
    <row r="31" spans="1:5" x14ac:dyDescent="0.3">
      <c r="B31" s="2">
        <v>8</v>
      </c>
      <c r="C31" s="35" t="s">
        <v>100</v>
      </c>
      <c r="D31" s="45">
        <f>+D154</f>
        <v>69120</v>
      </c>
      <c r="E31" s="59">
        <f t="shared" si="0"/>
        <v>228490</v>
      </c>
    </row>
    <row r="32" spans="1:5" x14ac:dyDescent="0.3">
      <c r="B32" s="2">
        <v>9</v>
      </c>
      <c r="C32" s="35" t="s">
        <v>101</v>
      </c>
      <c r="D32" s="45">
        <f>+D161</f>
        <v>34630</v>
      </c>
      <c r="E32" s="59">
        <f t="shared" si="0"/>
        <v>114470</v>
      </c>
    </row>
    <row r="33" spans="1:7" x14ac:dyDescent="0.3">
      <c r="B33" s="2">
        <v>10</v>
      </c>
      <c r="C33" s="35" t="s">
        <v>154</v>
      </c>
      <c r="D33" s="53">
        <f>TRUNC(SUM(D24:D32)*0.275,-1)</f>
        <v>469150</v>
      </c>
      <c r="E33" s="60">
        <f t="shared" si="0"/>
        <v>1550910</v>
      </c>
    </row>
    <row r="34" spans="1:7" x14ac:dyDescent="0.3">
      <c r="C34" s="35" t="s">
        <v>112</v>
      </c>
      <c r="D34" s="44">
        <f>SUM(D24:D33)</f>
        <v>2175150</v>
      </c>
      <c r="E34" s="44">
        <f>SUM(E24:E33)</f>
        <v>7190550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TRUNC(60569,-1)</f>
        <v>60560</v>
      </c>
      <c r="E40" s="62">
        <f t="shared" ref="E40:E59" si="1">TRUNC(+D40*3.3058,-1)</f>
        <v>200190</v>
      </c>
    </row>
    <row r="41" spans="1:7" x14ac:dyDescent="0.3">
      <c r="A41" s="2">
        <v>2</v>
      </c>
      <c r="C41" s="38" t="s">
        <v>13</v>
      </c>
      <c r="D41" s="42">
        <f>TRUNC(168118,-1)</f>
        <v>168110</v>
      </c>
      <c r="E41" s="63">
        <f t="shared" si="1"/>
        <v>555730</v>
      </c>
    </row>
    <row r="42" spans="1:7" x14ac:dyDescent="0.3">
      <c r="A42" s="2">
        <v>3</v>
      </c>
      <c r="C42" s="38" t="s">
        <v>14</v>
      </c>
      <c r="D42" s="42">
        <f>TRUNC(5805,-1)</f>
        <v>5800</v>
      </c>
      <c r="E42" s="63">
        <f t="shared" si="1"/>
        <v>19170</v>
      </c>
    </row>
    <row r="43" spans="1:7" x14ac:dyDescent="0.3">
      <c r="A43" s="2">
        <v>4</v>
      </c>
      <c r="C43" s="38" t="s">
        <v>16</v>
      </c>
      <c r="D43" s="42">
        <f>TRUNC(20569,-1)</f>
        <v>20560</v>
      </c>
      <c r="E43" s="63">
        <f t="shared" si="1"/>
        <v>67960</v>
      </c>
    </row>
    <row r="44" spans="1:7" x14ac:dyDescent="0.3">
      <c r="A44" s="2">
        <v>5</v>
      </c>
      <c r="C44" s="38" t="s">
        <v>17</v>
      </c>
      <c r="D44" s="42">
        <f>TRUNC(9741,-1)</f>
        <v>9740</v>
      </c>
      <c r="E44" s="63">
        <f t="shared" si="1"/>
        <v>32190</v>
      </c>
    </row>
    <row r="45" spans="1:7" x14ac:dyDescent="0.3">
      <c r="A45" s="2">
        <v>6</v>
      </c>
      <c r="C45" s="38" t="s">
        <v>18</v>
      </c>
      <c r="D45" s="42">
        <f>TRUNC(4086,-1)</f>
        <v>4080</v>
      </c>
      <c r="E45" s="63">
        <f t="shared" si="1"/>
        <v>13480</v>
      </c>
    </row>
    <row r="46" spans="1:7" x14ac:dyDescent="0.3">
      <c r="A46" s="2">
        <v>7</v>
      </c>
      <c r="C46" s="38" t="s">
        <v>19</v>
      </c>
      <c r="D46" s="42">
        <f>TRUNC(38149,-1)</f>
        <v>38140</v>
      </c>
      <c r="E46" s="63">
        <f t="shared" si="1"/>
        <v>126080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TRUNC(37544,-1)</f>
        <v>37540</v>
      </c>
      <c r="E48" s="63">
        <f t="shared" si="1"/>
        <v>124090</v>
      </c>
      <c r="F48" s="2" t="s">
        <v>261</v>
      </c>
    </row>
    <row r="49" spans="1:7" x14ac:dyDescent="0.3">
      <c r="A49" s="2">
        <v>10</v>
      </c>
      <c r="C49" s="38" t="s">
        <v>22</v>
      </c>
      <c r="D49" s="42">
        <f>TRUNC(21514,-1)</f>
        <v>21510</v>
      </c>
      <c r="E49" s="63">
        <f t="shared" si="1"/>
        <v>71100</v>
      </c>
    </row>
    <row r="50" spans="1:7" x14ac:dyDescent="0.3">
      <c r="A50" s="2">
        <v>11</v>
      </c>
      <c r="C50" s="38" t="s">
        <v>155</v>
      </c>
      <c r="D50" s="42">
        <f>TRUNC(52015,-1)</f>
        <v>52010</v>
      </c>
      <c r="E50" s="63">
        <f t="shared" si="1"/>
        <v>171930</v>
      </c>
      <c r="F50" s="2" t="s">
        <v>262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TRUNC(6741,-1)</f>
        <v>6740</v>
      </c>
      <c r="E52" s="63">
        <f t="shared" si="1"/>
        <v>22280</v>
      </c>
    </row>
    <row r="53" spans="1:7" x14ac:dyDescent="0.3">
      <c r="A53" s="2">
        <v>14</v>
      </c>
      <c r="C53" s="38" t="s">
        <v>25</v>
      </c>
      <c r="D53" s="42">
        <f>TRUNC(143932,-1)</f>
        <v>143930</v>
      </c>
      <c r="E53" s="63">
        <f t="shared" si="1"/>
        <v>475800</v>
      </c>
      <c r="F53" s="2" t="s">
        <v>263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TRUNC(3281+4078-1127+1035+14626,-1)</f>
        <v>21890</v>
      </c>
      <c r="E58" s="63">
        <f t="shared" si="1"/>
        <v>72360</v>
      </c>
      <c r="F58" s="2" t="s">
        <v>264</v>
      </c>
    </row>
    <row r="59" spans="1:7" ht="17.25" thickBot="1" x14ac:dyDescent="0.35">
      <c r="A59" s="2">
        <v>20</v>
      </c>
      <c r="C59" s="38" t="s">
        <v>148</v>
      </c>
      <c r="D59" s="43">
        <f>TRUNC(459592,-1)</f>
        <v>459590</v>
      </c>
      <c r="E59" s="64">
        <f t="shared" si="1"/>
        <v>1519310</v>
      </c>
    </row>
    <row r="60" spans="1:7" x14ac:dyDescent="0.3">
      <c r="A60" s="2">
        <v>21</v>
      </c>
      <c r="C60" s="27" t="s">
        <v>112</v>
      </c>
      <c r="D60" s="39">
        <f>SUM(D40:D59)</f>
        <v>1050200</v>
      </c>
      <c r="E60" s="39">
        <f>SUM(E40:E59)</f>
        <v>3471670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TRUNC(21343,-1)</f>
        <v>21340</v>
      </c>
      <c r="E63" s="62">
        <f>TRUNC(+D63*3.3058,-1)</f>
        <v>70540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21340</v>
      </c>
      <c r="E66" s="65">
        <f>SUM(E63:E65)</f>
        <v>70540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TRUNC(6758,-1)</f>
        <v>6750</v>
      </c>
      <c r="E69" s="62">
        <f t="shared" ref="E69:E94" si="2">TRUNC(+D69*3.3058,-1)</f>
        <v>22310</v>
      </c>
    </row>
    <row r="70" spans="1:7" ht="16.5" customHeight="1" x14ac:dyDescent="0.3">
      <c r="A70" s="2">
        <v>2</v>
      </c>
      <c r="C70" s="38" t="s">
        <v>31</v>
      </c>
      <c r="D70" s="42">
        <f>TRUNC(2720,-1)</f>
        <v>2720</v>
      </c>
      <c r="E70" s="63">
        <f t="shared" si="2"/>
        <v>8990</v>
      </c>
    </row>
    <row r="71" spans="1:7" x14ac:dyDescent="0.3">
      <c r="A71" s="2">
        <v>3</v>
      </c>
      <c r="C71" s="38" t="s">
        <v>32</v>
      </c>
      <c r="D71" s="42">
        <f>TRUNC(8283,-1)</f>
        <v>8280</v>
      </c>
      <c r="E71" s="63">
        <f t="shared" si="2"/>
        <v>27370</v>
      </c>
    </row>
    <row r="72" spans="1:7" x14ac:dyDescent="0.3">
      <c r="A72" s="2">
        <v>4</v>
      </c>
      <c r="C72" s="38" t="s">
        <v>33</v>
      </c>
      <c r="D72" s="42">
        <f>TRUNC(10082,-1)</f>
        <v>10080</v>
      </c>
      <c r="E72" s="63">
        <f t="shared" si="2"/>
        <v>33320</v>
      </c>
    </row>
    <row r="73" spans="1:7" x14ac:dyDescent="0.3">
      <c r="A73" s="2">
        <v>5</v>
      </c>
      <c r="C73" s="38" t="s">
        <v>34</v>
      </c>
      <c r="D73" s="42">
        <f>TRUNC(18433,-1)</f>
        <v>18430</v>
      </c>
      <c r="E73" s="63">
        <f t="shared" si="2"/>
        <v>60920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TRUNC(6207,-1)</f>
        <v>6200</v>
      </c>
      <c r="E89" s="63">
        <f t="shared" si="2"/>
        <v>20490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TRUNC(9498,-1)</f>
        <v>9490</v>
      </c>
      <c r="E91" s="63">
        <f t="shared" si="2"/>
        <v>31370</v>
      </c>
    </row>
    <row r="92" spans="1:7" x14ac:dyDescent="0.3">
      <c r="A92" s="2">
        <v>24</v>
      </c>
      <c r="C92" s="38" t="s">
        <v>38</v>
      </c>
      <c r="D92" s="42">
        <f>TRUNC(12432,-1)</f>
        <v>12430</v>
      </c>
      <c r="E92" s="63">
        <f t="shared" si="2"/>
        <v>41090</v>
      </c>
    </row>
    <row r="93" spans="1:7" x14ac:dyDescent="0.3">
      <c r="A93" s="2">
        <v>25</v>
      </c>
      <c r="C93" s="38" t="s">
        <v>148</v>
      </c>
      <c r="D93" s="42">
        <f>TRUNC(121526,-1)</f>
        <v>121520</v>
      </c>
      <c r="E93" s="63">
        <f t="shared" si="2"/>
        <v>401720</v>
      </c>
    </row>
    <row r="94" spans="1:7" ht="17.25" thickBot="1" x14ac:dyDescent="0.35">
      <c r="A94" s="2">
        <v>26</v>
      </c>
      <c r="C94" s="38" t="s">
        <v>47</v>
      </c>
      <c r="D94" s="43">
        <f>TRUNC(1270,-1)</f>
        <v>1270</v>
      </c>
      <c r="E94" s="64">
        <f t="shared" si="2"/>
        <v>4190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197170</v>
      </c>
      <c r="E95" s="39">
        <f>SUM(E69:E94)</f>
        <v>651770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TRUNC(16802,-1)</f>
        <v>16800</v>
      </c>
      <c r="E98" s="62">
        <f t="shared" ref="E98:E118" si="3">TRUNC(+D98*3.3058,-1)</f>
        <v>55530</v>
      </c>
    </row>
    <row r="99" spans="1:7" x14ac:dyDescent="0.3">
      <c r="A99" s="2">
        <v>2</v>
      </c>
      <c r="C99" s="38" t="s">
        <v>40</v>
      </c>
      <c r="D99" s="42">
        <f>TRUNC(5340,-1)</f>
        <v>5340</v>
      </c>
      <c r="E99" s="63">
        <f t="shared" si="3"/>
        <v>17650</v>
      </c>
    </row>
    <row r="100" spans="1:7" x14ac:dyDescent="0.3">
      <c r="A100" s="2">
        <v>3</v>
      </c>
      <c r="C100" s="38" t="s">
        <v>41</v>
      </c>
      <c r="D100" s="42">
        <f>TRUNC(33448,-1)</f>
        <v>33440</v>
      </c>
      <c r="E100" s="63">
        <f t="shared" si="3"/>
        <v>110540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TRUNC(15583,-1)</f>
        <v>15580</v>
      </c>
      <c r="E102" s="63">
        <f t="shared" si="3"/>
        <v>51500</v>
      </c>
    </row>
    <row r="103" spans="1:7" x14ac:dyDescent="0.3">
      <c r="A103" s="2">
        <v>6</v>
      </c>
      <c r="C103" s="38" t="s">
        <v>44</v>
      </c>
      <c r="D103" s="42">
        <f>TRUNC(13409,-1)</f>
        <v>13400</v>
      </c>
      <c r="E103" s="63">
        <f t="shared" si="3"/>
        <v>44290</v>
      </c>
    </row>
    <row r="104" spans="1:7" x14ac:dyDescent="0.3">
      <c r="A104" s="2">
        <v>7</v>
      </c>
      <c r="C104" s="38" t="s">
        <v>45</v>
      </c>
      <c r="D104" s="42">
        <f>TRUNC(3773,-1)</f>
        <v>3770</v>
      </c>
      <c r="E104" s="63">
        <f t="shared" si="3"/>
        <v>12460</v>
      </c>
    </row>
    <row r="105" spans="1:7" x14ac:dyDescent="0.3">
      <c r="A105" s="2">
        <v>8</v>
      </c>
      <c r="C105" s="38" t="s">
        <v>46</v>
      </c>
      <c r="D105" s="42">
        <f>TRUNC(6678,-1)</f>
        <v>6670</v>
      </c>
      <c r="E105" s="63">
        <f t="shared" si="3"/>
        <v>22040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TRUNC(3210,-1)</f>
        <v>3210</v>
      </c>
      <c r="E114" s="63">
        <f t="shared" si="3"/>
        <v>10610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TRUNC(2547,-1)</f>
        <v>2540</v>
      </c>
      <c r="E116" s="63">
        <f t="shared" si="3"/>
        <v>8390</v>
      </c>
      <c r="F116" s="2" t="s">
        <v>259</v>
      </c>
    </row>
    <row r="117" spans="1:7" x14ac:dyDescent="0.3">
      <c r="A117" s="2">
        <v>20</v>
      </c>
      <c r="C117" s="38" t="s">
        <v>148</v>
      </c>
      <c r="D117" s="42">
        <f>TRUNC(91454,-1)</f>
        <v>91450</v>
      </c>
      <c r="E117" s="63">
        <f t="shared" si="3"/>
        <v>302310</v>
      </c>
    </row>
    <row r="118" spans="1:7" ht="17.25" thickBot="1" x14ac:dyDescent="0.35">
      <c r="A118" s="2">
        <v>21</v>
      </c>
      <c r="C118" s="38" t="s">
        <v>47</v>
      </c>
      <c r="D118" s="43">
        <f>TRUNC(4206,-1)</f>
        <v>4200</v>
      </c>
      <c r="E118" s="64">
        <f t="shared" si="3"/>
        <v>13880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196400</v>
      </c>
      <c r="E119" s="39">
        <f>SUM(E98:E118)</f>
        <v>649200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TRUNC(5644,-1)</f>
        <v>5640</v>
      </c>
      <c r="E122" s="62">
        <f t="shared" ref="E122:E132" si="4">TRUNC(+D122*3.3058,-1)</f>
        <v>18640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TRUNC(2198,-1)</f>
        <v>2190</v>
      </c>
      <c r="E124" s="63">
        <f t="shared" si="4"/>
        <v>7230</v>
      </c>
    </row>
    <row r="125" spans="1:7" x14ac:dyDescent="0.3">
      <c r="A125" s="2">
        <v>4</v>
      </c>
      <c r="C125" s="38" t="s">
        <v>138</v>
      </c>
      <c r="D125" s="42">
        <f>TRUNC(11760,-1)</f>
        <v>11760</v>
      </c>
      <c r="E125" s="63">
        <f t="shared" si="4"/>
        <v>38870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TRUNC(5416,-1)</f>
        <v>5410</v>
      </c>
      <c r="E128" s="63">
        <f t="shared" si="4"/>
        <v>17880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TRUNC(10739,-1)</f>
        <v>10730</v>
      </c>
      <c r="E130" s="63">
        <f t="shared" si="4"/>
        <v>35470</v>
      </c>
    </row>
    <row r="131" spans="1:7" x14ac:dyDescent="0.3">
      <c r="A131" s="2">
        <v>10</v>
      </c>
      <c r="C131" s="38" t="s">
        <v>148</v>
      </c>
      <c r="D131" s="42">
        <f>TRUNC(46131,-1)</f>
        <v>46130</v>
      </c>
      <c r="E131" s="63">
        <f t="shared" si="4"/>
        <v>152490</v>
      </c>
    </row>
    <row r="132" spans="1:7" ht="18" thickBot="1" x14ac:dyDescent="0.35">
      <c r="A132" s="2">
        <v>11</v>
      </c>
      <c r="C132" s="38" t="s">
        <v>47</v>
      </c>
      <c r="D132" s="43">
        <f>TRUNC(6044,-1)</f>
        <v>6040</v>
      </c>
      <c r="E132" s="64">
        <f t="shared" si="4"/>
        <v>19960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87900</v>
      </c>
      <c r="E133" s="39">
        <f>SUM(E122:E132)</f>
        <v>290540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TRUNC(3653+325,-1)</f>
        <v>3970</v>
      </c>
      <c r="E137" s="63">
        <f t="shared" si="5"/>
        <v>13120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TRUNC(2555,-1)</f>
        <v>2550</v>
      </c>
      <c r="E139" s="63">
        <f t="shared" si="5"/>
        <v>8420</v>
      </c>
    </row>
    <row r="140" spans="1:7" x14ac:dyDescent="0.3">
      <c r="A140" s="2">
        <v>5</v>
      </c>
      <c r="C140" s="38" t="s">
        <v>57</v>
      </c>
      <c r="D140" s="42">
        <f>TRUNC(1293,-1)</f>
        <v>1290</v>
      </c>
      <c r="E140" s="63">
        <f t="shared" si="5"/>
        <v>4260</v>
      </c>
    </row>
    <row r="141" spans="1:7" x14ac:dyDescent="0.3">
      <c r="A141" s="2">
        <v>6</v>
      </c>
      <c r="C141" s="38" t="s">
        <v>59</v>
      </c>
      <c r="D141" s="42">
        <f>TRUNC(10601,-1)</f>
        <v>10600</v>
      </c>
      <c r="E141" s="63">
        <f t="shared" si="5"/>
        <v>35040</v>
      </c>
    </row>
    <row r="142" spans="1:7" x14ac:dyDescent="0.3">
      <c r="A142" s="2">
        <v>7</v>
      </c>
      <c r="C142" s="38" t="s">
        <v>58</v>
      </c>
      <c r="D142" s="42">
        <f>TRUNC(5679,-1)</f>
        <v>5670</v>
      </c>
      <c r="E142" s="63">
        <f t="shared" si="5"/>
        <v>18740</v>
      </c>
    </row>
    <row r="143" spans="1:7" x14ac:dyDescent="0.3">
      <c r="A143" s="2">
        <v>8</v>
      </c>
      <c r="C143" s="38" t="s">
        <v>62</v>
      </c>
      <c r="D143" s="42">
        <f>TRUNC(6678,-1)</f>
        <v>6670</v>
      </c>
      <c r="E143" s="63">
        <f t="shared" si="5"/>
        <v>22040</v>
      </c>
    </row>
    <row r="144" spans="1:7" x14ac:dyDescent="0.3">
      <c r="A144" s="2">
        <v>9</v>
      </c>
      <c r="C144" s="38" t="s">
        <v>63</v>
      </c>
      <c r="D144" s="42">
        <f>TRUNC(18496,-1)</f>
        <v>18490</v>
      </c>
      <c r="E144" s="63">
        <f t="shared" si="5"/>
        <v>61120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49240</v>
      </c>
      <c r="E146" s="39">
        <f>SUM(E136:E145)</f>
        <v>162740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TRUNC(9636+2948,-1)</f>
        <v>12580</v>
      </c>
      <c r="E149" s="62">
        <f>TRUNC(+D149*3.3058,-1)</f>
        <v>41580</v>
      </c>
      <c r="F149" s="2" t="s">
        <v>253</v>
      </c>
    </row>
    <row r="150" spans="1:7" x14ac:dyDescent="0.3">
      <c r="A150" s="2">
        <v>2</v>
      </c>
      <c r="C150" s="38" t="s">
        <v>49</v>
      </c>
      <c r="D150" s="42">
        <f>TRUNC(14759,-1)</f>
        <v>14750</v>
      </c>
      <c r="E150" s="63">
        <f>TRUNC(+D150*3.3058,-1)</f>
        <v>48760</v>
      </c>
    </row>
    <row r="151" spans="1:7" x14ac:dyDescent="0.3">
      <c r="A151" s="2">
        <v>3</v>
      </c>
      <c r="C151" s="38" t="s">
        <v>50</v>
      </c>
      <c r="D151" s="42">
        <f>TRUNC(6366,-1)</f>
        <v>6360</v>
      </c>
      <c r="E151" s="63">
        <f>TRUNC(+D151*3.3058,-1)</f>
        <v>21020</v>
      </c>
    </row>
    <row r="152" spans="1:7" x14ac:dyDescent="0.3">
      <c r="A152" s="2">
        <v>4</v>
      </c>
      <c r="C152" s="38" t="s">
        <v>47</v>
      </c>
      <c r="D152" s="42">
        <f>TRUNC(176,-1)</f>
        <v>170</v>
      </c>
      <c r="E152" s="63">
        <f>TRUNC(+D152*3.3058,-1)</f>
        <v>560</v>
      </c>
      <c r="F152" s="2" t="s">
        <v>254</v>
      </c>
    </row>
    <row r="153" spans="1:7" ht="17.25" thickBot="1" x14ac:dyDescent="0.35">
      <c r="A153" s="2">
        <v>5</v>
      </c>
      <c r="C153" s="38" t="s">
        <v>148</v>
      </c>
      <c r="D153" s="43">
        <f>TRUNC(35264,-1)</f>
        <v>35260</v>
      </c>
      <c r="E153" s="64">
        <f>TRUNC(+D153*3.3058,-1)</f>
        <v>116560</v>
      </c>
    </row>
    <row r="154" spans="1:7" x14ac:dyDescent="0.3">
      <c r="A154" s="2">
        <v>6</v>
      </c>
      <c r="C154" s="27" t="s">
        <v>112</v>
      </c>
      <c r="D154" s="39">
        <f>SUM(D149:D153)</f>
        <v>69120</v>
      </c>
      <c r="E154" s="39">
        <f>SUM(E149:E153)</f>
        <v>228480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TRUNC(20296,-1)</f>
        <v>20290</v>
      </c>
      <c r="E157" s="62">
        <f>TRUNC(+D157*3.3058,-1)</f>
        <v>67070</v>
      </c>
    </row>
    <row r="158" spans="1:7" x14ac:dyDescent="0.3">
      <c r="A158" s="2">
        <v>2</v>
      </c>
      <c r="C158" s="38" t="s">
        <v>52</v>
      </c>
      <c r="D158" s="42">
        <f>TRUNC(2499,-1)</f>
        <v>2490</v>
      </c>
      <c r="E158" s="63">
        <f>TRUNC(+D158*3.3058,-1)</f>
        <v>8230</v>
      </c>
      <c r="F158" s="2" t="s">
        <v>252</v>
      </c>
    </row>
    <row r="159" spans="1:7" x14ac:dyDescent="0.3">
      <c r="A159" s="2">
        <v>3</v>
      </c>
      <c r="C159" s="38" t="s">
        <v>47</v>
      </c>
      <c r="D159" s="42">
        <f>TRUNC(1264,-1)</f>
        <v>1260</v>
      </c>
      <c r="E159" s="63">
        <f>TRUNC(+D159*3.3058,-1)</f>
        <v>4160</v>
      </c>
      <c r="F159" s="2" t="s">
        <v>251</v>
      </c>
    </row>
    <row r="160" spans="1:7" ht="17.25" thickBot="1" x14ac:dyDescent="0.35">
      <c r="A160" s="2">
        <v>4</v>
      </c>
      <c r="C160" s="38" t="s">
        <v>148</v>
      </c>
      <c r="D160" s="43">
        <f>TRUNC(10597,-1)</f>
        <v>10590</v>
      </c>
      <c r="E160" s="64">
        <f>TRUNC(+D160*3.3058,-1)</f>
        <v>35000</v>
      </c>
    </row>
    <row r="161" spans="1:5" x14ac:dyDescent="0.3">
      <c r="A161" s="2">
        <v>5</v>
      </c>
      <c r="C161" s="27" t="s">
        <v>112</v>
      </c>
      <c r="D161" s="39">
        <f>SUM(D157:D160)</f>
        <v>34630</v>
      </c>
      <c r="E161" s="39">
        <f>SUM(E157:E160)</f>
        <v>114460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2020-12-08T02:55:50Z</dcterms:modified>
</cp:coreProperties>
</file>