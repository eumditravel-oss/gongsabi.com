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9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100" i="4"/>
  <c r="D99" i="4"/>
  <c r="D93" i="4"/>
  <c r="D92" i="4"/>
  <c r="D90" i="4"/>
  <c r="D89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<sst xmlns="http://schemas.openxmlformats.org/spreadsheetml/2006/main" count="395" uniqueCount="269">
  <si>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</si>
  <si>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</si>
  <si>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</si>
  <si>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</si>
  <si>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</si>
  <si>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</si>
  <si>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</si>
  <si>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</si>
  <si>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</si>
  <si>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</si>
  <si>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</si>
  <si>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</si>
  <si>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</si>
  <si>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</si>
  <si>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</si>
  <si>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</si>
  <si>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</si>
  <si>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</si>
  <si>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</si>
  <si>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</si>
  <si>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</si>
  <si>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</si>
  <si>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</si>
  <si>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</si>
  <si>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</si>
  <si>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</si>
  <si>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</si>
  <si>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</si>
  <si>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</si>
  <si>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</si>
  <si>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</si>
  <si>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</si>
  <si>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</si>
  <si>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</si>
  <si>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</si>
  <si>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</si>
  <si>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</si>
  <si>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</si>
  <si>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</si>
  <si>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</si>
  <si>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</si>
  <si>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</si>
  <si>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</si>
  <si>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</si>
  <si>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</si>
  <si>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</si>
  <si>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</si>
  <si>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</si>
  <si>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</si>
  <si>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</si>
  <si>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</si>
  <si>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</si>
  <si>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</si>
  <si>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</si>
  <si>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</si>
  <si>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</si>
  <si>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</si>
  <si>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</si>
  <si>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</si>
  <si>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</si>
  <si>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</si>
  <si>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</si>
  <si>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</si>
  <si>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</si>
  <si>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</si>
  <si>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</si>
  <si>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</si>
  <si>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</si>
  <si>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</si>
  <si>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</si>
  <si>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</si>
  <si>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</si>
  <si>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</si>
  <si>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</si>
  <si>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</si>
  <si>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</si>
  <si>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</si>
  <si>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</si>
  <si>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</si>
  <si>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</si>
  <si>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</si>
  <si>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</si>
  <si>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</si>
  <si>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</si>
  <si>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</si>
  <si>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</si>
  <si>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</si>
  <si>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</si>
  <si>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</si>
  <si>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</si>
  <si>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</si>
  <si>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</si>
  <si>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</si>
  <si>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</si>
  <si>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</si>
  <si>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</si>
  <si>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</si>
  <si>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</si>
  <si>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</si>
  <si>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</si>
  <si>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</si>
  <si>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</si>
  <si>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</si>
  <si>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</si>
  <si>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</si>
  <si>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</si>
  <si>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</si>
  <si>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</si>
  <si>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</si>
  <si>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</si>
  <si>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</si>
  <si>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</si>
  <si>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</si>
  <si>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</si>
  <si>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</si>
  <si>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</si>
  <si>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</si>
  <si>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</si>
  <si>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</si>
  <si>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</si>
  <si>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</si>
  <si>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</si>
  <si>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</si>
  <si>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</si>
  <si>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</si>
  <si>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</si>
  <si>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</si>
  <si>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</si>
  <si>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</si>
  <si>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</si>
  <si>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</si>
  <si>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</si>
  <si>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</si>
  <si>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</si>
  <si>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</si>
  <si>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</si>
  <si>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</si>
  <si>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</si>
  <si>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</si>
  <si>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</si>
  <si>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</si>
  <si>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</si>
  <si>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</si>
  <si>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</si>
  <si>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</si>
  <si>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</si>
  <si>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</si>
  <si>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</si>
  <si>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</si>
  <si>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</si>
  <si>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</si>
  <si>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</si>
  <si>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</si>
  <si>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</si>
  <si>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</si>
  <si>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</si>
  <si>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</si>
  <si>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</si>
  <si>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</si>
  <si>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</si>
  <si>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</si>
  <si>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</si>
  <si>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</si>
  <si>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</si>
  <si>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</si>
  <si>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</si>
  <si>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</si>
  <si>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</si>
  <si>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</si>
  <si>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</si>
  <si>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</si>
  <si>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</si>
  <si>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</si>
  <si>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</si>
  <si>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</si>
  <si>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</si>
  <si>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</si>
  <si>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</si>
  <si>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</si>
  <si>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</si>
  <si>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</si>
  <si>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</si>
  <si>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</si>
  <si>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</si>
  <si>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</si>
  <si>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</si>
  <si>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</si>
  <si>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</si>
  <si>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</si>
  <si>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</si>
  <si>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</si>
  <si>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</si>
  <si>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</si>
  <si>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</si>
  <si>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</si>
  <si>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</si>
  <si>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</si>
  <si>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</si>
  <si>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</si>
  <si>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</si>
  <si>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</si>
  <si>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</si>
  <si>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</si>
  <si>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</si>
  <si>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</si>
  <si>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</si>
  <si>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</si>
  <si>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</si>
  <si>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</si>
  <si>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</si>
  <si>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</si>
  <si>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</si>
  <si>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</si>
  <si>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</si>
  <si>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</si>
  <si>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</si>
  <si>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</si>
  <si>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</si>
  <si>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</si>
  <si>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</si>
  <si>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</si>
  <si>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</si>
  <si>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</si>
  <si>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</si>
  <si>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</si>
  <si>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</si>
  <si>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</si>
  <si>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</si>
  <si>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</si>
  <si>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</si>
  <si>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</si>
  <si>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</si>
  <si>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</si>
  <si>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</si>
  <si>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</si>
  <si>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</si>
  <si>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</si>
  <si>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</si>
  <si>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</si>
  <si>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</si>
  <si>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</si>
  <si>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</si>
  <si>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</si>
  <si>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</si>
  <si>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</si>
  <si>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</si>
  <si>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</si>
  <si>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</si>
  <si>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</si>
  <si>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경남경찰청 신관 증축공사</t>
    <phoneticPr fontId="2" type="noConversion"/>
  </si>
  <si>
    <t>경상도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</si>
  <si>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</si>
  <si>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</si>
  <si>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</si>
  <si>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해체및철거공사,골재비및운반비,기타공사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</si>
  <si>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</si>
  <si>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</si>
  <si>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</si>
  <si>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</si>
  <si>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  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</si>
  <si>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</si>
  <si>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</si>
  <si>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</si>
  <si>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</si>
  <si>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바닥난방공사, 공조배관공사,난방배관공사,우수처리시설공사,기타공사</t>
    <phoneticPr fontId="2" type="noConversion"/>
  </si>
  <si>
    <t>건축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</si>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</sst>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15810.72</v>
      </c>
      <c r="D7" s="36">
        <f>+C7/3.3058</f>
        <v>4782.72127775425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834240</v>
      </c>
      <c r="E25" s="59">
        <f t="shared" si="0"/>
        <v>2757830</v>
      </c>
    </row>
    <row r="26" spans="1:5" x14ac:dyDescent="0.3">
      <c r="B26" s="2">
        <v>3</v>
      </c>
      <c r="C26" s="35" t="s">
        <v>95</v>
      </c>
      <c r="D26" s="45">
        <f>+D66</f>
        <v>47640</v>
      </c>
      <c r="E26" s="59">
        <f t="shared" si="0"/>
        <v>157480</v>
      </c>
    </row>
    <row r="27" spans="1:5" x14ac:dyDescent="0.3">
      <c r="B27" s="2">
        <v>4</v>
      </c>
      <c r="C27" s="35" t="s">
        <v>96</v>
      </c>
      <c r="D27" s="45">
        <f>+D95</f>
        <v>345000</v>
      </c>
      <c r="E27" s="59">
        <f t="shared" si="0"/>
        <v>1140500</v>
      </c>
    </row>
    <row r="28" spans="1:5" x14ac:dyDescent="0.3">
      <c r="B28" s="2">
        <v>5</v>
      </c>
      <c r="C28" s="35" t="s">
        <v>97</v>
      </c>
      <c r="D28" s="45">
        <f>+D119</f>
        <v>170590</v>
      </c>
      <c r="E28" s="59">
        <f t="shared" si="0"/>
        <v>563930</v>
      </c>
    </row>
    <row r="29" spans="1:5" x14ac:dyDescent="0.3">
      <c r="B29" s="2">
        <v>6</v>
      </c>
      <c r="C29" s="35" t="s">
        <v>98</v>
      </c>
      <c r="D29" s="45">
        <f>+D133</f>
        <v>116150</v>
      </c>
      <c r="E29" s="59">
        <f t="shared" si="0"/>
        <v>383960</v>
      </c>
    </row>
    <row r="30" spans="1:5" x14ac:dyDescent="0.3">
      <c r="B30" s="2">
        <v>7</v>
      </c>
      <c r="C30" s="35" t="s">
        <v>99</v>
      </c>
      <c r="D30" s="45">
        <f>+D146</f>
        <v>56780</v>
      </c>
      <c r="E30" s="59">
        <f t="shared" si="0"/>
        <v>187700</v>
      </c>
    </row>
    <row r="31" spans="1:5" x14ac:dyDescent="0.3">
      <c r="B31" s="2">
        <v>8</v>
      </c>
      <c r="C31" s="35" t="s">
        <v>100</v>
      </c>
      <c r="D31" s="45">
        <f>+D154</f>
        <v>28450</v>
      </c>
      <c r="E31" s="59">
        <f t="shared" si="0"/>
        <v>94050</v>
      </c>
    </row>
    <row r="32" spans="1:5" x14ac:dyDescent="0.3">
      <c r="B32" s="2">
        <v>9</v>
      </c>
      <c r="C32" s="35" t="s">
        <v>101</v>
      </c>
      <c r="D32" s="45">
        <f>+D161</f>
        <v>22530</v>
      </c>
      <c r="E32" s="59">
        <f t="shared" si="0"/>
        <v>74470</v>
      </c>
    </row>
    <row r="33" spans="1:7" x14ac:dyDescent="0.3">
      <c r="B33" s="2">
        <v>10</v>
      </c>
      <c r="C33" s="35" t="s">
        <v>154</v>
      </c>
      <c r="D33" s="53">
        <f>TRUNC(SUM(D24:D32)*0.275,-1)</f>
        <v>445870</v>
      </c>
      <c r="E33" s="60">
        <f t="shared" si="0"/>
        <v>1473950</v>
      </c>
    </row>
    <row r="34" spans="1:7" x14ac:dyDescent="0.3">
      <c r="C34" s="35" t="s">
        <v>112</v>
      </c>
      <c r="D34" s="44">
        <f>SUM(D24:D33)</f>
        <v>2067250</v>
      </c>
      <c r="E34" s="44">
        <f>SUM(E24:E33)</f>
        <v>6833870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238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TRUNC(56861,-1)</f>
        <v>56860</v>
      </c>
      <c r="E40" s="62">
        <f t="shared" ref="E40:E59" si="1">TRUNC(+D40*3.3058,-1)</f>
        <v>187960</v>
      </c>
    </row>
    <row r="41" spans="1:7" x14ac:dyDescent="0.3">
      <c r="A41" s="2">
        <v>2</v>
      </c>
      <c r="C41" s="38" t="s">
        <v>13</v>
      </c>
      <c r="D41" s="42">
        <f>TRUNC(123205,-1)</f>
        <v>123200</v>
      </c>
      <c r="E41" s="63">
        <f t="shared" si="1"/>
        <v>407270</v>
      </c>
    </row>
    <row r="42" spans="1:7" x14ac:dyDescent="0.3">
      <c r="A42" s="2">
        <v>3</v>
      </c>
      <c r="C42" s="38" t="s">
        <v>14</v>
      </c>
      <c r="D42" s="42">
        <f>TRUNC(11211,-1)</f>
        <v>11210</v>
      </c>
      <c r="E42" s="63">
        <f t="shared" si="1"/>
        <v>37050</v>
      </c>
    </row>
    <row r="43" spans="1:7" x14ac:dyDescent="0.3">
      <c r="A43" s="2">
        <v>4</v>
      </c>
      <c r="C43" s="38" t="s">
        <v>16</v>
      </c>
      <c r="D43" s="42">
        <f>TRUNC(15716,-1)</f>
        <v>15710</v>
      </c>
      <c r="E43" s="63">
        <f t="shared" si="1"/>
        <v>51930</v>
      </c>
    </row>
    <row r="44" spans="1:7" x14ac:dyDescent="0.3">
      <c r="A44" s="2">
        <v>5</v>
      </c>
      <c r="C44" s="38" t="s">
        <v>17</v>
      </c>
      <c r="D44" s="42">
        <f>TRUNC(25714,-1)</f>
        <v>25710</v>
      </c>
      <c r="E44" s="63">
        <f t="shared" si="1"/>
        <v>84990</v>
      </c>
    </row>
    <row r="45" spans="1:7" x14ac:dyDescent="0.3">
      <c r="A45" s="2">
        <v>6</v>
      </c>
      <c r="C45" s="38" t="s">
        <v>18</v>
      </c>
      <c r="D45" s="42">
        <f>TRUNC(6992,-1)</f>
        <v>6990</v>
      </c>
      <c r="E45" s="63">
        <f t="shared" si="1"/>
        <v>23100</v>
      </c>
    </row>
    <row r="46" spans="1:7" x14ac:dyDescent="0.3">
      <c r="A46" s="2">
        <v>7</v>
      </c>
      <c r="C46" s="38" t="s">
        <v>19</v>
      </c>
      <c r="D46" s="42">
        <f>TRUNC(28085,-1)</f>
        <v>28080</v>
      </c>
      <c r="E46" s="63">
        <f t="shared" si="1"/>
        <v>92820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TRUNC(36561,-1)</f>
        <v>36560</v>
      </c>
      <c r="E48" s="63">
        <f t="shared" si="1"/>
        <v>120860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TRUNC(6659,-1)</f>
        <v>6650</v>
      </c>
      <c r="E49" s="63">
        <f t="shared" si="1"/>
        <v>21980</v>
      </c>
    </row>
    <row r="50" spans="1:7" x14ac:dyDescent="0.3">
      <c r="A50" s="2">
        <v>11</v>
      </c>
      <c r="C50" s="38" t="s">
        <v>155</v>
      </c>
      <c r="D50" s="42">
        <f>TRUNC(51498,-1)</f>
        <v>51490</v>
      </c>
      <c r="E50" s="63">
        <f t="shared" si="1"/>
        <v>170210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TRUNC(10323,-1)</f>
        <v>10320</v>
      </c>
      <c r="E52" s="63">
        <f t="shared" si="1"/>
        <v>34110</v>
      </c>
    </row>
    <row r="53" spans="1:7" x14ac:dyDescent="0.3">
      <c r="A53" s="2">
        <v>14</v>
      </c>
      <c r="C53" s="38" t="s">
        <v>25</v>
      </c>
      <c r="D53" s="42">
        <f>TRUNC(66885,-1)</f>
        <v>66880</v>
      </c>
      <c r="E53" s="63">
        <f t="shared" si="1"/>
        <v>221090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TRUNC(2949+1175+8449,-1)</f>
        <v>12570</v>
      </c>
      <c r="E58" s="63">
        <f t="shared" si="1"/>
        <v>41550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TRUNC(382012,-1)</f>
        <v>382010</v>
      </c>
      <c r="E59" s="64">
        <f t="shared" si="1"/>
        <v>1262840</v>
      </c>
    </row>
    <row r="60" spans="1:7" x14ac:dyDescent="0.3">
      <c r="A60" s="2">
        <v>21</v>
      </c>
      <c r="C60" s="27" t="s">
        <v>112</v>
      </c>
      <c r="D60" s="39">
        <f>SUM(D40:D59)</f>
        <v>834240</v>
      </c>
      <c r="E60" s="39">
        <f>SUM(E40:E59)</f>
        <v>2757760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TRUNC(20827,-1)</f>
        <v>20820</v>
      </c>
      <c r="E63" s="62">
        <f>TRUNC(+D63*3.3058,-1)</f>
        <v>68820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TRUNC(26823,-1)</f>
        <v>26820</v>
      </c>
      <c r="E65" s="64">
        <f>TRUNC(+D65*3.3058,-1)</f>
        <v>88660</v>
      </c>
    </row>
    <row r="66" spans="1:7" x14ac:dyDescent="0.3">
      <c r="A66" s="2">
        <v>4</v>
      </c>
      <c r="C66" s="27" t="s">
        <v>112</v>
      </c>
      <c r="D66" s="39">
        <f>SUM(D63:D65)</f>
        <v>47640</v>
      </c>
      <c r="E66" s="65">
        <f>SUM(E63:E65)</f>
        <v>157480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TRUNC(15304,-1)</f>
        <v>15300</v>
      </c>
      <c r="E69" s="62">
        <f t="shared" ref="E69:E94" si="2">TRUNC(+D69*3.3058,-1)</f>
        <v>50570</v>
      </c>
    </row>
    <row r="70" spans="1:7" ht="16.5" customHeight="1" x14ac:dyDescent="0.3">
      <c r="A70" s="2">
        <v>2</v>
      </c>
      <c r="C70" s="38" t="s">
        <v>31</v>
      </c>
      <c r="D70" s="42">
        <f>TRUNC(43,-1)</f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f>TRUNC(10433,-1)</f>
        <v>10430</v>
      </c>
      <c r="E71" s="63">
        <f t="shared" si="2"/>
        <v>34470</v>
      </c>
    </row>
    <row r="72" spans="1:7" x14ac:dyDescent="0.3">
      <c r="A72" s="2">
        <v>4</v>
      </c>
      <c r="C72" s="38" t="s">
        <v>33</v>
      </c>
      <c r="D72" s="42">
        <f>TRUNC(1529,-1)</f>
        <v>1520</v>
      </c>
      <c r="E72" s="63">
        <f t="shared" si="2"/>
        <v>5020</v>
      </c>
    </row>
    <row r="73" spans="1:7" x14ac:dyDescent="0.3">
      <c r="A73" s="2">
        <v>5</v>
      </c>
      <c r="C73" s="38" t="s">
        <v>34</v>
      </c>
      <c r="D73" s="42">
        <f>TRUNC(8061,-1)</f>
        <v>8060</v>
      </c>
      <c r="E73" s="63">
        <f t="shared" si="2"/>
        <v>26640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TRUNC(3767,-1)</f>
        <v>3760</v>
      </c>
      <c r="E75" s="63">
        <f t="shared" si="2"/>
        <v>12420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TRUNC(9255,-1)</f>
        <v>9250</v>
      </c>
      <c r="E89" s="63">
        <f t="shared" si="2"/>
        <v>30570</v>
      </c>
    </row>
    <row r="90" spans="1:7" x14ac:dyDescent="0.3">
      <c r="A90" s="2">
        <v>22</v>
      </c>
      <c r="C90" s="38" t="s">
        <v>36</v>
      </c>
      <c r="D90" s="42">
        <f>TRUNC(758,-1)</f>
        <v>750</v>
      </c>
      <c r="E90" s="63">
        <f t="shared" si="2"/>
        <v>2470</v>
      </c>
    </row>
    <row r="91" spans="1:7" x14ac:dyDescent="0.3">
      <c r="A91" s="2">
        <v>23</v>
      </c>
      <c r="C91" s="38" t="s">
        <v>37</v>
      </c>
      <c r="D91" s="42">
        <v>43070</v>
      </c>
      <c r="E91" s="63">
        <f t="shared" si="2"/>
        <v>142380</v>
      </c>
    </row>
    <row r="92" spans="1:7" x14ac:dyDescent="0.3">
      <c r="A92" s="2">
        <v>24</v>
      </c>
      <c r="C92" s="38" t="s">
        <v>38</v>
      </c>
      <c r="D92" s="42">
        <f>TRUNC(4352,-1)</f>
        <v>4350</v>
      </c>
      <c r="E92" s="63">
        <f t="shared" si="2"/>
        <v>14380</v>
      </c>
    </row>
    <row r="93" spans="1:7" x14ac:dyDescent="0.3">
      <c r="A93" s="2">
        <v>25</v>
      </c>
      <c r="C93" s="38" t="s">
        <v>148</v>
      </c>
      <c r="D93" s="42">
        <f>TRUNC(232198,-1)</f>
        <v>232190</v>
      </c>
      <c r="E93" s="63">
        <f t="shared" si="2"/>
        <v>767570</v>
      </c>
    </row>
    <row r="94" spans="1:7" ht="17.25" thickBot="1" x14ac:dyDescent="0.35">
      <c r="A94" s="2">
        <v>26</v>
      </c>
      <c r="C94" s="38" t="s">
        <v>47</v>
      </c>
      <c r="D94" s="43">
        <f>TRUNC(1087+8673+1170+3234+2124,-1)</f>
        <v>16280</v>
      </c>
      <c r="E94" s="64">
        <f t="shared" si="2"/>
        <v>53810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345000</v>
      </c>
      <c r="E95" s="39">
        <f>SUM(E69:E94)</f>
        <v>1140430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17040</v>
      </c>
      <c r="E98" s="62">
        <f t="shared" ref="E98:E118" si="3">TRUNC(+D98*3.3058,-1)</f>
        <v>56330</v>
      </c>
    </row>
    <row r="99" spans="1:7" x14ac:dyDescent="0.3">
      <c r="A99" s="2">
        <v>2</v>
      </c>
      <c r="C99" s="38" t="s">
        <v>40</v>
      </c>
      <c r="D99" s="42">
        <f>TRUNC(12121,-1)</f>
        <v>12120</v>
      </c>
      <c r="E99" s="63">
        <f t="shared" si="3"/>
        <v>40060</v>
      </c>
    </row>
    <row r="100" spans="1:7" x14ac:dyDescent="0.3">
      <c r="A100" s="2">
        <v>3</v>
      </c>
      <c r="C100" s="38" t="s">
        <v>41</v>
      </c>
      <c r="D100" s="42">
        <f>TRUNC(29689,-1)</f>
        <v>29680</v>
      </c>
      <c r="E100" s="63">
        <f t="shared" si="3"/>
        <v>98110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TRUNC(12376,-1)</f>
        <v>12370</v>
      </c>
      <c r="E102" s="63">
        <f t="shared" si="3"/>
        <v>40890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TRUNC(2332,-1)</f>
        <v>2330</v>
      </c>
      <c r="E104" s="63">
        <f t="shared" si="3"/>
        <v>7700</v>
      </c>
    </row>
    <row r="105" spans="1:7" x14ac:dyDescent="0.3">
      <c r="A105" s="2">
        <v>8</v>
      </c>
      <c r="C105" s="38" t="s">
        <v>46</v>
      </c>
      <c r="D105" s="42">
        <f>TRUNC(6395,-1)</f>
        <v>6390</v>
      </c>
      <c r="E105" s="63">
        <f t="shared" si="3"/>
        <v>21120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TRUNC(2257,-1)</f>
        <v>2250</v>
      </c>
      <c r="E114" s="63">
        <f t="shared" si="3"/>
        <v>7430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TRUNC(4801,-1)</f>
        <v>4800</v>
      </c>
      <c r="E116" s="63">
        <f t="shared" si="3"/>
        <v>15860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TRUNC(81612,-1)</f>
        <v>81610</v>
      </c>
      <c r="E117" s="63">
        <f t="shared" si="3"/>
        <v>269780</v>
      </c>
    </row>
    <row r="118" spans="1:7" ht="17.25" thickBot="1" x14ac:dyDescent="0.35">
      <c r="A118" s="2">
        <v>21</v>
      </c>
      <c r="C118" s="38" t="s">
        <v>47</v>
      </c>
      <c r="D118" s="43">
        <f>TRUNC(2006,-1)</f>
        <v>2000</v>
      </c>
      <c r="E118" s="64">
        <f t="shared" si="3"/>
        <v>6610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170590</v>
      </c>
      <c r="E119" s="39">
        <f>SUM(E98:E118)</f>
        <v>563890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TRUNC(3426,-1)</f>
        <v>3420</v>
      </c>
      <c r="E122" s="62">
        <f t="shared" ref="E122:E132" si="4">TRUNC(+D122*3.3058,-1)</f>
        <v>11300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TRUNC(961,-1)</f>
        <v>960</v>
      </c>
      <c r="E124" s="63">
        <f t="shared" si="4"/>
        <v>3170</v>
      </c>
    </row>
    <row r="125" spans="1:7" x14ac:dyDescent="0.3">
      <c r="A125" s="2">
        <v>4</v>
      </c>
      <c r="C125" s="38" t="s">
        <v>138</v>
      </c>
      <c r="D125" s="42">
        <f>TRUNC(6748,-1)</f>
        <v>6740</v>
      </c>
      <c r="E125" s="63">
        <f t="shared" si="4"/>
        <v>22280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TRUNC(5298,-1)</f>
        <v>5290</v>
      </c>
      <c r="E127" s="63">
        <f t="shared" si="4"/>
        <v>17480</v>
      </c>
    </row>
    <row r="128" spans="1:7" x14ac:dyDescent="0.3">
      <c r="A128" s="2">
        <v>7</v>
      </c>
      <c r="C128" s="38" t="s">
        <v>46</v>
      </c>
      <c r="D128" s="42">
        <f>TRUNC(6368,-1)</f>
        <v>6360</v>
      </c>
      <c r="E128" s="63">
        <f t="shared" si="4"/>
        <v>21020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TRUNC(43055,-1)</f>
        <v>43050</v>
      </c>
      <c r="E130" s="63">
        <f t="shared" si="4"/>
        <v>142310</v>
      </c>
    </row>
    <row r="131" spans="1:7" x14ac:dyDescent="0.3">
      <c r="A131" s="2">
        <v>10</v>
      </c>
      <c r="C131" s="38" t="s">
        <v>148</v>
      </c>
      <c r="D131" s="42">
        <v>44760</v>
      </c>
      <c r="E131" s="63">
        <f t="shared" si="4"/>
        <v>147960</v>
      </c>
    </row>
    <row r="132" spans="1:7" ht="18" thickBot="1" x14ac:dyDescent="0.35">
      <c r="A132" s="2">
        <v>11</v>
      </c>
      <c r="C132" s="38" t="s">
        <v>47</v>
      </c>
      <c r="D132" s="43">
        <f>TRUNC(3774+519+1283,-1)</f>
        <v>5570</v>
      </c>
      <c r="E132" s="64">
        <f t="shared" si="4"/>
        <v>18410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116150</v>
      </c>
      <c r="E133" s="39">
        <f>SUM(E122:E132)</f>
        <v>383930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TRUNC(179+1064+4406+2846,-1)</f>
        <v>8490</v>
      </c>
      <c r="E137" s="63">
        <f t="shared" si="5"/>
        <v>28060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TRUNC(2592,-1)</f>
        <v>2590</v>
      </c>
      <c r="E139" s="63">
        <f t="shared" si="5"/>
        <v>8560</v>
      </c>
    </row>
    <row r="140" spans="1:7" x14ac:dyDescent="0.3">
      <c r="A140" s="2">
        <v>5</v>
      </c>
      <c r="C140" s="38" t="s">
        <v>57</v>
      </c>
      <c r="D140" s="42">
        <f>TRUNC(474,-1)</f>
        <v>470</v>
      </c>
      <c r="E140" s="63">
        <f t="shared" si="5"/>
        <v>1550</v>
      </c>
    </row>
    <row r="141" spans="1:7" x14ac:dyDescent="0.3">
      <c r="A141" s="2">
        <v>6</v>
      </c>
      <c r="C141" s="38" t="s">
        <v>59</v>
      </c>
      <c r="D141" s="42">
        <f>TRUNC(18484,-1)</f>
        <v>18480</v>
      </c>
      <c r="E141" s="63">
        <f t="shared" si="5"/>
        <v>61090</v>
      </c>
    </row>
    <row r="142" spans="1:7" x14ac:dyDescent="0.3">
      <c r="A142" s="2">
        <v>7</v>
      </c>
      <c r="C142" s="38" t="s">
        <v>58</v>
      </c>
      <c r="D142" s="42">
        <f>TRUNC(5466,-1)</f>
        <v>5460</v>
      </c>
      <c r="E142" s="63">
        <f t="shared" si="5"/>
        <v>18040</v>
      </c>
    </row>
    <row r="143" spans="1:7" x14ac:dyDescent="0.3">
      <c r="A143" s="2">
        <v>8</v>
      </c>
      <c r="C143" s="38" t="s">
        <v>62</v>
      </c>
      <c r="D143" s="42">
        <f>TRUNC(6252,-1)</f>
        <v>6250</v>
      </c>
      <c r="E143" s="63">
        <f t="shared" si="5"/>
        <v>20660</v>
      </c>
    </row>
    <row r="144" spans="1:7" x14ac:dyDescent="0.3">
      <c r="A144" s="2">
        <v>9</v>
      </c>
      <c r="C144" s="38" t="s">
        <v>63</v>
      </c>
      <c r="D144" s="42">
        <f>TRUNC(15041,-1)</f>
        <v>15040</v>
      </c>
      <c r="E144" s="63">
        <f t="shared" si="5"/>
        <v>49710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56780</v>
      </c>
      <c r="E146" s="39">
        <f>SUM(E136:E145)</f>
        <v>187670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TRUNC(3739+904,-1)</f>
        <v>4640</v>
      </c>
      <c r="E149" s="62">
        <f>TRUNC(+D149*3.3058,-1)</f>
        <v>15330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TRUNC(4364,-1)</f>
        <v>4360</v>
      </c>
      <c r="E150" s="63">
        <f>TRUNC(+D150*3.3058,-1)</f>
        <v>14410</v>
      </c>
    </row>
    <row r="151" spans="1:7" x14ac:dyDescent="0.3">
      <c r="A151" s="2">
        <v>3</v>
      </c>
      <c r="C151" s="38" t="s">
        <v>50</v>
      </c>
      <c r="D151" s="42">
        <f>TRUNC(876,-1)</f>
        <v>870</v>
      </c>
      <c r="E151" s="63">
        <f>TRUNC(+D151*3.3058,-1)</f>
        <v>2870</v>
      </c>
    </row>
    <row r="152" spans="1:7" x14ac:dyDescent="0.3">
      <c r="A152" s="2">
        <v>4</v>
      </c>
      <c r="C152" s="38" t="s">
        <v>47</v>
      </c>
      <c r="D152" s="42">
        <f>TRUNC(111+3273+317+2124,-1)</f>
        <v>5820</v>
      </c>
      <c r="E152" s="63">
        <f>TRUNC(+D152*3.3058,-1)</f>
        <v>19230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TRUNC(12767,-1)</f>
        <v>12760</v>
      </c>
      <c r="E153" s="64">
        <f>TRUNC(+D153*3.3058,-1)</f>
        <v>42180</v>
      </c>
    </row>
    <row r="154" spans="1:7" x14ac:dyDescent="0.3">
      <c r="A154" s="2">
        <v>6</v>
      </c>
      <c r="C154" s="27" t="s">
        <v>112</v>
      </c>
      <c r="D154" s="39">
        <f>SUM(D149:D153)</f>
        <v>28450</v>
      </c>
      <c r="E154" s="39">
        <f>SUM(E149:E153)</f>
        <v>94020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7560</v>
      </c>
      <c r="E157" s="62">
        <f>TRUNC(+D157*3.3058,-1)</f>
        <v>24990</v>
      </c>
    </row>
    <row r="158" spans="1:7" x14ac:dyDescent="0.3">
      <c r="A158" s="2">
        <v>2</v>
      </c>
      <c r="C158" s="38" t="s">
        <v>52</v>
      </c>
      <c r="D158" s="42">
        <v>8160</v>
      </c>
      <c r="E158" s="63">
        <f>TRUNC(+D158*3.3058,-1)</f>
        <v>26970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TRUNC(3653+912,-1)</f>
        <v>4560</v>
      </c>
      <c r="E159" s="63">
        <f>TRUNC(+D159*3.3058,-1)</f>
        <v>15070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TRUNC(2253,-1)</f>
        <v>2250</v>
      </c>
      <c r="E160" s="64">
        <f>TRUNC(+D160*3.3058,-1)</f>
        <v>7430</v>
      </c>
    </row>
    <row r="161" spans="1:5" x14ac:dyDescent="0.3">
      <c r="A161" s="2">
        <v>5</v>
      </c>
      <c r="C161" s="27" t="s">
        <v>112</v>
      </c>
      <c r="D161" s="39">
        <f>SUM(D157:D160)</f>
        <v>22530</v>
      </c>
      <c r="E161" s="39">
        <f>SUM(E157:E160)</f>
        <v>74460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2020-12-08T04:49:33Z</dcterms:modified>
</cp:coreProperties>
</file>