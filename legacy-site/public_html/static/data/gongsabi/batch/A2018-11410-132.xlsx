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1" i="4"/>
  <c r="D137" i="4"/>
  <c r="D142" i="4"/>
  <c r="D140" i="4"/>
  <c r="D132" i="4"/>
  <c r="D128" i="4"/>
  <c r="D125" i="4"/>
  <c r="D124" i="4"/>
  <c r="D122" i="4"/>
  <c r="D130" i="4"/>
  <c r="D126" i="4"/>
  <c r="D117" i="4"/>
  <c r="D118" i="4"/>
  <c r="D105" i="4"/>
  <c r="D104" i="4"/>
  <c r="D103" i="4"/>
  <c r="D102" i="4"/>
  <c r="D100" i="4"/>
  <c r="D99" i="4"/>
  <c r="D98" i="4"/>
  <c r="D114" i="4"/>
  <c r="D116" i="4"/>
  <c r="D94" i="4"/>
  <c r="D92" i="4"/>
  <c r="D91" i="4"/>
  <c r="D89" i="4"/>
  <c r="D75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60" i="4"/>
  <c r="D153" i="4"/>
  <c r="D131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95" i="4"/>
  <c r="E133" i="4"/>
  <c r="E119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<sst xmlns="http://schemas.openxmlformats.org/spreadsheetml/2006/main" count="395" uniqueCount="270">
  <si>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</si>
  <si>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</si>
  <si>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</si>
  <si>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</si>
  <si>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</si>
  <si>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</si>
  <si>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</si>
  <si>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</si>
  <si>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</si>
  <si>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</si>
  <si>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</si>
  <si>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</si>
  <si>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</si>
  <si>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</si>
  <si>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</si>
  <si>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</si>
  <si>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</si>
  <si>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</si>
  <si>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</si>
  <si>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</si>
  <si>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</si>
  <si>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</si>
  <si>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</si>
  <si>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</si>
  <si>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</si>
  <si>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</si>
  <si>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</si>
  <si>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</si>
  <si>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</si>
  <si>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</si>
  <si>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</si>
  <si>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</si>
  <si>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</si>
  <si>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</si>
  <si>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</si>
  <si>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</si>
  <si>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</si>
  <si>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</si>
  <si>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</si>
  <si>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</si>
  <si>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</si>
  <si>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</si>
  <si>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</si>
  <si>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</si>
  <si>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</si>
  <si>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</si>
  <si>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</si>
  <si>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</si>
  <si>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</si>
  <si>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</si>
  <si>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</si>
  <si>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</si>
  <si>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</si>
  <si>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</si>
  <si>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</si>
  <si>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</si>
  <si>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</si>
  <si>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</si>
  <si>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</si>
  <si>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</si>
  <si>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</si>
  <si>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</si>
  <si>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</si>
  <si>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</si>
  <si>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</si>
  <si>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</si>
  <si>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</si>
  <si>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</si>
  <si>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</si>
  <si>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</si>
  <si>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</si>
  <si>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</si>
  <si>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</si>
  <si>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</si>
  <si>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</si>
  <si>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</si>
  <si>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</si>
  <si>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</si>
  <si>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</si>
  <si>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</si>
  <si>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</si>
  <si>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</si>
  <si>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</si>
  <si>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</si>
  <si>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</si>
  <si>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</si>
  <si>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</si>
  <si>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</si>
  <si>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</si>
  <si>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</si>
  <si>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</si>
  <si>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</si>
  <si>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</si>
  <si>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</si>
  <si>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</si>
  <si>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</si>
  <si>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</si>
  <si>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</si>
  <si>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</si>
  <si>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</si>
  <si>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</si>
  <si>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</si>
  <si>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</si>
  <si>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</si>
  <si>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</si>
  <si>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</si>
  <si>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</si>
  <si>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</si>
  <si>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</si>
  <si>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</si>
  <si>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</si>
  <si>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</si>
  <si>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</si>
  <si>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</si>
  <si>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</si>
  <si>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</si>
  <si>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</si>
  <si>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</si>
  <si>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</si>
  <si>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</si>
  <si>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</si>
  <si>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</si>
  <si>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</si>
  <si>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</si>
  <si>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</si>
  <si>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</si>
  <si>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</si>
  <si>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</si>
  <si>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</si>
  <si>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</si>
  <si>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</si>
  <si>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</si>
  <si>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</si>
  <si>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</si>
  <si>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</si>
  <si>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</si>
  <si>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</si>
  <si>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</si>
  <si>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</si>
  <si>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</si>
  <si>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</si>
  <si>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</si>
  <si>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</si>
  <si>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</si>
  <si>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</si>
  <si>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</si>
  <si>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</si>
  <si>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</si>
  <si>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</si>
  <si>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</si>
  <si>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</si>
  <si>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</si>
  <si>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</si>
  <si>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</si>
  <si>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</si>
  <si>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</si>
  <si>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</si>
  <si>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</si>
  <si>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</si>
  <si>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</si>
  <si>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</si>
  <si>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</si>
  <si>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</si>
  <si>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</si>
  <si>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</si>
  <si>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</si>
  <si>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</si>
  <si>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</si>
  <si>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</si>
  <si>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</si>
  <si>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</si>
  <si>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</si>
  <si>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</si>
  <si>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</si>
  <si>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</si>
  <si>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</si>
  <si>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</si>
  <si>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</si>
  <si>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</si>
  <si>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</si>
  <si>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</si>
  <si>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</si>
  <si>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</si>
  <si>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</si>
  <si>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</si>
  <si>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</si>
  <si>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</si>
  <si>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</si>
  <si>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</si>
  <si>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</si>
  <si>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</si>
  <si>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</si>
  <si>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</si>
  <si>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</si>
  <si>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</si>
  <si>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</si>
  <si>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</si>
  <si>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</si>
  <si>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</si>
  <si>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</si>
  <si>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</si>
  <si>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</si>
  <si>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</si>
  <si>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</si>
  <si>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</si>
  <si>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</si>
  <si>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</si>
  <si>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</si>
  <si>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</si>
  <si>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</si>
  <si>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</si>
  <si>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</si>
  <si>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</si>
  <si>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</si>
  <si>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</si>
  <si>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</si>
  <si>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</si>
  <si>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</si>
  <si>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</si>
  <si>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</si>
  <si>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</si>
  <si>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</si>
  <si>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</si>
  <si>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</si>
  <si>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</si>
  <si>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</si>
  <si>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</si>
  <si>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</si>
  <si>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</si>
  <si>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</si>
  <si>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</si>
  <si>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</si>
  <si>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</si>
  <si>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</si>
  <si>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</si>
  <si>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</si>
  <si>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</si>
  <si>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</si>
  <si>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</si>
  <si>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</si>
  <si>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</si>
  <si>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</si>
  <si>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</si>
  <si>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</si>
  <si>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</si>
  <si>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</si>
  <si>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</si>
  <si>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</si>
  <si>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가칭)기업중학교 신축공사</t>
    <phoneticPr fontId="2" type="noConversion"/>
  </si>
  <si>
    <t>교육연구</t>
  </si>
  <si>
    <t>강원도</t>
  </si>
  <si>
    <t>포장공사</t>
    <phoneticPr fontId="2" type="noConversion"/>
  </si>
  <si>
    <t>조경시설물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</si>
  <si>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</si>
  <si>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</si>
  <si>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펌프실배관공사</t>
    <phoneticPr fontId="2" type="noConversion"/>
  </si>
  <si>
    <t>CATV 및 TV 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</si>
  <si>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</si>
  <si>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</si>
  <si>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난방배관공사,우수처리시설공사</t>
    <phoneticPr fontId="2" type="noConversion"/>
  </si>
  <si>
    <t>기초공사,골재비및운반비,작업부산물,기타공사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</si>
  <si>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</si>
  <si>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</si>
  <si>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</si>
  <si>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CCTV설비공사,주차관제설비공사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</si>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</sst>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13603.78</v>
      </c>
      <c r="D7" s="36">
        <f>+C7/3.3058</f>
        <v>4115.1249319378067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849560</v>
      </c>
      <c r="E25" s="59">
        <f t="shared" si="0"/>
        <v>2808470</v>
      </c>
    </row>
    <row r="26" spans="1:5" x14ac:dyDescent="0.3">
      <c r="B26" s="2">
        <v>3</v>
      </c>
      <c r="C26" s="35" t="s">
        <v>95</v>
      </c>
      <c r="D26" s="45">
        <f>+D66</f>
        <v>7810</v>
      </c>
      <c r="E26" s="59">
        <f t="shared" si="0"/>
        <v>25810</v>
      </c>
    </row>
    <row r="27" spans="1:5" x14ac:dyDescent="0.3">
      <c r="B27" s="2">
        <v>4</v>
      </c>
      <c r="C27" s="35" t="s">
        <v>96</v>
      </c>
      <c r="D27" s="45">
        <f>+D95</f>
        <v>180720</v>
      </c>
      <c r="E27" s="59">
        <f t="shared" si="0"/>
        <v>597420</v>
      </c>
    </row>
    <row r="28" spans="1:5" x14ac:dyDescent="0.3">
      <c r="B28" s="2">
        <v>5</v>
      </c>
      <c r="C28" s="35" t="s">
        <v>97</v>
      </c>
      <c r="D28" s="45">
        <f>+D119</f>
        <v>233140</v>
      </c>
      <c r="E28" s="59">
        <f t="shared" si="0"/>
        <v>770710</v>
      </c>
    </row>
    <row r="29" spans="1:5" x14ac:dyDescent="0.3">
      <c r="B29" s="2">
        <v>6</v>
      </c>
      <c r="C29" s="35" t="s">
        <v>98</v>
      </c>
      <c r="D29" s="45">
        <f>+D133</f>
        <v>103590</v>
      </c>
      <c r="E29" s="59">
        <f t="shared" si="0"/>
        <v>342440</v>
      </c>
    </row>
    <row r="30" spans="1:5" x14ac:dyDescent="0.3">
      <c r="B30" s="2">
        <v>7</v>
      </c>
      <c r="C30" s="35" t="s">
        <v>99</v>
      </c>
      <c r="D30" s="45">
        <f>+D146</f>
        <v>37020</v>
      </c>
      <c r="E30" s="59">
        <f t="shared" si="0"/>
        <v>122380</v>
      </c>
    </row>
    <row r="31" spans="1:5" x14ac:dyDescent="0.3">
      <c r="B31" s="2">
        <v>8</v>
      </c>
      <c r="C31" s="35" t="s">
        <v>100</v>
      </c>
      <c r="D31" s="45">
        <f>+D154</f>
        <v>63600</v>
      </c>
      <c r="E31" s="59">
        <f t="shared" si="0"/>
        <v>210240</v>
      </c>
    </row>
    <row r="32" spans="1:5" x14ac:dyDescent="0.3">
      <c r="B32" s="2">
        <v>9</v>
      </c>
      <c r="C32" s="35" t="s">
        <v>101</v>
      </c>
      <c r="D32" s="45">
        <f>+D161</f>
        <v>44810</v>
      </c>
      <c r="E32" s="59">
        <f t="shared" si="0"/>
        <v>148130</v>
      </c>
    </row>
    <row r="33" spans="1:7" x14ac:dyDescent="0.3">
      <c r="B33" s="2">
        <v>10</v>
      </c>
      <c r="C33" s="35" t="s">
        <v>154</v>
      </c>
      <c r="D33" s="53">
        <f>TRUNC(SUM(D24:D32)*0.275,-1)</f>
        <v>418060</v>
      </c>
      <c r="E33" s="60">
        <f t="shared" si="0"/>
        <v>1382020</v>
      </c>
    </row>
    <row r="34" spans="1:7" x14ac:dyDescent="0.3">
      <c r="C34" s="35" t="s">
        <v>112</v>
      </c>
      <c r="D34" s="44">
        <f>SUM(D24:D33)</f>
        <v>1938310</v>
      </c>
      <c r="E34" s="44">
        <f>SUM(E24:E33)</f>
        <v>6407620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TRUNC(50795,-1)</f>
        <v>50790</v>
      </c>
      <c r="E40" s="62">
        <f t="shared" ref="E40:E59" si="1">TRUNC(+D40*3.3058,-1)</f>
        <v>167900</v>
      </c>
    </row>
    <row r="41" spans="1:7" x14ac:dyDescent="0.3">
      <c r="A41" s="2">
        <v>2</v>
      </c>
      <c r="C41" s="38" t="s">
        <v>13</v>
      </c>
      <c r="D41" s="42">
        <f>TRUNC(131375,-1)</f>
        <v>131370</v>
      </c>
      <c r="E41" s="63">
        <f t="shared" si="1"/>
        <v>434280</v>
      </c>
    </row>
    <row r="42" spans="1:7" x14ac:dyDescent="0.3">
      <c r="A42" s="2">
        <v>3</v>
      </c>
      <c r="C42" s="38" t="s">
        <v>14</v>
      </c>
      <c r="D42" s="42">
        <f>TRUNC(9496,-1)</f>
        <v>9490</v>
      </c>
      <c r="E42" s="63">
        <f t="shared" si="1"/>
        <v>31370</v>
      </c>
    </row>
    <row r="43" spans="1:7" x14ac:dyDescent="0.3">
      <c r="A43" s="2">
        <v>4</v>
      </c>
      <c r="C43" s="38" t="s">
        <v>16</v>
      </c>
      <c r="D43" s="42">
        <f>TRUNC(43342,-1)</f>
        <v>43340</v>
      </c>
      <c r="E43" s="63">
        <f t="shared" si="1"/>
        <v>143270</v>
      </c>
    </row>
    <row r="44" spans="1:7" x14ac:dyDescent="0.3">
      <c r="A44" s="2">
        <v>5</v>
      </c>
      <c r="C44" s="38" t="s">
        <v>17</v>
      </c>
      <c r="D44" s="42">
        <f>TRUNC(23916,-1)</f>
        <v>23910</v>
      </c>
      <c r="E44" s="63">
        <f t="shared" si="1"/>
        <v>79040</v>
      </c>
    </row>
    <row r="45" spans="1:7" x14ac:dyDescent="0.3">
      <c r="A45" s="2">
        <v>6</v>
      </c>
      <c r="C45" s="38" t="s">
        <v>18</v>
      </c>
      <c r="D45" s="42">
        <f>TRUNC(7736,-1)</f>
        <v>7730</v>
      </c>
      <c r="E45" s="63">
        <f t="shared" si="1"/>
        <v>25550</v>
      </c>
    </row>
    <row r="46" spans="1:7" x14ac:dyDescent="0.3">
      <c r="A46" s="2">
        <v>7</v>
      </c>
      <c r="C46" s="38" t="s">
        <v>19</v>
      </c>
      <c r="D46" s="42">
        <f>TRUNC(12425,-1)</f>
        <v>12420</v>
      </c>
      <c r="E46" s="63">
        <f t="shared" si="1"/>
        <v>41050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TRUNC(54998,-1)</f>
        <v>54990</v>
      </c>
      <c r="E48" s="63">
        <f t="shared" si="1"/>
        <v>181780</v>
      </c>
      <c r="F48" s="2" t="s">
        <v>261</v>
      </c>
    </row>
    <row r="49" spans="1:7" x14ac:dyDescent="0.3">
      <c r="A49" s="2">
        <v>10</v>
      </c>
      <c r="C49" s="38" t="s">
        <v>22</v>
      </c>
      <c r="D49" s="42">
        <f>TRUNC(12954,-1)</f>
        <v>12950</v>
      </c>
      <c r="E49" s="63">
        <f t="shared" si="1"/>
        <v>42810</v>
      </c>
    </row>
    <row r="50" spans="1:7" x14ac:dyDescent="0.3">
      <c r="A50" s="2">
        <v>11</v>
      </c>
      <c r="C50" s="38" t="s">
        <v>155</v>
      </c>
      <c r="D50" s="42">
        <f>TRUNC(49003,-1)</f>
        <v>49000</v>
      </c>
      <c r="E50" s="63">
        <f t="shared" si="1"/>
        <v>161980</v>
      </c>
      <c r="F50" s="2" t="s">
        <v>262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TRUNC(5120,-1)</f>
        <v>5120</v>
      </c>
      <c r="E52" s="63">
        <f t="shared" si="1"/>
        <v>16920</v>
      </c>
    </row>
    <row r="53" spans="1:7" x14ac:dyDescent="0.3">
      <c r="A53" s="2">
        <v>14</v>
      </c>
      <c r="C53" s="38" t="s">
        <v>25</v>
      </c>
      <c r="D53" s="42">
        <f>TRUNC(115217,-1)</f>
        <v>115210</v>
      </c>
      <c r="E53" s="63">
        <f t="shared" si="1"/>
        <v>380860</v>
      </c>
      <c r="F53" s="2" t="s">
        <v>263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TRUNC(10175+5835-972+21547,-1)</f>
        <v>36580</v>
      </c>
      <c r="E58" s="63">
        <f t="shared" si="1"/>
        <v>120920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TRUNC(296661,-1)</f>
        <v>296660</v>
      </c>
      <c r="E59" s="64">
        <f t="shared" si="1"/>
        <v>980690</v>
      </c>
    </row>
    <row r="60" spans="1:7" x14ac:dyDescent="0.3">
      <c r="A60" s="2">
        <v>21</v>
      </c>
      <c r="C60" s="27" t="s">
        <v>112</v>
      </c>
      <c r="D60" s="39">
        <f>SUM(D40:D59)</f>
        <v>849560</v>
      </c>
      <c r="E60" s="39">
        <f>SUM(E40:E59)</f>
        <v>2808420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TRUNC(7811,-1)</f>
        <v>7810</v>
      </c>
      <c r="E63" s="62">
        <f>TRUNC(+D63*3.3058,-1)</f>
        <v>25810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7810</v>
      </c>
      <c r="E66" s="65">
        <f>SUM(E63:E65)</f>
        <v>25810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TRUNC(5979,-1)</f>
        <v>5970</v>
      </c>
      <c r="E69" s="62">
        <f t="shared" ref="E69:E94" si="2">TRUNC(+D69*3.3058,-1)</f>
        <v>19730</v>
      </c>
    </row>
    <row r="70" spans="1:7" ht="16.5" customHeight="1" x14ac:dyDescent="0.3">
      <c r="A70" s="2">
        <v>2</v>
      </c>
      <c r="C70" s="38" t="s">
        <v>31</v>
      </c>
      <c r="D70" s="42">
        <f>TRUNC(3307,-1)</f>
        <v>3300</v>
      </c>
      <c r="E70" s="63">
        <f t="shared" si="2"/>
        <v>10900</v>
      </c>
    </row>
    <row r="71" spans="1:7" x14ac:dyDescent="0.3">
      <c r="A71" s="2">
        <v>3</v>
      </c>
      <c r="C71" s="38" t="s">
        <v>32</v>
      </c>
      <c r="D71" s="42">
        <f>TRUNC(4719,-1)</f>
        <v>4710</v>
      </c>
      <c r="E71" s="63">
        <f t="shared" si="2"/>
        <v>15570</v>
      </c>
    </row>
    <row r="72" spans="1:7" x14ac:dyDescent="0.3">
      <c r="A72" s="2">
        <v>4</v>
      </c>
      <c r="C72" s="38" t="s">
        <v>33</v>
      </c>
      <c r="D72" s="42">
        <f>TRUNC(6112,-1)</f>
        <v>6110</v>
      </c>
      <c r="E72" s="63">
        <f t="shared" si="2"/>
        <v>20190</v>
      </c>
    </row>
    <row r="73" spans="1:7" x14ac:dyDescent="0.3">
      <c r="A73" s="2">
        <v>5</v>
      </c>
      <c r="C73" s="38" t="s">
        <v>34</v>
      </c>
      <c r="D73" s="42">
        <f>TRUNC(17072,-1)</f>
        <v>17070</v>
      </c>
      <c r="E73" s="63">
        <f t="shared" si="2"/>
        <v>56430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TRUNC(2727,-1)</f>
        <v>2720</v>
      </c>
      <c r="E75" s="63">
        <f t="shared" si="2"/>
        <v>8990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TRUNC(5681,-1)</f>
        <v>5680</v>
      </c>
      <c r="E89" s="63">
        <f t="shared" si="2"/>
        <v>18770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TRUNC(11051,-1)</f>
        <v>11050</v>
      </c>
      <c r="E91" s="63">
        <f t="shared" si="2"/>
        <v>36520</v>
      </c>
    </row>
    <row r="92" spans="1:7" x14ac:dyDescent="0.3">
      <c r="A92" s="2">
        <v>24</v>
      </c>
      <c r="C92" s="38" t="s">
        <v>38</v>
      </c>
      <c r="D92" s="42">
        <f>TRUNC(9076,-1)</f>
        <v>9070</v>
      </c>
      <c r="E92" s="63">
        <f t="shared" si="2"/>
        <v>29980</v>
      </c>
    </row>
    <row r="93" spans="1:7" x14ac:dyDescent="0.3">
      <c r="A93" s="2">
        <v>25</v>
      </c>
      <c r="C93" s="38" t="s">
        <v>148</v>
      </c>
      <c r="D93" s="42">
        <f>TRUNC(108939,-1)</f>
        <v>108930</v>
      </c>
      <c r="E93" s="63">
        <f t="shared" si="2"/>
        <v>360100</v>
      </c>
    </row>
    <row r="94" spans="1:7" ht="17.25" thickBot="1" x14ac:dyDescent="0.35">
      <c r="A94" s="2">
        <v>26</v>
      </c>
      <c r="C94" s="38" t="s">
        <v>47</v>
      </c>
      <c r="D94" s="43">
        <f>TRUNC(888+5227,-1)</f>
        <v>6110</v>
      </c>
      <c r="E94" s="64">
        <f t="shared" si="2"/>
        <v>20190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180720</v>
      </c>
      <c r="E95" s="39">
        <f>SUM(E69:E94)</f>
        <v>597370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TRUNC(18227,-1)</f>
        <v>18220</v>
      </c>
      <c r="E98" s="62">
        <f t="shared" ref="E98:E118" si="3">TRUNC(+D98*3.3058,-1)</f>
        <v>60230</v>
      </c>
    </row>
    <row r="99" spans="1:7" x14ac:dyDescent="0.3">
      <c r="A99" s="2">
        <v>2</v>
      </c>
      <c r="C99" s="38" t="s">
        <v>40</v>
      </c>
      <c r="D99" s="42">
        <f>TRUNC(7113,-1)</f>
        <v>7110</v>
      </c>
      <c r="E99" s="63">
        <f t="shared" si="3"/>
        <v>23500</v>
      </c>
    </row>
    <row r="100" spans="1:7" x14ac:dyDescent="0.3">
      <c r="A100" s="2">
        <v>3</v>
      </c>
      <c r="C100" s="38" t="s">
        <v>41</v>
      </c>
      <c r="D100" s="42">
        <f>TRUNC(31298,-1)</f>
        <v>31290</v>
      </c>
      <c r="E100" s="63">
        <f t="shared" si="3"/>
        <v>103430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TRUNC(17824,-1)</f>
        <v>17820</v>
      </c>
      <c r="E102" s="63">
        <f t="shared" si="3"/>
        <v>58900</v>
      </c>
    </row>
    <row r="103" spans="1:7" x14ac:dyDescent="0.3">
      <c r="A103" s="2">
        <v>6</v>
      </c>
      <c r="C103" s="38" t="s">
        <v>44</v>
      </c>
      <c r="D103" s="42">
        <f>TRUNC(9033,-1)</f>
        <v>9030</v>
      </c>
      <c r="E103" s="63">
        <f t="shared" si="3"/>
        <v>29850</v>
      </c>
    </row>
    <row r="104" spans="1:7" x14ac:dyDescent="0.3">
      <c r="A104" s="2">
        <v>7</v>
      </c>
      <c r="C104" s="38" t="s">
        <v>45</v>
      </c>
      <c r="D104" s="42">
        <f>TRUNC(4629,-1)</f>
        <v>4620</v>
      </c>
      <c r="E104" s="63">
        <f t="shared" si="3"/>
        <v>15270</v>
      </c>
    </row>
    <row r="105" spans="1:7" x14ac:dyDescent="0.3">
      <c r="A105" s="2">
        <v>8</v>
      </c>
      <c r="C105" s="38" t="s">
        <v>46</v>
      </c>
      <c r="D105" s="42">
        <f>TRUNC(5470,-1)</f>
        <v>5470</v>
      </c>
      <c r="E105" s="63">
        <f t="shared" si="3"/>
        <v>18080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TRUNC(3057,-1)</f>
        <v>3050</v>
      </c>
      <c r="E114" s="63">
        <f t="shared" si="3"/>
        <v>10080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TRUNC(2881,-1)</f>
        <v>2880</v>
      </c>
      <c r="E116" s="63">
        <f t="shared" si="3"/>
        <v>9520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TRUNC(129644,-1)</f>
        <v>129640</v>
      </c>
      <c r="E117" s="63">
        <f t="shared" si="3"/>
        <v>428560</v>
      </c>
    </row>
    <row r="118" spans="1:7" ht="17.25" thickBot="1" x14ac:dyDescent="0.35">
      <c r="A118" s="2">
        <v>21</v>
      </c>
      <c r="C118" s="38" t="s">
        <v>47</v>
      </c>
      <c r="D118" s="43">
        <f>TRUNC(4011,-1)</f>
        <v>4010</v>
      </c>
      <c r="E118" s="64">
        <f t="shared" si="3"/>
        <v>13250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233140</v>
      </c>
      <c r="E119" s="39">
        <f>SUM(E98:E118)</f>
        <v>770670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TRUNC(4760,-1)</f>
        <v>4760</v>
      </c>
      <c r="E122" s="62">
        <f t="shared" ref="E122:E132" si="4">TRUNC(+D122*3.3058,-1)</f>
        <v>15730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TRUNC(1811,-1)</f>
        <v>1810</v>
      </c>
      <c r="E124" s="63">
        <f t="shared" si="4"/>
        <v>5980</v>
      </c>
    </row>
    <row r="125" spans="1:7" x14ac:dyDescent="0.3">
      <c r="A125" s="2">
        <v>4</v>
      </c>
      <c r="C125" s="38" t="s">
        <v>138</v>
      </c>
      <c r="D125" s="42">
        <f>TRUNC(8325,-1)</f>
        <v>8320</v>
      </c>
      <c r="E125" s="63">
        <f t="shared" si="4"/>
        <v>27500</v>
      </c>
    </row>
    <row r="126" spans="1:7" x14ac:dyDescent="0.3">
      <c r="A126" s="2">
        <v>5</v>
      </c>
      <c r="C126" s="38" t="s">
        <v>53</v>
      </c>
      <c r="D126" s="42">
        <f>TRUNC(4220,-1)</f>
        <v>4220</v>
      </c>
      <c r="E126" s="63">
        <f t="shared" si="4"/>
        <v>13950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TRUNC(5825,-1)</f>
        <v>5820</v>
      </c>
      <c r="E128" s="63">
        <f t="shared" si="4"/>
        <v>19230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TRUNC(15894,-1)</f>
        <v>15890</v>
      </c>
      <c r="E130" s="63">
        <f t="shared" si="4"/>
        <v>52520</v>
      </c>
    </row>
    <row r="131" spans="1:7" x14ac:dyDescent="0.3">
      <c r="A131" s="2">
        <v>10</v>
      </c>
      <c r="C131" s="38" t="s">
        <v>148</v>
      </c>
      <c r="D131" s="42">
        <f>TRUNC(60351,-1)</f>
        <v>60350</v>
      </c>
      <c r="E131" s="63">
        <f t="shared" si="4"/>
        <v>199500</v>
      </c>
    </row>
    <row r="132" spans="1:7" ht="18" thickBot="1" x14ac:dyDescent="0.35">
      <c r="A132" s="2">
        <v>11</v>
      </c>
      <c r="C132" s="38" t="s">
        <v>47</v>
      </c>
      <c r="D132" s="43">
        <f>TRUNC(1796+628,-1)</f>
        <v>2420</v>
      </c>
      <c r="E132" s="64">
        <f t="shared" si="4"/>
        <v>8000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103590</v>
      </c>
      <c r="E133" s="39">
        <f>SUM(E122:E132)</f>
        <v>342410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TRUNC(2846,-1)</f>
        <v>2840</v>
      </c>
      <c r="E137" s="63">
        <f t="shared" si="5"/>
        <v>9380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TRUNC(103,-1)</f>
        <v>100</v>
      </c>
      <c r="E140" s="63">
        <f t="shared" si="5"/>
        <v>330</v>
      </c>
    </row>
    <row r="141" spans="1:7" x14ac:dyDescent="0.3">
      <c r="A141" s="2">
        <v>6</v>
      </c>
      <c r="C141" s="38" t="s">
        <v>59</v>
      </c>
      <c r="D141" s="42">
        <f>TRUNC(8772,-1)</f>
        <v>8770</v>
      </c>
      <c r="E141" s="63">
        <f t="shared" si="5"/>
        <v>28990</v>
      </c>
    </row>
    <row r="142" spans="1:7" x14ac:dyDescent="0.3">
      <c r="A142" s="2">
        <v>7</v>
      </c>
      <c r="C142" s="38" t="s">
        <v>58</v>
      </c>
      <c r="D142" s="42">
        <f>TRUNC(4559,-1)</f>
        <v>4550</v>
      </c>
      <c r="E142" s="63">
        <f t="shared" si="5"/>
        <v>15040</v>
      </c>
    </row>
    <row r="143" spans="1:7" x14ac:dyDescent="0.3">
      <c r="A143" s="2">
        <v>8</v>
      </c>
      <c r="C143" s="38" t="s">
        <v>62</v>
      </c>
      <c r="D143" s="42">
        <f>TRUNC(4549,-1)</f>
        <v>4540</v>
      </c>
      <c r="E143" s="63">
        <f t="shared" si="5"/>
        <v>15000</v>
      </c>
    </row>
    <row r="144" spans="1:7" x14ac:dyDescent="0.3">
      <c r="A144" s="2">
        <v>9</v>
      </c>
      <c r="C144" s="38" t="s">
        <v>63</v>
      </c>
      <c r="D144" s="42">
        <f>TRUNC(16224,-1)</f>
        <v>16220</v>
      </c>
      <c r="E144" s="63">
        <f t="shared" si="5"/>
        <v>53620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37020</v>
      </c>
      <c r="E146" s="39">
        <f>SUM(E136:E145)</f>
        <v>122360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TRUNC(7433+950,-1)</f>
        <v>8380</v>
      </c>
      <c r="E149" s="62">
        <f>TRUNC(+D149*3.3058,-1)</f>
        <v>27700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TRUNC(7874,-1)</f>
        <v>7870</v>
      </c>
      <c r="E150" s="63">
        <f>TRUNC(+D150*3.3058,-1)</f>
        <v>26010</v>
      </c>
    </row>
    <row r="151" spans="1:7" x14ac:dyDescent="0.3">
      <c r="A151" s="2">
        <v>3</v>
      </c>
      <c r="C151" s="38" t="s">
        <v>50</v>
      </c>
      <c r="D151" s="42">
        <f>TRUNC(11656,-1)</f>
        <v>11650</v>
      </c>
      <c r="E151" s="63">
        <f>TRUNC(+D151*3.3058,-1)</f>
        <v>38510</v>
      </c>
    </row>
    <row r="152" spans="1:7" x14ac:dyDescent="0.3">
      <c r="A152" s="2">
        <v>4</v>
      </c>
      <c r="C152" s="38" t="s">
        <v>47</v>
      </c>
      <c r="D152" s="42">
        <f>TRUNC(9540+523,-1)</f>
        <v>10060</v>
      </c>
      <c r="E152" s="63">
        <f>TRUNC(+D152*3.3058,-1)</f>
        <v>33250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TRUNC(25644,-1)</f>
        <v>25640</v>
      </c>
      <c r="E153" s="64">
        <f>TRUNC(+D153*3.3058,-1)</f>
        <v>84760</v>
      </c>
    </row>
    <row r="154" spans="1:7" x14ac:dyDescent="0.3">
      <c r="A154" s="2">
        <v>6</v>
      </c>
      <c r="C154" s="27" t="s">
        <v>112</v>
      </c>
      <c r="D154" s="39">
        <f>SUM(D149:D153)</f>
        <v>63600</v>
      </c>
      <c r="E154" s="39">
        <f>SUM(E149:E153)</f>
        <v>210230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TRUNC(19885,-1)</f>
        <v>19880</v>
      </c>
      <c r="E157" s="62">
        <f>TRUNC(+D157*3.3058,-1)</f>
        <v>65710</v>
      </c>
    </row>
    <row r="158" spans="1:7" x14ac:dyDescent="0.3">
      <c r="A158" s="2">
        <v>2</v>
      </c>
      <c r="C158" s="38" t="s">
        <v>52</v>
      </c>
      <c r="D158" s="42">
        <f>TRUNC(11070,-1)</f>
        <v>11070</v>
      </c>
      <c r="E158" s="63">
        <f>TRUNC(+D158*3.3058,-1)</f>
        <v>36590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TRUNC(2411,-1)</f>
        <v>2410</v>
      </c>
      <c r="E159" s="63">
        <f>TRUNC(+D159*3.3058,-1)</f>
        <v>7960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f>TRUNC(11459,-1)</f>
        <v>11450</v>
      </c>
      <c r="E160" s="64">
        <f>TRUNC(+D160*3.3058,-1)</f>
        <v>37850</v>
      </c>
    </row>
    <row r="161" spans="1:5" x14ac:dyDescent="0.3">
      <c r="A161" s="2">
        <v>5</v>
      </c>
      <c r="C161" s="27" t="s">
        <v>112</v>
      </c>
      <c r="D161" s="39">
        <f>SUM(D157:D160)</f>
        <v>44810</v>
      </c>
      <c r="E161" s="39">
        <f>SUM(E157:E160)</f>
        <v>148110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2020-12-08T02:53:37Z</dcterms:modified>
</cp:coreProperties>
</file>