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0" i="4"/>
  <c r="D149" i="4"/>
  <c r="D142" i="4"/>
  <c r="D141" i="4"/>
  <c r="D140" i="4"/>
  <c r="D137" i="4"/>
  <c r="D132" i="4"/>
  <c r="D131" i="4"/>
  <c r="D128" i="4"/>
  <c r="D125" i="4"/>
  <c r="D117" i="4"/>
  <c r="D116" i="4"/>
  <c r="D105" i="4"/>
  <c r="D104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0" i="4"/>
  <c r="D48" i="4"/>
  <c r="D46" i="4"/>
  <c r="D45" i="4"/>
  <c r="D44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<sst xmlns="http://schemas.openxmlformats.org/spreadsheetml/2006/main" count="388" uniqueCount="263">
  <si>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</si>
  <si>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</si>
  <si>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</si>
  <si>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</si>
  <si>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</si>
  <si>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</si>
  <si>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</si>
  <si>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</si>
  <si>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</si>
  <si>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</si>
  <si>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</si>
  <si>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</si>
  <si>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</si>
  <si>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</si>
  <si>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</si>
  <si>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</si>
  <si>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</si>
  <si>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</si>
  <si>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</si>
  <si>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</si>
  <si>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</si>
  <si>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</si>
  <si>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</si>
  <si>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</si>
  <si>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</si>
  <si>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</si>
  <si>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</si>
  <si>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</si>
  <si>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</si>
  <si>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</si>
  <si>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</si>
  <si>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</si>
  <si>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</si>
  <si>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</si>
  <si>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</si>
  <si>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</si>
  <si>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</si>
  <si>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</si>
  <si>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</si>
  <si>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</si>
  <si>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</si>
  <si>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</si>
  <si>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</si>
  <si>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</si>
  <si>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</si>
  <si>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</si>
  <si>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</si>
  <si>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</si>
  <si>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</si>
  <si>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</si>
  <si>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</si>
  <si>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</si>
  <si>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</si>
  <si>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</si>
  <si>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</si>
  <si>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</si>
  <si>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</si>
  <si>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</si>
  <si>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</si>
  <si>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</si>
  <si>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</si>
  <si>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</si>
  <si>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</si>
  <si>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</si>
  <si>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</si>
  <si>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</si>
  <si>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</si>
  <si>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</si>
  <si>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</si>
  <si>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</si>
  <si>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</si>
  <si>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</si>
  <si>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</si>
  <si>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</si>
  <si>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</si>
  <si>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</si>
  <si>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</si>
  <si>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</si>
  <si>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</si>
  <si>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</si>
  <si>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</si>
  <si>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</si>
  <si>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</si>
  <si>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</si>
  <si>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</si>
  <si>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</si>
  <si>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</si>
  <si>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</si>
  <si>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</si>
  <si>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</si>
  <si>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</si>
  <si>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</si>
  <si>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</si>
  <si>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</si>
  <si>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</si>
  <si>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</si>
  <si>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</si>
  <si>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</si>
  <si>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</si>
  <si>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</si>
  <si>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</si>
  <si>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</si>
  <si>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</si>
  <si>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</si>
  <si>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</si>
  <si>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</si>
  <si>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</si>
  <si>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</si>
  <si>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</si>
  <si>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</si>
  <si>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</si>
  <si>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</si>
  <si>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</si>
  <si>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</si>
  <si>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</si>
  <si>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</si>
  <si>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</si>
  <si>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</si>
  <si>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</si>
  <si>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</si>
  <si>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</si>
  <si>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</si>
  <si>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</si>
  <si>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</si>
  <si>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</si>
  <si>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</si>
  <si>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</si>
  <si>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</si>
  <si>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</si>
  <si>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</si>
  <si>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</si>
  <si>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</si>
  <si>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</si>
  <si>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</si>
  <si>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</si>
  <si>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</si>
  <si>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</si>
  <si>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</si>
  <si>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</si>
  <si>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</si>
  <si>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</si>
  <si>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</si>
  <si>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</si>
  <si>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</si>
  <si>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</si>
  <si>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</si>
  <si>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</si>
  <si>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</si>
  <si>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</si>
  <si>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</si>
  <si>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</si>
  <si>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</si>
  <si>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</si>
  <si>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</si>
  <si>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</si>
  <si>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</si>
  <si>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</si>
  <si>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</si>
  <si>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</si>
  <si>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</si>
  <si>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</si>
  <si>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</si>
  <si>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</si>
  <si>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</si>
  <si>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</si>
  <si>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</si>
  <si>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</si>
  <si>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</si>
  <si>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</si>
  <si>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</si>
  <si>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</si>
  <si>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</si>
  <si>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</si>
  <si>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</si>
  <si>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</si>
  <si>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</si>
  <si>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</si>
  <si>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</si>
  <si>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</si>
  <si>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</si>
  <si>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</si>
  <si>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</si>
  <si>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</si>
  <si>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</si>
  <si>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</si>
  <si>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</si>
  <si>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</si>
  <si>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</si>
  <si>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</si>
  <si>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</si>
  <si>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</si>
  <si>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</si>
  <si>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</si>
  <si>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</si>
  <si>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</si>
  <si>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</si>
  <si>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</si>
  <si>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</si>
  <si>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</si>
  <si>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</si>
  <si>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</si>
  <si>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</si>
  <si>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</si>
  <si>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</si>
  <si>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</si>
  <si>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</si>
  <si>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</si>
  <si>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</si>
  <si>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</si>
  <si>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</si>
  <si>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</si>
  <si>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</si>
  <si>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</si>
  <si>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</si>
  <si>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</si>
  <si>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</si>
  <si>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</si>
  <si>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</si>
  <si>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</si>
  <si>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</si>
  <si>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</si>
  <si>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</si>
  <si>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</si>
  <si>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</si>
  <si>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</si>
  <si>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</si>
  <si>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</si>
  <si>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</si>
  <si>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</si>
  <si>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</si>
  <si>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</si>
  <si>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</si>
  <si>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</si>
  <si>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</si>
  <si>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</si>
  <si>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</si>
  <si>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</si>
  <si>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</si>
  <si>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</si>
  <si>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</si>
  <si>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</si>
  <si>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</si>
  <si>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</si>
  <si>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</si>
  <si>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</si>
  <si>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</si>
  <si>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</si>
  <si>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</si>
  <si>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</si>
  <si>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강릉원주대학교 원주캠퍼스 학생복지관 신축공사</t>
    <phoneticPr fontId="2" type="noConversion"/>
  </si>
  <si>
    <t>강원도</t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</si>
  <si>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</si>
  <si>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</si>
  <si>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바닥난방공사, 기타공사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</si>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</sst>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7075.01</v>
      </c>
      <c r="D7" s="36">
        <f>+C7/3.3058</f>
        <v>2140.1808941859763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937130</v>
      </c>
      <c r="E25" s="59">
        <f t="shared" si="0"/>
        <v>3097960</v>
      </c>
    </row>
    <row r="26" spans="1:5" x14ac:dyDescent="0.3">
      <c r="B26" s="2">
        <v>3</v>
      </c>
      <c r="C26" s="35" t="s">
        <v>95</v>
      </c>
      <c r="D26" s="45">
        <f>+D66</f>
        <v>13150</v>
      </c>
      <c r="E26" s="59">
        <f t="shared" si="0"/>
        <v>43470</v>
      </c>
    </row>
    <row r="27" spans="1:5" x14ac:dyDescent="0.3">
      <c r="B27" s="2">
        <v>4</v>
      </c>
      <c r="C27" s="35" t="s">
        <v>96</v>
      </c>
      <c r="D27" s="45">
        <f>+D95</f>
        <v>165130</v>
      </c>
      <c r="E27" s="59">
        <f t="shared" si="0"/>
        <v>545880</v>
      </c>
    </row>
    <row r="28" spans="1:5" x14ac:dyDescent="0.3">
      <c r="B28" s="2">
        <v>5</v>
      </c>
      <c r="C28" s="35" t="s">
        <v>97</v>
      </c>
      <c r="D28" s="45">
        <f>+D119</f>
        <v>209010</v>
      </c>
      <c r="E28" s="59">
        <f t="shared" si="0"/>
        <v>690940</v>
      </c>
    </row>
    <row r="29" spans="1:5" x14ac:dyDescent="0.3">
      <c r="B29" s="2">
        <v>6</v>
      </c>
      <c r="C29" s="35" t="s">
        <v>98</v>
      </c>
      <c r="D29" s="45">
        <f>+D133</f>
        <v>29820</v>
      </c>
      <c r="E29" s="59">
        <f t="shared" si="0"/>
        <v>98570</v>
      </c>
    </row>
    <row r="30" spans="1:5" x14ac:dyDescent="0.3">
      <c r="B30" s="2">
        <v>7</v>
      </c>
      <c r="C30" s="35" t="s">
        <v>99</v>
      </c>
      <c r="D30" s="45">
        <f>+D146</f>
        <v>30570</v>
      </c>
      <c r="E30" s="59">
        <f t="shared" si="0"/>
        <v>101050</v>
      </c>
    </row>
    <row r="31" spans="1:5" x14ac:dyDescent="0.3">
      <c r="B31" s="2">
        <v>8</v>
      </c>
      <c r="C31" s="35" t="s">
        <v>100</v>
      </c>
      <c r="D31" s="45">
        <f>+D154</f>
        <v>33930</v>
      </c>
      <c r="E31" s="59">
        <f t="shared" si="0"/>
        <v>112160</v>
      </c>
    </row>
    <row r="32" spans="1:5" x14ac:dyDescent="0.3">
      <c r="B32" s="2">
        <v>9</v>
      </c>
      <c r="C32" s="35" t="s">
        <v>101</v>
      </c>
      <c r="D32" s="45">
        <f>+D161</f>
        <v>19400</v>
      </c>
      <c r="E32" s="59">
        <f t="shared" si="0"/>
        <v>64130</v>
      </c>
    </row>
    <row r="33" spans="1:7" x14ac:dyDescent="0.3">
      <c r="B33" s="2">
        <v>10</v>
      </c>
      <c r="C33" s="35" t="s">
        <v>154</v>
      </c>
      <c r="D33" s="53">
        <f>TRUNC(SUM(D24:D32)*0.275,-1)</f>
        <v>395480</v>
      </c>
      <c r="E33" s="60">
        <f t="shared" si="0"/>
        <v>1307370</v>
      </c>
    </row>
    <row r="34" spans="1:7" x14ac:dyDescent="0.3">
      <c r="C34" s="35" t="s">
        <v>112</v>
      </c>
      <c r="D34" s="44">
        <f>SUM(D24:D33)</f>
        <v>1833620</v>
      </c>
      <c r="E34" s="44">
        <f>SUM(E24:E33)</f>
        <v>6061530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TRUNC(60971,-1)</f>
        <v>60970</v>
      </c>
      <c r="E40" s="62">
        <f t="shared" ref="E40:E59" si="1">TRUNC(+D40*3.3058,-1)</f>
        <v>201550</v>
      </c>
    </row>
    <row r="41" spans="1:7" x14ac:dyDescent="0.3">
      <c r="A41" s="2">
        <v>2</v>
      </c>
      <c r="C41" s="38" t="s">
        <v>13</v>
      </c>
      <c r="D41" s="42">
        <f>TRUNC(204888,-1)</f>
        <v>204880</v>
      </c>
      <c r="E41" s="63">
        <f t="shared" si="1"/>
        <v>677290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38820</v>
      </c>
      <c r="E43" s="63">
        <f t="shared" si="1"/>
        <v>128330</v>
      </c>
    </row>
    <row r="44" spans="1:7" x14ac:dyDescent="0.3">
      <c r="A44" s="2">
        <v>5</v>
      </c>
      <c r="C44" s="38" t="s">
        <v>17</v>
      </c>
      <c r="D44" s="42">
        <f>TRUNC(45398,-1)</f>
        <v>45390</v>
      </c>
      <c r="E44" s="63">
        <f t="shared" si="1"/>
        <v>150050</v>
      </c>
    </row>
    <row r="45" spans="1:7" x14ac:dyDescent="0.3">
      <c r="A45" s="2">
        <v>6</v>
      </c>
      <c r="C45" s="38" t="s">
        <v>18</v>
      </c>
      <c r="D45" s="42">
        <f>TRUNC(18261,-1)</f>
        <v>18260</v>
      </c>
      <c r="E45" s="63">
        <f t="shared" si="1"/>
        <v>60360</v>
      </c>
    </row>
    <row r="46" spans="1:7" x14ac:dyDescent="0.3">
      <c r="A46" s="2">
        <v>7</v>
      </c>
      <c r="C46" s="38" t="s">
        <v>19</v>
      </c>
      <c r="D46" s="42">
        <f>TRUNC(76788,-1)</f>
        <v>76780</v>
      </c>
      <c r="E46" s="63">
        <f t="shared" si="1"/>
        <v>253810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TRUNC(45418,-1)</f>
        <v>45410</v>
      </c>
      <c r="E48" s="63">
        <f t="shared" si="1"/>
        <v>150110</v>
      </c>
    </row>
    <row r="49" spans="1:7" x14ac:dyDescent="0.3">
      <c r="A49" s="2">
        <v>10</v>
      </c>
      <c r="C49" s="38" t="s">
        <v>22</v>
      </c>
      <c r="D49" s="42">
        <v>27190</v>
      </c>
      <c r="E49" s="63">
        <f t="shared" si="1"/>
        <v>89880</v>
      </c>
    </row>
    <row r="50" spans="1:7" x14ac:dyDescent="0.3">
      <c r="A50" s="2">
        <v>11</v>
      </c>
      <c r="C50" s="38" t="s">
        <v>155</v>
      </c>
      <c r="D50" s="42">
        <f>TRUNC(39373,-1)</f>
        <v>39370</v>
      </c>
      <c r="E50" s="63">
        <f t="shared" si="1"/>
        <v>130140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13270</v>
      </c>
      <c r="E52" s="63">
        <f t="shared" si="1"/>
        <v>43860</v>
      </c>
    </row>
    <row r="53" spans="1:7" x14ac:dyDescent="0.3">
      <c r="A53" s="2">
        <v>14</v>
      </c>
      <c r="C53" s="38" t="s">
        <v>25</v>
      </c>
      <c r="D53" s="42">
        <f>TRUNC(87568,-1)</f>
        <v>87560</v>
      </c>
      <c r="E53" s="63">
        <f t="shared" si="1"/>
        <v>289450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TRUNC(11532+5044-511+2733,-1)</f>
        <v>18790</v>
      </c>
      <c r="E58" s="63">
        <f t="shared" si="1"/>
        <v>62110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TRUNC(260448,-1)</f>
        <v>260440</v>
      </c>
      <c r="E59" s="64">
        <f t="shared" si="1"/>
        <v>860960</v>
      </c>
    </row>
    <row r="60" spans="1:7" x14ac:dyDescent="0.3">
      <c r="A60" s="2">
        <v>21</v>
      </c>
      <c r="C60" s="27" t="s">
        <v>112</v>
      </c>
      <c r="D60" s="39">
        <f>SUM(D40:D59)</f>
        <v>937130</v>
      </c>
      <c r="E60" s="39">
        <f>SUM(E40:E59)</f>
        <v>3097900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TRUNC(13152,-1)</f>
        <v>13150</v>
      </c>
      <c r="E63" s="62">
        <f>TRUNC(+D63*3.3058,-1)</f>
        <v>43470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13150</v>
      </c>
      <c r="E66" s="65">
        <f>SUM(E63:E65)</f>
        <v>43470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TRUNC(6496,-1)</f>
        <v>6490</v>
      </c>
      <c r="E69" s="62">
        <f t="shared" ref="E69:E94" si="2">TRUNC(+D69*3.3058,-1)</f>
        <v>21450</v>
      </c>
    </row>
    <row r="70" spans="1:7" ht="16.5" customHeight="1" x14ac:dyDescent="0.3">
      <c r="A70" s="2">
        <v>2</v>
      </c>
      <c r="C70" s="38" t="s">
        <v>31</v>
      </c>
      <c r="D70" s="42">
        <f>TRUNC(328,-1)</f>
        <v>320</v>
      </c>
      <c r="E70" s="63">
        <f t="shared" si="2"/>
        <v>1050</v>
      </c>
    </row>
    <row r="71" spans="1:7" x14ac:dyDescent="0.3">
      <c r="A71" s="2">
        <v>3</v>
      </c>
      <c r="C71" s="38" t="s">
        <v>32</v>
      </c>
      <c r="D71" s="42">
        <f>TRUNC(2535,-1)</f>
        <v>2530</v>
      </c>
      <c r="E71" s="63">
        <f t="shared" si="2"/>
        <v>8360</v>
      </c>
    </row>
    <row r="72" spans="1:7" x14ac:dyDescent="0.3">
      <c r="A72" s="2">
        <v>4</v>
      </c>
      <c r="C72" s="38" t="s">
        <v>33</v>
      </c>
      <c r="D72" s="42">
        <f>TRUNC(5777,-1)</f>
        <v>5770</v>
      </c>
      <c r="E72" s="63">
        <f t="shared" si="2"/>
        <v>19070</v>
      </c>
    </row>
    <row r="73" spans="1:7" x14ac:dyDescent="0.3">
      <c r="A73" s="2">
        <v>5</v>
      </c>
      <c r="C73" s="38" t="s">
        <v>34</v>
      </c>
      <c r="D73" s="42">
        <f>TRUNC(14477,-1)</f>
        <v>14470</v>
      </c>
      <c r="E73" s="63">
        <f t="shared" si="2"/>
        <v>47830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TRUNC(5697,-1)</f>
        <v>5690</v>
      </c>
      <c r="E89" s="63">
        <f t="shared" si="2"/>
        <v>18810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TRUNC(10326,-1)</f>
        <v>10320</v>
      </c>
      <c r="E91" s="63">
        <f t="shared" si="2"/>
        <v>34110</v>
      </c>
    </row>
    <row r="92" spans="1:7" x14ac:dyDescent="0.3">
      <c r="A92" s="2">
        <v>24</v>
      </c>
      <c r="C92" s="38" t="s">
        <v>38</v>
      </c>
      <c r="D92" s="42">
        <f>TRUNC(10086,-1)</f>
        <v>10080</v>
      </c>
      <c r="E92" s="63">
        <f t="shared" si="2"/>
        <v>33320</v>
      </c>
    </row>
    <row r="93" spans="1:7" x14ac:dyDescent="0.3">
      <c r="A93" s="2">
        <v>25</v>
      </c>
      <c r="C93" s="38" t="s">
        <v>148</v>
      </c>
      <c r="D93" s="42">
        <f>TRUNC(107156,-1)</f>
        <v>107150</v>
      </c>
      <c r="E93" s="63">
        <f t="shared" si="2"/>
        <v>354210</v>
      </c>
    </row>
    <row r="94" spans="1:7" ht="17.25" thickBot="1" x14ac:dyDescent="0.35">
      <c r="A94" s="2">
        <v>26</v>
      </c>
      <c r="C94" s="38" t="s">
        <v>47</v>
      </c>
      <c r="D94" s="43">
        <f>TRUNC(357+1961,-1)</f>
        <v>2310</v>
      </c>
      <c r="E94" s="64">
        <f t="shared" si="2"/>
        <v>7630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165130</v>
      </c>
      <c r="E95" s="39">
        <f>SUM(E69:E94)</f>
        <v>545840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TRUNC(7602,-1)</f>
        <v>7600</v>
      </c>
      <c r="E98" s="62">
        <f t="shared" ref="E98:E118" si="3">TRUNC(+D98*3.3058,-1)</f>
        <v>25120</v>
      </c>
    </row>
    <row r="99" spans="1:7" x14ac:dyDescent="0.3">
      <c r="A99" s="2">
        <v>2</v>
      </c>
      <c r="C99" s="38" t="s">
        <v>40</v>
      </c>
      <c r="D99" s="42">
        <f>TRUNC(10509,-1)</f>
        <v>10500</v>
      </c>
      <c r="E99" s="63">
        <f t="shared" si="3"/>
        <v>34710</v>
      </c>
    </row>
    <row r="100" spans="1:7" x14ac:dyDescent="0.3">
      <c r="A100" s="2">
        <v>3</v>
      </c>
      <c r="C100" s="38" t="s">
        <v>41</v>
      </c>
      <c r="D100" s="42">
        <f>TRUNC(32062,-1)</f>
        <v>32060</v>
      </c>
      <c r="E100" s="63">
        <f t="shared" si="3"/>
        <v>105980</v>
      </c>
    </row>
    <row r="101" spans="1:7" x14ac:dyDescent="0.3">
      <c r="A101" s="2">
        <v>4</v>
      </c>
      <c r="C101" s="38" t="s">
        <v>42</v>
      </c>
      <c r="D101" s="42">
        <f>TRUNC(1263,-1)</f>
        <v>1260</v>
      </c>
      <c r="E101" s="63">
        <f t="shared" si="3"/>
        <v>4160</v>
      </c>
    </row>
    <row r="102" spans="1:7" x14ac:dyDescent="0.3">
      <c r="A102" s="2">
        <v>5</v>
      </c>
      <c r="C102" s="38" t="s">
        <v>43</v>
      </c>
      <c r="D102" s="42">
        <f>TRUNC(9005,-1)</f>
        <v>9000</v>
      </c>
      <c r="E102" s="63">
        <f t="shared" si="3"/>
        <v>29750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TRUNC(774,-1)</f>
        <v>770</v>
      </c>
      <c r="E104" s="63">
        <f t="shared" si="3"/>
        <v>2540</v>
      </c>
    </row>
    <row r="105" spans="1:7" x14ac:dyDescent="0.3">
      <c r="A105" s="2">
        <v>8</v>
      </c>
      <c r="C105" s="38" t="s">
        <v>46</v>
      </c>
      <c r="D105" s="42">
        <f>TRUNC(3632,-1)</f>
        <v>3630</v>
      </c>
      <c r="E105" s="63">
        <f t="shared" si="3"/>
        <v>12000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TRUNC(2335,-1)</f>
        <v>2330</v>
      </c>
      <c r="E116" s="63">
        <f t="shared" si="3"/>
        <v>7700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TRUNC(141866,-1)</f>
        <v>141860</v>
      </c>
      <c r="E117" s="63">
        <f t="shared" si="3"/>
        <v>468960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209010</v>
      </c>
      <c r="E119" s="39">
        <f>SUM(E98:E118)</f>
        <v>690920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TRUNC(4667,-1)</f>
        <v>4660</v>
      </c>
      <c r="E125" s="63">
        <f t="shared" si="4"/>
        <v>15400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TRUNC(2742,-1)</f>
        <v>2740</v>
      </c>
      <c r="E128" s="63">
        <f t="shared" si="4"/>
        <v>9050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10510</v>
      </c>
      <c r="E130" s="63">
        <f t="shared" si="4"/>
        <v>34740</v>
      </c>
    </row>
    <row r="131" spans="1:7" x14ac:dyDescent="0.3">
      <c r="A131" s="2">
        <v>10</v>
      </c>
      <c r="C131" s="38" t="s">
        <v>148</v>
      </c>
      <c r="D131" s="42">
        <f>TRUNC(10464,-1)</f>
        <v>10460</v>
      </c>
      <c r="E131" s="63">
        <f t="shared" si="4"/>
        <v>34570</v>
      </c>
    </row>
    <row r="132" spans="1:7" ht="18" thickBot="1" x14ac:dyDescent="0.35">
      <c r="A132" s="2">
        <v>11</v>
      </c>
      <c r="C132" s="38" t="s">
        <v>47</v>
      </c>
      <c r="D132" s="43">
        <f>TRUNC(1455,-1)</f>
        <v>1450</v>
      </c>
      <c r="E132" s="64">
        <f t="shared" si="4"/>
        <v>4790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29820</v>
      </c>
      <c r="E133" s="39">
        <f>SUM(E122:E132)</f>
        <v>98550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TRUNC(2532+14133,-1)</f>
        <v>16660</v>
      </c>
      <c r="E137" s="63">
        <f t="shared" si="5"/>
        <v>55070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TRUNC(1751,-1)</f>
        <v>1750</v>
      </c>
      <c r="E140" s="63">
        <f t="shared" si="5"/>
        <v>5780</v>
      </c>
    </row>
    <row r="141" spans="1:7" x14ac:dyDescent="0.3">
      <c r="A141" s="2">
        <v>6</v>
      </c>
      <c r="C141" s="38" t="s">
        <v>59</v>
      </c>
      <c r="D141" s="42">
        <f>TRUNC(5266,-1)</f>
        <v>5260</v>
      </c>
      <c r="E141" s="63">
        <f t="shared" si="5"/>
        <v>17380</v>
      </c>
    </row>
    <row r="142" spans="1:7" x14ac:dyDescent="0.3">
      <c r="A142" s="2">
        <v>7</v>
      </c>
      <c r="C142" s="38" t="s">
        <v>58</v>
      </c>
      <c r="D142" s="42">
        <f>TRUNC(6903,-1)</f>
        <v>6900</v>
      </c>
      <c r="E142" s="63">
        <f t="shared" si="5"/>
        <v>22810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30570</v>
      </c>
      <c r="E146" s="39">
        <f>SUM(E136:E145)</f>
        <v>101040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TRUNC(3995+3957,-1)</f>
        <v>7950</v>
      </c>
      <c r="E149" s="62">
        <f>TRUNC(+D149*3.3058,-1)</f>
        <v>26280</v>
      </c>
    </row>
    <row r="150" spans="1:7" x14ac:dyDescent="0.3">
      <c r="A150" s="2">
        <v>2</v>
      </c>
      <c r="C150" s="38" t="s">
        <v>49</v>
      </c>
      <c r="D150" s="42">
        <f>TRUNC(4012,-1)</f>
        <v>4010</v>
      </c>
      <c r="E150" s="63">
        <f>TRUNC(+D150*3.3058,-1)</f>
        <v>13250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TRUNC(4435+3880,-1)</f>
        <v>8310</v>
      </c>
      <c r="E152" s="63">
        <f>TRUNC(+D152*3.3058,-1)</f>
        <v>27470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TRUNC(13665,-1)</f>
        <v>13660</v>
      </c>
      <c r="E153" s="64">
        <f>TRUNC(+D153*3.3058,-1)</f>
        <v>45150</v>
      </c>
    </row>
    <row r="154" spans="1:7" x14ac:dyDescent="0.3">
      <c r="A154" s="2">
        <v>6</v>
      </c>
      <c r="C154" s="27" t="s">
        <v>112</v>
      </c>
      <c r="D154" s="39">
        <f>SUM(D149:D153)</f>
        <v>33930</v>
      </c>
      <c r="E154" s="39">
        <f>SUM(E149:E153)</f>
        <v>112150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TRUNC(12545,-1)</f>
        <v>12540</v>
      </c>
      <c r="E157" s="62">
        <f>TRUNC(+D157*3.3058,-1)</f>
        <v>41450</v>
      </c>
    </row>
    <row r="158" spans="1:7" x14ac:dyDescent="0.3">
      <c r="A158" s="2">
        <v>2</v>
      </c>
      <c r="C158" s="38" t="s">
        <v>52</v>
      </c>
      <c r="D158" s="42">
        <f>TRUNC(6869,-1)</f>
        <v>6860</v>
      </c>
      <c r="E158" s="63">
        <f>TRUNC(+D158*3.3058,-1)</f>
        <v>22670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19400</v>
      </c>
      <c r="E161" s="39">
        <f>SUM(E157:E160)</f>
        <v>64120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2020-12-08T01:24:34Z</dcterms:modified>
</cp:coreProperties>
</file>