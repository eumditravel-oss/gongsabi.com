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2" i="4" l="1"/>
  <c r="D159" i="4"/>
  <c r="D157" i="4"/>
  <c r="D153" i="4"/>
  <c r="D152" i="4"/>
  <c r="D150" i="4"/>
  <c r="D149" i="4"/>
  <c r="D144" i="4"/>
  <c r="D143" i="4"/>
  <c r="D142" i="4"/>
  <c r="D140" i="4"/>
  <c r="D139" i="4"/>
  <c r="D132" i="4"/>
  <c r="D130" i="4"/>
  <c r="D125" i="4"/>
  <c r="D124" i="4"/>
  <c r="D117" i="4"/>
  <c r="D118" i="4"/>
  <c r="D105" i="4"/>
  <c r="D103" i="4"/>
  <c r="D100" i="4"/>
  <c r="D99" i="4"/>
  <c r="D98" i="4"/>
  <c r="D94" i="4"/>
  <c r="D93" i="4"/>
  <c r="D92" i="4"/>
  <c r="D72" i="4"/>
  <c r="D69" i="4"/>
  <c r="D63" i="4"/>
  <c r="D59" i="4"/>
  <c r="D53" i="4"/>
  <c r="D52" i="4"/>
  <c r="D50" i="4"/>
  <c r="D49" i="4"/>
  <c r="D48" i="4"/>
  <c r="D46" i="4"/>
  <c r="D45" i="4"/>
  <c r="D44" i="4"/>
  <c r="D43" i="4"/>
  <c r="D41" i="4"/>
  <c r="D40" i="4"/>
  <c r="D58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<sst xmlns="http://schemas.openxmlformats.org/spreadsheetml/2006/main" count="390" uniqueCount="264">
  <si>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</si>
  <si>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</si>
  <si>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</si>
  <si>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</si>
  <si>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</si>
  <si>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</si>
  <si>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</si>
  <si>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</si>
  <si>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</si>
  <si>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</si>
  <si>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</si>
  <si>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</si>
  <si>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</si>
  <si>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</si>
  <si>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</si>
  <si>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</si>
  <si>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</si>
  <si>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</si>
  <si>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</si>
  <si>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</si>
  <si>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</si>
  <si>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</si>
  <si>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</si>
  <si>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</si>
  <si>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</si>
  <si>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</si>
  <si>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</si>
  <si>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</si>
  <si>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</si>
  <si>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</si>
  <si>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</si>
  <si>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</si>
  <si>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</si>
  <si>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</si>
  <si>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</si>
  <si>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</si>
  <si>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</si>
  <si>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</si>
  <si>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</si>
  <si>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</si>
  <si>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</si>
  <si>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</si>
  <si>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</si>
  <si>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</si>
  <si>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</si>
  <si>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</si>
  <si>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</si>
  <si>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</si>
  <si>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</si>
  <si>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</si>
  <si>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</si>
  <si>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</si>
  <si>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</si>
  <si>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</si>
  <si>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</si>
  <si>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</si>
  <si>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</si>
  <si>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</si>
  <si>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</si>
  <si>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</si>
  <si>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</si>
  <si>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</si>
  <si>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</si>
  <si>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</si>
  <si>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</si>
  <si>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</si>
  <si>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</si>
  <si>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</si>
  <si>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</si>
  <si>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</si>
  <si>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</si>
  <si>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</si>
  <si>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</si>
  <si>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</si>
  <si>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</si>
  <si>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</si>
  <si>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</si>
  <si>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</si>
  <si>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</si>
  <si>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</si>
  <si>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</si>
  <si>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</si>
  <si>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</si>
  <si>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</si>
  <si>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</si>
  <si>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</si>
  <si>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</si>
  <si>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</si>
  <si>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</si>
  <si>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</si>
  <si>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</si>
  <si>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</si>
  <si>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</si>
  <si>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</si>
  <si>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</si>
  <si>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</si>
  <si>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</si>
  <si>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</si>
  <si>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</si>
  <si>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</si>
  <si>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</si>
  <si>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</si>
  <si>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</si>
  <si>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</si>
  <si>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</si>
  <si>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</si>
  <si>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</si>
  <si>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</si>
  <si>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</si>
  <si>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</si>
  <si>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</si>
  <si>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</si>
  <si>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</si>
  <si>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</si>
  <si>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</si>
  <si>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</si>
  <si>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</si>
  <si>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</si>
  <si>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</si>
  <si>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</si>
  <si>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</si>
  <si>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</si>
  <si>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</si>
  <si>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</si>
  <si>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</si>
  <si>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</si>
  <si>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</si>
  <si>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</si>
  <si>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</si>
  <si>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</si>
  <si>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</si>
  <si>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</si>
  <si>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</si>
  <si>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</si>
  <si>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</si>
  <si>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</si>
  <si>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</si>
  <si>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</si>
  <si>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</si>
  <si>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</si>
  <si>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</si>
  <si>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</si>
  <si>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</si>
  <si>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</si>
  <si>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</si>
  <si>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</si>
  <si>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</si>
  <si>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</si>
  <si>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</si>
  <si>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</si>
  <si>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</si>
  <si>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</si>
  <si>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</si>
  <si>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</si>
  <si>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</si>
  <si>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</si>
  <si>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</si>
  <si>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</si>
  <si>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</si>
  <si>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</si>
  <si>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</si>
  <si>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</si>
  <si>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</si>
  <si>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</si>
  <si>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</si>
  <si>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</si>
  <si>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</si>
  <si>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</si>
  <si>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</si>
  <si>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</si>
  <si>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</si>
  <si>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</si>
  <si>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</si>
  <si>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</si>
  <si>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</si>
  <si>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</si>
  <si>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</si>
  <si>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</si>
  <si>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</si>
  <si>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</si>
  <si>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</si>
  <si>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</si>
  <si>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</si>
  <si>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</si>
  <si>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</si>
  <si>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</si>
  <si>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</si>
  <si>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</si>
  <si>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</si>
  <si>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</si>
  <si>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</si>
  <si>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</si>
  <si>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</si>
  <si>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</si>
  <si>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</si>
  <si>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</si>
  <si>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</si>
  <si>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</si>
  <si>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</si>
  <si>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</si>
  <si>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</si>
  <si>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</si>
  <si>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</si>
  <si>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</si>
  <si>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</si>
  <si>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</si>
  <si>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</si>
  <si>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</si>
  <si>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</si>
  <si>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</si>
  <si>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</si>
  <si>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</si>
  <si>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</si>
  <si>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</si>
  <si>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</si>
  <si>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</si>
  <si>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</si>
  <si>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</si>
  <si>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</si>
  <si>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</si>
  <si>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</si>
  <si>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</si>
  <si>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</si>
  <si>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</si>
  <si>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</si>
  <si>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</si>
  <si>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</si>
  <si>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</si>
  <si>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</si>
  <si>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</si>
  <si>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</si>
  <si>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</si>
  <si>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</si>
  <si>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</si>
  <si>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</si>
  <si>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</si>
  <si>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</si>
  <si>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</si>
  <si>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</si>
  <si>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</si>
  <si>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</si>
  <si>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</si>
  <si>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</si>
  <si>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</si>
  <si>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</si>
  <si>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</si>
  <si>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</si>
  <si>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</si>
  <si>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</si>
  <si>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해양플랜트 고급기술엔지니어링센터 신축공사(건축공사)</t>
    <phoneticPr fontId="2" type="noConversion"/>
  </si>
  <si>
    <t>교육연구</t>
  </si>
  <si>
    <t>부산시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</si>
  <si>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</si>
  <si>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</si>
  <si>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</si>
  <si>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기초공사,골재비및운반비,기타공사</t>
    <phoneticPr fontId="2" type="noConversion"/>
  </si>
  <si>
    <t xml:space="preserve">원격검침 설비공사,기타공사 </t>
    <phoneticPr fontId="2" type="noConversion"/>
  </si>
  <si>
    <t>주차관제설비공사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</si>
  <si>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</si>
  <si>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</si>
  <si>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공조배관공사,난방배관공사,기타공사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</si>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</sst>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3433.54</v>
      </c>
      <c r="D7" s="36">
        <f>+C7/3.3058</f>
        <v>1038.6411761147074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881060</v>
      </c>
      <c r="E25" s="59">
        <f t="shared" si="0"/>
        <v>2912600</v>
      </c>
    </row>
    <row r="26" spans="1:5" x14ac:dyDescent="0.3">
      <c r="B26" s="2">
        <v>3</v>
      </c>
      <c r="C26" s="35" t="s">
        <v>95</v>
      </c>
      <c r="D26" s="45">
        <f>+D66</f>
        <v>8500</v>
      </c>
      <c r="E26" s="59">
        <f t="shared" si="0"/>
        <v>28090</v>
      </c>
    </row>
    <row r="27" spans="1:5" x14ac:dyDescent="0.3">
      <c r="B27" s="2">
        <v>4</v>
      </c>
      <c r="C27" s="35" t="s">
        <v>96</v>
      </c>
      <c r="D27" s="45">
        <f>+D95</f>
        <v>155310</v>
      </c>
      <c r="E27" s="59">
        <f t="shared" si="0"/>
        <v>513420</v>
      </c>
    </row>
    <row r="28" spans="1:5" x14ac:dyDescent="0.3">
      <c r="B28" s="2">
        <v>5</v>
      </c>
      <c r="C28" s="35" t="s">
        <v>97</v>
      </c>
      <c r="D28" s="45">
        <f>+D119</f>
        <v>340700</v>
      </c>
      <c r="E28" s="59">
        <f t="shared" si="0"/>
        <v>1126280</v>
      </c>
    </row>
    <row r="29" spans="1:5" x14ac:dyDescent="0.3">
      <c r="B29" s="2">
        <v>6</v>
      </c>
      <c r="C29" s="35" t="s">
        <v>98</v>
      </c>
      <c r="D29" s="45">
        <f>+D133</f>
        <v>114050</v>
      </c>
      <c r="E29" s="59">
        <f t="shared" si="0"/>
        <v>377020</v>
      </c>
    </row>
    <row r="30" spans="1:5" x14ac:dyDescent="0.3">
      <c r="B30" s="2">
        <v>7</v>
      </c>
      <c r="C30" s="35" t="s">
        <v>99</v>
      </c>
      <c r="D30" s="45">
        <f>+D146</f>
        <v>43830</v>
      </c>
      <c r="E30" s="59">
        <f t="shared" si="0"/>
        <v>144890</v>
      </c>
    </row>
    <row r="31" spans="1:5" x14ac:dyDescent="0.3">
      <c r="B31" s="2">
        <v>8</v>
      </c>
      <c r="C31" s="35" t="s">
        <v>100</v>
      </c>
      <c r="D31" s="45">
        <f>+D154</f>
        <v>102560</v>
      </c>
      <c r="E31" s="59">
        <f t="shared" si="0"/>
        <v>339040</v>
      </c>
    </row>
    <row r="32" spans="1:5" x14ac:dyDescent="0.3">
      <c r="B32" s="2">
        <v>9</v>
      </c>
      <c r="C32" s="35" t="s">
        <v>101</v>
      </c>
      <c r="D32" s="45">
        <f>+D161</f>
        <v>52220</v>
      </c>
      <c r="E32" s="59">
        <f t="shared" si="0"/>
        <v>172620</v>
      </c>
    </row>
    <row r="33" spans="1:7" x14ac:dyDescent="0.3">
      <c r="B33" s="2">
        <v>10</v>
      </c>
      <c r="C33" s="35" t="s">
        <v>154</v>
      </c>
      <c r="D33" s="53">
        <f>TRUNC(SUM(D24:D32)*0.275,-1)</f>
        <v>467010</v>
      </c>
      <c r="E33" s="60">
        <f t="shared" si="0"/>
        <v>1543840</v>
      </c>
    </row>
    <row r="34" spans="1:7" x14ac:dyDescent="0.3">
      <c r="C34" s="35" t="s">
        <v>112</v>
      </c>
      <c r="D34" s="44">
        <f>SUM(D24:D33)</f>
        <v>2165240</v>
      </c>
      <c r="E34" s="44">
        <f>SUM(E24:E33)</f>
        <v>7157800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TRUNC(78024,-1)</f>
        <v>78020</v>
      </c>
      <c r="E40" s="62">
        <f t="shared" ref="E40:E59" si="1">TRUNC(+D40*3.3058,-1)</f>
        <v>257910</v>
      </c>
    </row>
    <row r="41" spans="1:7" x14ac:dyDescent="0.3">
      <c r="A41" s="2">
        <v>2</v>
      </c>
      <c r="C41" s="38" t="s">
        <v>13</v>
      </c>
      <c r="D41" s="42">
        <f>TRUNC(211144,-1)</f>
        <v>211140</v>
      </c>
      <c r="E41" s="63">
        <f t="shared" si="1"/>
        <v>697980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TRUNC(704,-1)</f>
        <v>700</v>
      </c>
      <c r="E43" s="63">
        <f t="shared" si="1"/>
        <v>2310</v>
      </c>
    </row>
    <row r="44" spans="1:7" x14ac:dyDescent="0.3">
      <c r="A44" s="2">
        <v>5</v>
      </c>
      <c r="C44" s="38" t="s">
        <v>17</v>
      </c>
      <c r="D44" s="42">
        <f>TRUNC(38569,-1)</f>
        <v>38560</v>
      </c>
      <c r="E44" s="63">
        <f t="shared" si="1"/>
        <v>127470</v>
      </c>
    </row>
    <row r="45" spans="1:7" x14ac:dyDescent="0.3">
      <c r="A45" s="2">
        <v>6</v>
      </c>
      <c r="C45" s="38" t="s">
        <v>18</v>
      </c>
      <c r="D45" s="42">
        <f>TRUNC(9724,-1)</f>
        <v>9720</v>
      </c>
      <c r="E45" s="63">
        <f t="shared" si="1"/>
        <v>32130</v>
      </c>
    </row>
    <row r="46" spans="1:7" x14ac:dyDescent="0.3">
      <c r="A46" s="2">
        <v>7</v>
      </c>
      <c r="C46" s="38" t="s">
        <v>19</v>
      </c>
      <c r="D46" s="42">
        <f>TRUNC(22561,-1)</f>
        <v>22560</v>
      </c>
      <c r="E46" s="63">
        <f t="shared" si="1"/>
        <v>74570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TRUNC(21492,-1)</f>
        <v>21490</v>
      </c>
      <c r="E48" s="63">
        <f t="shared" si="1"/>
        <v>71040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TRUNC(15055,-1)</f>
        <v>15050</v>
      </c>
      <c r="E49" s="63">
        <f t="shared" si="1"/>
        <v>49750</v>
      </c>
    </row>
    <row r="50" spans="1:7" x14ac:dyDescent="0.3">
      <c r="A50" s="2">
        <v>11</v>
      </c>
      <c r="C50" s="38" t="s">
        <v>155</v>
      </c>
      <c r="D50" s="42">
        <f>TRUNC(29503,-1)</f>
        <v>29500</v>
      </c>
      <c r="E50" s="63">
        <f t="shared" si="1"/>
        <v>97520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TRUNC(12731-1)</f>
        <v>12730</v>
      </c>
      <c r="E52" s="63">
        <f t="shared" si="1"/>
        <v>42080</v>
      </c>
    </row>
    <row r="53" spans="1:7" x14ac:dyDescent="0.3">
      <c r="A53" s="2">
        <v>14</v>
      </c>
      <c r="C53" s="38" t="s">
        <v>25</v>
      </c>
      <c r="D53" s="42">
        <f>TRUNC(67041,-1)</f>
        <v>67040</v>
      </c>
      <c r="E53" s="63">
        <f t="shared" si="1"/>
        <v>221620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17569+4504+1277</f>
        <v>23350</v>
      </c>
      <c r="E58" s="63">
        <f t="shared" si="1"/>
        <v>77190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TRUNC(351204,-1)</f>
        <v>351200</v>
      </c>
      <c r="E59" s="64">
        <f t="shared" si="1"/>
        <v>1160990</v>
      </c>
    </row>
    <row r="60" spans="1:7" x14ac:dyDescent="0.3">
      <c r="A60" s="2">
        <v>21</v>
      </c>
      <c r="C60" s="27" t="s">
        <v>112</v>
      </c>
      <c r="D60" s="39">
        <f>SUM(D40:D59)</f>
        <v>881060</v>
      </c>
      <c r="E60" s="39">
        <f>SUM(E40:E59)</f>
        <v>2912560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TRUNC(8508,-1)</f>
        <v>8500</v>
      </c>
      <c r="E63" s="62">
        <f>TRUNC(+D63*3.3058,-1)</f>
        <v>28090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8500</v>
      </c>
      <c r="E66" s="65">
        <f>SUM(E63:E65)</f>
        <v>28090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TRUNC(5744,-1)</f>
        <v>5740</v>
      </c>
      <c r="E69" s="62">
        <f t="shared" ref="E69:E94" si="2">TRUNC(+D69*3.3058,-1)</f>
        <v>18970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TRUNC(6761,-1)</f>
        <v>6760</v>
      </c>
      <c r="E72" s="63">
        <f t="shared" si="2"/>
        <v>22340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TRUNC(26145,-1)</f>
        <v>26140</v>
      </c>
      <c r="E92" s="63">
        <f t="shared" si="2"/>
        <v>86410</v>
      </c>
    </row>
    <row r="93" spans="1:7" x14ac:dyDescent="0.3">
      <c r="A93" s="2">
        <v>25</v>
      </c>
      <c r="C93" s="38" t="s">
        <v>148</v>
      </c>
      <c r="D93" s="42">
        <f>TRUNC(114924,-1)</f>
        <v>114920</v>
      </c>
      <c r="E93" s="63">
        <f t="shared" si="2"/>
        <v>379900</v>
      </c>
    </row>
    <row r="94" spans="1:7" ht="17.25" thickBot="1" x14ac:dyDescent="0.35">
      <c r="A94" s="2">
        <v>26</v>
      </c>
      <c r="C94" s="38" t="s">
        <v>47</v>
      </c>
      <c r="D94" s="43">
        <f>TRUNC(1371+305+76,-1)</f>
        <v>1750</v>
      </c>
      <c r="E94" s="64">
        <f t="shared" si="2"/>
        <v>5780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155310</v>
      </c>
      <c r="E95" s="39">
        <f>SUM(E69:E94)</f>
        <v>513400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TRUNC(32105,-1)</f>
        <v>32100</v>
      </c>
      <c r="E98" s="62">
        <f t="shared" ref="E98:E118" si="3">TRUNC(+D98*3.3058,-1)</f>
        <v>106110</v>
      </c>
    </row>
    <row r="99" spans="1:7" x14ac:dyDescent="0.3">
      <c r="A99" s="2">
        <v>2</v>
      </c>
      <c r="C99" s="38" t="s">
        <v>40</v>
      </c>
      <c r="D99" s="42">
        <f>TRUNC(4477,-1)</f>
        <v>4470</v>
      </c>
      <c r="E99" s="63">
        <f t="shared" si="3"/>
        <v>14770</v>
      </c>
    </row>
    <row r="100" spans="1:7" x14ac:dyDescent="0.3">
      <c r="A100" s="2">
        <v>3</v>
      </c>
      <c r="C100" s="38" t="s">
        <v>41</v>
      </c>
      <c r="D100" s="42">
        <f>TRUNC(52343,-1)</f>
        <v>52340</v>
      </c>
      <c r="E100" s="63">
        <f t="shared" si="3"/>
        <v>173020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TRUNC(17625,-1)</f>
        <v>17620</v>
      </c>
      <c r="E102" s="63">
        <f t="shared" si="3"/>
        <v>58240</v>
      </c>
    </row>
    <row r="103" spans="1:7" x14ac:dyDescent="0.3">
      <c r="A103" s="2">
        <v>6</v>
      </c>
      <c r="C103" s="38" t="s">
        <v>44</v>
      </c>
      <c r="D103" s="42">
        <f>TRUNC(7568,-1)</f>
        <v>7560</v>
      </c>
      <c r="E103" s="63">
        <f t="shared" si="3"/>
        <v>24990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TRUNC(11263,-1)</f>
        <v>11260</v>
      </c>
      <c r="E105" s="63">
        <f t="shared" si="3"/>
        <v>37220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TRUNC(206594,-1)</f>
        <v>206590</v>
      </c>
      <c r="E117" s="63">
        <f t="shared" si="3"/>
        <v>682940</v>
      </c>
    </row>
    <row r="118" spans="1:7" ht="17.25" thickBot="1" x14ac:dyDescent="0.35">
      <c r="A118" s="2">
        <v>21</v>
      </c>
      <c r="C118" s="38" t="s">
        <v>47</v>
      </c>
      <c r="D118" s="43">
        <f>TRUNC(4315+4452,-1)</f>
        <v>8760</v>
      </c>
      <c r="E118" s="64">
        <f t="shared" si="3"/>
        <v>28950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340700</v>
      </c>
      <c r="E119" s="39">
        <f>SUM(E98:E118)</f>
        <v>1126240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TRUNC(2985,-1)</f>
        <v>2980</v>
      </c>
      <c r="E124" s="63">
        <f t="shared" si="4"/>
        <v>9850</v>
      </c>
    </row>
    <row r="125" spans="1:7" x14ac:dyDescent="0.3">
      <c r="A125" s="2">
        <v>4</v>
      </c>
      <c r="C125" s="38" t="s">
        <v>138</v>
      </c>
      <c r="D125" s="42">
        <f>TRUNC(6995,-1)</f>
        <v>6990</v>
      </c>
      <c r="E125" s="63">
        <f t="shared" si="4"/>
        <v>23100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TRUNC(39225,-1)</f>
        <v>39220</v>
      </c>
      <c r="E130" s="63">
        <f t="shared" si="4"/>
        <v>129650</v>
      </c>
    </row>
    <row r="131" spans="1:7" x14ac:dyDescent="0.3">
      <c r="A131" s="2">
        <v>10</v>
      </c>
      <c r="C131" s="38" t="s">
        <v>148</v>
      </c>
      <c r="D131" s="42">
        <v>62860</v>
      </c>
      <c r="E131" s="63">
        <f t="shared" si="4"/>
        <v>207800</v>
      </c>
    </row>
    <row r="132" spans="1:7" ht="18" thickBot="1" x14ac:dyDescent="0.35">
      <c r="A132" s="2">
        <v>11</v>
      </c>
      <c r="C132" s="38" t="s">
        <v>47</v>
      </c>
      <c r="D132" s="43">
        <f>TRUNC(2009,-1)</f>
        <v>2000</v>
      </c>
      <c r="E132" s="64">
        <f t="shared" si="4"/>
        <v>6610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114050</v>
      </c>
      <c r="E133" s="39">
        <f>SUM(E122:E132)</f>
        <v>377010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TRUNC(874,-1)</f>
        <v>870</v>
      </c>
      <c r="E139" s="63">
        <f t="shared" si="5"/>
        <v>2870</v>
      </c>
    </row>
    <row r="140" spans="1:7" x14ac:dyDescent="0.3">
      <c r="A140" s="2">
        <v>5</v>
      </c>
      <c r="C140" s="38" t="s">
        <v>57</v>
      </c>
      <c r="D140" s="42">
        <f>TRUNC(1956,-1)</f>
        <v>1950</v>
      </c>
      <c r="E140" s="63">
        <f t="shared" si="5"/>
        <v>6440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TRUNC(24812,-1)</f>
        <v>24810</v>
      </c>
      <c r="E142" s="63">
        <f t="shared" si="5"/>
        <v>82010</v>
      </c>
    </row>
    <row r="143" spans="1:7" x14ac:dyDescent="0.3">
      <c r="A143" s="2">
        <v>8</v>
      </c>
      <c r="C143" s="38" t="s">
        <v>62</v>
      </c>
      <c r="D143" s="42">
        <f>TRUNC(7654,-1)</f>
        <v>7650</v>
      </c>
      <c r="E143" s="63">
        <f t="shared" si="5"/>
        <v>25280</v>
      </c>
    </row>
    <row r="144" spans="1:7" x14ac:dyDescent="0.3">
      <c r="A144" s="2">
        <v>9</v>
      </c>
      <c r="C144" s="38" t="s">
        <v>63</v>
      </c>
      <c r="D144" s="42">
        <f>TRUNC(8557,-1)</f>
        <v>8550</v>
      </c>
      <c r="E144" s="63">
        <f t="shared" si="5"/>
        <v>28260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43830</v>
      </c>
      <c r="E146" s="39">
        <f>SUM(E136:E145)</f>
        <v>144860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TRUNC(10882+833,-1)</f>
        <v>11710</v>
      </c>
      <c r="E149" s="62">
        <f>TRUNC(+D149*3.3058,-1)</f>
        <v>38710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TRUNC(5724,-1)</f>
        <v>5720</v>
      </c>
      <c r="E150" s="63">
        <f>TRUNC(+D150*3.3058,-1)</f>
        <v>18900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TRUNC(20685+362+17531,-1)</f>
        <v>38570</v>
      </c>
      <c r="E152" s="63">
        <f>TRUNC(+D152*3.3058,-1)</f>
        <v>127500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TRUNC(46565,-1)</f>
        <v>46560</v>
      </c>
      <c r="E153" s="64">
        <f>TRUNC(+D153*3.3058,-1)</f>
        <v>153910</v>
      </c>
    </row>
    <row r="154" spans="1:7" x14ac:dyDescent="0.3">
      <c r="A154" s="2">
        <v>6</v>
      </c>
      <c r="C154" s="27" t="s">
        <v>112</v>
      </c>
      <c r="D154" s="39">
        <f>SUM(D149:D153)</f>
        <v>102560</v>
      </c>
      <c r="E154" s="39">
        <f>SUM(E149:E153)</f>
        <v>339020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TRUNC(51675,-1)</f>
        <v>51670</v>
      </c>
      <c r="E157" s="62">
        <f>TRUNC(+D157*3.3058,-1)</f>
        <v>170810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TRUNC(551,-1)</f>
        <v>550</v>
      </c>
      <c r="E159" s="63">
        <f>TRUNC(+D159*3.3058,-1)</f>
        <v>1810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52220</v>
      </c>
      <c r="E161" s="39">
        <f>SUM(E157:E160)</f>
        <v>172620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2020-12-08T04:22:47Z</dcterms:modified>
</cp:coreProperties>
</file>