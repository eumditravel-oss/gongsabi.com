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1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6" i="4"/>
  <c r="D125" i="4"/>
  <c r="D124" i="4"/>
  <c r="D122" i="4"/>
  <c r="D118" i="4"/>
  <c r="D116" i="4"/>
  <c r="D114" i="4"/>
  <c r="D105" i="4"/>
  <c r="D104" i="4"/>
  <c r="D103" i="4"/>
  <c r="D102" i="4"/>
  <c r="D101" i="4"/>
  <c r="D100" i="4"/>
  <c r="D99" i="4"/>
  <c r="D98" i="4"/>
  <c r="D94" i="4"/>
  <c r="D93" i="4"/>
  <c r="D92" i="4"/>
  <c r="D91" i="4"/>
  <c r="D89" i="4"/>
  <c r="D72" i="4"/>
  <c r="D71" i="4"/>
  <c r="D70" i="4"/>
  <c r="D69" i="4"/>
  <c r="D63" i="4"/>
  <c r="D59" i="4"/>
  <c r="D58" i="4"/>
  <c r="D53" i="4"/>
  <c r="D52" i="4"/>
  <c r="D50" i="4"/>
  <c r="D49" i="4"/>
  <c r="D48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<sst xmlns="http://schemas.openxmlformats.org/spreadsheetml/2006/main" count="392" uniqueCount="266">
  <si>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</si>
  <si>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</si>
  <si>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</si>
  <si>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</si>
  <si>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</si>
  <si>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</si>
  <si>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</si>
  <si>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</si>
  <si>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</si>
  <si>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</si>
  <si>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</si>
  <si>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</si>
  <si>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</si>
  <si>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</si>
  <si>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</si>
  <si>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</si>
  <si>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</si>
  <si>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</si>
  <si>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</si>
  <si>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</si>
  <si>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</si>
  <si>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</si>
  <si>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</si>
  <si>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</si>
  <si>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</si>
  <si>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</si>
  <si>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</si>
  <si>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</si>
  <si>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</si>
  <si>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</si>
  <si>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</si>
  <si>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</si>
  <si>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</si>
  <si>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</si>
  <si>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</si>
  <si>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</si>
  <si>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</si>
  <si>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</si>
  <si>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</si>
  <si>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</si>
  <si>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</si>
  <si>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</si>
  <si>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</si>
  <si>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</si>
  <si>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</si>
  <si>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</si>
  <si>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</si>
  <si>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</si>
  <si>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</si>
  <si>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</si>
  <si>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</si>
  <si>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</si>
  <si>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</si>
  <si>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</si>
  <si>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</si>
  <si>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</si>
  <si>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</si>
  <si>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</si>
  <si>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</si>
  <si>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</si>
  <si>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</si>
  <si>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</si>
  <si>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</si>
  <si>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</si>
  <si>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</si>
  <si>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</si>
  <si>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</si>
  <si>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</si>
  <si>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</si>
  <si>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</si>
  <si>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</si>
  <si>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</si>
  <si>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</si>
  <si>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</si>
  <si>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</si>
  <si>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</si>
  <si>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</si>
  <si>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</si>
  <si>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</si>
  <si>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</si>
  <si>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</si>
  <si>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</si>
  <si>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</si>
  <si>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</si>
  <si>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</si>
  <si>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</si>
  <si>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</si>
  <si>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</si>
  <si>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</si>
  <si>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</si>
  <si>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</si>
  <si>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</si>
  <si>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</si>
  <si>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</si>
  <si>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</si>
  <si>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</si>
  <si>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</si>
  <si>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</si>
  <si>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</si>
  <si>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</si>
  <si>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</si>
  <si>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</si>
  <si>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</si>
  <si>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</si>
  <si>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</si>
  <si>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</si>
  <si>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</si>
  <si>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</si>
  <si>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</si>
  <si>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</si>
  <si>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</si>
  <si>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</si>
  <si>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</si>
  <si>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</si>
  <si>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</si>
  <si>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</si>
  <si>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</si>
  <si>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</si>
  <si>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</si>
  <si>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</si>
  <si>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</si>
  <si>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</si>
  <si>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</si>
  <si>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</si>
  <si>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</si>
  <si>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</si>
  <si>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</si>
  <si>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</si>
  <si>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</si>
  <si>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</si>
  <si>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</si>
  <si>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</si>
  <si>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</si>
  <si>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</si>
  <si>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</si>
  <si>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</si>
  <si>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</si>
  <si>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</si>
  <si>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</si>
  <si>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</si>
  <si>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</si>
  <si>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</si>
  <si>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</si>
  <si>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</si>
  <si>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</si>
  <si>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</si>
  <si>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</si>
  <si>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</si>
  <si>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</si>
  <si>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</si>
  <si>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</si>
  <si>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</si>
  <si>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</si>
  <si>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</si>
  <si>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</si>
  <si>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</si>
  <si>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</si>
  <si>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</si>
  <si>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</si>
  <si>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</si>
  <si>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</si>
  <si>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</si>
  <si>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</si>
  <si>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</si>
  <si>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</si>
  <si>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</si>
  <si>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</si>
  <si>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</si>
  <si>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</si>
  <si>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</si>
  <si>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</si>
  <si>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</si>
  <si>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</si>
  <si>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</si>
  <si>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</si>
  <si>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</si>
  <si>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</si>
  <si>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</si>
  <si>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</si>
  <si>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</si>
  <si>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</si>
  <si>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</si>
  <si>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</si>
  <si>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</si>
  <si>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</si>
  <si>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</si>
  <si>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</si>
  <si>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</si>
  <si>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</si>
  <si>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</si>
  <si>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</si>
  <si>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</si>
  <si>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</si>
  <si>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</si>
  <si>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</si>
  <si>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</si>
  <si>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</si>
  <si>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</si>
  <si>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</si>
  <si>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</si>
  <si>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</si>
  <si>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</si>
  <si>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</si>
  <si>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</si>
  <si>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</si>
  <si>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</si>
  <si>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</si>
  <si>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</si>
  <si>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</si>
  <si>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</si>
  <si>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</si>
  <si>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</si>
  <si>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</si>
  <si>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</si>
  <si>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</si>
  <si>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</si>
  <si>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</si>
  <si>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</si>
  <si>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</si>
  <si>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</si>
  <si>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</si>
  <si>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</si>
  <si>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</si>
  <si>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</si>
  <si>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</si>
  <si>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</si>
  <si>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</si>
  <si>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</si>
  <si>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</si>
  <si>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</si>
  <si>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</si>
  <si>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</si>
  <si>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</si>
  <si>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</si>
  <si>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</si>
  <si>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</si>
  <si>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</si>
  <si>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</si>
  <si>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</si>
  <si>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</si>
  <si>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</si>
  <si>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</si>
  <si>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</si>
  <si>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</si>
  <si>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</si>
  <si>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</si>
  <si>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</si>
  <si>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</si>
  <si>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</si>
  <si>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</si>
  <si>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지붕및홈통공사 포함</t>
    <phoneticPr fontId="2" type="noConversion"/>
  </si>
  <si>
    <t>목공사및수장공사(인테리어공사 포함)</t>
    <phoneticPr fontId="2" type="noConversion"/>
  </si>
  <si>
    <t>CATV 및 TV 설비공사</t>
    <phoneticPr fontId="2" type="noConversion"/>
  </si>
  <si>
    <t>창호및유리공사</t>
    <phoneticPr fontId="2" type="noConversion"/>
  </si>
  <si>
    <t xml:space="preserve"> (가칭)운남중학교 신축공사</t>
    <phoneticPr fontId="2" type="noConversion"/>
  </si>
  <si>
    <t>경상도</t>
  </si>
  <si>
    <t>기초공사, 골재비및운반비, 기타공사</t>
    <phoneticPr fontId="2" type="noConversion"/>
  </si>
  <si>
    <t>난방배관공사,바닥난방공사, 기타공사</t>
    <phoneticPr fontId="2" type="noConversion"/>
  </si>
  <si>
    <t xml:space="preserve"> 전기인입 및 수변전 설비공사</t>
    <phoneticPr fontId="2" type="noConversion"/>
  </si>
  <si>
    <t>옥외보안등설비공사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</si>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</sst>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13058.32</v>
      </c>
      <c r="D7" s="36">
        <f>+C7/3.3058</f>
        <v>3950.12402444189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1025520</v>
      </c>
      <c r="E25" s="59">
        <f t="shared" si="0"/>
        <v>3390160</v>
      </c>
    </row>
    <row r="26" spans="1:5" x14ac:dyDescent="0.3">
      <c r="B26" s="2">
        <v>3</v>
      </c>
      <c r="C26" s="35" t="s">
        <v>95</v>
      </c>
      <c r="D26" s="45">
        <f>+D66</f>
        <v>7460</v>
      </c>
      <c r="E26" s="59">
        <f t="shared" si="0"/>
        <v>24660</v>
      </c>
    </row>
    <row r="27" spans="1:5" x14ac:dyDescent="0.3">
      <c r="B27" s="2">
        <v>4</v>
      </c>
      <c r="C27" s="35" t="s">
        <v>96</v>
      </c>
      <c r="D27" s="45">
        <f>+D95</f>
        <v>217370</v>
      </c>
      <c r="E27" s="59">
        <f t="shared" si="0"/>
        <v>718580</v>
      </c>
    </row>
    <row r="28" spans="1:5" x14ac:dyDescent="0.3">
      <c r="B28" s="2">
        <v>5</v>
      </c>
      <c r="C28" s="35" t="s">
        <v>97</v>
      </c>
      <c r="D28" s="45">
        <f>+D119</f>
        <v>189510</v>
      </c>
      <c r="E28" s="59">
        <f t="shared" si="0"/>
        <v>626480</v>
      </c>
    </row>
    <row r="29" spans="1:5" x14ac:dyDescent="0.3">
      <c r="B29" s="2">
        <v>6</v>
      </c>
      <c r="C29" s="35" t="s">
        <v>98</v>
      </c>
      <c r="D29" s="45">
        <f>+D133</f>
        <v>76810</v>
      </c>
      <c r="E29" s="59">
        <f t="shared" si="0"/>
        <v>253910</v>
      </c>
    </row>
    <row r="30" spans="1:5" x14ac:dyDescent="0.3">
      <c r="B30" s="2">
        <v>7</v>
      </c>
      <c r="C30" s="35" t="s">
        <v>99</v>
      </c>
      <c r="D30" s="45">
        <f>+D146</f>
        <v>58920</v>
      </c>
      <c r="E30" s="59">
        <f t="shared" si="0"/>
        <v>194770</v>
      </c>
    </row>
    <row r="31" spans="1:5" x14ac:dyDescent="0.3">
      <c r="B31" s="2">
        <v>8</v>
      </c>
      <c r="C31" s="35" t="s">
        <v>100</v>
      </c>
      <c r="D31" s="45">
        <f>+D154</f>
        <v>55420</v>
      </c>
      <c r="E31" s="59">
        <f t="shared" si="0"/>
        <v>183200</v>
      </c>
    </row>
    <row r="32" spans="1:5" x14ac:dyDescent="0.3">
      <c r="B32" s="2">
        <v>9</v>
      </c>
      <c r="C32" s="35" t="s">
        <v>101</v>
      </c>
      <c r="D32" s="45">
        <f>+D161</f>
        <v>19160</v>
      </c>
      <c r="E32" s="59">
        <f t="shared" si="0"/>
        <v>63330</v>
      </c>
    </row>
    <row r="33" spans="1:7" x14ac:dyDescent="0.3">
      <c r="B33" s="2">
        <v>10</v>
      </c>
      <c r="C33" s="35" t="s">
        <v>155</v>
      </c>
      <c r="D33" s="53">
        <f>TRUNC(SUM(D24:D32)*0.275,-1)</f>
        <v>453790</v>
      </c>
      <c r="E33" s="60">
        <f t="shared" si="0"/>
        <v>1500130</v>
      </c>
    </row>
    <row r="34" spans="1:7" x14ac:dyDescent="0.3">
      <c r="C34" s="35" t="s">
        <v>112</v>
      </c>
      <c r="D34" s="44">
        <f>SUM(D24:D33)</f>
        <v>2103960</v>
      </c>
      <c r="E34" s="44">
        <f>SUM(E24:E33)</f>
        <v>6955220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TRUNC(34754,-1)</f>
        <v>34750</v>
      </c>
      <c r="E40" s="62">
        <f t="shared" ref="E40:E59" si="1">TRUNC(+D40*3.3058,-1)</f>
        <v>114870</v>
      </c>
    </row>
    <row r="41" spans="1:7" x14ac:dyDescent="0.3">
      <c r="A41" s="2">
        <v>2</v>
      </c>
      <c r="C41" s="38" t="s">
        <v>13</v>
      </c>
      <c r="D41" s="42">
        <f>TRUNC(219918,-1)</f>
        <v>219910</v>
      </c>
      <c r="E41" s="63">
        <f t="shared" si="1"/>
        <v>726970</v>
      </c>
    </row>
    <row r="42" spans="1:7" x14ac:dyDescent="0.3">
      <c r="A42" s="2">
        <v>3</v>
      </c>
      <c r="C42" s="38" t="s">
        <v>14</v>
      </c>
      <c r="D42" s="42">
        <f>TRUNC(6071,-1)</f>
        <v>6070</v>
      </c>
      <c r="E42" s="63">
        <f t="shared" si="1"/>
        <v>20060</v>
      </c>
    </row>
    <row r="43" spans="1:7" x14ac:dyDescent="0.3">
      <c r="A43" s="2">
        <v>4</v>
      </c>
      <c r="C43" s="38" t="s">
        <v>16</v>
      </c>
      <c r="D43" s="42">
        <f>TRUNC(39753,-1)</f>
        <v>39750</v>
      </c>
      <c r="E43" s="63">
        <f t="shared" si="1"/>
        <v>131400</v>
      </c>
    </row>
    <row r="44" spans="1:7" x14ac:dyDescent="0.3">
      <c r="A44" s="2">
        <v>5</v>
      </c>
      <c r="C44" s="38" t="s">
        <v>17</v>
      </c>
      <c r="D44" s="42">
        <f>TRUNC(20031,-1)</f>
        <v>20030</v>
      </c>
      <c r="E44" s="63">
        <f t="shared" si="1"/>
        <v>66210</v>
      </c>
    </row>
    <row r="45" spans="1:7" x14ac:dyDescent="0.3">
      <c r="A45" s="2">
        <v>6</v>
      </c>
      <c r="C45" s="38" t="s">
        <v>18</v>
      </c>
      <c r="D45" s="42">
        <f>TRUNC(57609,-1)</f>
        <v>57600</v>
      </c>
      <c r="E45" s="63">
        <f t="shared" si="1"/>
        <v>190410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TRUNC(43579,-1)</f>
        <v>43570</v>
      </c>
      <c r="E48" s="63">
        <f t="shared" si="1"/>
        <v>144030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TRUNC(21222,-1)</f>
        <v>21220</v>
      </c>
      <c r="E49" s="63">
        <f t="shared" si="1"/>
        <v>70140</v>
      </c>
    </row>
    <row r="50" spans="1:7" x14ac:dyDescent="0.3">
      <c r="A50" s="2">
        <v>11</v>
      </c>
      <c r="C50" s="38" t="s">
        <v>156</v>
      </c>
      <c r="D50" s="42">
        <f>TRUNC(62314,-1)</f>
        <v>62310</v>
      </c>
      <c r="E50" s="63">
        <f t="shared" si="1"/>
        <v>205980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TRUNC(13424,-1)</f>
        <v>13420</v>
      </c>
      <c r="E52" s="63">
        <f t="shared" si="1"/>
        <v>44360</v>
      </c>
    </row>
    <row r="53" spans="1:7" x14ac:dyDescent="0.3">
      <c r="A53" s="2">
        <v>14</v>
      </c>
      <c r="C53" s="38" t="s">
        <v>25</v>
      </c>
      <c r="D53" s="42">
        <f>TRUNC(93623,-1)</f>
        <v>93620</v>
      </c>
      <c r="E53" s="63">
        <f t="shared" si="1"/>
        <v>309480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TRUNC(40760+5846+40103,-1)</f>
        <v>86700</v>
      </c>
      <c r="E58" s="63">
        <f t="shared" si="1"/>
        <v>286610</v>
      </c>
      <c r="F58" s="2" t="s">
        <v>256</v>
      </c>
    </row>
    <row r="59" spans="1:7" ht="17.25" thickBot="1" x14ac:dyDescent="0.35">
      <c r="A59" s="2">
        <v>20</v>
      </c>
      <c r="C59" s="38" t="s">
        <v>149</v>
      </c>
      <c r="D59" s="43">
        <f>TRUNC(326577,-1)</f>
        <v>326570</v>
      </c>
      <c r="E59" s="64">
        <f t="shared" si="1"/>
        <v>1079570</v>
      </c>
    </row>
    <row r="60" spans="1:7" x14ac:dyDescent="0.3">
      <c r="A60" s="2">
        <v>21</v>
      </c>
      <c r="C60" s="27" t="s">
        <v>112</v>
      </c>
      <c r="D60" s="39">
        <f>SUM(D40:D59)</f>
        <v>1025520</v>
      </c>
      <c r="E60" s="39">
        <f>SUM(E40:E59)</f>
        <v>3390090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TRUNC(7462,-1)</f>
        <v>7460</v>
      </c>
      <c r="E63" s="62">
        <f>TRUNC(+D63*3.3058,-1)</f>
        <v>24660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7460</v>
      </c>
      <c r="E66" s="65">
        <f>SUM(E63:E65)</f>
        <v>24660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TRUNC(7895,-1)</f>
        <v>7890</v>
      </c>
      <c r="E69" s="62">
        <f t="shared" ref="E69:E94" si="2">TRUNC(+D69*3.3058,-1)</f>
        <v>26080</v>
      </c>
    </row>
    <row r="70" spans="1:7" ht="16.5" customHeight="1" x14ac:dyDescent="0.3">
      <c r="A70" s="2">
        <v>2</v>
      </c>
      <c r="C70" s="38" t="s">
        <v>31</v>
      </c>
      <c r="D70" s="42">
        <f>TRUNC(1507,-1)</f>
        <v>1500</v>
      </c>
      <c r="E70" s="63">
        <f t="shared" si="2"/>
        <v>4950</v>
      </c>
    </row>
    <row r="71" spans="1:7" x14ac:dyDescent="0.3">
      <c r="A71" s="2">
        <v>3</v>
      </c>
      <c r="C71" s="38" t="s">
        <v>32</v>
      </c>
      <c r="D71" s="42">
        <f>TRUNC(5351,-1)</f>
        <v>5350</v>
      </c>
      <c r="E71" s="63">
        <f t="shared" si="2"/>
        <v>17680</v>
      </c>
    </row>
    <row r="72" spans="1:7" x14ac:dyDescent="0.3">
      <c r="A72" s="2">
        <v>4</v>
      </c>
      <c r="C72" s="38" t="s">
        <v>33</v>
      </c>
      <c r="D72" s="42">
        <f>TRUNC(4585,-1)</f>
        <v>4580</v>
      </c>
      <c r="E72" s="63">
        <f t="shared" si="2"/>
        <v>15140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TRUNC(24279,-1)</f>
        <v>24270</v>
      </c>
      <c r="E89" s="63">
        <f t="shared" si="2"/>
        <v>80230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TRUNC(10506,-1)</f>
        <v>10500</v>
      </c>
      <c r="E91" s="63">
        <f t="shared" si="2"/>
        <v>34710</v>
      </c>
    </row>
    <row r="92" spans="1:7" x14ac:dyDescent="0.3">
      <c r="A92" s="2">
        <v>24</v>
      </c>
      <c r="C92" s="38" t="s">
        <v>38</v>
      </c>
      <c r="D92" s="42">
        <f>TRUNC(15704,-1)</f>
        <v>15700</v>
      </c>
      <c r="E92" s="63">
        <f t="shared" si="2"/>
        <v>51900</v>
      </c>
    </row>
    <row r="93" spans="1:7" x14ac:dyDescent="0.3">
      <c r="A93" s="2">
        <v>25</v>
      </c>
      <c r="C93" s="38" t="s">
        <v>149</v>
      </c>
      <c r="D93" s="42">
        <f>TRUNC(138464,-1)</f>
        <v>138460</v>
      </c>
      <c r="E93" s="63">
        <f t="shared" si="2"/>
        <v>457720</v>
      </c>
    </row>
    <row r="94" spans="1:7" ht="17.25" thickBot="1" x14ac:dyDescent="0.35">
      <c r="A94" s="2">
        <v>26</v>
      </c>
      <c r="C94" s="38" t="s">
        <v>47</v>
      </c>
      <c r="D94" s="43">
        <f>TRUNC(2053+277+6794,-1)</f>
        <v>9120</v>
      </c>
      <c r="E94" s="64">
        <f t="shared" si="2"/>
        <v>30140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217370</v>
      </c>
      <c r="E95" s="39">
        <f>SUM(E69:E94)</f>
        <v>718550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TRUNC(10863,-1)</f>
        <v>10860</v>
      </c>
      <c r="E98" s="62">
        <f t="shared" ref="E98:E118" si="3">TRUNC(+D98*3.3058,-1)</f>
        <v>35900</v>
      </c>
    </row>
    <row r="99" spans="1:7" x14ac:dyDescent="0.3">
      <c r="A99" s="2">
        <v>2</v>
      </c>
      <c r="C99" s="38" t="s">
        <v>40</v>
      </c>
      <c r="D99" s="42">
        <f>TRUNC(1285,-1)</f>
        <v>1280</v>
      </c>
      <c r="E99" s="63">
        <f t="shared" si="3"/>
        <v>4230</v>
      </c>
    </row>
    <row r="100" spans="1:7" x14ac:dyDescent="0.3">
      <c r="A100" s="2">
        <v>3</v>
      </c>
      <c r="C100" s="38" t="s">
        <v>41</v>
      </c>
      <c r="D100" s="42">
        <f>TRUNC(34138,-1)</f>
        <v>34130</v>
      </c>
      <c r="E100" s="63">
        <f t="shared" si="3"/>
        <v>112820</v>
      </c>
    </row>
    <row r="101" spans="1:7" x14ac:dyDescent="0.3">
      <c r="A101" s="2">
        <v>4</v>
      </c>
      <c r="C101" s="38" t="s">
        <v>42</v>
      </c>
      <c r="D101" s="42">
        <f>TRUNC(3586,-1)</f>
        <v>3580</v>
      </c>
      <c r="E101" s="63">
        <f t="shared" si="3"/>
        <v>11830</v>
      </c>
    </row>
    <row r="102" spans="1:7" x14ac:dyDescent="0.3">
      <c r="A102" s="2">
        <v>5</v>
      </c>
      <c r="C102" s="38" t="s">
        <v>43</v>
      </c>
      <c r="D102" s="42">
        <f>TRUNC(21081,-1)</f>
        <v>21080</v>
      </c>
      <c r="E102" s="63">
        <f t="shared" si="3"/>
        <v>69680</v>
      </c>
    </row>
    <row r="103" spans="1:7" x14ac:dyDescent="0.3">
      <c r="A103" s="2">
        <v>6</v>
      </c>
      <c r="C103" s="38" t="s">
        <v>44</v>
      </c>
      <c r="D103" s="42">
        <f>TRUNC(5694,-1)</f>
        <v>5690</v>
      </c>
      <c r="E103" s="63">
        <f t="shared" si="3"/>
        <v>18810</v>
      </c>
    </row>
    <row r="104" spans="1:7" x14ac:dyDescent="0.3">
      <c r="A104" s="2">
        <v>7</v>
      </c>
      <c r="C104" s="38" t="s">
        <v>45</v>
      </c>
      <c r="D104" s="42">
        <f>TRUNC(3724,-1)</f>
        <v>3720</v>
      </c>
      <c r="E104" s="63">
        <f t="shared" si="3"/>
        <v>12290</v>
      </c>
    </row>
    <row r="105" spans="1:7" x14ac:dyDescent="0.3">
      <c r="A105" s="2">
        <v>8</v>
      </c>
      <c r="C105" s="38" t="s">
        <v>46</v>
      </c>
      <c r="D105" s="42">
        <f>TRUNC(5717,-1)</f>
        <v>5710</v>
      </c>
      <c r="E105" s="63">
        <f t="shared" si="3"/>
        <v>18870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TRUNC(1819,-1)</f>
        <v>1810</v>
      </c>
      <c r="E114" s="63">
        <f t="shared" si="3"/>
        <v>5980</v>
      </c>
      <c r="F114" s="2" t="s">
        <v>259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TRUNC(1694,-1)</f>
        <v>1690</v>
      </c>
      <c r="E116" s="63">
        <f t="shared" si="3"/>
        <v>5580</v>
      </c>
      <c r="F116" s="2" t="s">
        <v>258</v>
      </c>
    </row>
    <row r="117" spans="1:7" x14ac:dyDescent="0.3">
      <c r="A117" s="2">
        <v>20</v>
      </c>
      <c r="C117" s="38" t="s">
        <v>149</v>
      </c>
      <c r="D117" s="42">
        <v>95780</v>
      </c>
      <c r="E117" s="63">
        <f t="shared" si="3"/>
        <v>316620</v>
      </c>
    </row>
    <row r="118" spans="1:7" ht="17.25" thickBot="1" x14ac:dyDescent="0.35">
      <c r="A118" s="2">
        <v>21</v>
      </c>
      <c r="C118" s="38" t="s">
        <v>47</v>
      </c>
      <c r="D118" s="43">
        <f>TRUNC(4182,-1)</f>
        <v>4180</v>
      </c>
      <c r="E118" s="64">
        <f t="shared" si="3"/>
        <v>13810</v>
      </c>
    </row>
    <row r="119" spans="1:7" x14ac:dyDescent="0.3">
      <c r="A119" s="2">
        <v>22</v>
      </c>
      <c r="C119" s="27" t="s">
        <v>112</v>
      </c>
      <c r="D119" s="39">
        <f>SUM(D98:D118)</f>
        <v>189510</v>
      </c>
      <c r="E119" s="39">
        <f>SUM(E98:E118)</f>
        <v>626420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TRUNC(3111,-1)</f>
        <v>3110</v>
      </c>
      <c r="E122" s="62">
        <f t="shared" ref="E122:E132" si="4">TRUNC(+D122*3.3058,-1)</f>
        <v>10280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TRUNC(1315,-1)</f>
        <v>1310</v>
      </c>
      <c r="E124" s="63">
        <f t="shared" si="4"/>
        <v>4330</v>
      </c>
    </row>
    <row r="125" spans="1:7" x14ac:dyDescent="0.3">
      <c r="A125" s="2">
        <v>4</v>
      </c>
      <c r="C125" s="38" t="s">
        <v>138</v>
      </c>
      <c r="D125" s="42">
        <f>TRUNC(8239,-1)</f>
        <v>8230</v>
      </c>
      <c r="E125" s="63">
        <f t="shared" si="4"/>
        <v>27200</v>
      </c>
    </row>
    <row r="126" spans="1:7" x14ac:dyDescent="0.3">
      <c r="A126" s="2">
        <v>5</v>
      </c>
      <c r="C126" s="38" t="s">
        <v>53</v>
      </c>
      <c r="D126" s="42">
        <f>TRUNC(2796,-1)</f>
        <v>2790</v>
      </c>
      <c r="E126" s="63">
        <f t="shared" si="4"/>
        <v>9220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5100</v>
      </c>
      <c r="E128" s="63">
        <f t="shared" si="4"/>
        <v>16850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TRUNC(22654,-1)</f>
        <v>22650</v>
      </c>
      <c r="E130" s="63">
        <f t="shared" si="4"/>
        <v>74870</v>
      </c>
    </row>
    <row r="131" spans="1:7" x14ac:dyDescent="0.3">
      <c r="A131" s="2">
        <v>10</v>
      </c>
      <c r="C131" s="38" t="s">
        <v>149</v>
      </c>
      <c r="D131" s="42">
        <f>TRUNC(32131,-1)</f>
        <v>32130</v>
      </c>
      <c r="E131" s="63">
        <f t="shared" si="4"/>
        <v>106210</v>
      </c>
    </row>
    <row r="132" spans="1:7" ht="18" thickBot="1" x14ac:dyDescent="0.35">
      <c r="A132" s="2">
        <v>11</v>
      </c>
      <c r="C132" s="38" t="s">
        <v>47</v>
      </c>
      <c r="D132" s="43">
        <f>TRUNC(1494,-1)</f>
        <v>1490</v>
      </c>
      <c r="E132" s="64">
        <f t="shared" si="4"/>
        <v>4920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76810</v>
      </c>
      <c r="E133" s="39">
        <f>SUM(E122:E132)</f>
        <v>253880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TRUNC(2571+176,-1)</f>
        <v>2740</v>
      </c>
      <c r="E137" s="63">
        <f t="shared" si="5"/>
        <v>9050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TRUNC(2604,-1)</f>
        <v>2600</v>
      </c>
      <c r="E139" s="63">
        <f t="shared" si="5"/>
        <v>8590</v>
      </c>
    </row>
    <row r="140" spans="1:7" x14ac:dyDescent="0.3">
      <c r="A140" s="2">
        <v>5</v>
      </c>
      <c r="C140" s="38" t="s">
        <v>57</v>
      </c>
      <c r="D140" s="42">
        <f>TRUNC(6669,-1)</f>
        <v>6660</v>
      </c>
      <c r="E140" s="63">
        <f t="shared" si="5"/>
        <v>22010</v>
      </c>
    </row>
    <row r="141" spans="1:7" x14ac:dyDescent="0.3">
      <c r="A141" s="2">
        <v>6</v>
      </c>
      <c r="C141" s="38" t="s">
        <v>59</v>
      </c>
      <c r="D141" s="42">
        <f>TRUNC(12731,-1)</f>
        <v>12730</v>
      </c>
      <c r="E141" s="63">
        <f t="shared" si="5"/>
        <v>42080</v>
      </c>
    </row>
    <row r="142" spans="1:7" x14ac:dyDescent="0.3">
      <c r="A142" s="2">
        <v>7</v>
      </c>
      <c r="C142" s="38" t="s">
        <v>58</v>
      </c>
      <c r="D142" s="42">
        <f>TRUNC(17423,-1)</f>
        <v>17420</v>
      </c>
      <c r="E142" s="63">
        <f t="shared" si="5"/>
        <v>57580</v>
      </c>
    </row>
    <row r="143" spans="1:7" x14ac:dyDescent="0.3">
      <c r="A143" s="2">
        <v>8</v>
      </c>
      <c r="C143" s="38" t="s">
        <v>62</v>
      </c>
      <c r="D143" s="42">
        <f>TRUNC(7752,-1)</f>
        <v>7750</v>
      </c>
      <c r="E143" s="63">
        <f t="shared" si="5"/>
        <v>25610</v>
      </c>
    </row>
    <row r="144" spans="1:7" x14ac:dyDescent="0.3">
      <c r="A144" s="2">
        <v>9</v>
      </c>
      <c r="C144" s="38" t="s">
        <v>63</v>
      </c>
      <c r="D144" s="42">
        <f>TRUNC(9024,-1)</f>
        <v>9020</v>
      </c>
      <c r="E144" s="63">
        <f t="shared" si="5"/>
        <v>29810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58920</v>
      </c>
      <c r="E146" s="39">
        <f>SUM(E136:E145)</f>
        <v>194730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TRUNC(9935,-1)</f>
        <v>9930</v>
      </c>
      <c r="E149" s="62">
        <f>TRUNC(+D149*3.3058,-1)</f>
        <v>32820</v>
      </c>
    </row>
    <row r="150" spans="1:7" x14ac:dyDescent="0.3">
      <c r="A150" s="2">
        <v>2</v>
      </c>
      <c r="C150" s="38" t="s">
        <v>49</v>
      </c>
      <c r="D150" s="42">
        <f>TRUNC(13532,-1)</f>
        <v>13530</v>
      </c>
      <c r="E150" s="63">
        <f>TRUNC(+D150*3.3058,-1)</f>
        <v>44720</v>
      </c>
    </row>
    <row r="151" spans="1:7" x14ac:dyDescent="0.3">
      <c r="A151" s="2">
        <v>3</v>
      </c>
      <c r="C151" s="38" t="s">
        <v>50</v>
      </c>
      <c r="D151" s="42">
        <f>TRUNC(11041,-1)</f>
        <v>11040</v>
      </c>
      <c r="E151" s="63">
        <f>TRUNC(+D151*3.3058,-1)</f>
        <v>36490</v>
      </c>
    </row>
    <row r="152" spans="1:7" x14ac:dyDescent="0.3">
      <c r="A152" s="2">
        <v>4</v>
      </c>
      <c r="C152" s="38" t="s">
        <v>47</v>
      </c>
      <c r="D152" s="42">
        <f>TRUNC(414,-1)</f>
        <v>410</v>
      </c>
      <c r="E152" s="63">
        <f>TRUNC(+D152*3.3058,-1)</f>
        <v>1350</v>
      </c>
    </row>
    <row r="153" spans="1:7" ht="17.25" thickBot="1" x14ac:dyDescent="0.35">
      <c r="A153" s="2">
        <v>5</v>
      </c>
      <c r="C153" s="38" t="s">
        <v>149</v>
      </c>
      <c r="D153" s="43">
        <f>TRUNC(20512,-1)</f>
        <v>20510</v>
      </c>
      <c r="E153" s="64">
        <f>TRUNC(+D153*3.3058,-1)</f>
        <v>67800</v>
      </c>
    </row>
    <row r="154" spans="1:7" x14ac:dyDescent="0.3">
      <c r="A154" s="2">
        <v>6</v>
      </c>
      <c r="C154" s="27" t="s">
        <v>112</v>
      </c>
      <c r="D154" s="39">
        <f>SUM(D149:D153)</f>
        <v>55420</v>
      </c>
      <c r="E154" s="39">
        <f>SUM(E149:E153)</f>
        <v>183180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TRUNC(12493,-1)</f>
        <v>12490</v>
      </c>
      <c r="E157" s="62">
        <f>TRUNC(+D157*3.3058,-1)</f>
        <v>41280</v>
      </c>
    </row>
    <row r="158" spans="1:7" x14ac:dyDescent="0.3">
      <c r="A158" s="2">
        <v>2</v>
      </c>
      <c r="C158" s="38" t="s">
        <v>52</v>
      </c>
      <c r="D158" s="42">
        <f>TRUNC(4379,-1)</f>
        <v>4370</v>
      </c>
      <c r="E158" s="63">
        <f>TRUNC(+D158*3.3058,-1)</f>
        <v>14440</v>
      </c>
    </row>
    <row r="159" spans="1:7" x14ac:dyDescent="0.3">
      <c r="A159" s="2">
        <v>3</v>
      </c>
      <c r="C159" s="38" t="s">
        <v>47</v>
      </c>
      <c r="D159" s="42">
        <f>TRUNC(2011+225,-1)</f>
        <v>2230</v>
      </c>
      <c r="E159" s="63">
        <f>TRUNC(+D159*3.3058,-1)</f>
        <v>7370</v>
      </c>
      <c r="F159" s="2" t="s">
        <v>262</v>
      </c>
    </row>
    <row r="160" spans="1:7" ht="17.25" thickBot="1" x14ac:dyDescent="0.35">
      <c r="A160" s="2">
        <v>4</v>
      </c>
      <c r="C160" s="38" t="s">
        <v>149</v>
      </c>
      <c r="D160" s="43">
        <f>TRUNC(74,-1)</f>
        <v>70</v>
      </c>
      <c r="E160" s="64">
        <f>TRUNC(+D160*3.3058,-1)</f>
        <v>230</v>
      </c>
    </row>
    <row r="161" spans="1:5" x14ac:dyDescent="0.3">
      <c r="A161" s="2">
        <v>5</v>
      </c>
      <c r="C161" s="27" t="s">
        <v>112</v>
      </c>
      <c r="D161" s="39">
        <f>SUM(D157:D160)</f>
        <v>19160</v>
      </c>
      <c r="E161" s="39">
        <f>SUM(E157:E160)</f>
        <v>63320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2020-12-08T04:47:26Z</dcterms:modified>
</cp:coreProperties>
</file>