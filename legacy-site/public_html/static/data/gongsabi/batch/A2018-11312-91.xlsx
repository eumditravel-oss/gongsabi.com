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65" i="4"/>
  <c r="D63" i="4"/>
  <c r="D92" i="4"/>
  <c r="D91" i="4"/>
  <c r="D90" i="4"/>
  <c r="D89" i="4"/>
  <c r="D75" i="4"/>
  <c r="D73" i="4"/>
  <c r="D72" i="4"/>
  <c r="D71" i="4"/>
  <c r="D70" i="4"/>
  <c r="D69" i="4"/>
  <c r="D118" i="4"/>
  <c r="D116" i="4"/>
  <c r="D114" i="4"/>
  <c r="D105" i="4"/>
  <c r="D104" i="4"/>
  <c r="D103" i="4"/>
  <c r="D102" i="4"/>
  <c r="D101" i="4"/>
  <c r="D100" i="4"/>
  <c r="D99" i="4"/>
  <c r="D98" i="4"/>
  <c r="D132" i="4"/>
  <c r="D130" i="4"/>
  <c r="D128" i="4"/>
  <c r="D127" i="4"/>
  <c r="D126" i="4"/>
  <c r="D125" i="4"/>
  <c r="D124" i="4"/>
  <c r="D122" i="4"/>
  <c r="D144" i="4"/>
  <c r="D143" i="4"/>
  <c r="D142" i="4"/>
  <c r="D141" i="4"/>
  <c r="D140" i="4"/>
  <c r="D139" i="4"/>
  <c r="D137" i="4"/>
  <c r="D152" i="4"/>
  <c r="D151" i="4"/>
  <c r="D150" i="4"/>
  <c r="D149" i="4"/>
  <c r="D159" i="4"/>
  <c r="D158" i="4"/>
  <c r="D157" i="4"/>
  <c r="D160" i="4"/>
  <c r="D153" i="4"/>
  <c r="D131" i="4"/>
  <c r="D117" i="4"/>
  <c r="D93" i="4"/>
  <c r="D59" i="4"/>
  <c r="E151" i="4" l="1"/>
  <c r="E160" i="4" l="1"/>
  <c r="E159" i="4"/>
  <c r="E158" i="4"/>
  <c r="E157" i="4"/>
  <c r="E153" i="4"/>
  <c r="E152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<sst xmlns="http://schemas.openxmlformats.org/spreadsheetml/2006/main" count="395" uniqueCount="270">
  <si>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</si>
  <si>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</si>
  <si>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</si>
  <si>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</si>
  <si>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</si>
  <si>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</si>
  <si>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</si>
  <si>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</si>
  <si>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</si>
  <si>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</si>
  <si>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</si>
  <si>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</si>
  <si>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</si>
  <si>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</si>
  <si>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</si>
  <si>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</si>
  <si>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</si>
  <si>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</si>
  <si>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</si>
  <si>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</si>
  <si>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</si>
  <si>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</si>
  <si>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</si>
  <si>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</si>
  <si>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</si>
  <si>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</si>
  <si>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</si>
  <si>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</si>
  <si>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</si>
  <si>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</si>
  <si>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</si>
  <si>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</si>
  <si>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</si>
  <si>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</si>
  <si>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</si>
  <si>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</si>
  <si>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</si>
  <si>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</si>
  <si>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</si>
  <si>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</si>
  <si>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</si>
  <si>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</si>
  <si>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</si>
  <si>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</si>
  <si>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</si>
  <si>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</si>
  <si>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</si>
  <si>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</si>
  <si>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</si>
  <si>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</si>
  <si>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</si>
  <si>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</si>
  <si>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</si>
  <si>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</si>
  <si>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</si>
  <si>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</si>
  <si>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</si>
  <si>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</si>
  <si>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</si>
  <si>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</si>
  <si>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</si>
  <si>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</si>
  <si>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</si>
  <si>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</si>
  <si>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</si>
  <si>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</si>
  <si>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</si>
  <si>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</si>
  <si>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</si>
  <si>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</si>
  <si>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</si>
  <si>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</si>
  <si>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</si>
  <si>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</si>
  <si>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</si>
  <si>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</si>
  <si>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</si>
  <si>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</si>
  <si>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</si>
  <si>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</si>
  <si>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</si>
  <si>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</si>
  <si>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</si>
  <si>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</si>
  <si>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</si>
  <si>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</si>
  <si>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</si>
  <si>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</si>
  <si>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</si>
  <si>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</si>
  <si>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</si>
  <si>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</si>
  <si>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</si>
  <si>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</si>
  <si>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</si>
  <si>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</si>
  <si>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</si>
  <si>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</si>
  <si>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</si>
  <si>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</si>
  <si>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</si>
  <si>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</si>
  <si>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</si>
  <si>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</si>
  <si>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</si>
  <si>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</si>
  <si>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</si>
  <si>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</si>
  <si>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</si>
  <si>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</si>
  <si>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</si>
  <si>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</si>
  <si>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</si>
  <si>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</si>
  <si>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</si>
  <si>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</si>
  <si>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</si>
  <si>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</si>
  <si>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</si>
  <si>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</si>
  <si>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</si>
  <si>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</si>
  <si>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</si>
  <si>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</si>
  <si>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</si>
  <si>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</si>
  <si>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</si>
  <si>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</si>
  <si>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</si>
  <si>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</si>
  <si>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</si>
  <si>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</si>
  <si>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</si>
  <si>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</si>
  <si>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</si>
  <si>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</si>
  <si>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</si>
  <si>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</si>
  <si>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</si>
  <si>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</si>
  <si>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</si>
  <si>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</si>
  <si>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</si>
  <si>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</si>
  <si>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</si>
  <si>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</si>
  <si>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</si>
  <si>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</si>
  <si>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</si>
  <si>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</si>
  <si>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</si>
  <si>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</si>
  <si>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</si>
  <si>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</si>
  <si>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</si>
  <si>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</si>
  <si>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</si>
  <si>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</si>
  <si>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</si>
  <si>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</si>
  <si>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</si>
  <si>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</si>
  <si>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</si>
  <si>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</si>
  <si>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</si>
  <si>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</si>
  <si>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</si>
  <si>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</si>
  <si>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</si>
  <si>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</si>
  <si>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</si>
  <si>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</si>
  <si>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</si>
  <si>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</si>
  <si>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</si>
  <si>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</si>
  <si>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</si>
  <si>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</si>
  <si>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</si>
  <si>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</si>
  <si>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</si>
  <si>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</si>
  <si>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</si>
  <si>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</si>
  <si>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</si>
  <si>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</si>
  <si>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</si>
  <si>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</si>
  <si>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</si>
  <si>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</si>
  <si>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</si>
  <si>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</si>
  <si>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</si>
  <si>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</si>
  <si>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</si>
  <si>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</si>
  <si>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</si>
  <si>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</si>
  <si>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</si>
  <si>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</si>
  <si>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</si>
  <si>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</si>
  <si>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</si>
  <si>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</si>
  <si>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</si>
  <si>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</si>
  <si>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</si>
  <si>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</si>
  <si>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</si>
  <si>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</si>
  <si>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</si>
  <si>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</si>
  <si>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</si>
  <si>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</si>
  <si>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</si>
  <si>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</si>
  <si>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</si>
  <si>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</si>
  <si>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</si>
  <si>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</si>
  <si>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</si>
  <si>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</si>
  <si>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</si>
  <si>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</si>
  <si>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</si>
  <si>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</si>
  <si>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</si>
  <si>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</si>
  <si>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</si>
  <si>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</si>
  <si>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</si>
  <si>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</si>
  <si>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</si>
  <si>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</si>
  <si>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</si>
  <si>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</si>
  <si>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</si>
  <si>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</si>
  <si>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</si>
  <si>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</si>
  <si>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</si>
  <si>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</si>
  <si>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</si>
  <si>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</si>
  <si>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</si>
  <si>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</si>
  <si>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</si>
  <si>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</si>
  <si>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첨단자동차검사연구센터 건립 건축공사</t>
    <phoneticPr fontId="2" type="noConversion"/>
  </si>
  <si>
    <t>교육연구</t>
  </si>
  <si>
    <t>경상도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</si>
  <si>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</si>
  <si>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</si>
  <si>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</si>
  <si>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골재비및운반비,기타공사</t>
    <phoneticPr fontId="2" type="noConversion"/>
  </si>
  <si>
    <t xml:space="preserve">전기인입 및 수변전 설비공사  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</si>
  <si>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</si>
  <si>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</si>
  <si>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</si>
  <si>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</si>
  <si>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</si>
  <si>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</si>
  <si>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포장공사</t>
    <phoneticPr fontId="2" type="noConversion"/>
  </si>
  <si>
    <t>조경시설물</t>
    <phoneticPr fontId="2" type="noConversion"/>
  </si>
  <si>
    <t>공조배관공사,난방배관공사,기타공사,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</si>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</sst>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9848.08</v>
      </c>
      <c r="D7" s="36">
        <f>+C7/3.3058</f>
        <v>2979.0307943614253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786620</v>
      </c>
      <c r="E25" s="59">
        <f t="shared" si="0"/>
        <v>2600400</v>
      </c>
    </row>
    <row r="26" spans="1:5" x14ac:dyDescent="0.3">
      <c r="B26" s="2">
        <v>3</v>
      </c>
      <c r="C26" s="35" t="s">
        <v>95</v>
      </c>
      <c r="D26" s="45">
        <f>+D66</f>
        <v>34570</v>
      </c>
      <c r="E26" s="59">
        <f t="shared" si="0"/>
        <v>114280</v>
      </c>
    </row>
    <row r="27" spans="1:5" x14ac:dyDescent="0.3">
      <c r="B27" s="2">
        <v>4</v>
      </c>
      <c r="C27" s="35" t="s">
        <v>96</v>
      </c>
      <c r="D27" s="45">
        <f>+D95</f>
        <v>270900</v>
      </c>
      <c r="E27" s="59">
        <f t="shared" si="0"/>
        <v>895540</v>
      </c>
    </row>
    <row r="28" spans="1:5" x14ac:dyDescent="0.3">
      <c r="B28" s="2">
        <v>5</v>
      </c>
      <c r="C28" s="35" t="s">
        <v>97</v>
      </c>
      <c r="D28" s="45">
        <f>+D119</f>
        <v>188150</v>
      </c>
      <c r="E28" s="59">
        <f t="shared" si="0"/>
        <v>621980</v>
      </c>
    </row>
    <row r="29" spans="1:5" x14ac:dyDescent="0.3">
      <c r="B29" s="2">
        <v>6</v>
      </c>
      <c r="C29" s="35" t="s">
        <v>98</v>
      </c>
      <c r="D29" s="45">
        <f>+D133</f>
        <v>109520</v>
      </c>
      <c r="E29" s="59">
        <f t="shared" si="0"/>
        <v>362050</v>
      </c>
    </row>
    <row r="30" spans="1:5" x14ac:dyDescent="0.3">
      <c r="B30" s="2">
        <v>7</v>
      </c>
      <c r="C30" s="35" t="s">
        <v>99</v>
      </c>
      <c r="D30" s="45">
        <f>+D146</f>
        <v>78180</v>
      </c>
      <c r="E30" s="59">
        <f t="shared" si="0"/>
        <v>258440</v>
      </c>
    </row>
    <row r="31" spans="1:5" x14ac:dyDescent="0.3">
      <c r="B31" s="2">
        <v>8</v>
      </c>
      <c r="C31" s="35" t="s">
        <v>100</v>
      </c>
      <c r="D31" s="45">
        <f>+D154</f>
        <v>36530</v>
      </c>
      <c r="E31" s="59">
        <f t="shared" si="0"/>
        <v>120760</v>
      </c>
    </row>
    <row r="32" spans="1:5" x14ac:dyDescent="0.3">
      <c r="B32" s="2">
        <v>9</v>
      </c>
      <c r="C32" s="35" t="s">
        <v>101</v>
      </c>
      <c r="D32" s="45">
        <f>+D161</f>
        <v>19220</v>
      </c>
      <c r="E32" s="59">
        <f t="shared" si="0"/>
        <v>63530</v>
      </c>
    </row>
    <row r="33" spans="1:7" x14ac:dyDescent="0.3">
      <c r="B33" s="2">
        <v>10</v>
      </c>
      <c r="C33" s="35" t="s">
        <v>154</v>
      </c>
      <c r="D33" s="53">
        <f>TRUNC(SUM(D24:D32)*0.275,-1)</f>
        <v>419010</v>
      </c>
      <c r="E33" s="60">
        <f t="shared" si="0"/>
        <v>1385160</v>
      </c>
    </row>
    <row r="34" spans="1:7" x14ac:dyDescent="0.3">
      <c r="C34" s="35" t="s">
        <v>112</v>
      </c>
      <c r="D34" s="44">
        <f>SUM(D24:D33)</f>
        <v>1942700</v>
      </c>
      <c r="E34" s="44">
        <f>SUM(E24:E33)</f>
        <v>6422140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TRUNC(79554,-1)</f>
        <v>79550</v>
      </c>
      <c r="E40" s="62">
        <f t="shared" ref="E40:E59" si="1">TRUNC(+D40*3.3058,-1)</f>
        <v>262970</v>
      </c>
    </row>
    <row r="41" spans="1:7" x14ac:dyDescent="0.3">
      <c r="A41" s="2">
        <v>2</v>
      </c>
      <c r="C41" s="38" t="s">
        <v>13</v>
      </c>
      <c r="D41" s="42">
        <f>TRUNC(126839,-1)</f>
        <v>126830</v>
      </c>
      <c r="E41" s="63">
        <f t="shared" si="1"/>
        <v>419270</v>
      </c>
    </row>
    <row r="42" spans="1:7" x14ac:dyDescent="0.3">
      <c r="A42" s="2">
        <v>3</v>
      </c>
      <c r="C42" s="38" t="s">
        <v>14</v>
      </c>
      <c r="D42" s="42">
        <f>TRUNC(11244,-1)</f>
        <v>11240</v>
      </c>
      <c r="E42" s="63">
        <f t="shared" si="1"/>
        <v>37150</v>
      </c>
    </row>
    <row r="43" spans="1:7" x14ac:dyDescent="0.3">
      <c r="A43" s="2">
        <v>4</v>
      </c>
      <c r="C43" s="38" t="s">
        <v>16</v>
      </c>
      <c r="D43" s="42">
        <f>TRUNC(13388,-1)</f>
        <v>13380</v>
      </c>
      <c r="E43" s="63">
        <f t="shared" si="1"/>
        <v>44230</v>
      </c>
    </row>
    <row r="44" spans="1:7" x14ac:dyDescent="0.3">
      <c r="A44" s="2">
        <v>5</v>
      </c>
      <c r="C44" s="38" t="s">
        <v>17</v>
      </c>
      <c r="D44" s="42">
        <f>TRUNC(20963,-1)</f>
        <v>20960</v>
      </c>
      <c r="E44" s="63">
        <f t="shared" si="1"/>
        <v>69280</v>
      </c>
    </row>
    <row r="45" spans="1:7" x14ac:dyDescent="0.3">
      <c r="A45" s="2">
        <v>6</v>
      </c>
      <c r="C45" s="38" t="s">
        <v>18</v>
      </c>
      <c r="D45" s="42">
        <f>TRUNC(10450,-1)</f>
        <v>10450</v>
      </c>
      <c r="E45" s="63">
        <f t="shared" si="1"/>
        <v>34540</v>
      </c>
    </row>
    <row r="46" spans="1:7" x14ac:dyDescent="0.3">
      <c r="A46" s="2">
        <v>7</v>
      </c>
      <c r="C46" s="38" t="s">
        <v>19</v>
      </c>
      <c r="D46" s="42">
        <f>TRUNC(80832,-1)</f>
        <v>80830</v>
      </c>
      <c r="E46" s="63">
        <f t="shared" si="1"/>
        <v>267200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TRUNC(38594,-1)</f>
        <v>38590</v>
      </c>
      <c r="E48" s="63">
        <f t="shared" si="1"/>
        <v>127570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TRUNC(18863,-1)</f>
        <v>18860</v>
      </c>
      <c r="E49" s="63">
        <f t="shared" si="1"/>
        <v>62340</v>
      </c>
    </row>
    <row r="50" spans="1:7" x14ac:dyDescent="0.3">
      <c r="A50" s="2">
        <v>11</v>
      </c>
      <c r="C50" s="38" t="s">
        <v>155</v>
      </c>
      <c r="D50" s="42">
        <f>TRUNC(54765,-1)</f>
        <v>54760</v>
      </c>
      <c r="E50" s="63">
        <f t="shared" si="1"/>
        <v>181020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TRUNC(18339,-1)</f>
        <v>18330</v>
      </c>
      <c r="E52" s="63">
        <f t="shared" si="1"/>
        <v>60590</v>
      </c>
    </row>
    <row r="53" spans="1:7" x14ac:dyDescent="0.3">
      <c r="A53" s="2">
        <v>14</v>
      </c>
      <c r="C53" s="38" t="s">
        <v>25</v>
      </c>
      <c r="D53" s="42">
        <f>TRUNC(83425,-1)</f>
        <v>83420</v>
      </c>
      <c r="E53" s="63">
        <f t="shared" si="1"/>
        <v>275760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TRUNC(3212+4160,-1)</f>
        <v>7370</v>
      </c>
      <c r="E58" s="63">
        <f t="shared" si="1"/>
        <v>24360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TRUNC(222056,-1)</f>
        <v>222050</v>
      </c>
      <c r="E59" s="64">
        <f t="shared" si="1"/>
        <v>734050</v>
      </c>
    </row>
    <row r="60" spans="1:7" x14ac:dyDescent="0.3">
      <c r="A60" s="2">
        <v>21</v>
      </c>
      <c r="C60" s="27" t="s">
        <v>112</v>
      </c>
      <c r="D60" s="39">
        <f>SUM(D40:D59)</f>
        <v>786620</v>
      </c>
      <c r="E60" s="39">
        <f>SUM(E40:E59)</f>
        <v>2600330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TRUNC(32872,-1)</f>
        <v>32870</v>
      </c>
      <c r="E63" s="62">
        <f>TRUNC(+D63*3.3058,-1)</f>
        <v>108660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TRUNC(1703,-1)</f>
        <v>1700</v>
      </c>
      <c r="E65" s="64">
        <f>TRUNC(+D65*3.3058,-1)</f>
        <v>5610</v>
      </c>
    </row>
    <row r="66" spans="1:7" x14ac:dyDescent="0.3">
      <c r="A66" s="2">
        <v>4</v>
      </c>
      <c r="C66" s="27" t="s">
        <v>112</v>
      </c>
      <c r="D66" s="39">
        <f>SUM(D63:D65)</f>
        <v>34570</v>
      </c>
      <c r="E66" s="65">
        <f>SUM(E63:E65)</f>
        <v>114270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TRUNC(7318,-1)</f>
        <v>7310</v>
      </c>
      <c r="E69" s="62">
        <f t="shared" ref="E69:E94" si="2">TRUNC(+D69*3.3058,-1)</f>
        <v>24160</v>
      </c>
    </row>
    <row r="70" spans="1:7" ht="16.5" customHeight="1" x14ac:dyDescent="0.3">
      <c r="A70" s="2">
        <v>2</v>
      </c>
      <c r="C70" s="38" t="s">
        <v>31</v>
      </c>
      <c r="D70" s="42">
        <f>TRUNC(912,-1)</f>
        <v>910</v>
      </c>
      <c r="E70" s="63">
        <f t="shared" si="2"/>
        <v>3000</v>
      </c>
    </row>
    <row r="71" spans="1:7" x14ac:dyDescent="0.3">
      <c r="A71" s="2">
        <v>3</v>
      </c>
      <c r="C71" s="38" t="s">
        <v>32</v>
      </c>
      <c r="D71" s="42">
        <f>TRUNC(9081,-1)</f>
        <v>9080</v>
      </c>
      <c r="E71" s="63">
        <f t="shared" si="2"/>
        <v>30010</v>
      </c>
    </row>
    <row r="72" spans="1:7" x14ac:dyDescent="0.3">
      <c r="A72" s="2">
        <v>4</v>
      </c>
      <c r="C72" s="38" t="s">
        <v>33</v>
      </c>
      <c r="D72" s="42">
        <f>TRUNC(2993,-1)</f>
        <v>2990</v>
      </c>
      <c r="E72" s="63">
        <f t="shared" si="2"/>
        <v>9880</v>
      </c>
    </row>
    <row r="73" spans="1:7" x14ac:dyDescent="0.3">
      <c r="A73" s="2">
        <v>5</v>
      </c>
      <c r="C73" s="38" t="s">
        <v>34</v>
      </c>
      <c r="D73" s="42">
        <f>TRUNC(11995,-1)</f>
        <v>11990</v>
      </c>
      <c r="E73" s="63">
        <f t="shared" si="2"/>
        <v>39630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TRUNC(1042,-1)</f>
        <v>1040</v>
      </c>
      <c r="E75" s="63">
        <f t="shared" si="2"/>
        <v>3430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TRUNC(11968,-1)</f>
        <v>11960</v>
      </c>
      <c r="E89" s="63">
        <f t="shared" si="2"/>
        <v>39530</v>
      </c>
    </row>
    <row r="90" spans="1:7" x14ac:dyDescent="0.3">
      <c r="A90" s="2">
        <v>22</v>
      </c>
      <c r="C90" s="38" t="s">
        <v>36</v>
      </c>
      <c r="D90" s="42">
        <f>TRUNC(965,-1)</f>
        <v>960</v>
      </c>
      <c r="E90" s="63">
        <f t="shared" si="2"/>
        <v>3170</v>
      </c>
    </row>
    <row r="91" spans="1:7" x14ac:dyDescent="0.3">
      <c r="A91" s="2">
        <v>23</v>
      </c>
      <c r="C91" s="38" t="s">
        <v>37</v>
      </c>
      <c r="D91" s="42">
        <f>TRUNC(35781,-1)</f>
        <v>35780</v>
      </c>
      <c r="E91" s="63">
        <f t="shared" si="2"/>
        <v>118280</v>
      </c>
    </row>
    <row r="92" spans="1:7" x14ac:dyDescent="0.3">
      <c r="A92" s="2">
        <v>24</v>
      </c>
      <c r="C92" s="38" t="s">
        <v>38</v>
      </c>
      <c r="D92" s="42">
        <f>TRUNC(7839,-1)</f>
        <v>7830</v>
      </c>
      <c r="E92" s="63">
        <f t="shared" si="2"/>
        <v>25880</v>
      </c>
    </row>
    <row r="93" spans="1:7" x14ac:dyDescent="0.3">
      <c r="A93" s="2">
        <v>25</v>
      </c>
      <c r="C93" s="38" t="s">
        <v>148</v>
      </c>
      <c r="D93" s="42">
        <f>TRUNC(170282,-1)</f>
        <v>170280</v>
      </c>
      <c r="E93" s="63">
        <f t="shared" si="2"/>
        <v>562910</v>
      </c>
    </row>
    <row r="94" spans="1:7" ht="17.25" thickBot="1" x14ac:dyDescent="0.35">
      <c r="A94" s="2">
        <v>26</v>
      </c>
      <c r="C94" s="38" t="s">
        <v>47</v>
      </c>
      <c r="D94" s="43">
        <f>TRUNC(7676+53+2945+101,-1)</f>
        <v>10770</v>
      </c>
      <c r="E94" s="64">
        <f t="shared" si="2"/>
        <v>35600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270900</v>
      </c>
      <c r="E95" s="39">
        <f>SUM(E69:E94)</f>
        <v>895480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TRUNC(11621,-1)</f>
        <v>11620</v>
      </c>
      <c r="E98" s="62">
        <f t="shared" ref="E98:E118" si="3">TRUNC(+D98*3.3058,-1)</f>
        <v>38410</v>
      </c>
    </row>
    <row r="99" spans="1:7" x14ac:dyDescent="0.3">
      <c r="A99" s="2">
        <v>2</v>
      </c>
      <c r="C99" s="38" t="s">
        <v>40</v>
      </c>
      <c r="D99" s="42">
        <f>TRUNC(11122,-1)</f>
        <v>11120</v>
      </c>
      <c r="E99" s="63">
        <f t="shared" si="3"/>
        <v>36760</v>
      </c>
    </row>
    <row r="100" spans="1:7" x14ac:dyDescent="0.3">
      <c r="A100" s="2">
        <v>3</v>
      </c>
      <c r="C100" s="38" t="s">
        <v>41</v>
      </c>
      <c r="D100" s="42">
        <f>TRUNC(33948,-1)</f>
        <v>33940</v>
      </c>
      <c r="E100" s="63">
        <f t="shared" si="3"/>
        <v>112190</v>
      </c>
    </row>
    <row r="101" spans="1:7" x14ac:dyDescent="0.3">
      <c r="A101" s="2">
        <v>4</v>
      </c>
      <c r="C101" s="38" t="s">
        <v>42</v>
      </c>
      <c r="D101" s="42">
        <f>TRUNC(590,-1)</f>
        <v>590</v>
      </c>
      <c r="E101" s="63">
        <f t="shared" si="3"/>
        <v>1950</v>
      </c>
    </row>
    <row r="102" spans="1:7" x14ac:dyDescent="0.3">
      <c r="A102" s="2">
        <v>5</v>
      </c>
      <c r="C102" s="38" t="s">
        <v>43</v>
      </c>
      <c r="D102" s="42">
        <f>TRUNC(12487,-1)</f>
        <v>12480</v>
      </c>
      <c r="E102" s="63">
        <f t="shared" si="3"/>
        <v>41250</v>
      </c>
    </row>
    <row r="103" spans="1:7" x14ac:dyDescent="0.3">
      <c r="A103" s="2">
        <v>6</v>
      </c>
      <c r="C103" s="38" t="s">
        <v>44</v>
      </c>
      <c r="D103" s="42">
        <f>TRUNC(3775,-1)</f>
        <v>3770</v>
      </c>
      <c r="E103" s="63">
        <f t="shared" si="3"/>
        <v>12460</v>
      </c>
    </row>
    <row r="104" spans="1:7" x14ac:dyDescent="0.3">
      <c r="A104" s="2">
        <v>7</v>
      </c>
      <c r="C104" s="38" t="s">
        <v>45</v>
      </c>
      <c r="D104" s="42">
        <f>TRUNC(3103,-1)</f>
        <v>3100</v>
      </c>
      <c r="E104" s="63">
        <f t="shared" si="3"/>
        <v>10240</v>
      </c>
    </row>
    <row r="105" spans="1:7" x14ac:dyDescent="0.3">
      <c r="A105" s="2">
        <v>8</v>
      </c>
      <c r="C105" s="38" t="s">
        <v>46</v>
      </c>
      <c r="D105" s="42">
        <f>TRUNC(9551,-1)</f>
        <v>9550</v>
      </c>
      <c r="E105" s="63">
        <f t="shared" si="3"/>
        <v>31570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TRUNC(3391,-1)</f>
        <v>3390</v>
      </c>
      <c r="E114" s="63">
        <f t="shared" si="3"/>
        <v>11200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TRUNC(4768,-1)</f>
        <v>4760</v>
      </c>
      <c r="E116" s="63">
        <f t="shared" si="3"/>
        <v>15730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TRUNC(91064,-1)</f>
        <v>91060</v>
      </c>
      <c r="E117" s="63">
        <f t="shared" si="3"/>
        <v>301020</v>
      </c>
    </row>
    <row r="118" spans="1:7" ht="17.25" thickBot="1" x14ac:dyDescent="0.35">
      <c r="A118" s="2">
        <v>21</v>
      </c>
      <c r="C118" s="38" t="s">
        <v>47</v>
      </c>
      <c r="D118" s="43">
        <f>TRUNC(2775,-1)</f>
        <v>2770</v>
      </c>
      <c r="E118" s="64">
        <f t="shared" si="3"/>
        <v>9150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188150</v>
      </c>
      <c r="E119" s="39">
        <f>SUM(E98:E118)</f>
        <v>621930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TRUNC(8651,-1)</f>
        <v>8650</v>
      </c>
      <c r="E122" s="62">
        <f t="shared" ref="E122:E132" si="4">TRUNC(+D122*3.3058,-1)</f>
        <v>28590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TRUNC(1239,-1)</f>
        <v>1230</v>
      </c>
      <c r="E124" s="63">
        <f t="shared" si="4"/>
        <v>4060</v>
      </c>
    </row>
    <row r="125" spans="1:7" x14ac:dyDescent="0.3">
      <c r="A125" s="2">
        <v>4</v>
      </c>
      <c r="C125" s="38" t="s">
        <v>138</v>
      </c>
      <c r="D125" s="42">
        <f>TRUNC(7222,-1)</f>
        <v>7220</v>
      </c>
      <c r="E125" s="63">
        <f t="shared" si="4"/>
        <v>23860</v>
      </c>
    </row>
    <row r="126" spans="1:7" x14ac:dyDescent="0.3">
      <c r="A126" s="2">
        <v>5</v>
      </c>
      <c r="C126" s="38" t="s">
        <v>53</v>
      </c>
      <c r="D126" s="42">
        <f>TRUNC(3725,-1)</f>
        <v>3720</v>
      </c>
      <c r="E126" s="63">
        <f t="shared" si="4"/>
        <v>12290</v>
      </c>
    </row>
    <row r="127" spans="1:7" x14ac:dyDescent="0.3">
      <c r="A127" s="2">
        <v>6</v>
      </c>
      <c r="C127" s="38" t="s">
        <v>56</v>
      </c>
      <c r="D127" s="42">
        <f>TRUNC(5234,-1)</f>
        <v>5230</v>
      </c>
      <c r="E127" s="63">
        <f t="shared" si="4"/>
        <v>17280</v>
      </c>
    </row>
    <row r="128" spans="1:7" x14ac:dyDescent="0.3">
      <c r="A128" s="2">
        <v>7</v>
      </c>
      <c r="C128" s="38" t="s">
        <v>46</v>
      </c>
      <c r="D128" s="42">
        <f>TRUNC(8271,-1)</f>
        <v>8270</v>
      </c>
      <c r="E128" s="63">
        <f t="shared" si="4"/>
        <v>27330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TRUNC(40184,-1)</f>
        <v>40180</v>
      </c>
      <c r="E130" s="63">
        <f t="shared" si="4"/>
        <v>132820</v>
      </c>
    </row>
    <row r="131" spans="1:7" x14ac:dyDescent="0.3">
      <c r="A131" s="2">
        <v>10</v>
      </c>
      <c r="C131" s="38" t="s">
        <v>148</v>
      </c>
      <c r="D131" s="42">
        <f>TRUNC(32513,-1)</f>
        <v>32510</v>
      </c>
      <c r="E131" s="63">
        <f t="shared" si="4"/>
        <v>107470</v>
      </c>
    </row>
    <row r="132" spans="1:7" ht="18" thickBot="1" x14ac:dyDescent="0.35">
      <c r="A132" s="2">
        <v>11</v>
      </c>
      <c r="C132" s="38" t="s">
        <v>47</v>
      </c>
      <c r="D132" s="43">
        <f>TRUNC(2205+305,-1)</f>
        <v>2510</v>
      </c>
      <c r="E132" s="64">
        <f t="shared" si="4"/>
        <v>8290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109520</v>
      </c>
      <c r="E133" s="39">
        <f>SUM(E122:E132)</f>
        <v>361990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TRUNC(256+2233+2991,-1)</f>
        <v>5480</v>
      </c>
      <c r="E137" s="63">
        <f t="shared" si="5"/>
        <v>18110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TRUNC(2284,-1)</f>
        <v>2280</v>
      </c>
      <c r="E139" s="63">
        <f t="shared" si="5"/>
        <v>7530</v>
      </c>
    </row>
    <row r="140" spans="1:7" x14ac:dyDescent="0.3">
      <c r="A140" s="2">
        <v>5</v>
      </c>
      <c r="C140" s="38" t="s">
        <v>57</v>
      </c>
      <c r="D140" s="42">
        <f>TRUNC(2184,-1)</f>
        <v>2180</v>
      </c>
      <c r="E140" s="63">
        <f t="shared" si="5"/>
        <v>7200</v>
      </c>
    </row>
    <row r="141" spans="1:7" x14ac:dyDescent="0.3">
      <c r="A141" s="2">
        <v>6</v>
      </c>
      <c r="C141" s="38" t="s">
        <v>59</v>
      </c>
      <c r="D141" s="42">
        <f>TRUNC(36066,-1)</f>
        <v>36060</v>
      </c>
      <c r="E141" s="63">
        <f t="shared" si="5"/>
        <v>119200</v>
      </c>
    </row>
    <row r="142" spans="1:7" x14ac:dyDescent="0.3">
      <c r="A142" s="2">
        <v>7</v>
      </c>
      <c r="C142" s="38" t="s">
        <v>58</v>
      </c>
      <c r="D142" s="42">
        <f>TRUNC(6749,-1)</f>
        <v>6740</v>
      </c>
      <c r="E142" s="63">
        <f t="shared" si="5"/>
        <v>22280</v>
      </c>
    </row>
    <row r="143" spans="1:7" x14ac:dyDescent="0.3">
      <c r="A143" s="2">
        <v>8</v>
      </c>
      <c r="C143" s="38" t="s">
        <v>62</v>
      </c>
      <c r="D143" s="42">
        <f>TRUNC(5104,-1)</f>
        <v>5100</v>
      </c>
      <c r="E143" s="63">
        <f t="shared" si="5"/>
        <v>16850</v>
      </c>
    </row>
    <row r="144" spans="1:7" x14ac:dyDescent="0.3">
      <c r="A144" s="2">
        <v>9</v>
      </c>
      <c r="C144" s="38" t="s">
        <v>63</v>
      </c>
      <c r="D144" s="42">
        <f>TRUNC(20340,-1)</f>
        <v>20340</v>
      </c>
      <c r="E144" s="63">
        <f t="shared" si="5"/>
        <v>67230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78180</v>
      </c>
      <c r="E146" s="39">
        <f>SUM(E136:E145)</f>
        <v>258400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TRUNC(5768+1961,-1)</f>
        <v>7720</v>
      </c>
      <c r="E149" s="62">
        <f>TRUNC(+D149*3.3058,-1)</f>
        <v>25520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TRUNC(4831,-1)</f>
        <v>4830</v>
      </c>
      <c r="E150" s="63">
        <f>TRUNC(+D150*3.3058,-1)</f>
        <v>15960</v>
      </c>
    </row>
    <row r="151" spans="1:7" x14ac:dyDescent="0.3">
      <c r="A151" s="2">
        <v>3</v>
      </c>
      <c r="C151" s="38" t="s">
        <v>50</v>
      </c>
      <c r="D151" s="42">
        <f>TRUNC(4743,-1)</f>
        <v>4740</v>
      </c>
      <c r="E151" s="63">
        <f>TRUNC(+D151*3.3058,-1)</f>
        <v>15660</v>
      </c>
    </row>
    <row r="152" spans="1:7" x14ac:dyDescent="0.3">
      <c r="A152" s="2">
        <v>4</v>
      </c>
      <c r="C152" s="38" t="s">
        <v>47</v>
      </c>
      <c r="D152" s="42">
        <f>TRUNC(2582+2757+104,-1)</f>
        <v>5440</v>
      </c>
      <c r="E152" s="63">
        <f>TRUNC(+D152*3.3058,-1)</f>
        <v>17980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TRUNC(13807,-1)</f>
        <v>13800</v>
      </c>
      <c r="E153" s="64">
        <f>TRUNC(+D153*3.3058,-1)</f>
        <v>45620</v>
      </c>
    </row>
    <row r="154" spans="1:7" x14ac:dyDescent="0.3">
      <c r="A154" s="2">
        <v>6</v>
      </c>
      <c r="C154" s="27" t="s">
        <v>112</v>
      </c>
      <c r="D154" s="39">
        <f>SUM(D149:D153)</f>
        <v>36530</v>
      </c>
      <c r="E154" s="39">
        <f>SUM(E149:E153)</f>
        <v>120740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TRUNC(12219,-1)</f>
        <v>12210</v>
      </c>
      <c r="E157" s="62">
        <f>TRUNC(+D157*3.3058,-1)</f>
        <v>40360</v>
      </c>
    </row>
    <row r="158" spans="1:7" x14ac:dyDescent="0.3">
      <c r="A158" s="2">
        <v>2</v>
      </c>
      <c r="C158" s="38" t="s">
        <v>52</v>
      </c>
      <c r="D158" s="42">
        <f>TRUNC(3899,-1)</f>
        <v>3890</v>
      </c>
      <c r="E158" s="63">
        <f>TRUNC(+D158*3.3058,-1)</f>
        <v>12850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TRUNC(784,-1)</f>
        <v>780</v>
      </c>
      <c r="E159" s="63">
        <f>TRUNC(+D159*3.3058,-1)</f>
        <v>2570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TRUNC(2347,-1)</f>
        <v>2340</v>
      </c>
      <c r="E160" s="64">
        <f>TRUNC(+D160*3.3058,-1)</f>
        <v>7730</v>
      </c>
    </row>
    <row r="161" spans="1:5" x14ac:dyDescent="0.3">
      <c r="A161" s="2">
        <v>5</v>
      </c>
      <c r="C161" s="27" t="s">
        <v>112</v>
      </c>
      <c r="D161" s="39">
        <f>SUM(D157:D160)</f>
        <v>19220</v>
      </c>
      <c r="E161" s="39">
        <f>SUM(E157:E160)</f>
        <v>63510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2020-12-08T02:52:18Z</dcterms:modified>
</cp:coreProperties>
</file>