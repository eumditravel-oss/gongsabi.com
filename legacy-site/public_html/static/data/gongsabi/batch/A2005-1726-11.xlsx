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4" i="4"/>
  <c r="E117" i="4"/>
  <c r="E114" i="4"/>
  <c r="E113" i="4"/>
  <c r="E112" i="4"/>
  <c r="E111" i="4"/>
  <c r="E110" i="4"/>
  <c r="E109" i="4"/>
  <c r="E107" i="4"/>
  <c r="E106" i="4"/>
  <c r="E105" i="4"/>
  <c r="E103" i="4"/>
  <c r="E101" i="4"/>
  <c r="E93" i="4"/>
  <c r="E91" i="4"/>
  <c r="E89" i="4"/>
  <c r="E88" i="4"/>
  <c r="E87" i="4"/>
  <c r="E86" i="4"/>
  <c r="E85" i="4"/>
  <c r="E83" i="4"/>
  <c r="E82" i="4"/>
  <c r="E81" i="4"/>
  <c r="E80" i="4"/>
  <c r="E78" i="4"/>
  <c r="E76" i="4"/>
  <c r="E75" i="4"/>
  <c r="E74" i="4"/>
  <c r="E73" i="4"/>
  <c r="E70" i="4"/>
  <c r="E65" i="4"/>
  <c r="E64" i="4"/>
  <c r="E57" i="4"/>
  <c r="E56" i="4"/>
  <c r="E55" i="4"/>
  <c r="E46" i="4"/>
  <c r="E44" i="4"/>
  <c r="E37" i="4"/>
  <c r="E146" i="4" l="1"/>
  <c r="D59" i="4"/>
  <c r="E59" i="4" s="1"/>
  <c r="D159" i="4" l="1"/>
  <c r="E159" i="4" s="1"/>
  <c r="D158" i="4"/>
  <c r="E158" i="4" s="1"/>
  <c r="D157" i="4"/>
  <c r="D152" i="4"/>
  <c r="E152" i="4" s="1"/>
  <c r="D150" i="4"/>
  <c r="D146" i="4"/>
  <c r="D132" i="4"/>
  <c r="E132" i="4" s="1"/>
  <c r="D126" i="4"/>
  <c r="E126" i="4" s="1"/>
  <c r="D125" i="4"/>
  <c r="E125" i="4" s="1"/>
  <c r="D123" i="4"/>
  <c r="E123" i="4" s="1"/>
  <c r="D122" i="4"/>
  <c r="D118" i="4"/>
  <c r="E118" i="4" s="1"/>
  <c r="D116" i="4"/>
  <c r="E116" i="4" s="1"/>
  <c r="D115" i="4"/>
  <c r="E115" i="4" s="1"/>
  <c r="D108" i="4"/>
  <c r="E108" i="4" s="1"/>
  <c r="D104" i="4"/>
  <c r="E104" i="4" s="1"/>
  <c r="D102" i="4"/>
  <c r="E102" i="4" s="1"/>
  <c r="D100" i="4"/>
  <c r="E100" i="4" s="1"/>
  <c r="D99" i="4"/>
  <c r="D98" i="4"/>
  <c r="E98" i="4" s="1"/>
  <c r="D94" i="4"/>
  <c r="E94" i="4" s="1"/>
  <c r="D92" i="4"/>
  <c r="E92" i="4" s="1"/>
  <c r="D90" i="4"/>
  <c r="E90" i="4" s="1"/>
  <c r="D84" i="4"/>
  <c r="E84" i="4" s="1"/>
  <c r="D79" i="4"/>
  <c r="E79" i="4" s="1"/>
  <c r="D77" i="4"/>
  <c r="E77" i="4" s="1"/>
  <c r="D72" i="4"/>
  <c r="E72" i="4" s="1"/>
  <c r="D71" i="4"/>
  <c r="E71" i="4" s="1"/>
  <c r="D69" i="4"/>
  <c r="D66" i="4"/>
  <c r="D26" i="4" s="1"/>
  <c r="E26" i="4" s="1"/>
  <c r="D63" i="4"/>
  <c r="E63" i="4" s="1"/>
  <c r="E66" i="4" s="1"/>
  <c r="D58" i="4"/>
  <c r="E58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5" i="4"/>
  <c r="E45" i="4" s="1"/>
  <c r="D43" i="4"/>
  <c r="E43" i="4" s="1"/>
  <c r="D42" i="4"/>
  <c r="E42" i="4" s="1"/>
  <c r="D41" i="4"/>
  <c r="E41" i="4" s="1"/>
  <c r="D40" i="4"/>
  <c r="D30" i="4"/>
  <c r="E30" i="4" s="1"/>
  <c r="D24" i="4"/>
  <c r="E24" i="4" s="1"/>
  <c r="D7" i="4"/>
  <c r="D60" i="4" l="1"/>
  <c r="D25" i="4" s="1"/>
  <c r="E25" i="4" s="1"/>
  <c r="E40" i="4"/>
  <c r="E60" i="4" s="1"/>
  <c r="D119" i="4"/>
  <c r="D28" i="4" s="1"/>
  <c r="E28" i="4" s="1"/>
  <c r="E99" i="4"/>
  <c r="E119" i="4" s="1"/>
  <c r="D133" i="4"/>
  <c r="D29" i="4" s="1"/>
  <c r="E29" i="4" s="1"/>
  <c r="E122" i="4"/>
  <c r="E133" i="4" s="1"/>
  <c r="D161" i="4"/>
  <c r="D32" i="4" s="1"/>
  <c r="E32" i="4" s="1"/>
  <c r="E157" i="4"/>
  <c r="E161" i="4" s="1"/>
  <c r="D95" i="4"/>
  <c r="D27" i="4" s="1"/>
  <c r="E27" i="4" s="1"/>
  <c r="E69" i="4"/>
  <c r="E95" i="4" s="1"/>
  <c r="D154" i="4"/>
  <c r="D31" i="4" s="1"/>
  <c r="E31" i="4" s="1"/>
  <c r="E150" i="4"/>
  <c r="E154" i="4" s="1"/>
  <c r="D33" i="4"/>
  <c r="E33" i="4" s="1"/>
  <c r="D34" i="4" l="1"/>
  <c r="E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<sst xmlns="http://schemas.openxmlformats.org/spreadsheetml/2006/main" count="392" uniqueCount="267">
  <si>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</si>
  <si>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</si>
  <si>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</si>
  <si>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</si>
  <si>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</si>
  <si>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</si>
  <si>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</si>
  <si>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</si>
  <si>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</si>
  <si>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</si>
  <si>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</si>
  <si>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</si>
  <si>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</si>
  <si>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</si>
  <si>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</si>
  <si>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</si>
  <si>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</si>
  <si>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</si>
  <si>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</si>
  <si>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</si>
  <si>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</si>
  <si>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</si>
  <si>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</si>
  <si>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</si>
  <si>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</si>
  <si>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</si>
  <si>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</si>
  <si>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</si>
  <si>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</si>
  <si>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</si>
  <si>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</si>
  <si>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</si>
  <si>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</si>
  <si>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</si>
  <si>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</si>
  <si>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</si>
  <si>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</si>
  <si>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</si>
  <si>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</si>
  <si>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</si>
  <si>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</si>
  <si>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</si>
  <si>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</si>
  <si>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</si>
  <si>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</si>
  <si>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</si>
  <si>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</si>
  <si>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</si>
  <si>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</si>
  <si>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</si>
  <si>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</si>
  <si>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</si>
  <si>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</si>
  <si>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</si>
  <si>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</si>
  <si>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</si>
  <si>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</si>
  <si>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</si>
  <si>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</si>
  <si>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</si>
  <si>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</si>
  <si>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</si>
  <si>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</si>
  <si>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</si>
  <si>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</si>
  <si>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</si>
  <si>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</si>
  <si>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</si>
  <si>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</si>
  <si>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</si>
  <si>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</si>
  <si>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</si>
  <si>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</si>
  <si>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</si>
  <si>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</si>
  <si>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</si>
  <si>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</si>
  <si>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</si>
  <si>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</si>
  <si>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</si>
  <si>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</si>
  <si>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</si>
  <si>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</si>
  <si>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</si>
  <si>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</si>
  <si>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</si>
  <si>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</si>
  <si>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</si>
  <si>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</si>
  <si>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</si>
  <si>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</si>
  <si>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</si>
  <si>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</si>
  <si>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</si>
  <si>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</si>
  <si>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</si>
  <si>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</si>
  <si>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</si>
  <si>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</si>
  <si>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</si>
  <si>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</si>
  <si>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</si>
  <si>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</si>
  <si>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</si>
  <si>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</si>
  <si>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</si>
  <si>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</si>
  <si>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</si>
  <si>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</si>
  <si>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</si>
  <si>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</si>
  <si>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</si>
  <si>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</si>
  <si>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</si>
  <si>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</si>
  <si>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</si>
  <si>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</si>
  <si>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</si>
  <si>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</si>
  <si>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</si>
  <si>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</si>
  <si>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</si>
  <si>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</si>
  <si>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</si>
  <si>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</si>
  <si>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</si>
  <si>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</si>
  <si>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</si>
  <si>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</si>
  <si>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</si>
  <si>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</si>
  <si>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</si>
  <si>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</si>
  <si>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</si>
  <si>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</si>
  <si>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</si>
  <si>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</si>
  <si>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</si>
  <si>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</si>
  <si>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</si>
  <si>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</si>
  <si>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</si>
  <si>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</si>
  <si>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</si>
  <si>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</si>
  <si>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</si>
  <si>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</si>
  <si>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</si>
  <si>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</si>
  <si>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</si>
  <si>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</si>
  <si>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</si>
  <si>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</si>
  <si>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</si>
  <si>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</si>
  <si>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</si>
  <si>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</si>
  <si>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</si>
  <si>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</si>
  <si>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</si>
  <si>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</si>
  <si>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</si>
  <si>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</si>
  <si>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</si>
  <si>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</si>
  <si>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</si>
  <si>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</si>
  <si>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</si>
  <si>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</si>
  <si>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</si>
  <si>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</si>
  <si>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</si>
  <si>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</si>
  <si>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</si>
  <si>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</si>
  <si>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</si>
  <si>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</si>
  <si>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</si>
  <si>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</si>
  <si>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</si>
  <si>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</si>
  <si>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</si>
  <si>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</si>
  <si>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</si>
  <si>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</si>
  <si>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</si>
  <si>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</si>
  <si>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</si>
  <si>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</si>
  <si>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</si>
  <si>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</si>
  <si>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</si>
  <si>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</si>
  <si>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</si>
  <si>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</si>
  <si>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</si>
  <si>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</si>
  <si>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</si>
  <si>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</si>
  <si>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</si>
  <si>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</si>
  <si>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</si>
  <si>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</si>
  <si>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</si>
  <si>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</si>
  <si>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</si>
  <si>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</si>
  <si>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</si>
  <si>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</si>
  <si>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</si>
  <si>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</si>
  <si>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</si>
  <si>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</si>
  <si>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</si>
  <si>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</si>
  <si>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</si>
  <si>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</si>
  <si>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</si>
  <si>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</si>
  <si>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</si>
  <si>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</si>
  <si>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</si>
  <si>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</si>
  <si>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</si>
  <si>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</si>
  <si>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</si>
  <si>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</si>
  <si>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</si>
  <si>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</si>
  <si>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</si>
  <si>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</si>
  <si>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</si>
  <si>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</si>
  <si>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</si>
  <si>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</si>
  <si>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</si>
  <si>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</si>
  <si>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</si>
  <si>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</si>
  <si>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</si>
  <si>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</si>
  <si>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</si>
  <si>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</si>
  <si>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</si>
  <si>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</si>
  <si>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</si>
  <si>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</si>
  <si>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00노인복지회관신축공사</t>
  </si>
  <si>
    <t>대구시</t>
  </si>
  <si>
    <t>원/ m2</t>
    <phoneticPr fontId="2" type="noConversion"/>
  </si>
  <si>
    <t>타일및석공사</t>
  </si>
  <si>
    <t>미장및방수공사</t>
  </si>
  <si>
    <t>토공사,기타공사,골재대및운반비</t>
    <phoneticPr fontId="2" type="noConversion"/>
  </si>
  <si>
    <t>폐열회수환기장치설치</t>
  </si>
  <si>
    <t>22.9KV전기 인입 설비공사</t>
  </si>
  <si>
    <t>옥외 외등 설비공사</t>
  </si>
  <si>
    <t>전화 설비공사,LAN 설비공사</t>
    <phoneticPr fontId="2" type="noConversion"/>
  </si>
  <si>
    <t>방범 설비공사</t>
  </si>
  <si>
    <t>배수공,주요자재대,부대공</t>
    <phoneticPr fontId="2" type="noConversion"/>
  </si>
  <si>
    <t>토공,포장공,분수설치공</t>
    <phoneticPr fontId="2" type="noConversion"/>
  </si>
  <si>
    <t>도급자설치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</si>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</sst>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2343</v>
      </c>
      <c r="D7" s="36">
        <f>+C7/3.3058</f>
        <v>708.75431060560231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696470</v>
      </c>
      <c r="E25" s="60">
        <f t="shared" si="0"/>
        <v>2302390</v>
      </c>
    </row>
    <row r="26" spans="1:5" x14ac:dyDescent="0.3">
      <c r="B26" s="2">
        <v>3</v>
      </c>
      <c r="C26" s="35" t="s">
        <v>95</v>
      </c>
      <c r="D26" s="45">
        <f>+D66</f>
        <v>7130</v>
      </c>
      <c r="E26" s="60">
        <f t="shared" si="0"/>
        <v>23570</v>
      </c>
    </row>
    <row r="27" spans="1:5" x14ac:dyDescent="0.3">
      <c r="B27" s="2">
        <v>4</v>
      </c>
      <c r="C27" s="35" t="s">
        <v>96</v>
      </c>
      <c r="D27" s="45">
        <f>+D95</f>
        <v>74060</v>
      </c>
      <c r="E27" s="60">
        <f t="shared" si="0"/>
        <v>244820</v>
      </c>
    </row>
    <row r="28" spans="1:5" x14ac:dyDescent="0.3">
      <c r="B28" s="2">
        <v>5</v>
      </c>
      <c r="C28" s="35" t="s">
        <v>97</v>
      </c>
      <c r="D28" s="45">
        <f>+D119</f>
        <v>51020</v>
      </c>
      <c r="E28" s="60">
        <f t="shared" si="0"/>
        <v>168660</v>
      </c>
    </row>
    <row r="29" spans="1:5" x14ac:dyDescent="0.3">
      <c r="B29" s="2">
        <v>6</v>
      </c>
      <c r="C29" s="35" t="s">
        <v>98</v>
      </c>
      <c r="D29" s="45">
        <f>+D133</f>
        <v>17100</v>
      </c>
      <c r="E29" s="60">
        <f t="shared" si="0"/>
        <v>56520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11010</v>
      </c>
      <c r="E31" s="60">
        <f t="shared" si="0"/>
        <v>36390</v>
      </c>
    </row>
    <row r="32" spans="1:5" x14ac:dyDescent="0.3">
      <c r="B32" s="2">
        <v>9</v>
      </c>
      <c r="C32" s="35" t="s">
        <v>101</v>
      </c>
      <c r="D32" s="45">
        <f>+D161</f>
        <v>28170</v>
      </c>
      <c r="E32" s="60">
        <f t="shared" si="0"/>
        <v>93120</v>
      </c>
    </row>
    <row r="33" spans="1:7" x14ac:dyDescent="0.3">
      <c r="B33" s="2">
        <v>10</v>
      </c>
      <c r="C33" s="35" t="s">
        <v>153</v>
      </c>
      <c r="D33" s="53">
        <f>TRUNC(SUM(D24:D32)*0.275,-1)</f>
        <v>243360</v>
      </c>
      <c r="E33" s="61">
        <f t="shared" si="0"/>
        <v>804490</v>
      </c>
    </row>
    <row r="34" spans="1:7" x14ac:dyDescent="0.3">
      <c r="C34" s="35" t="s">
        <v>112</v>
      </c>
      <c r="D34" s="44">
        <f>SUM(D24:D33)</f>
        <v>1128320</v>
      </c>
      <c r="E34" s="44">
        <f>SUM(E24:E33)</f>
        <v>3729960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249</v>
      </c>
      <c r="E36" s="56" t="s">
        <v>261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TRUNC(33141.7311139565,-1)</f>
        <v>33140</v>
      </c>
      <c r="E40" s="63">
        <f t="shared" ref="E40:E59" si="1">TRUNC(+D40*3.3058,-1)</f>
        <v>109550</v>
      </c>
    </row>
    <row r="41" spans="1:7" x14ac:dyDescent="0.3">
      <c r="A41" s="2">
        <v>2</v>
      </c>
      <c r="C41" s="38" t="s">
        <v>13</v>
      </c>
      <c r="D41" s="42">
        <f>TRUNC(118437.083226633,-1)</f>
        <v>118430</v>
      </c>
      <c r="E41" s="64">
        <f t="shared" si="1"/>
        <v>391500</v>
      </c>
    </row>
    <row r="42" spans="1:7" x14ac:dyDescent="0.3">
      <c r="A42" s="2">
        <v>3</v>
      </c>
      <c r="C42" s="38" t="s">
        <v>14</v>
      </c>
      <c r="D42" s="42">
        <f>TRUNC(5142.203158344,-1)</f>
        <v>5140</v>
      </c>
      <c r="E42" s="64">
        <f t="shared" si="1"/>
        <v>16990</v>
      </c>
    </row>
    <row r="43" spans="1:7" x14ac:dyDescent="0.3">
      <c r="A43" s="2">
        <v>4</v>
      </c>
      <c r="C43" s="38" t="s">
        <v>16</v>
      </c>
      <c r="D43" s="42">
        <f>TRUNC(9043.57746478873,-1)</f>
        <v>9040</v>
      </c>
      <c r="E43" s="64">
        <f t="shared" si="1"/>
        <v>29880</v>
      </c>
    </row>
    <row r="44" spans="1:7" x14ac:dyDescent="0.3">
      <c r="A44" s="2">
        <v>5</v>
      </c>
      <c r="C44" s="38" t="s">
        <v>17</v>
      </c>
      <c r="D44" s="42">
        <v>0</v>
      </c>
      <c r="E44" s="64">
        <f t="shared" si="1"/>
        <v>0</v>
      </c>
    </row>
    <row r="45" spans="1:7" x14ac:dyDescent="0.3">
      <c r="A45" s="2">
        <v>6</v>
      </c>
      <c r="C45" s="38" t="s">
        <v>18</v>
      </c>
      <c r="D45" s="42">
        <f>TRUNC(61114.2116944089,-1)</f>
        <v>61110</v>
      </c>
      <c r="E45" s="64">
        <f t="shared" si="1"/>
        <v>202010</v>
      </c>
      <c r="F45" s="2" t="s">
        <v>250</v>
      </c>
    </row>
    <row r="46" spans="1:7" x14ac:dyDescent="0.3">
      <c r="A46" s="2">
        <v>7</v>
      </c>
      <c r="C46" s="38" t="s">
        <v>19</v>
      </c>
      <c r="D46" s="42">
        <v>0</v>
      </c>
      <c r="E46" s="64">
        <f t="shared" si="1"/>
        <v>0</v>
      </c>
    </row>
    <row r="47" spans="1:7" x14ac:dyDescent="0.3">
      <c r="A47" s="2">
        <v>8</v>
      </c>
      <c r="C47" s="38" t="s">
        <v>20</v>
      </c>
      <c r="D47" s="42">
        <f>TRUNC(1684.01195049082,-1)</f>
        <v>1680</v>
      </c>
      <c r="E47" s="64">
        <f t="shared" si="1"/>
        <v>5550</v>
      </c>
    </row>
    <row r="48" spans="1:7" x14ac:dyDescent="0.3">
      <c r="A48" s="2">
        <v>9</v>
      </c>
      <c r="C48" s="38" t="s">
        <v>21</v>
      </c>
      <c r="D48" s="42">
        <f>TRUNC(81287.1971830986,-1)</f>
        <v>81280</v>
      </c>
      <c r="E48" s="64">
        <f t="shared" si="1"/>
        <v>268690</v>
      </c>
    </row>
    <row r="49" spans="1:7" x14ac:dyDescent="0.3">
      <c r="A49" s="2">
        <v>10</v>
      </c>
      <c r="C49" s="38" t="s">
        <v>22</v>
      </c>
      <c r="D49" s="42">
        <f>TRUNC(23757.8523260777,-1)</f>
        <v>23750</v>
      </c>
      <c r="E49" s="64">
        <f t="shared" si="1"/>
        <v>78510</v>
      </c>
      <c r="F49" s="2" t="s">
        <v>251</v>
      </c>
    </row>
    <row r="50" spans="1:7" x14ac:dyDescent="0.3">
      <c r="A50" s="2">
        <v>11</v>
      </c>
      <c r="C50" s="38" t="s">
        <v>154</v>
      </c>
      <c r="D50" s="42">
        <f>TRUNC(96968.7200170721,-1)</f>
        <v>96960</v>
      </c>
      <c r="E50" s="64">
        <f t="shared" si="1"/>
        <v>320530</v>
      </c>
    </row>
    <row r="51" spans="1:7" x14ac:dyDescent="0.3">
      <c r="A51" s="2">
        <v>12</v>
      </c>
      <c r="C51" s="38" t="s">
        <v>23</v>
      </c>
      <c r="D51" s="42">
        <f>TRUNC(26306.9530516432,-1)</f>
        <v>26300</v>
      </c>
      <c r="E51" s="64">
        <f t="shared" si="1"/>
        <v>86940</v>
      </c>
    </row>
    <row r="52" spans="1:7" x14ac:dyDescent="0.3">
      <c r="A52" s="2">
        <v>13</v>
      </c>
      <c r="C52" s="38" t="s">
        <v>24</v>
      </c>
      <c r="D52" s="42">
        <f>TRUNC(7275.41570635937,-1)</f>
        <v>7270</v>
      </c>
      <c r="E52" s="64">
        <f t="shared" si="1"/>
        <v>24030</v>
      </c>
    </row>
    <row r="53" spans="1:7" x14ac:dyDescent="0.3">
      <c r="A53" s="2">
        <v>14</v>
      </c>
      <c r="C53" s="38" t="s">
        <v>25</v>
      </c>
      <c r="D53" s="42">
        <f>TRUNC(54753.6803243705,-1)</f>
        <v>54750</v>
      </c>
      <c r="E53" s="64">
        <f t="shared" si="1"/>
        <v>180990</v>
      </c>
    </row>
    <row r="54" spans="1:7" x14ac:dyDescent="0.3">
      <c r="A54" s="2">
        <v>15</v>
      </c>
      <c r="C54" s="38" t="s">
        <v>147</v>
      </c>
      <c r="D54" s="42">
        <f>TRUNC(25773.4404609475,-1)</f>
        <v>25770</v>
      </c>
      <c r="E54" s="64">
        <f t="shared" si="1"/>
        <v>85190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TRUNC(55212.2483994878+3595.7050789586+2741.60307298335,-1)</f>
        <v>61540</v>
      </c>
      <c r="E58" s="64">
        <f t="shared" si="1"/>
        <v>203430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TRUNC(90311.9931711481,-1)</f>
        <v>90310</v>
      </c>
      <c r="E59" s="65">
        <f t="shared" si="1"/>
        <v>298540</v>
      </c>
      <c r="F59" s="2" t="s">
        <v>260</v>
      </c>
    </row>
    <row r="60" spans="1:7" x14ac:dyDescent="0.3">
      <c r="A60" s="2">
        <v>21</v>
      </c>
      <c r="C60" s="27" t="s">
        <v>112</v>
      </c>
      <c r="D60" s="39">
        <f>SUM(D40:D59)</f>
        <v>696470</v>
      </c>
      <c r="E60" s="39">
        <f>SUM(E40:E59)</f>
        <v>2302330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249</v>
      </c>
      <c r="E62" s="56" t="s">
        <v>261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TRUNC(7133.08151941955,-1)</f>
        <v>7130</v>
      </c>
      <c r="E63" s="63">
        <f>TRUNC(+D63*3.3058,-1)</f>
        <v>23570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7130</v>
      </c>
      <c r="E66" s="57">
        <f>SUM(E63:E65)</f>
        <v>23570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249</v>
      </c>
      <c r="E68" s="56" t="s">
        <v>261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TRUNC(20823.4558258643,-1)</f>
        <v>20820</v>
      </c>
      <c r="E69" s="63">
        <f>TRUNC(+D69*3.3058,-1)</f>
        <v>68820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TRUNC(6716.84805804524,-1)</f>
        <v>6710</v>
      </c>
      <c r="E71" s="64">
        <f t="shared" ref="E71:E73" si="2">TRUNC(+D71*3.3058,-1)</f>
        <v>22180</v>
      </c>
    </row>
    <row r="72" spans="1:7" x14ac:dyDescent="0.3">
      <c r="A72" s="2">
        <v>4</v>
      </c>
      <c r="C72" s="38" t="s">
        <v>33</v>
      </c>
      <c r="D72" s="42">
        <f>TRUNC(1952.46948356808,-1)</f>
        <v>1950</v>
      </c>
      <c r="E72" s="64">
        <f t="shared" si="2"/>
        <v>6440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f>TRUNC(21681.6047801963,-1)</f>
        <v>21680</v>
      </c>
      <c r="E77" s="64">
        <f t="shared" si="3"/>
        <v>71660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TRUNC(4486.97609901835,-1)</f>
        <v>4480</v>
      </c>
      <c r="E79" s="64">
        <f t="shared" si="3"/>
        <v>14800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TRUNC(6890.8408023901,-1)</f>
        <v>6890</v>
      </c>
      <c r="E84" s="64">
        <f>TRUNC(+D84*3.3058,-1)</f>
        <v>22770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TRUNC(2063.74733247973,-1)</f>
        <v>2060</v>
      </c>
      <c r="E90" s="64">
        <f>TRUNC(+D90*3.3058,-1)</f>
        <v>6800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TRUNC(6126.81306017926,-1)</f>
        <v>6120</v>
      </c>
      <c r="E92" s="64">
        <f>TRUNC(+D92*3.3058,-1)</f>
        <v>20230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TRUNC(3351.67733674776,-1)</f>
        <v>3350</v>
      </c>
      <c r="E94" s="65">
        <f>TRUNC(+D94*3.3058,-1)</f>
        <v>11070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74060</v>
      </c>
      <c r="E95" s="39">
        <f>SUM(E69:E94)</f>
        <v>244770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249</v>
      </c>
      <c r="E97" s="56" t="s">
        <v>261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TRUNC(13989.6397780623,-1)</f>
        <v>13980</v>
      </c>
      <c r="E98" s="63">
        <f t="shared" ref="E98:E118" si="4">TRUNC(+D98*3.3058,-1)</f>
        <v>46210</v>
      </c>
    </row>
    <row r="99" spans="1:7" x14ac:dyDescent="0.3">
      <c r="A99" s="2">
        <v>2</v>
      </c>
      <c r="C99" s="38" t="s">
        <v>40</v>
      </c>
      <c r="D99" s="42">
        <f>TRUNC(1893.26163038839,-1)</f>
        <v>1890</v>
      </c>
      <c r="E99" s="64">
        <f t="shared" si="4"/>
        <v>6240</v>
      </c>
    </row>
    <row r="100" spans="1:7" x14ac:dyDescent="0.3">
      <c r="A100" s="2">
        <v>3</v>
      </c>
      <c r="C100" s="38" t="s">
        <v>41</v>
      </c>
      <c r="D100" s="42">
        <f>TRUNC(20239.2496798976,-1)</f>
        <v>20230</v>
      </c>
      <c r="E100" s="64">
        <f t="shared" si="4"/>
        <v>66870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TRUNC(4586.49594536918,-1)</f>
        <v>4580</v>
      </c>
      <c r="E102" s="64">
        <f t="shared" si="4"/>
        <v>15140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TRUNC(1449.52198036705,-1)</f>
        <v>1440</v>
      </c>
      <c r="E104" s="64">
        <f t="shared" si="4"/>
        <v>4760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TRUNC(2043.50277422108,-1)</f>
        <v>2040</v>
      </c>
      <c r="E108" s="64">
        <f t="shared" si="4"/>
        <v>6740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TRUNC(1418.63679043961,-1)</f>
        <v>1410</v>
      </c>
      <c r="E115" s="64">
        <f t="shared" si="4"/>
        <v>4660</v>
      </c>
    </row>
    <row r="116" spans="1:7" x14ac:dyDescent="0.3">
      <c r="A116" s="2">
        <v>19</v>
      </c>
      <c r="C116" s="38" t="s">
        <v>115</v>
      </c>
      <c r="D116" s="42">
        <f>TRUNC(3664.66837387964,-1)</f>
        <v>3660</v>
      </c>
      <c r="E116" s="64">
        <f t="shared" si="4"/>
        <v>12090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TRUNC(1790.77251387111,-1)</f>
        <v>1790</v>
      </c>
      <c r="E118" s="65">
        <f t="shared" si="4"/>
        <v>5910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51020</v>
      </c>
      <c r="E119" s="39">
        <f>SUM(E98:E118)</f>
        <v>168620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249</v>
      </c>
      <c r="E121" s="56" t="s">
        <v>261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TRUNC(1917.16901408451,-1)</f>
        <v>1910</v>
      </c>
      <c r="E122" s="63">
        <f t="shared" ref="E122:E132" si="5">TRUNC(+D122*3.3058,-1)</f>
        <v>6310</v>
      </c>
    </row>
    <row r="123" spans="1:7" x14ac:dyDescent="0.3">
      <c r="A123" s="2">
        <v>2</v>
      </c>
      <c r="C123" s="38" t="s">
        <v>124</v>
      </c>
      <c r="D123" s="42">
        <f>TRUNC(5851.32863849765+4585.57703798549,-1)</f>
        <v>10430</v>
      </c>
      <c r="E123" s="64">
        <f t="shared" si="5"/>
        <v>34470</v>
      </c>
      <c r="F123" s="2" t="s">
        <v>256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TRUNC(3472.22876653863,-1)</f>
        <v>3470</v>
      </c>
      <c r="E125" s="64">
        <f t="shared" si="5"/>
        <v>11470</v>
      </c>
    </row>
    <row r="126" spans="1:7" x14ac:dyDescent="0.3">
      <c r="A126" s="2">
        <v>5</v>
      </c>
      <c r="C126" s="38" t="s">
        <v>53</v>
      </c>
      <c r="D126" s="42">
        <f>TRUNC(469.485702091336,-1)</f>
        <v>460</v>
      </c>
      <c r="E126" s="64">
        <f t="shared" si="5"/>
        <v>1520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f>TRUNC(838.991037131882,-1)</f>
        <v>830</v>
      </c>
      <c r="E132" s="65">
        <f t="shared" si="5"/>
        <v>2740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17100</v>
      </c>
      <c r="E133" s="39">
        <f>SUM(E122:E132)</f>
        <v>56510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249</v>
      </c>
      <c r="E135" s="56" t="s">
        <v>261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249</v>
      </c>
      <c r="E148" s="56" t="s">
        <v>261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TRUNC(2153.32437046522,-1)</f>
        <v>2150</v>
      </c>
      <c r="E150" s="64">
        <f>TRUNC(+D150*3.3058,-1)</f>
        <v>7100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TRUNC(1963.86171574904+6828.29193341869+71.3909517712335,-1)</f>
        <v>8860</v>
      </c>
      <c r="E152" s="64">
        <f>TRUNC(+D152*3.3058,-1)</f>
        <v>29280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11010</v>
      </c>
      <c r="E154" s="39">
        <f>SUM(E149:E153)</f>
        <v>36380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249</v>
      </c>
      <c r="E156" s="56" t="s">
        <v>261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TRUNC(10421.542893726,-1)</f>
        <v>10420</v>
      </c>
      <c r="E157" s="63">
        <f>TRUNC(+D157*3.3058,-1)</f>
        <v>34440</v>
      </c>
    </row>
    <row r="158" spans="1:7" x14ac:dyDescent="0.3">
      <c r="A158" s="2">
        <v>2</v>
      </c>
      <c r="C158" s="38" t="s">
        <v>52</v>
      </c>
      <c r="D158" s="42">
        <f>TRUNC(3989.40460947503,-1)</f>
        <v>3980</v>
      </c>
      <c r="E158" s="64">
        <f>TRUNC(+D158*3.3058,-1)</f>
        <v>13150</v>
      </c>
    </row>
    <row r="159" spans="1:7" x14ac:dyDescent="0.3">
      <c r="A159" s="2">
        <v>3</v>
      </c>
      <c r="C159" s="38" t="s">
        <v>47</v>
      </c>
      <c r="D159" s="42">
        <f>TRUNC(174.495945369185+5855.38241570636+7748.45924029023,-1)</f>
        <v>13770</v>
      </c>
      <c r="E159" s="64">
        <f>TRUNC(+D159*3.3058,-1)</f>
        <v>45520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28170</v>
      </c>
      <c r="E161" s="39">
        <f>SUM(E157:E160)</f>
        <v>93110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2020-12-07T09:03:35Z</dcterms:modified>
</cp:coreProperties>
</file>