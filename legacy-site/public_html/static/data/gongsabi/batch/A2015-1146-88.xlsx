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2" i="4"/>
  <c r="E141" i="4"/>
  <c r="E140" i="4"/>
  <c r="E139" i="4"/>
  <c r="E138" i="4"/>
  <c r="E136" i="4"/>
  <c r="E129" i="4"/>
  <c r="E128" i="4"/>
  <c r="E127" i="4"/>
  <c r="E123" i="4"/>
  <c r="E118" i="4"/>
  <c r="E117" i="4"/>
  <c r="E115" i="4"/>
  <c r="E113" i="4"/>
  <c r="E112" i="4"/>
  <c r="E111" i="4"/>
  <c r="E110" i="4"/>
  <c r="E109" i="4"/>
  <c r="E108" i="4"/>
  <c r="E107" i="4"/>
  <c r="E106" i="4"/>
  <c r="E93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5" i="4"/>
  <c r="E54" i="4"/>
  <c r="E51" i="4"/>
  <c r="E49" i="4"/>
  <c r="E47" i="4"/>
  <c r="E37" i="4"/>
  <c r="D161" i="4" l="1"/>
  <c r="D152" i="4"/>
  <c r="E152" i="4" s="1"/>
  <c r="D151" i="4"/>
  <c r="E151" i="4" s="1"/>
  <c r="D150" i="4"/>
  <c r="E150" i="4" s="1"/>
  <c r="D149" i="4"/>
  <c r="D144" i="4"/>
  <c r="D143" i="4"/>
  <c r="E143" i="4" s="1"/>
  <c r="D137" i="4"/>
  <c r="E137" i="4" s="1"/>
  <c r="D132" i="4"/>
  <c r="E132" i="4" s="1"/>
  <c r="D131" i="4"/>
  <c r="E131" i="4" s="1"/>
  <c r="D130" i="4"/>
  <c r="E130" i="4" s="1"/>
  <c r="D126" i="4"/>
  <c r="E126" i="4" s="1"/>
  <c r="D125" i="4"/>
  <c r="D124" i="4"/>
  <c r="E124" i="4" s="1"/>
  <c r="D122" i="4"/>
  <c r="E122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D98" i="4"/>
  <c r="E98" i="4" s="1"/>
  <c r="D94" i="4"/>
  <c r="E94" i="4" s="1"/>
  <c r="D92" i="4"/>
  <c r="E92" i="4" s="1"/>
  <c r="D91" i="4"/>
  <c r="E91" i="4" s="1"/>
  <c r="D89" i="4"/>
  <c r="E89" i="4" s="1"/>
  <c r="D84" i="4"/>
  <c r="E84" i="4" s="1"/>
  <c r="D72" i="4"/>
  <c r="E72" i="4" s="1"/>
  <c r="D71" i="4"/>
  <c r="E71" i="4" s="1"/>
  <c r="D70" i="4"/>
  <c r="E70" i="4" s="1"/>
  <c r="D69" i="4"/>
  <c r="D66" i="4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2" i="4"/>
  <c r="E32" i="4" s="1"/>
  <c r="D26" i="4"/>
  <c r="E26" i="4" s="1"/>
  <c r="D24" i="4"/>
  <c r="E24" i="4" s="1"/>
  <c r="D7" i="4"/>
  <c r="D95" i="4" l="1"/>
  <c r="D27" i="4" s="1"/>
  <c r="E27" i="4" s="1"/>
  <c r="E69" i="4"/>
  <c r="E95" i="4" s="1"/>
  <c r="E133" i="4"/>
  <c r="D146" i="4"/>
  <c r="D30" i="4" s="1"/>
  <c r="E30" i="4" s="1"/>
  <c r="E144" i="4"/>
  <c r="E146" i="4" s="1"/>
  <c r="D60" i="4"/>
  <c r="D25" i="4" s="1"/>
  <c r="E25" i="4" s="1"/>
  <c r="E40" i="4"/>
  <c r="E60" i="4" s="1"/>
  <c r="D133" i="4"/>
  <c r="D29" i="4" s="1"/>
  <c r="E29" i="4" s="1"/>
  <c r="E125" i="4"/>
  <c r="D154" i="4"/>
  <c r="D31" i="4" s="1"/>
  <c r="E31" i="4" s="1"/>
  <c r="E149" i="4"/>
  <c r="E154" i="4" s="1"/>
  <c r="D119" i="4"/>
  <c r="D28" i="4" s="1"/>
  <c r="E28" i="4" s="1"/>
  <c r="E99" i="4"/>
  <c r="E11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<sst xmlns="http://schemas.openxmlformats.org/spreadsheetml/2006/main" count="393" uniqueCount="265">
  <si>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</si>
  <si>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</si>
  <si>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</si>
  <si>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</si>
  <si>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</si>
  <si>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</si>
  <si>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</si>
  <si>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</si>
  <si>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</si>
  <si>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</si>
  <si>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</si>
  <si>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</si>
  <si>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</si>
  <si>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</si>
  <si>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</si>
  <si>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</si>
  <si>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</si>
  <si>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</si>
  <si>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</si>
  <si>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</si>
  <si>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</si>
  <si>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</si>
  <si>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</si>
  <si>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</si>
  <si>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</si>
  <si>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</si>
  <si>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</si>
  <si>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</si>
  <si>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</si>
  <si>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</si>
  <si>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</si>
  <si>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</si>
  <si>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</si>
  <si>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</si>
  <si>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</si>
  <si>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</si>
  <si>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</si>
  <si>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</si>
  <si>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</si>
  <si>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</si>
  <si>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</si>
  <si>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</si>
  <si>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</si>
  <si>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</si>
  <si>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</si>
  <si>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</si>
  <si>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</si>
  <si>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</si>
  <si>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</si>
  <si>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</si>
  <si>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</si>
  <si>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</si>
  <si>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</si>
  <si>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</si>
  <si>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</si>
  <si>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</si>
  <si>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</si>
  <si>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</si>
  <si>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</si>
  <si>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</si>
  <si>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</si>
  <si>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</si>
  <si>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</si>
  <si>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</si>
  <si>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</si>
  <si>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</si>
  <si>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</si>
  <si>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</si>
  <si>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</si>
  <si>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</si>
  <si>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</si>
  <si>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</si>
  <si>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</si>
  <si>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</si>
  <si>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</si>
  <si>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</si>
  <si>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</si>
  <si>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</si>
  <si>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</si>
  <si>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</si>
  <si>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</si>
  <si>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</si>
  <si>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</si>
  <si>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</si>
  <si>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</si>
  <si>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</si>
  <si>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</si>
  <si>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</si>
  <si>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</si>
  <si>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</si>
  <si>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</si>
  <si>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</si>
  <si>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</si>
  <si>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</si>
  <si>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</si>
  <si>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</si>
  <si>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</si>
  <si>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</si>
  <si>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</si>
  <si>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</si>
  <si>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</si>
  <si>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</si>
  <si>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</si>
  <si>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</si>
  <si>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</si>
  <si>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</si>
  <si>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</si>
  <si>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</si>
  <si>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</si>
  <si>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</si>
  <si>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</si>
  <si>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</si>
  <si>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</si>
  <si>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</si>
  <si>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</si>
  <si>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</si>
  <si>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</si>
  <si>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</si>
  <si>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</si>
  <si>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</si>
  <si>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</si>
  <si>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</si>
  <si>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</si>
  <si>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</si>
  <si>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</si>
  <si>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</si>
  <si>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</si>
  <si>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</si>
  <si>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</si>
  <si>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</si>
  <si>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</si>
  <si>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</si>
  <si>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</si>
  <si>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</si>
  <si>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</si>
  <si>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</si>
  <si>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</si>
  <si>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</si>
  <si>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</si>
  <si>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</si>
  <si>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</si>
  <si>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</si>
  <si>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</si>
  <si>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</si>
  <si>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</si>
  <si>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</si>
  <si>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</si>
  <si>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</si>
  <si>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</si>
  <si>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</si>
  <si>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</si>
  <si>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</si>
  <si>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</si>
  <si>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</si>
  <si>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</si>
  <si>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</si>
  <si>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</si>
  <si>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</si>
  <si>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</si>
  <si>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</si>
  <si>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</si>
  <si>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</si>
  <si>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</si>
  <si>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</si>
  <si>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</si>
  <si>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</si>
  <si>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</si>
  <si>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</si>
  <si>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</si>
  <si>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</si>
  <si>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</si>
  <si>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</si>
  <si>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</si>
  <si>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</si>
  <si>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</si>
  <si>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</si>
  <si>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</si>
  <si>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</si>
  <si>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</si>
  <si>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</si>
  <si>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</si>
  <si>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</si>
  <si>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</si>
  <si>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</si>
  <si>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</si>
  <si>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</si>
  <si>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</si>
  <si>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</si>
  <si>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</si>
  <si>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</si>
  <si>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</si>
  <si>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</si>
  <si>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</si>
  <si>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</si>
  <si>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</si>
  <si>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</si>
  <si>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</si>
  <si>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</si>
  <si>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</si>
  <si>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</si>
  <si>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</si>
  <si>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</si>
  <si>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</si>
  <si>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</si>
  <si>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</si>
  <si>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</si>
  <si>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</si>
  <si>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</si>
  <si>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</si>
  <si>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</si>
  <si>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</si>
  <si>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</si>
  <si>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</si>
  <si>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</si>
  <si>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</si>
  <si>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</si>
  <si>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</si>
  <si>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</si>
  <si>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</si>
  <si>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</si>
  <si>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</si>
  <si>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</si>
  <si>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</si>
  <si>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</si>
  <si>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</si>
  <si>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</si>
  <si>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</si>
  <si>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</si>
  <si>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</si>
  <si>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</si>
  <si>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</si>
  <si>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</si>
  <si>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</si>
  <si>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</si>
  <si>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</si>
  <si>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</si>
  <si>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</si>
  <si>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</si>
  <si>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</si>
  <si>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</si>
  <si>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</si>
  <si>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</si>
  <si>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</si>
  <si>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</si>
  <si>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</si>
  <si>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</si>
  <si>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(가칭)대구서동초등학교 및 유치원 신축공사(장기계속)</t>
  </si>
  <si>
    <t>교육연구</t>
  </si>
  <si>
    <t>대구시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</si>
  <si>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</si>
  <si>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</si>
  <si>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</si>
  <si>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</si>
  <si>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기초공사,골재비및운반비,기타공사</t>
    <phoneticPr fontId="2" type="noConversion"/>
  </si>
  <si>
    <t>공조배관공사, 우수처리시설공사,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</si>
  <si>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</si>
  <si>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</si>
  <si>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 기타공사</t>
    <phoneticPr fontId="2" type="noConversion"/>
  </si>
  <si>
    <t>토목</t>
    <phoneticPr fontId="2" type="noConversion"/>
  </si>
  <si>
    <t>토목 사급자재비, 토목 운반비, 토목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</si>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</sst>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15645.93</v>
      </c>
      <c r="D7" s="36">
        <f>+C7/3.3058</f>
        <v>4732.8725270736286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992550</v>
      </c>
      <c r="E25" s="60">
        <f t="shared" si="0"/>
        <v>3281170</v>
      </c>
    </row>
    <row r="26" spans="1:5" x14ac:dyDescent="0.3">
      <c r="B26" s="2">
        <v>3</v>
      </c>
      <c r="C26" s="35" t="s">
        <v>95</v>
      </c>
      <c r="D26" s="45">
        <f>+D66</f>
        <v>3080</v>
      </c>
      <c r="E26" s="60">
        <f t="shared" si="0"/>
        <v>10180</v>
      </c>
    </row>
    <row r="27" spans="1:5" x14ac:dyDescent="0.3">
      <c r="B27" s="2">
        <v>4</v>
      </c>
      <c r="C27" s="35" t="s">
        <v>96</v>
      </c>
      <c r="D27" s="45">
        <f>+D95</f>
        <v>81620</v>
      </c>
      <c r="E27" s="60">
        <f t="shared" si="0"/>
        <v>269810</v>
      </c>
    </row>
    <row r="28" spans="1:5" x14ac:dyDescent="0.3">
      <c r="B28" s="2">
        <v>5</v>
      </c>
      <c r="C28" s="35" t="s">
        <v>97</v>
      </c>
      <c r="D28" s="45">
        <f>+D119</f>
        <v>157020</v>
      </c>
      <c r="E28" s="60">
        <f t="shared" si="0"/>
        <v>519070</v>
      </c>
    </row>
    <row r="29" spans="1:5" x14ac:dyDescent="0.3">
      <c r="B29" s="2">
        <v>6</v>
      </c>
      <c r="C29" s="35" t="s">
        <v>98</v>
      </c>
      <c r="D29" s="45">
        <f>+D133</f>
        <v>59260</v>
      </c>
      <c r="E29" s="60">
        <f t="shared" si="0"/>
        <v>195900</v>
      </c>
    </row>
    <row r="30" spans="1:5" x14ac:dyDescent="0.3">
      <c r="B30" s="2">
        <v>7</v>
      </c>
      <c r="C30" s="35" t="s">
        <v>99</v>
      </c>
      <c r="D30" s="45">
        <f>+D146</f>
        <v>51530</v>
      </c>
      <c r="E30" s="60">
        <f t="shared" si="0"/>
        <v>170340</v>
      </c>
    </row>
    <row r="31" spans="1:5" x14ac:dyDescent="0.3">
      <c r="B31" s="2">
        <v>8</v>
      </c>
      <c r="C31" s="35" t="s">
        <v>100</v>
      </c>
      <c r="D31" s="45">
        <f>+D154</f>
        <v>32920</v>
      </c>
      <c r="E31" s="60">
        <f t="shared" si="0"/>
        <v>108820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378940</v>
      </c>
      <c r="E33" s="61">
        <f t="shared" si="0"/>
        <v>1252690</v>
      </c>
    </row>
    <row r="34" spans="1:7" x14ac:dyDescent="0.3">
      <c r="C34" s="35" t="s">
        <v>112</v>
      </c>
      <c r="D34" s="44">
        <f>SUM(D24:D33)</f>
        <v>1756920</v>
      </c>
      <c r="E34" s="44">
        <f>SUM(E24:E33)</f>
        <v>5807980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TRUNC(45523,-1)</f>
        <v>45520</v>
      </c>
      <c r="E40" s="63">
        <f t="shared" ref="E40:E59" si="1">TRUNC(+D40*3.3058,-1)</f>
        <v>150480</v>
      </c>
    </row>
    <row r="41" spans="1:7" x14ac:dyDescent="0.3">
      <c r="A41" s="2">
        <v>2</v>
      </c>
      <c r="C41" s="38" t="s">
        <v>13</v>
      </c>
      <c r="D41" s="42">
        <f>TRUNC(179069,-1)</f>
        <v>179060</v>
      </c>
      <c r="E41" s="64">
        <f t="shared" si="1"/>
        <v>591930</v>
      </c>
    </row>
    <row r="42" spans="1:7" x14ac:dyDescent="0.3">
      <c r="A42" s="2">
        <v>3</v>
      </c>
      <c r="C42" s="38" t="s">
        <v>14</v>
      </c>
      <c r="D42" s="42">
        <f>TRUNC(7669,-1)</f>
        <v>7660</v>
      </c>
      <c r="E42" s="64">
        <f t="shared" si="1"/>
        <v>25320</v>
      </c>
    </row>
    <row r="43" spans="1:7" x14ac:dyDescent="0.3">
      <c r="A43" s="2">
        <v>4</v>
      </c>
      <c r="C43" s="38" t="s">
        <v>16</v>
      </c>
      <c r="D43" s="42">
        <f>TRUNC(39306,-1)</f>
        <v>39300</v>
      </c>
      <c r="E43" s="64">
        <f t="shared" si="1"/>
        <v>129910</v>
      </c>
    </row>
    <row r="44" spans="1:7" x14ac:dyDescent="0.3">
      <c r="A44" s="2">
        <v>5</v>
      </c>
      <c r="C44" s="38" t="s">
        <v>17</v>
      </c>
      <c r="D44" s="42">
        <f>TRUNC(31840,-1)</f>
        <v>31840</v>
      </c>
      <c r="E44" s="64">
        <f t="shared" si="1"/>
        <v>105250</v>
      </c>
    </row>
    <row r="45" spans="1:7" x14ac:dyDescent="0.3">
      <c r="A45" s="2">
        <v>6</v>
      </c>
      <c r="C45" s="38" t="s">
        <v>18</v>
      </c>
      <c r="D45" s="42">
        <f>TRUNC(9659,-1)</f>
        <v>9650</v>
      </c>
      <c r="E45" s="64">
        <f t="shared" si="1"/>
        <v>31900</v>
      </c>
    </row>
    <row r="46" spans="1:7" x14ac:dyDescent="0.3">
      <c r="A46" s="2">
        <v>7</v>
      </c>
      <c r="C46" s="38" t="s">
        <v>19</v>
      </c>
      <c r="D46" s="42">
        <f>TRUNC(56511,-1)</f>
        <v>56510</v>
      </c>
      <c r="E46" s="64">
        <f t="shared" si="1"/>
        <v>186810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TRUNC(85097,-1)</f>
        <v>85090</v>
      </c>
      <c r="E48" s="64">
        <f t="shared" si="1"/>
        <v>281290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v>16750</v>
      </c>
      <c r="E49" s="64">
        <f t="shared" si="1"/>
        <v>55370</v>
      </c>
    </row>
    <row r="50" spans="1:7" x14ac:dyDescent="0.3">
      <c r="A50" s="2">
        <v>11</v>
      </c>
      <c r="C50" s="38" t="s">
        <v>155</v>
      </c>
      <c r="D50" s="42">
        <f>TRUNC(44005,-1)</f>
        <v>44000</v>
      </c>
      <c r="E50" s="64">
        <f t="shared" si="1"/>
        <v>145450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TRUNC(12487,-1)</f>
        <v>12480</v>
      </c>
      <c r="E52" s="64">
        <f t="shared" si="1"/>
        <v>41250</v>
      </c>
    </row>
    <row r="53" spans="1:7" x14ac:dyDescent="0.3">
      <c r="A53" s="2">
        <v>14</v>
      </c>
      <c r="C53" s="38" t="s">
        <v>25</v>
      </c>
      <c r="D53" s="42">
        <f>TRUNC(73425,-1)</f>
        <v>73420</v>
      </c>
      <c r="E53" s="64">
        <f t="shared" si="1"/>
        <v>242710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TRUNC(34769+5126+18371,-1)</f>
        <v>58260</v>
      </c>
      <c r="E58" s="64">
        <f t="shared" si="1"/>
        <v>192590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TRUNC(333012,-1)</f>
        <v>333010</v>
      </c>
      <c r="E59" s="65">
        <f t="shared" si="1"/>
        <v>1100860</v>
      </c>
    </row>
    <row r="60" spans="1:7" x14ac:dyDescent="0.3">
      <c r="A60" s="2">
        <v>21</v>
      </c>
      <c r="C60" s="27" t="s">
        <v>112</v>
      </c>
      <c r="D60" s="39">
        <f>SUM(D40:D59)</f>
        <v>992550</v>
      </c>
      <c r="E60" s="39">
        <f>SUM(E40:E59)</f>
        <v>3281120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TRUNC(3083,-1)</f>
        <v>3080</v>
      </c>
      <c r="E63" s="63">
        <f>TRUNC(+D63*3.3058,-1)</f>
        <v>10180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3080</v>
      </c>
      <c r="E66" s="57">
        <f>SUM(E63:E65)</f>
        <v>10180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TRUNC(8005,-1)</f>
        <v>8000</v>
      </c>
      <c r="E69" s="63">
        <f t="shared" ref="E69:E94" si="2">TRUNC(+D69*3.3058,-1)</f>
        <v>26440</v>
      </c>
    </row>
    <row r="70" spans="1:7" ht="16.5" customHeight="1" x14ac:dyDescent="0.3">
      <c r="A70" s="2">
        <v>2</v>
      </c>
      <c r="C70" s="38" t="s">
        <v>31</v>
      </c>
      <c r="D70" s="42">
        <f>TRUNC(1491,-1)</f>
        <v>1490</v>
      </c>
      <c r="E70" s="64">
        <f t="shared" si="2"/>
        <v>4920</v>
      </c>
    </row>
    <row r="71" spans="1:7" x14ac:dyDescent="0.3">
      <c r="A71" s="2">
        <v>3</v>
      </c>
      <c r="C71" s="38" t="s">
        <v>32</v>
      </c>
      <c r="D71" s="42">
        <f>TRUNC(5025,-1)</f>
        <v>5020</v>
      </c>
      <c r="E71" s="64">
        <f t="shared" si="2"/>
        <v>16590</v>
      </c>
    </row>
    <row r="72" spans="1:7" x14ac:dyDescent="0.3">
      <c r="A72" s="2">
        <v>4</v>
      </c>
      <c r="C72" s="38" t="s">
        <v>33</v>
      </c>
      <c r="D72" s="42">
        <f>TRUNC(5189,-1)</f>
        <v>5180</v>
      </c>
      <c r="E72" s="64">
        <f t="shared" si="2"/>
        <v>17120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TRUNC(7839,-1)</f>
        <v>7830</v>
      </c>
      <c r="E84" s="64">
        <f t="shared" si="2"/>
        <v>25880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TRUNC(24244,-1)</f>
        <v>24240</v>
      </c>
      <c r="E89" s="64">
        <f t="shared" si="2"/>
        <v>80130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TRUNC(4768,-1)</f>
        <v>4760</v>
      </c>
      <c r="E91" s="64">
        <f t="shared" si="2"/>
        <v>15730</v>
      </c>
    </row>
    <row r="92" spans="1:7" x14ac:dyDescent="0.3">
      <c r="A92" s="2">
        <v>24</v>
      </c>
      <c r="C92" s="38" t="s">
        <v>38</v>
      </c>
      <c r="D92" s="42">
        <f>TRUNC(11956,-1)</f>
        <v>11950</v>
      </c>
      <c r="E92" s="64">
        <f t="shared" si="2"/>
        <v>39500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TRUNC(687+8160+20+4292,-1)</f>
        <v>13150</v>
      </c>
      <c r="E94" s="65">
        <f t="shared" si="2"/>
        <v>43470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81620</v>
      </c>
      <c r="E95" s="39">
        <f>SUM(E69:E94)</f>
        <v>269780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TRUNC(9616,-1)</f>
        <v>9610</v>
      </c>
      <c r="E98" s="63">
        <f t="shared" ref="E98:E118" si="3">TRUNC(+D98*3.3058,-1)</f>
        <v>31760</v>
      </c>
    </row>
    <row r="99" spans="1:7" x14ac:dyDescent="0.3">
      <c r="A99" s="2">
        <v>2</v>
      </c>
      <c r="C99" s="38" t="s">
        <v>40</v>
      </c>
      <c r="D99" s="42">
        <f>TRUNC(2177,-1)</f>
        <v>2170</v>
      </c>
      <c r="E99" s="64">
        <f t="shared" si="3"/>
        <v>7170</v>
      </c>
    </row>
    <row r="100" spans="1:7" x14ac:dyDescent="0.3">
      <c r="A100" s="2">
        <v>3</v>
      </c>
      <c r="C100" s="38" t="s">
        <v>41</v>
      </c>
      <c r="D100" s="42">
        <f>TRUNC(28958,-1)</f>
        <v>28950</v>
      </c>
      <c r="E100" s="64">
        <f t="shared" si="3"/>
        <v>95700</v>
      </c>
    </row>
    <row r="101" spans="1:7" x14ac:dyDescent="0.3">
      <c r="A101" s="2">
        <v>4</v>
      </c>
      <c r="C101" s="38" t="s">
        <v>42</v>
      </c>
      <c r="D101" s="42">
        <f>TRUNC(1647,-1)</f>
        <v>1640</v>
      </c>
      <c r="E101" s="64">
        <f t="shared" si="3"/>
        <v>5420</v>
      </c>
    </row>
    <row r="102" spans="1:7" x14ac:dyDescent="0.3">
      <c r="A102" s="2">
        <v>5</v>
      </c>
      <c r="C102" s="38" t="s">
        <v>43</v>
      </c>
      <c r="D102" s="42">
        <f>TRUNC(8974,-1)</f>
        <v>8970</v>
      </c>
      <c r="E102" s="64">
        <f t="shared" si="3"/>
        <v>29650</v>
      </c>
    </row>
    <row r="103" spans="1:7" x14ac:dyDescent="0.3">
      <c r="A103" s="2">
        <v>6</v>
      </c>
      <c r="C103" s="38" t="s">
        <v>44</v>
      </c>
      <c r="D103" s="42">
        <f>TRUNC(7145,-1)</f>
        <v>7140</v>
      </c>
      <c r="E103" s="64">
        <f t="shared" si="3"/>
        <v>23600</v>
      </c>
    </row>
    <row r="104" spans="1:7" x14ac:dyDescent="0.3">
      <c r="A104" s="2">
        <v>7</v>
      </c>
      <c r="C104" s="38" t="s">
        <v>45</v>
      </c>
      <c r="D104" s="42">
        <f>TRUNC(2502,-1)</f>
        <v>2500</v>
      </c>
      <c r="E104" s="64">
        <f t="shared" si="3"/>
        <v>8260</v>
      </c>
    </row>
    <row r="105" spans="1:7" x14ac:dyDescent="0.3">
      <c r="A105" s="2">
        <v>8</v>
      </c>
      <c r="C105" s="38" t="s">
        <v>46</v>
      </c>
      <c r="D105" s="42">
        <f>TRUNC(4838,-1)</f>
        <v>4830</v>
      </c>
      <c r="E105" s="64">
        <f t="shared" si="3"/>
        <v>15960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TRUNC(2738,-1)</f>
        <v>2730</v>
      </c>
      <c r="E114" s="64">
        <f t="shared" si="3"/>
        <v>9020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TRUNC(5315,-1)</f>
        <v>5310</v>
      </c>
      <c r="E116" s="64">
        <f t="shared" si="3"/>
        <v>17550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70990</v>
      </c>
      <c r="E117" s="64">
        <f t="shared" si="3"/>
        <v>234670</v>
      </c>
    </row>
    <row r="118" spans="1:7" ht="17.25" thickBot="1" x14ac:dyDescent="0.35">
      <c r="A118" s="2">
        <v>21</v>
      </c>
      <c r="C118" s="38" t="s">
        <v>47</v>
      </c>
      <c r="D118" s="43">
        <v>12180</v>
      </c>
      <c r="E118" s="65">
        <f t="shared" si="3"/>
        <v>40260</v>
      </c>
    </row>
    <row r="119" spans="1:7" x14ac:dyDescent="0.3">
      <c r="A119" s="2">
        <v>22</v>
      </c>
      <c r="C119" s="27" t="s">
        <v>112</v>
      </c>
      <c r="D119" s="39">
        <f>SUM(D98:D118)</f>
        <v>157020</v>
      </c>
      <c r="E119" s="39">
        <f>SUM(E98:E118)</f>
        <v>519020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TRUNC(3541,-1)</f>
        <v>3540</v>
      </c>
      <c r="E122" s="63">
        <f t="shared" ref="E122:E132" si="4">TRUNC(+D122*3.3058,-1)</f>
        <v>11700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TRUNC(1229,-1)</f>
        <v>1220</v>
      </c>
      <c r="E124" s="64">
        <f t="shared" si="4"/>
        <v>4030</v>
      </c>
    </row>
    <row r="125" spans="1:7" x14ac:dyDescent="0.3">
      <c r="A125" s="2">
        <v>4</v>
      </c>
      <c r="C125" s="38" t="s">
        <v>138</v>
      </c>
      <c r="D125" s="42">
        <f>TRUNC(8518,-1)</f>
        <v>8510</v>
      </c>
      <c r="E125" s="64">
        <f t="shared" si="4"/>
        <v>28130</v>
      </c>
    </row>
    <row r="126" spans="1:7" x14ac:dyDescent="0.3">
      <c r="A126" s="2">
        <v>5</v>
      </c>
      <c r="C126" s="38" t="s">
        <v>53</v>
      </c>
      <c r="D126" s="42">
        <f>TRUNC(933,-1)</f>
        <v>930</v>
      </c>
      <c r="E126" s="64">
        <f t="shared" si="4"/>
        <v>3070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4290</v>
      </c>
      <c r="E128" s="64">
        <f t="shared" si="4"/>
        <v>14180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TRUNC(12218,-1)</f>
        <v>12210</v>
      </c>
      <c r="E130" s="64">
        <f t="shared" si="4"/>
        <v>40360</v>
      </c>
    </row>
    <row r="131" spans="1:7" x14ac:dyDescent="0.3">
      <c r="A131" s="2">
        <v>10</v>
      </c>
      <c r="C131" s="38" t="s">
        <v>148</v>
      </c>
      <c r="D131" s="42">
        <f>TRUNC(24606,-1)</f>
        <v>24600</v>
      </c>
      <c r="E131" s="64">
        <f t="shared" si="4"/>
        <v>81320</v>
      </c>
    </row>
    <row r="132" spans="1:7" ht="17.25" thickBot="1" x14ac:dyDescent="0.35">
      <c r="A132" s="2">
        <v>11</v>
      </c>
      <c r="C132" s="38" t="s">
        <v>47</v>
      </c>
      <c r="D132" s="43">
        <f>TRUNC(1987+1978,-1)</f>
        <v>3960</v>
      </c>
      <c r="E132" s="65">
        <f t="shared" si="4"/>
        <v>13090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59260</v>
      </c>
      <c r="E133" s="39">
        <f>SUM(E122:E132)</f>
        <v>195880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TRUNC(45694,-1)</f>
        <v>45690</v>
      </c>
      <c r="E137" s="64">
        <f t="shared" si="5"/>
        <v>151040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TRUNC(4882,-1)</f>
        <v>4880</v>
      </c>
      <c r="E143" s="64">
        <f t="shared" si="5"/>
        <v>16130</v>
      </c>
    </row>
    <row r="144" spans="1:7" x14ac:dyDescent="0.3">
      <c r="A144" s="2">
        <v>9</v>
      </c>
      <c r="C144" s="38" t="s">
        <v>63</v>
      </c>
      <c r="D144" s="42">
        <f>TRUNC(964,-1)</f>
        <v>960</v>
      </c>
      <c r="E144" s="64">
        <f t="shared" si="5"/>
        <v>3170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51530</v>
      </c>
      <c r="E146" s="39">
        <f>SUM(E136:E145)</f>
        <v>170340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TRUNC(2190+4259,-1)</f>
        <v>6440</v>
      </c>
      <c r="E149" s="63">
        <f>TRUNC(+D149*3.3058,-1)</f>
        <v>21280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TRUNC(6378,-1)</f>
        <v>6370</v>
      </c>
      <c r="E150" s="64">
        <f>TRUNC(+D150*3.3058,-1)</f>
        <v>21050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f>TRUNC(19625,-1)</f>
        <v>19620</v>
      </c>
      <c r="E151" s="64">
        <f>TRUNC(+D151*3.3058,-1)</f>
        <v>64850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TRUNC(45+202+250,-1)</f>
        <v>490</v>
      </c>
      <c r="E152" s="64">
        <f>TRUNC(+D152*3.3058,-1)</f>
        <v>1610</v>
      </c>
      <c r="F152" s="58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32920</v>
      </c>
      <c r="E154" s="39">
        <f>SUM(E149:E153)</f>
        <v>108790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2020-12-07T10:00:07Z</dcterms:modified>
</cp:coreProperties>
</file>