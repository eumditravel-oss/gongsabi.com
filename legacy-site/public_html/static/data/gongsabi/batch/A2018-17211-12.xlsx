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1" i="4"/>
  <c r="D150" i="4"/>
  <c r="D149" i="4"/>
  <c r="D144" i="4"/>
  <c r="D143" i="4"/>
  <c r="D140" i="4"/>
  <c r="D139" i="4"/>
  <c r="D132" i="4"/>
  <c r="D130" i="4"/>
  <c r="D128" i="4"/>
  <c r="D127" i="4"/>
  <c r="D125" i="4"/>
  <c r="D122" i="4"/>
  <c r="D118" i="4"/>
  <c r="D116" i="4"/>
  <c r="D114" i="4"/>
  <c r="D105" i="4"/>
  <c r="D103" i="4"/>
  <c r="D102" i="4"/>
  <c r="D100" i="4"/>
  <c r="D99" i="4"/>
  <c r="D98" i="4"/>
  <c r="D92" i="4"/>
  <c r="D91" i="4"/>
  <c r="D73" i="4"/>
  <c r="D70" i="4"/>
  <c r="D69" i="4"/>
  <c r="D63" i="4"/>
  <c r="D58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<sst xmlns="http://schemas.openxmlformats.org/spreadsheetml/2006/main" count="391" uniqueCount="266">
  <si>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</si>
  <si>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</si>
  <si>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</si>
  <si>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</si>
  <si>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</si>
  <si>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</si>
  <si>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</si>
  <si>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</si>
  <si>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</si>
  <si>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</si>
  <si>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</si>
  <si>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</si>
  <si>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</si>
  <si>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</si>
  <si>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</si>
  <si>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</si>
  <si>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</si>
  <si>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</si>
  <si>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</si>
  <si>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</si>
  <si>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</si>
  <si>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</si>
  <si>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</si>
  <si>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</si>
  <si>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</si>
  <si>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</si>
  <si>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</si>
  <si>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</si>
  <si>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</si>
  <si>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</si>
  <si>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</si>
  <si>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</si>
  <si>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</si>
  <si>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</si>
  <si>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</si>
  <si>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</si>
  <si>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</si>
  <si>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</si>
  <si>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</si>
  <si>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</si>
  <si>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</si>
  <si>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</si>
  <si>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</si>
  <si>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</si>
  <si>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</si>
  <si>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</si>
  <si>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</si>
  <si>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</si>
  <si>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</si>
  <si>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</si>
  <si>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</si>
  <si>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</si>
  <si>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</si>
  <si>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</si>
  <si>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</si>
  <si>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</si>
  <si>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</si>
  <si>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</si>
  <si>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</si>
  <si>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</si>
  <si>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</si>
  <si>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</si>
  <si>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</si>
  <si>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</si>
  <si>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</si>
  <si>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</si>
  <si>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</si>
  <si>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</si>
  <si>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</si>
  <si>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</si>
  <si>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</si>
  <si>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</si>
  <si>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</si>
  <si>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</si>
  <si>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</si>
  <si>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</si>
  <si>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</si>
  <si>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</si>
  <si>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</si>
  <si>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</si>
  <si>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</si>
  <si>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</si>
  <si>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</si>
  <si>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</si>
  <si>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</si>
  <si>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</si>
  <si>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</si>
  <si>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</si>
  <si>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</si>
  <si>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</si>
  <si>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</si>
  <si>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</si>
  <si>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</si>
  <si>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</si>
  <si>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</si>
  <si>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</si>
  <si>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</si>
  <si>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</si>
  <si>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</si>
  <si>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</si>
  <si>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</si>
  <si>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</si>
  <si>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</si>
  <si>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</si>
  <si>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</si>
  <si>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</si>
  <si>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</si>
  <si>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</si>
  <si>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</si>
  <si>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</si>
  <si>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</si>
  <si>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</si>
  <si>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</si>
  <si>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</si>
  <si>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</si>
  <si>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</si>
  <si>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</si>
  <si>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</si>
  <si>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</si>
  <si>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</si>
  <si>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</si>
  <si>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</si>
  <si>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</si>
  <si>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</si>
  <si>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</si>
  <si>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</si>
  <si>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</si>
  <si>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</si>
  <si>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</si>
  <si>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</si>
  <si>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</si>
  <si>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</si>
  <si>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</si>
  <si>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</si>
  <si>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</si>
  <si>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</si>
  <si>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</si>
  <si>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</si>
  <si>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</si>
  <si>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</si>
  <si>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</si>
  <si>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</si>
  <si>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</si>
  <si>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</si>
  <si>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</si>
  <si>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</si>
  <si>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</si>
  <si>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</si>
  <si>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</si>
  <si>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</si>
  <si>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</si>
  <si>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</si>
  <si>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</si>
  <si>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</si>
  <si>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</si>
  <si>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</si>
  <si>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</si>
  <si>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</si>
  <si>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</si>
  <si>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</si>
  <si>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</si>
  <si>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</si>
  <si>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</si>
  <si>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</si>
  <si>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</si>
  <si>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</si>
  <si>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</si>
  <si>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</si>
  <si>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</si>
  <si>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</si>
  <si>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</si>
  <si>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</si>
  <si>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</si>
  <si>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</si>
  <si>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</si>
  <si>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</si>
  <si>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</si>
  <si>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</si>
  <si>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</si>
  <si>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</si>
  <si>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</si>
  <si>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</si>
  <si>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</si>
  <si>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</si>
  <si>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</si>
  <si>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</si>
  <si>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</si>
  <si>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</si>
  <si>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</si>
  <si>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</si>
  <si>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</si>
  <si>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</si>
  <si>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</si>
  <si>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</si>
  <si>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</si>
  <si>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</si>
  <si>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</si>
  <si>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</si>
  <si>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</si>
  <si>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</si>
  <si>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</si>
  <si>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</si>
  <si>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</si>
  <si>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</si>
  <si>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</si>
  <si>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</si>
  <si>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</si>
  <si>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</si>
  <si>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</si>
  <si>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</si>
  <si>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</si>
  <si>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</si>
  <si>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</si>
  <si>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</si>
  <si>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</si>
  <si>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</si>
  <si>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</si>
  <si>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</si>
  <si>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</si>
  <si>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</si>
  <si>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</si>
  <si>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</si>
  <si>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</si>
  <si>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</si>
  <si>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</si>
  <si>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</si>
  <si>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</si>
  <si>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</si>
  <si>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</si>
  <si>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</si>
  <si>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</si>
  <si>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</si>
  <si>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</si>
  <si>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</si>
  <si>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</si>
  <si>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</si>
  <si>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</si>
  <si>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</si>
  <si>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</si>
  <si>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</si>
  <si>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</si>
  <si>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</si>
  <si>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</si>
  <si>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</si>
  <si>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</si>
  <si>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</si>
  <si>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</si>
  <si>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</si>
  <si>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</si>
  <si>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충북청 항공대 격납고 건축공사(기계,토목,조경포함)</t>
    <phoneticPr fontId="2" type="noConversion"/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</si>
  <si>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</si>
  <si>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</si>
  <si>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</si>
  <si>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</si>
  <si>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폐기물처리비, 골재비및운반비, 작업부산물, 기타공사</t>
    <phoneticPr fontId="2" type="noConversion"/>
  </si>
  <si>
    <t>기타공사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</si>
  <si>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</si>
  <si>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</si>
  <si>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</si>
  <si>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</si>
  <si>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상수도공사, 사급자재비, 운반비,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</si>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</sst>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1904.32</v>
      </c>
      <c r="D7" s="36">
        <f>+C7/3.3058</f>
        <v>576.05420775606501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982970</v>
      </c>
      <c r="E25" s="59">
        <f t="shared" si="0"/>
        <v>3249500</v>
      </c>
    </row>
    <row r="26" spans="1:5" x14ac:dyDescent="0.3">
      <c r="B26" s="2">
        <v>3</v>
      </c>
      <c r="C26" s="35" t="s">
        <v>95</v>
      </c>
      <c r="D26" s="45">
        <f>+D66</f>
        <v>13270</v>
      </c>
      <c r="E26" s="59">
        <f t="shared" si="0"/>
        <v>43860</v>
      </c>
    </row>
    <row r="27" spans="1:5" x14ac:dyDescent="0.3">
      <c r="B27" s="2">
        <v>4</v>
      </c>
      <c r="C27" s="35" t="s">
        <v>96</v>
      </c>
      <c r="D27" s="45">
        <f>+D95</f>
        <v>54570</v>
      </c>
      <c r="E27" s="59">
        <f t="shared" si="0"/>
        <v>180390</v>
      </c>
    </row>
    <row r="28" spans="1:5" x14ac:dyDescent="0.3">
      <c r="B28" s="2">
        <v>5</v>
      </c>
      <c r="C28" s="35" t="s">
        <v>97</v>
      </c>
      <c r="D28" s="45">
        <f>+D119</f>
        <v>134100</v>
      </c>
      <c r="E28" s="59">
        <f t="shared" si="0"/>
        <v>443300</v>
      </c>
    </row>
    <row r="29" spans="1:5" x14ac:dyDescent="0.3">
      <c r="B29" s="2">
        <v>6</v>
      </c>
      <c r="C29" s="35" t="s">
        <v>98</v>
      </c>
      <c r="D29" s="45">
        <f>+D133</f>
        <v>38150</v>
      </c>
      <c r="E29" s="59">
        <f t="shared" si="0"/>
        <v>126110</v>
      </c>
    </row>
    <row r="30" spans="1:5" x14ac:dyDescent="0.3">
      <c r="B30" s="2">
        <v>7</v>
      </c>
      <c r="C30" s="35" t="s">
        <v>99</v>
      </c>
      <c r="D30" s="45">
        <f>+D146</f>
        <v>143880</v>
      </c>
      <c r="E30" s="59">
        <f t="shared" si="0"/>
        <v>475630</v>
      </c>
    </row>
    <row r="31" spans="1:5" x14ac:dyDescent="0.3">
      <c r="B31" s="2">
        <v>8</v>
      </c>
      <c r="C31" s="35" t="s">
        <v>100</v>
      </c>
      <c r="D31" s="45">
        <f>+D154</f>
        <v>136620</v>
      </c>
      <c r="E31" s="59">
        <f t="shared" si="0"/>
        <v>451630</v>
      </c>
    </row>
    <row r="32" spans="1:5" x14ac:dyDescent="0.3">
      <c r="B32" s="2">
        <v>9</v>
      </c>
      <c r="C32" s="35" t="s">
        <v>101</v>
      </c>
      <c r="D32" s="45">
        <f>+D161</f>
        <v>5140</v>
      </c>
      <c r="E32" s="59">
        <f t="shared" si="0"/>
        <v>16990</v>
      </c>
    </row>
    <row r="33" spans="1:7" x14ac:dyDescent="0.3">
      <c r="B33" s="2">
        <v>10</v>
      </c>
      <c r="C33" s="35" t="s">
        <v>154</v>
      </c>
      <c r="D33" s="53">
        <f>TRUNC(SUM(D24:D32)*0.275,-1)</f>
        <v>414890</v>
      </c>
      <c r="E33" s="60">
        <f t="shared" si="0"/>
        <v>1371540</v>
      </c>
    </row>
    <row r="34" spans="1:7" x14ac:dyDescent="0.3">
      <c r="C34" s="35" t="s">
        <v>112</v>
      </c>
      <c r="D34" s="44">
        <f>SUM(D24:D33)</f>
        <v>1923590</v>
      </c>
      <c r="E34" s="44">
        <f>SUM(E24:E33)</f>
        <v>6358950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TRUNC(58368,-1)</f>
        <v>58360</v>
      </c>
      <c r="E40" s="62">
        <f t="shared" ref="E40:E59" si="1">TRUNC(+D40*3.3058,-1)</f>
        <v>192920</v>
      </c>
    </row>
    <row r="41" spans="1:7" x14ac:dyDescent="0.3">
      <c r="A41" s="2">
        <v>2</v>
      </c>
      <c r="C41" s="38" t="s">
        <v>13</v>
      </c>
      <c r="D41" s="42">
        <f>TRUNC(96726,-1)</f>
        <v>96720</v>
      </c>
      <c r="E41" s="63">
        <f t="shared" si="1"/>
        <v>319730</v>
      </c>
    </row>
    <row r="42" spans="1:7" x14ac:dyDescent="0.3">
      <c r="A42" s="2">
        <v>3</v>
      </c>
      <c r="C42" s="38" t="s">
        <v>14</v>
      </c>
      <c r="D42" s="42">
        <f>TRUNC(403419,-1)</f>
        <v>403410</v>
      </c>
      <c r="E42" s="63">
        <f t="shared" si="1"/>
        <v>1333590</v>
      </c>
    </row>
    <row r="43" spans="1:7" x14ac:dyDescent="0.3">
      <c r="A43" s="2">
        <v>4</v>
      </c>
      <c r="C43" s="38" t="s">
        <v>16</v>
      </c>
      <c r="D43" s="42">
        <f>TRUNC(36847,-1)</f>
        <v>36840</v>
      </c>
      <c r="E43" s="63">
        <f t="shared" si="1"/>
        <v>121780</v>
      </c>
    </row>
    <row r="44" spans="1:7" x14ac:dyDescent="0.3">
      <c r="A44" s="2">
        <v>5</v>
      </c>
      <c r="C44" s="38" t="s">
        <v>17</v>
      </c>
      <c r="D44" s="42">
        <f>TRUNC(23094,-1)</f>
        <v>23090</v>
      </c>
      <c r="E44" s="63">
        <f t="shared" si="1"/>
        <v>76330</v>
      </c>
    </row>
    <row r="45" spans="1:7" x14ac:dyDescent="0.3">
      <c r="A45" s="2">
        <v>6</v>
      </c>
      <c r="C45" s="38" t="s">
        <v>18</v>
      </c>
      <c r="D45" s="42">
        <f>TRUNC(9066,-1)</f>
        <v>9060</v>
      </c>
      <c r="E45" s="63">
        <f t="shared" si="1"/>
        <v>29950</v>
      </c>
    </row>
    <row r="46" spans="1:7" x14ac:dyDescent="0.3">
      <c r="A46" s="2">
        <v>7</v>
      </c>
      <c r="C46" s="38" t="s">
        <v>19</v>
      </c>
      <c r="D46" s="42">
        <f>TRUNC(928,-1)</f>
        <v>920</v>
      </c>
      <c r="E46" s="63">
        <f t="shared" si="1"/>
        <v>3040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TRUNC(45296,-1)</f>
        <v>45290</v>
      </c>
      <c r="E48" s="63">
        <f t="shared" si="1"/>
        <v>149710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TRUNC(16762,-1)</f>
        <v>16760</v>
      </c>
      <c r="E49" s="63">
        <f t="shared" si="1"/>
        <v>55400</v>
      </c>
    </row>
    <row r="50" spans="1:7" x14ac:dyDescent="0.3">
      <c r="A50" s="2">
        <v>11</v>
      </c>
      <c r="C50" s="38" t="s">
        <v>155</v>
      </c>
      <c r="D50" s="42">
        <f>TRUNC(138099,-1)</f>
        <v>138090</v>
      </c>
      <c r="E50" s="63">
        <f t="shared" si="1"/>
        <v>456490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TRUNC(27497,-1)</f>
        <v>27490</v>
      </c>
      <c r="E52" s="63">
        <f t="shared" si="1"/>
        <v>90870</v>
      </c>
    </row>
    <row r="53" spans="1:7" x14ac:dyDescent="0.3">
      <c r="A53" s="2">
        <v>14</v>
      </c>
      <c r="C53" s="38" t="s">
        <v>25</v>
      </c>
      <c r="D53" s="42">
        <v>51810</v>
      </c>
      <c r="E53" s="63">
        <f t="shared" si="1"/>
        <v>171270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TRUNC(46812+951+6718-3529+24182,-1)</f>
        <v>75130</v>
      </c>
      <c r="E58" s="63">
        <f t="shared" si="1"/>
        <v>248360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982970</v>
      </c>
      <c r="E60" s="39">
        <f>SUM(E40:E59)</f>
        <v>3249440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TRUNC(13274,-1)</f>
        <v>13270</v>
      </c>
      <c r="E63" s="62">
        <f>TRUNC(+D63*3.3058,-1)</f>
        <v>43860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13270</v>
      </c>
      <c r="E66" s="65">
        <f>SUM(E63:E65)</f>
        <v>43860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TRUNC(19059,-1)</f>
        <v>19050</v>
      </c>
      <c r="E69" s="62">
        <f t="shared" ref="E69:E94" si="2">TRUNC(+D69*3.3058,-1)</f>
        <v>62970</v>
      </c>
    </row>
    <row r="70" spans="1:7" ht="16.5" customHeight="1" x14ac:dyDescent="0.3">
      <c r="A70" s="2">
        <v>2</v>
      </c>
      <c r="C70" s="38" t="s">
        <v>31</v>
      </c>
      <c r="D70" s="42">
        <f>TRUNC(2742,-1)</f>
        <v>2740</v>
      </c>
      <c r="E70" s="63">
        <f t="shared" si="2"/>
        <v>9050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TRUNC(12352,-1)</f>
        <v>12350</v>
      </c>
      <c r="E73" s="63">
        <f t="shared" si="2"/>
        <v>40820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6210</v>
      </c>
      <c r="E89" s="63">
        <f t="shared" si="2"/>
        <v>20520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TRUNC(3862,-1)</f>
        <v>3860</v>
      </c>
      <c r="E91" s="63">
        <f t="shared" si="2"/>
        <v>12760</v>
      </c>
    </row>
    <row r="92" spans="1:7" x14ac:dyDescent="0.3">
      <c r="A92" s="2">
        <v>24</v>
      </c>
      <c r="C92" s="38" t="s">
        <v>38</v>
      </c>
      <c r="D92" s="42">
        <f>TRUNC(5554,-1)</f>
        <v>5550</v>
      </c>
      <c r="E92" s="63">
        <f t="shared" si="2"/>
        <v>18340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4810</v>
      </c>
      <c r="E94" s="64">
        <f t="shared" si="2"/>
        <v>15900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54570</v>
      </c>
      <c r="E95" s="39">
        <f>SUM(E69:E94)</f>
        <v>180360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TRUNC(22833,-1)</f>
        <v>22830</v>
      </c>
      <c r="E98" s="62">
        <f t="shared" ref="E98:E118" si="3">TRUNC(+D98*3.3058,-1)</f>
        <v>75470</v>
      </c>
    </row>
    <row r="99" spans="1:7" x14ac:dyDescent="0.3">
      <c r="A99" s="2">
        <v>2</v>
      </c>
      <c r="C99" s="38" t="s">
        <v>40</v>
      </c>
      <c r="D99" s="42">
        <f>TRUNC(20466,-1)</f>
        <v>20460</v>
      </c>
      <c r="E99" s="63">
        <f t="shared" si="3"/>
        <v>67630</v>
      </c>
    </row>
    <row r="100" spans="1:7" x14ac:dyDescent="0.3">
      <c r="A100" s="2">
        <v>3</v>
      </c>
      <c r="C100" s="38" t="s">
        <v>41</v>
      </c>
      <c r="D100" s="42">
        <f>TRUNC(28577,-1)</f>
        <v>28570</v>
      </c>
      <c r="E100" s="63">
        <f t="shared" si="3"/>
        <v>94440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TRUNC(9306,-1)</f>
        <v>9300</v>
      </c>
      <c r="E102" s="63">
        <f t="shared" si="3"/>
        <v>30740</v>
      </c>
    </row>
    <row r="103" spans="1:7" x14ac:dyDescent="0.3">
      <c r="A103" s="2">
        <v>6</v>
      </c>
      <c r="C103" s="38" t="s">
        <v>44</v>
      </c>
      <c r="D103" s="42">
        <f>TRUNC(6398,-1)</f>
        <v>6390</v>
      </c>
      <c r="E103" s="63">
        <f t="shared" si="3"/>
        <v>21120</v>
      </c>
    </row>
    <row r="104" spans="1:7" x14ac:dyDescent="0.3">
      <c r="A104" s="2">
        <v>7</v>
      </c>
      <c r="C104" s="38" t="s">
        <v>45</v>
      </c>
      <c r="D104" s="42">
        <v>11600</v>
      </c>
      <c r="E104" s="63">
        <f t="shared" si="3"/>
        <v>38340</v>
      </c>
    </row>
    <row r="105" spans="1:7" x14ac:dyDescent="0.3">
      <c r="A105" s="2">
        <v>8</v>
      </c>
      <c r="C105" s="38" t="s">
        <v>46</v>
      </c>
      <c r="D105" s="42">
        <f>TRUNC(14497,-1)</f>
        <v>14490</v>
      </c>
      <c r="E105" s="63">
        <f t="shared" si="3"/>
        <v>47900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TRUNC(6012,-1)</f>
        <v>6010</v>
      </c>
      <c r="E114" s="63">
        <f t="shared" si="3"/>
        <v>19860</v>
      </c>
      <c r="F114" s="2" t="s">
        <v>257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TRUNC(12055,-1)</f>
        <v>12050</v>
      </c>
      <c r="E116" s="63">
        <f t="shared" si="3"/>
        <v>39830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TRUNC(2403,-1)</f>
        <v>2400</v>
      </c>
      <c r="E118" s="64">
        <f t="shared" si="3"/>
        <v>7930</v>
      </c>
    </row>
    <row r="119" spans="1:7" x14ac:dyDescent="0.3">
      <c r="A119" s="2">
        <v>22</v>
      </c>
      <c r="C119" s="27" t="s">
        <v>112</v>
      </c>
      <c r="D119" s="39">
        <f>SUM(D98:D118)</f>
        <v>134100</v>
      </c>
      <c r="E119" s="39">
        <f>SUM(E98:E118)</f>
        <v>443260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TRUNC(6684,-1)</f>
        <v>6680</v>
      </c>
      <c r="E122" s="62">
        <f t="shared" ref="E122:E132" si="4">TRUNC(+D122*3.3058,-1)</f>
        <v>22080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TRUNC(7201,-1)</f>
        <v>7200</v>
      </c>
      <c r="E125" s="63">
        <f t="shared" si="4"/>
        <v>23800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TRUNC(5527,-1)</f>
        <v>5520</v>
      </c>
      <c r="E127" s="63">
        <f t="shared" si="4"/>
        <v>18240</v>
      </c>
    </row>
    <row r="128" spans="1:7" x14ac:dyDescent="0.3">
      <c r="A128" s="2">
        <v>7</v>
      </c>
      <c r="C128" s="38" t="s">
        <v>46</v>
      </c>
      <c r="D128" s="42">
        <f>TRUNC(2232,-1)</f>
        <v>2230</v>
      </c>
      <c r="E128" s="63">
        <f t="shared" si="4"/>
        <v>7370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TRUNC(10493,-1)</f>
        <v>10490</v>
      </c>
      <c r="E130" s="63">
        <f t="shared" si="4"/>
        <v>34670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TRUNC(6039,-1)</f>
        <v>6030</v>
      </c>
      <c r="E132" s="64">
        <f t="shared" si="4"/>
        <v>19930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38150</v>
      </c>
      <c r="E133" s="39">
        <f>SUM(E122:E132)</f>
        <v>126090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TRUNC(5878,-1)</f>
        <v>5870</v>
      </c>
      <c r="E139" s="63">
        <f t="shared" si="5"/>
        <v>19400</v>
      </c>
    </row>
    <row r="140" spans="1:7" x14ac:dyDescent="0.3">
      <c r="A140" s="2">
        <v>5</v>
      </c>
      <c r="C140" s="38" t="s">
        <v>57</v>
      </c>
      <c r="D140" s="42">
        <f>TRUNC(59296,-1)</f>
        <v>59290</v>
      </c>
      <c r="E140" s="63">
        <f t="shared" si="5"/>
        <v>196000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48200</v>
      </c>
      <c r="E142" s="63">
        <f t="shared" si="5"/>
        <v>159330</v>
      </c>
    </row>
    <row r="143" spans="1:7" x14ac:dyDescent="0.3">
      <c r="A143" s="2">
        <v>8</v>
      </c>
      <c r="C143" s="38" t="s">
        <v>62</v>
      </c>
      <c r="D143" s="42">
        <f>TRUNC(3786,-1)</f>
        <v>3780</v>
      </c>
      <c r="E143" s="63">
        <f t="shared" si="5"/>
        <v>12490</v>
      </c>
    </row>
    <row r="144" spans="1:7" x14ac:dyDescent="0.3">
      <c r="A144" s="2">
        <v>9</v>
      </c>
      <c r="C144" s="38" t="s">
        <v>63</v>
      </c>
      <c r="D144" s="42">
        <f>TRUNC(26743,-1)</f>
        <v>26740</v>
      </c>
      <c r="E144" s="63">
        <f t="shared" si="5"/>
        <v>88390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143880</v>
      </c>
      <c r="E146" s="39">
        <f>SUM(E136:E145)</f>
        <v>475610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TRUNC(32307+7159,-1)</f>
        <v>39460</v>
      </c>
      <c r="E149" s="62">
        <f>TRUNC(+D149*3.3058,-1)</f>
        <v>130440</v>
      </c>
    </row>
    <row r="150" spans="1:7" x14ac:dyDescent="0.3">
      <c r="A150" s="2">
        <v>2</v>
      </c>
      <c r="C150" s="38" t="s">
        <v>49</v>
      </c>
      <c r="D150" s="42">
        <f>TRUNC(22702,-1)</f>
        <v>22700</v>
      </c>
      <c r="E150" s="63">
        <f>TRUNC(+D150*3.3058,-1)</f>
        <v>75040</v>
      </c>
    </row>
    <row r="151" spans="1:7" x14ac:dyDescent="0.3">
      <c r="A151" s="2">
        <v>3</v>
      </c>
      <c r="C151" s="38" t="s">
        <v>50</v>
      </c>
      <c r="D151" s="42">
        <f>TRUNC(52411,-1)</f>
        <v>52410</v>
      </c>
      <c r="E151" s="63">
        <f>TRUNC(+D151*3.3058,-1)</f>
        <v>173250</v>
      </c>
    </row>
    <row r="152" spans="1:7" x14ac:dyDescent="0.3">
      <c r="A152" s="2">
        <v>4</v>
      </c>
      <c r="C152" s="38" t="s">
        <v>47</v>
      </c>
      <c r="D152" s="42">
        <f>TRUNC(2210+17493+2019+333,-1)</f>
        <v>22050</v>
      </c>
      <c r="E152" s="63">
        <f>TRUNC(+D152*3.3058,-1)</f>
        <v>72890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136620</v>
      </c>
      <c r="E154" s="39">
        <f>SUM(E149:E153)</f>
        <v>451620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5140</v>
      </c>
      <c r="E157" s="62">
        <f>TRUNC(+D157*3.3058,-1)</f>
        <v>16990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5140</v>
      </c>
      <c r="E161" s="39">
        <f>SUM(E157:E160)</f>
        <v>16990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2020-12-08T04:05:27Z</dcterms:modified>
</cp:coreProperties>
</file>