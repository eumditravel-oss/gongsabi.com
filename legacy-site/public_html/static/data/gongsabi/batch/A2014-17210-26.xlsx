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9" i="4" l="1"/>
  <c r="D94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30" i="4"/>
  <c r="E129" i="4"/>
  <c r="E127" i="4"/>
  <c r="E126" i="4"/>
  <c r="E123" i="4"/>
  <c r="E117" i="4"/>
  <c r="E116" i="4"/>
  <c r="E115" i="4"/>
  <c r="E114" i="4"/>
  <c r="E113" i="4"/>
  <c r="E112" i="4"/>
  <c r="E111" i="4"/>
  <c r="E110" i="4"/>
  <c r="E109" i="4"/>
  <c r="E107" i="4"/>
  <c r="E106" i="4"/>
  <c r="E103" i="4"/>
  <c r="E101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65" i="4"/>
  <c r="E64" i="4"/>
  <c r="E63" i="4"/>
  <c r="E66" i="4" s="1"/>
  <c r="E59" i="4"/>
  <c r="E57" i="4"/>
  <c r="E56" i="4"/>
  <c r="E54" i="4"/>
  <c r="E47" i="4"/>
  <c r="D132" i="4" l="1"/>
  <c r="E132" i="4" s="1"/>
  <c r="D128" i="4"/>
  <c r="E128" i="4" s="1"/>
  <c r="D125" i="4"/>
  <c r="E125" i="4" s="1"/>
  <c r="D124" i="4"/>
  <c r="E124" i="4" s="1"/>
  <c r="D122" i="4"/>
  <c r="E122" i="4" s="1"/>
  <c r="E133" i="4" s="1"/>
  <c r="D118" i="4"/>
  <c r="E118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E119" i="4" s="1"/>
  <c r="D74" i="4"/>
  <c r="E74" i="4" s="1"/>
  <c r="D72" i="4"/>
  <c r="E72" i="4" s="1"/>
  <c r="D71" i="4"/>
  <c r="E71" i="4" s="1"/>
  <c r="D70" i="4"/>
  <c r="E70" i="4" s="1"/>
  <c r="D69" i="4"/>
  <c r="E69" i="4" s="1"/>
  <c r="E95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D137" i="4"/>
  <c r="E137" i="4" s="1"/>
  <c r="E146" i="4" s="1"/>
  <c r="D152" i="4"/>
  <c r="E152" i="4" s="1"/>
  <c r="E154" i="4" s="1"/>
  <c r="D161" i="4" l="1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<sst xmlns="http://schemas.openxmlformats.org/spreadsheetml/2006/main" count="388" uniqueCount="264">
  <si>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</si>
  <si>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</si>
  <si>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</si>
  <si>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</si>
  <si>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</si>
  <si>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</si>
  <si>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</si>
  <si>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</si>
  <si>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</si>
  <si>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</si>
  <si>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</si>
  <si>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</si>
  <si>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</si>
  <si>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</si>
  <si>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</si>
  <si>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</si>
  <si>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</si>
  <si>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</si>
  <si>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</si>
  <si>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</si>
  <si>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</si>
  <si>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</si>
  <si>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</si>
  <si>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</si>
  <si>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</si>
  <si>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</si>
  <si>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</si>
  <si>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</si>
  <si>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</si>
  <si>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</si>
  <si>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</si>
  <si>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</si>
  <si>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</si>
  <si>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</si>
  <si>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</si>
  <si>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</si>
  <si>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</si>
  <si>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</si>
  <si>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</si>
  <si>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</si>
  <si>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</si>
  <si>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</si>
  <si>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</si>
  <si>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</si>
  <si>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</si>
  <si>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</si>
  <si>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</si>
  <si>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</si>
  <si>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</si>
  <si>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</si>
  <si>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</si>
  <si>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</si>
  <si>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</si>
  <si>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</si>
  <si>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</si>
  <si>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</si>
  <si>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</si>
  <si>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</si>
  <si>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</si>
  <si>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</si>
  <si>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</si>
  <si>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</si>
  <si>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</si>
  <si>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</si>
  <si>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</si>
  <si>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</si>
  <si>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</si>
  <si>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</si>
  <si>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</si>
  <si>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</si>
  <si>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</si>
  <si>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</si>
  <si>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</si>
  <si>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</si>
  <si>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</si>
  <si>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</si>
  <si>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</si>
  <si>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</si>
  <si>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</si>
  <si>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</si>
  <si>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</si>
  <si>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</si>
  <si>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</si>
  <si>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</si>
  <si>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</si>
  <si>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</si>
  <si>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</si>
  <si>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</si>
  <si>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</si>
  <si>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</si>
  <si>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</si>
  <si>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</si>
  <si>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</si>
  <si>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</si>
  <si>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</si>
  <si>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</si>
  <si>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</si>
  <si>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</si>
  <si>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</si>
  <si>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</si>
  <si>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</si>
  <si>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</si>
  <si>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</si>
  <si>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</si>
  <si>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</si>
  <si>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</si>
  <si>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</si>
  <si>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</si>
  <si>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</si>
  <si>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</si>
  <si>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</si>
  <si>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</si>
  <si>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</si>
  <si>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</si>
  <si>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</si>
  <si>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</si>
  <si>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</si>
  <si>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</si>
  <si>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</si>
  <si>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</si>
  <si>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</si>
  <si>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</si>
  <si>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</si>
  <si>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</si>
  <si>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</si>
  <si>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</si>
  <si>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</si>
  <si>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</si>
  <si>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</si>
  <si>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</si>
  <si>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</si>
  <si>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</si>
  <si>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</si>
  <si>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</si>
  <si>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</si>
  <si>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</si>
  <si>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</si>
  <si>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</si>
  <si>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</si>
  <si>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</si>
  <si>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</si>
  <si>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</si>
  <si>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</si>
  <si>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</si>
  <si>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</si>
  <si>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</si>
  <si>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</si>
  <si>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</si>
  <si>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</si>
  <si>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</si>
  <si>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</si>
  <si>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</si>
  <si>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</si>
  <si>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</si>
  <si>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</si>
  <si>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</si>
  <si>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</si>
  <si>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</si>
  <si>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</si>
  <si>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</si>
  <si>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</si>
  <si>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</si>
  <si>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</si>
  <si>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</si>
  <si>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</si>
  <si>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</si>
  <si>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</si>
  <si>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</si>
  <si>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</si>
  <si>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</si>
  <si>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</si>
  <si>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</si>
  <si>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</si>
  <si>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</si>
  <si>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</si>
  <si>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</si>
  <si>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</si>
  <si>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</si>
  <si>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</si>
  <si>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</si>
  <si>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</si>
  <si>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</si>
  <si>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</si>
  <si>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</si>
  <si>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</si>
  <si>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</si>
  <si>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</si>
  <si>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</si>
  <si>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</si>
  <si>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</si>
  <si>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</si>
  <si>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</si>
  <si>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</si>
  <si>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</si>
  <si>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</si>
  <si>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</si>
  <si>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</si>
  <si>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</si>
  <si>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</si>
  <si>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</si>
  <si>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</si>
  <si>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</si>
  <si>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</si>
  <si>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</si>
  <si>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</si>
  <si>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</si>
  <si>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</si>
  <si>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</si>
  <si>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</si>
  <si>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</si>
  <si>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</si>
  <si>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</si>
  <si>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</si>
  <si>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</si>
  <si>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</si>
  <si>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</si>
  <si>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</si>
  <si>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</si>
  <si>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</si>
  <si>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</si>
  <si>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</si>
  <si>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</si>
  <si>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</si>
  <si>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</si>
  <si>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</si>
  <si>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</si>
  <si>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</si>
  <si>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</si>
  <si>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</si>
  <si>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</si>
  <si>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</si>
  <si>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</si>
  <si>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</si>
  <si>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</si>
  <si>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</si>
  <si>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</si>
  <si>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</si>
  <si>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</si>
  <si>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</si>
  <si>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</si>
  <si>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</si>
  <si>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</si>
  <si>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</si>
  <si>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</si>
  <si>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</si>
  <si>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</si>
  <si>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</si>
  <si>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</si>
  <si>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0000임상교육 연수원 신축공사</t>
    <phoneticPr fontId="2" type="noConversion"/>
  </si>
  <si>
    <t>기타</t>
  </si>
  <si>
    <t>강원도</t>
  </si>
  <si>
    <t>골재비,기타공사,운반비,철거공사,토및지정공사,토공사(건축+토목),판넬공사</t>
    <phoneticPr fontId="2" type="noConversion"/>
  </si>
  <si>
    <t>의료가스공사</t>
    <phoneticPr fontId="2" type="noConversion"/>
  </si>
  <si>
    <t>태양광설비공사,옥외외등설비공사</t>
    <phoneticPr fontId="2" type="noConversion"/>
  </si>
  <si>
    <t>정보통신설비공사,CCTV설비공사</t>
    <phoneticPr fontId="2" type="noConversion"/>
  </si>
  <si>
    <t>원 /평</t>
    <phoneticPr fontId="2" type="noConversion"/>
  </si>
  <si>
    <t>전기 소방공사</t>
    <phoneticPr fontId="2" type="noConversion"/>
  </si>
  <si>
    <t>위생배관공사,크린룸설치공사,안개시스템공사,차량소독기공사</t>
    <phoneticPr fontId="2" type="noConversion"/>
  </si>
  <si>
    <t>환기덕트설치공사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</si>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</sst>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2201</v>
      </c>
      <c r="D7" s="36">
        <f>+C7/3.3058</f>
        <v>665.79950390223246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1970</v>
      </c>
      <c r="E24" s="58">
        <f t="shared" ref="E24:E33" si="0">TRUNC(+D24*3.3058,-1)</f>
        <v>6510</v>
      </c>
    </row>
    <row r="25" spans="1:5" x14ac:dyDescent="0.3">
      <c r="B25" s="2">
        <v>2</v>
      </c>
      <c r="C25" s="35" t="s">
        <v>111</v>
      </c>
      <c r="D25" s="45">
        <f>+D60</f>
        <v>756920</v>
      </c>
      <c r="E25" s="59">
        <f t="shared" si="0"/>
        <v>2502220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183800</v>
      </c>
      <c r="E27" s="59">
        <f t="shared" si="0"/>
        <v>607600</v>
      </c>
    </row>
    <row r="28" spans="1:5" x14ac:dyDescent="0.3">
      <c r="B28" s="2">
        <v>5</v>
      </c>
      <c r="C28" s="35" t="s">
        <v>97</v>
      </c>
      <c r="D28" s="45">
        <f>+D119</f>
        <v>71050</v>
      </c>
      <c r="E28" s="59">
        <f t="shared" si="0"/>
        <v>234870</v>
      </c>
    </row>
    <row r="29" spans="1:5" x14ac:dyDescent="0.3">
      <c r="B29" s="2">
        <v>6</v>
      </c>
      <c r="C29" s="35" t="s">
        <v>98</v>
      </c>
      <c r="D29" s="45">
        <f>+D133</f>
        <v>44400</v>
      </c>
      <c r="E29" s="59">
        <f t="shared" si="0"/>
        <v>146770</v>
      </c>
    </row>
    <row r="30" spans="1:5" x14ac:dyDescent="0.3">
      <c r="B30" s="2">
        <v>7</v>
      </c>
      <c r="C30" s="35" t="s">
        <v>99</v>
      </c>
      <c r="D30" s="45">
        <f>+D146</f>
        <v>9680</v>
      </c>
      <c r="E30" s="59">
        <f t="shared" si="0"/>
        <v>32000</v>
      </c>
    </row>
    <row r="31" spans="1:5" x14ac:dyDescent="0.3">
      <c r="B31" s="2">
        <v>8</v>
      </c>
      <c r="C31" s="35" t="s">
        <v>100</v>
      </c>
      <c r="D31" s="45">
        <f>+D154</f>
        <v>43430</v>
      </c>
      <c r="E31" s="59">
        <f t="shared" si="0"/>
        <v>143570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305590</v>
      </c>
      <c r="E33" s="60">
        <f t="shared" si="0"/>
        <v>1010210</v>
      </c>
    </row>
    <row r="34" spans="1:7" x14ac:dyDescent="0.3">
      <c r="C34" s="35" t="s">
        <v>112</v>
      </c>
      <c r="D34" s="44">
        <f>SUM(D24:D33)</f>
        <v>1416840</v>
      </c>
      <c r="E34" s="44">
        <f>SUM(E24:E33)</f>
        <v>4683750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255</v>
      </c>
      <c r="G36" s="55"/>
    </row>
    <row r="37" spans="1:7" ht="17.25" thickBot="1" x14ac:dyDescent="0.35">
      <c r="C37" s="38" t="s">
        <v>143</v>
      </c>
      <c r="D37" s="52">
        <f>TRUNC(1975,-1)</f>
        <v>1970</v>
      </c>
      <c r="E37" s="61">
        <f>TRUNC(+D37*3.3058,-1)</f>
        <v>6510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TRUNC(47893,-1)</f>
        <v>47890</v>
      </c>
      <c r="E40" s="62">
        <f t="shared" ref="E40:E59" si="1">TRUNC(+D40*3.3058,-1)</f>
        <v>158310</v>
      </c>
    </row>
    <row r="41" spans="1:7" x14ac:dyDescent="0.3">
      <c r="A41" s="2">
        <v>2</v>
      </c>
      <c r="C41" s="38" t="s">
        <v>13</v>
      </c>
      <c r="D41" s="42">
        <f>TRUNC(122121,-1)</f>
        <v>122120</v>
      </c>
      <c r="E41" s="63">
        <f t="shared" si="1"/>
        <v>403700</v>
      </c>
    </row>
    <row r="42" spans="1:7" x14ac:dyDescent="0.3">
      <c r="A42" s="2">
        <v>3</v>
      </c>
      <c r="C42" s="38" t="s">
        <v>14</v>
      </c>
      <c r="D42" s="42">
        <f>TRUNC(47512,-1)</f>
        <v>47510</v>
      </c>
      <c r="E42" s="63">
        <f t="shared" si="1"/>
        <v>157050</v>
      </c>
    </row>
    <row r="43" spans="1:7" x14ac:dyDescent="0.3">
      <c r="A43" s="2">
        <v>4</v>
      </c>
      <c r="C43" s="38" t="s">
        <v>16</v>
      </c>
      <c r="D43" s="42">
        <f>TRUNC(64397,-1)</f>
        <v>64390</v>
      </c>
      <c r="E43" s="63">
        <f t="shared" si="1"/>
        <v>212860</v>
      </c>
    </row>
    <row r="44" spans="1:7" x14ac:dyDescent="0.3">
      <c r="A44" s="2">
        <v>5</v>
      </c>
      <c r="C44" s="38" t="s">
        <v>17</v>
      </c>
      <c r="D44" s="42">
        <f>TRUNC(40740,-1)</f>
        <v>40740</v>
      </c>
      <c r="E44" s="63">
        <f t="shared" si="1"/>
        <v>134670</v>
      </c>
    </row>
    <row r="45" spans="1:7" x14ac:dyDescent="0.3">
      <c r="A45" s="2">
        <v>6</v>
      </c>
      <c r="C45" s="38" t="s">
        <v>18</v>
      </c>
      <c r="D45" s="42">
        <f>TRUNC(10203,-1)</f>
        <v>10200</v>
      </c>
      <c r="E45" s="63">
        <f t="shared" si="1"/>
        <v>33710</v>
      </c>
    </row>
    <row r="46" spans="1:7" x14ac:dyDescent="0.3">
      <c r="A46" s="2">
        <v>7</v>
      </c>
      <c r="C46" s="38" t="s">
        <v>19</v>
      </c>
      <c r="D46" s="42">
        <f>TRUNC(13871,-1)</f>
        <v>13870</v>
      </c>
      <c r="E46" s="63">
        <f t="shared" si="1"/>
        <v>45850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TRUNC(58436,-1)</f>
        <v>58430</v>
      </c>
      <c r="E48" s="63">
        <f t="shared" si="1"/>
        <v>193150</v>
      </c>
    </row>
    <row r="49" spans="1:7" x14ac:dyDescent="0.3">
      <c r="A49" s="2">
        <v>10</v>
      </c>
      <c r="C49" s="38" t="s">
        <v>22</v>
      </c>
      <c r="D49" s="42">
        <f>TRUNC(24309,-1)</f>
        <v>24300</v>
      </c>
      <c r="E49" s="63">
        <f t="shared" si="1"/>
        <v>80330</v>
      </c>
    </row>
    <row r="50" spans="1:7" x14ac:dyDescent="0.3">
      <c r="A50" s="2">
        <v>11</v>
      </c>
      <c r="C50" s="38" t="s">
        <v>155</v>
      </c>
      <c r="D50" s="42">
        <f>TRUNC(124937,-1)</f>
        <v>124930</v>
      </c>
      <c r="E50" s="63">
        <f t="shared" si="1"/>
        <v>412990</v>
      </c>
    </row>
    <row r="51" spans="1:7" x14ac:dyDescent="0.3">
      <c r="A51" s="2">
        <v>12</v>
      </c>
      <c r="C51" s="38" t="s">
        <v>23</v>
      </c>
      <c r="D51" s="42">
        <f>TRUNC(21484,-1)</f>
        <v>21480</v>
      </c>
      <c r="E51" s="63">
        <f t="shared" si="1"/>
        <v>71000</v>
      </c>
    </row>
    <row r="52" spans="1:7" x14ac:dyDescent="0.3">
      <c r="A52" s="2">
        <v>13</v>
      </c>
      <c r="C52" s="38" t="s">
        <v>24</v>
      </c>
      <c r="D52" s="42">
        <f>TRUNC(17910,-1)</f>
        <v>17910</v>
      </c>
      <c r="E52" s="63">
        <f t="shared" si="1"/>
        <v>59200</v>
      </c>
    </row>
    <row r="53" spans="1:7" x14ac:dyDescent="0.3">
      <c r="A53" s="2">
        <v>14</v>
      </c>
      <c r="C53" s="38" t="s">
        <v>25</v>
      </c>
      <c r="D53" s="42">
        <f>TRUNC(119473,-1)</f>
        <v>119470</v>
      </c>
      <c r="E53" s="63">
        <f t="shared" si="1"/>
        <v>394940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TRUNC(5232,-1)</f>
        <v>5230</v>
      </c>
      <c r="E55" s="63">
        <f t="shared" si="1"/>
        <v>17280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TRUNC(5384+13952+3101+152+328+12573+2965,-1)</f>
        <v>38450</v>
      </c>
      <c r="E58" s="63">
        <f t="shared" si="1"/>
        <v>127100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756920</v>
      </c>
      <c r="E60" s="39">
        <f>SUM(E40:E59)</f>
        <v>2502140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TRUNC(22429,-1)</f>
        <v>22420</v>
      </c>
      <c r="E69" s="62">
        <f t="shared" ref="E69:E94" si="2">TRUNC(+D69*3.3058,-1)</f>
        <v>74110</v>
      </c>
    </row>
    <row r="70" spans="1:7" ht="16.5" customHeight="1" x14ac:dyDescent="0.3">
      <c r="A70" s="2">
        <v>2</v>
      </c>
      <c r="C70" s="38" t="s">
        <v>31</v>
      </c>
      <c r="D70" s="42">
        <f>TRUNC(7753,-1)</f>
        <v>7750</v>
      </c>
      <c r="E70" s="63">
        <f t="shared" si="2"/>
        <v>25610</v>
      </c>
    </row>
    <row r="71" spans="1:7" x14ac:dyDescent="0.3">
      <c r="A71" s="2">
        <v>3</v>
      </c>
      <c r="C71" s="38" t="s">
        <v>32</v>
      </c>
      <c r="D71" s="42">
        <f>TRUNC(7824,-1)</f>
        <v>7820</v>
      </c>
      <c r="E71" s="63">
        <f t="shared" si="2"/>
        <v>25850</v>
      </c>
    </row>
    <row r="72" spans="1:7" x14ac:dyDescent="0.3">
      <c r="A72" s="2">
        <v>4</v>
      </c>
      <c r="C72" s="38" t="s">
        <v>33</v>
      </c>
      <c r="D72" s="42">
        <f>TRUNC(5501,-1)</f>
        <v>5500</v>
      </c>
      <c r="E72" s="63">
        <f t="shared" si="2"/>
        <v>18180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TRUNC(12355,-1)</f>
        <v>12350</v>
      </c>
      <c r="E74" s="63">
        <f t="shared" si="2"/>
        <v>40820</v>
      </c>
      <c r="F74" s="2" t="s">
        <v>252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TRUNC(6311,-1)</f>
        <v>6310</v>
      </c>
      <c r="E79" s="63">
        <f t="shared" si="2"/>
        <v>20850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TRUNC(29298+88196+1432+2725,-1)</f>
        <v>121650</v>
      </c>
      <c r="E94" s="64">
        <f t="shared" si="2"/>
        <v>402150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183800</v>
      </c>
      <c r="E95" s="39">
        <f>SUM(E69:E94)</f>
        <v>607570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TRUNC(18649,-1)</f>
        <v>18640</v>
      </c>
      <c r="E98" s="62">
        <f t="shared" ref="E98:E118" si="3">TRUNC(+D98*3.3058,-1)</f>
        <v>61620</v>
      </c>
    </row>
    <row r="99" spans="1:7" x14ac:dyDescent="0.3">
      <c r="A99" s="2">
        <v>2</v>
      </c>
      <c r="C99" s="38" t="s">
        <v>40</v>
      </c>
      <c r="D99" s="42">
        <f>TRUNC(1109,-1)</f>
        <v>1100</v>
      </c>
      <c r="E99" s="63">
        <f t="shared" si="3"/>
        <v>3630</v>
      </c>
    </row>
    <row r="100" spans="1:7" x14ac:dyDescent="0.3">
      <c r="A100" s="2">
        <v>3</v>
      </c>
      <c r="C100" s="38" t="s">
        <v>41</v>
      </c>
      <c r="D100" s="42">
        <f>TRUNC(20770+1750,-1)</f>
        <v>22520</v>
      </c>
      <c r="E100" s="63">
        <f t="shared" si="3"/>
        <v>74440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TRUNC(10172+1763,-1)</f>
        <v>11930</v>
      </c>
      <c r="E102" s="63">
        <f t="shared" si="3"/>
        <v>39430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TRUNC(563,-1)</f>
        <v>560</v>
      </c>
      <c r="E104" s="63">
        <f t="shared" si="3"/>
        <v>1850</v>
      </c>
    </row>
    <row r="105" spans="1:7" x14ac:dyDescent="0.3">
      <c r="A105" s="2">
        <v>8</v>
      </c>
      <c r="C105" s="38" t="s">
        <v>46</v>
      </c>
      <c r="D105" s="42">
        <f>TRUNC(7704,-1)</f>
        <v>7700</v>
      </c>
      <c r="E105" s="63">
        <f t="shared" si="3"/>
        <v>25450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TRUNC(5081,-1)</f>
        <v>5080</v>
      </c>
      <c r="E108" s="63">
        <f t="shared" si="3"/>
        <v>16790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TRUNC(1846+1675,-1)</f>
        <v>3520</v>
      </c>
      <c r="E118" s="64">
        <f t="shared" si="3"/>
        <v>11630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71050</v>
      </c>
      <c r="E119" s="39">
        <f>SUM(E98:E118)</f>
        <v>234840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TRUNC(5665,-1)</f>
        <v>5660</v>
      </c>
      <c r="E122" s="62">
        <f t="shared" ref="E122:E132" si="4">TRUNC(+D122*3.3058,-1)</f>
        <v>18710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TRUNC(1463,-1)</f>
        <v>1460</v>
      </c>
      <c r="E124" s="63">
        <f t="shared" si="4"/>
        <v>4820</v>
      </c>
    </row>
    <row r="125" spans="1:7" x14ac:dyDescent="0.3">
      <c r="A125" s="2">
        <v>4</v>
      </c>
      <c r="C125" s="38" t="s">
        <v>138</v>
      </c>
      <c r="D125" s="42">
        <f>TRUNC(4078,-1)</f>
        <v>4070</v>
      </c>
      <c r="E125" s="63">
        <f t="shared" si="4"/>
        <v>13450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TRUNC(3339,-1)</f>
        <v>3330</v>
      </c>
      <c r="E128" s="63">
        <f t="shared" si="4"/>
        <v>11000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TRUNC(22709+7176,-1)</f>
        <v>29880</v>
      </c>
      <c r="E132" s="64">
        <f t="shared" si="4"/>
        <v>98770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44400</v>
      </c>
      <c r="E133" s="39">
        <f>SUM(E122:E132)</f>
        <v>146750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TRUNC(9686,-1)</f>
        <v>9680</v>
      </c>
      <c r="E137" s="63">
        <f t="shared" si="5"/>
        <v>32000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9680</v>
      </c>
      <c r="E146" s="39">
        <f>SUM(E136:E145)</f>
        <v>32000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TRUNC(43430,-1)</f>
        <v>43430</v>
      </c>
      <c r="E152" s="63">
        <f>TRUNC(+D152*3.3058,-1)</f>
        <v>143570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43430</v>
      </c>
      <c r="E154" s="39">
        <f>SUM(E149:E153)</f>
        <v>143570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2020-12-07T09:54:00Z</dcterms:modified>
</cp:coreProperties>
</file>