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9" i="4" l="1"/>
  <c r="D93" i="4"/>
  <c r="D117" i="4"/>
  <c r="D131" i="4"/>
  <c r="D153" i="4"/>
  <c r="D160" i="4"/>
  <c r="D159" i="4"/>
  <c r="D158" i="4"/>
  <c r="D157" i="4"/>
  <c r="D152" i="4"/>
  <c r="D151" i="4"/>
  <c r="D150" i="4"/>
  <c r="D149" i="4"/>
  <c r="D145" i="4"/>
  <c r="D144" i="4"/>
  <c r="D143" i="4"/>
  <c r="D139" i="4"/>
  <c r="D141" i="4"/>
  <c r="D142" i="4"/>
  <c r="D140" i="4"/>
  <c r="D132" i="4"/>
  <c r="D128" i="4"/>
  <c r="D124" i="4"/>
  <c r="D125" i="4"/>
  <c r="D122" i="4"/>
  <c r="D130" i="4"/>
  <c r="D126" i="4"/>
  <c r="D105" i="4"/>
  <c r="D104" i="4"/>
  <c r="D102" i="4"/>
  <c r="D101" i="4"/>
  <c r="D100" i="4"/>
  <c r="D99" i="4"/>
  <c r="D114" i="4"/>
  <c r="D98" i="4"/>
  <c r="D116" i="4"/>
  <c r="D118" i="4"/>
  <c r="D94" i="4"/>
  <c r="D75" i="4"/>
  <c r="D84" i="4"/>
  <c r="D92" i="4"/>
  <c r="D91" i="4"/>
  <c r="D89" i="4"/>
  <c r="D73" i="4"/>
  <c r="D72" i="4"/>
  <c r="D71" i="4"/>
  <c r="D70" i="4"/>
  <c r="D69" i="4"/>
  <c r="D63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<sst xmlns="http://schemas.openxmlformats.org/spreadsheetml/2006/main" count="395" uniqueCount="270">
  <si>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</si>
  <si>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</si>
  <si>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</si>
  <si>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</si>
  <si>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</si>
  <si>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</si>
  <si>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</si>
  <si>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</si>
  <si>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</si>
  <si>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</si>
  <si>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</si>
  <si>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</si>
  <si>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</si>
  <si>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</si>
  <si>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</si>
  <si>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</si>
  <si>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</si>
  <si>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</si>
  <si>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</si>
  <si>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</si>
  <si>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</si>
  <si>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</si>
  <si>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</si>
  <si>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</si>
  <si>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</si>
  <si>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</si>
  <si>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</si>
  <si>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</si>
  <si>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</si>
  <si>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</si>
  <si>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</si>
  <si>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</si>
  <si>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</si>
  <si>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</si>
  <si>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</si>
  <si>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</si>
  <si>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</si>
  <si>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</si>
  <si>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</si>
  <si>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</si>
  <si>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</si>
  <si>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</si>
  <si>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</si>
  <si>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</si>
  <si>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</si>
  <si>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</si>
  <si>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</si>
  <si>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</si>
  <si>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</si>
  <si>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</si>
  <si>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</si>
  <si>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</si>
  <si>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</si>
  <si>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</si>
  <si>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</si>
  <si>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</si>
  <si>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</si>
  <si>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</si>
  <si>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</si>
  <si>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</si>
  <si>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</si>
  <si>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</si>
  <si>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</si>
  <si>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</si>
  <si>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</si>
  <si>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</si>
  <si>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</si>
  <si>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</si>
  <si>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</si>
  <si>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</si>
  <si>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</si>
  <si>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</si>
  <si>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</si>
  <si>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</si>
  <si>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</si>
  <si>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</si>
  <si>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</si>
  <si>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</si>
  <si>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</si>
  <si>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</si>
  <si>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</si>
  <si>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</si>
  <si>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</si>
  <si>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</si>
  <si>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</si>
  <si>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</si>
  <si>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</si>
  <si>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</si>
  <si>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</si>
  <si>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</si>
  <si>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</si>
  <si>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</si>
  <si>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</si>
  <si>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</si>
  <si>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</si>
  <si>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</si>
  <si>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</si>
  <si>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</si>
  <si>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</si>
  <si>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</si>
  <si>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</si>
  <si>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</si>
  <si>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</si>
  <si>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</si>
  <si>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</si>
  <si>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</si>
  <si>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</si>
  <si>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</si>
  <si>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</si>
  <si>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</si>
  <si>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</si>
  <si>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</si>
  <si>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</si>
  <si>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</si>
  <si>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</si>
  <si>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</si>
  <si>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</si>
  <si>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</si>
  <si>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</si>
  <si>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</si>
  <si>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</si>
  <si>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</si>
  <si>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</si>
  <si>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</si>
  <si>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</si>
  <si>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</si>
  <si>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</si>
  <si>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</si>
  <si>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</si>
  <si>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</si>
  <si>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</si>
  <si>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</si>
  <si>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</si>
  <si>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</si>
  <si>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</si>
  <si>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</si>
  <si>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</si>
  <si>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</si>
  <si>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</si>
  <si>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</si>
  <si>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</si>
  <si>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</si>
  <si>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</si>
  <si>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</si>
  <si>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</si>
  <si>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</si>
  <si>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</si>
  <si>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</si>
  <si>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</si>
  <si>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</si>
  <si>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</si>
  <si>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</si>
  <si>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</si>
  <si>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</si>
  <si>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</si>
  <si>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</si>
  <si>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</si>
  <si>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</si>
  <si>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</si>
  <si>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</si>
  <si>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</si>
  <si>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</si>
  <si>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</si>
  <si>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</si>
  <si>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</si>
  <si>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</si>
  <si>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</si>
  <si>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</si>
  <si>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</si>
  <si>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</si>
  <si>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</si>
  <si>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</si>
  <si>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</si>
  <si>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</si>
  <si>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</si>
  <si>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</si>
  <si>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</si>
  <si>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</si>
  <si>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</si>
  <si>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</si>
  <si>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</si>
  <si>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</si>
  <si>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</si>
  <si>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</si>
  <si>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</si>
  <si>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</si>
  <si>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</si>
  <si>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</si>
  <si>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</si>
  <si>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</si>
  <si>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</si>
  <si>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</si>
  <si>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</si>
  <si>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</si>
  <si>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</si>
  <si>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</si>
  <si>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</si>
  <si>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</si>
  <si>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</si>
  <si>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</si>
  <si>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</si>
  <si>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</si>
  <si>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</si>
  <si>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</si>
  <si>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</si>
  <si>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</si>
  <si>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</si>
  <si>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</si>
  <si>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</si>
  <si>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</si>
  <si>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</si>
  <si>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</si>
  <si>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</si>
  <si>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</si>
  <si>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</si>
  <si>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</si>
  <si>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</si>
  <si>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</si>
  <si>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</si>
  <si>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</si>
  <si>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</si>
  <si>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</si>
  <si>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</si>
  <si>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</si>
  <si>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</si>
  <si>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</si>
  <si>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</si>
  <si>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</si>
  <si>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</si>
  <si>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</si>
  <si>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</si>
  <si>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</si>
  <si>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</si>
  <si>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</si>
  <si>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</si>
  <si>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</si>
  <si>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</si>
  <si>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</si>
  <si>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</si>
  <si>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</si>
  <si>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</si>
  <si>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</si>
  <si>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</si>
  <si>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</si>
  <si>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</si>
  <si>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</si>
  <si>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</si>
  <si>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</si>
  <si>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한국환경공단 연수원건립사업</t>
    <phoneticPr fontId="2" type="noConversion"/>
  </si>
  <si>
    <t>교육연구</t>
  </si>
  <si>
    <t>충청도</t>
  </si>
  <si>
    <t>(지붕및홈통공사 포함)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</si>
  <si>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</si>
  <si>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</si>
  <si>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기초공사,골재비및운반비</t>
    <phoneticPr fontId="2" type="noConversion"/>
  </si>
  <si>
    <t>바닥난방공사</t>
    <phoneticPr fontId="2" type="noConversion"/>
  </si>
  <si>
    <t>기타공사</t>
    <phoneticPr fontId="2" type="noConversion"/>
  </si>
  <si>
    <t>전기인입및수변전설비공사</t>
    <phoneticPr fontId="2" type="noConversion"/>
  </si>
  <si>
    <t>CATV 및 TV 설비공사</t>
    <phoneticPr fontId="2" type="noConversion"/>
  </si>
  <si>
    <t>옥외소화배관공사,펌프실배관공사,기타공사</t>
    <phoneticPr fontId="2" type="noConversion"/>
  </si>
  <si>
    <t>우수공사,오수공사</t>
    <phoneticPr fontId="2" type="noConversion"/>
  </si>
  <si>
    <t>상수도공사,운반비,기타공사</t>
    <phoneticPr fontId="2" type="noConversion"/>
  </si>
  <si>
    <t>조경시설물</t>
    <phoneticPr fontId="2" type="noConversion"/>
  </si>
  <si>
    <t>포장공사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</si>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</sst>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10905.98</v>
      </c>
      <c r="D7" s="36">
        <f>+C7/3.3058</f>
        <v>3299.0441043015303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845880</v>
      </c>
      <c r="E25" s="59">
        <f t="shared" si="0"/>
        <v>2796310</v>
      </c>
    </row>
    <row r="26" spans="1:5" x14ac:dyDescent="0.3">
      <c r="B26" s="2">
        <v>3</v>
      </c>
      <c r="C26" s="35" t="s">
        <v>95</v>
      </c>
      <c r="D26" s="45">
        <f>+D66</f>
        <v>167050</v>
      </c>
      <c r="E26" s="59">
        <f t="shared" si="0"/>
        <v>552230</v>
      </c>
    </row>
    <row r="27" spans="1:5" x14ac:dyDescent="0.3">
      <c r="B27" s="2">
        <v>4</v>
      </c>
      <c r="C27" s="35" t="s">
        <v>96</v>
      </c>
      <c r="D27" s="45">
        <f>+D95</f>
        <v>301260</v>
      </c>
      <c r="E27" s="59">
        <f t="shared" si="0"/>
        <v>995900</v>
      </c>
    </row>
    <row r="28" spans="1:5" x14ac:dyDescent="0.3">
      <c r="B28" s="2">
        <v>5</v>
      </c>
      <c r="C28" s="35" t="s">
        <v>97</v>
      </c>
      <c r="D28" s="45">
        <f>+D119</f>
        <v>277720</v>
      </c>
      <c r="E28" s="59">
        <f t="shared" si="0"/>
        <v>918080</v>
      </c>
    </row>
    <row r="29" spans="1:5" x14ac:dyDescent="0.3">
      <c r="B29" s="2">
        <v>6</v>
      </c>
      <c r="C29" s="35" t="s">
        <v>98</v>
      </c>
      <c r="D29" s="45">
        <f>+D133</f>
        <v>131150</v>
      </c>
      <c r="E29" s="59">
        <f t="shared" si="0"/>
        <v>433550</v>
      </c>
    </row>
    <row r="30" spans="1:5" x14ac:dyDescent="0.3">
      <c r="B30" s="2">
        <v>7</v>
      </c>
      <c r="C30" s="35" t="s">
        <v>99</v>
      </c>
      <c r="D30" s="45">
        <f>+D146</f>
        <v>45710</v>
      </c>
      <c r="E30" s="59">
        <f t="shared" si="0"/>
        <v>151100</v>
      </c>
    </row>
    <row r="31" spans="1:5" x14ac:dyDescent="0.3">
      <c r="B31" s="2">
        <v>8</v>
      </c>
      <c r="C31" s="35" t="s">
        <v>100</v>
      </c>
      <c r="D31" s="45">
        <f>+D154</f>
        <v>168830</v>
      </c>
      <c r="E31" s="59">
        <f t="shared" si="0"/>
        <v>558110</v>
      </c>
    </row>
    <row r="32" spans="1:5" x14ac:dyDescent="0.3">
      <c r="B32" s="2">
        <v>9</v>
      </c>
      <c r="C32" s="35" t="s">
        <v>101</v>
      </c>
      <c r="D32" s="45">
        <f>+D161</f>
        <v>68740</v>
      </c>
      <c r="E32" s="59">
        <f t="shared" si="0"/>
        <v>227240</v>
      </c>
    </row>
    <row r="33" spans="1:7" x14ac:dyDescent="0.3">
      <c r="B33" s="2">
        <v>10</v>
      </c>
      <c r="C33" s="35" t="s">
        <v>154</v>
      </c>
      <c r="D33" s="53">
        <f>TRUNC(SUM(D24:D32)*0.275,-1)</f>
        <v>551740</v>
      </c>
      <c r="E33" s="60">
        <f t="shared" si="0"/>
        <v>1823940</v>
      </c>
    </row>
    <row r="34" spans="1:7" x14ac:dyDescent="0.3">
      <c r="C34" s="35" t="s">
        <v>112</v>
      </c>
      <c r="D34" s="44">
        <f>SUM(D24:D33)</f>
        <v>2558080</v>
      </c>
      <c r="E34" s="44">
        <f>SUM(E24:E33)</f>
        <v>8456460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264</v>
      </c>
      <c r="D39" s="57" t="s">
        <v>265</v>
      </c>
      <c r="E39" s="57" t="s">
        <v>266</v>
      </c>
      <c r="G39" s="55"/>
    </row>
    <row r="40" spans="1:7" x14ac:dyDescent="0.3">
      <c r="A40" s="2">
        <v>1</v>
      </c>
      <c r="C40" s="38" t="s">
        <v>15</v>
      </c>
      <c r="D40" s="40">
        <f>TRUNC(42225,-1)</f>
        <v>42220</v>
      </c>
      <c r="E40" s="62">
        <f t="shared" ref="E40:E59" si="1">TRUNC(+D40*3.3058,-1)</f>
        <v>139570</v>
      </c>
    </row>
    <row r="41" spans="1:7" x14ac:dyDescent="0.3">
      <c r="A41" s="2">
        <v>2</v>
      </c>
      <c r="C41" s="38" t="s">
        <v>13</v>
      </c>
      <c r="D41" s="42">
        <f>TRUNC(188882,-1)</f>
        <v>188880</v>
      </c>
      <c r="E41" s="63">
        <f t="shared" si="1"/>
        <v>624390</v>
      </c>
    </row>
    <row r="42" spans="1:7" x14ac:dyDescent="0.3">
      <c r="A42" s="2">
        <v>3</v>
      </c>
      <c r="C42" s="38" t="s">
        <v>14</v>
      </c>
      <c r="D42" s="42">
        <f>TRUNC(39030,-1)</f>
        <v>39030</v>
      </c>
      <c r="E42" s="63">
        <f t="shared" si="1"/>
        <v>129020</v>
      </c>
    </row>
    <row r="43" spans="1:7" x14ac:dyDescent="0.3">
      <c r="A43" s="2">
        <v>4</v>
      </c>
      <c r="C43" s="38" t="s">
        <v>16</v>
      </c>
      <c r="D43" s="42">
        <f>TRUNC(5815,-1)</f>
        <v>5810</v>
      </c>
      <c r="E43" s="63">
        <f t="shared" si="1"/>
        <v>19200</v>
      </c>
    </row>
    <row r="44" spans="1:7" x14ac:dyDescent="0.3">
      <c r="A44" s="2">
        <v>5</v>
      </c>
      <c r="C44" s="38" t="s">
        <v>17</v>
      </c>
      <c r="D44" s="42">
        <f>TRUNC(19017,-1)</f>
        <v>19010</v>
      </c>
      <c r="E44" s="63">
        <f t="shared" si="1"/>
        <v>62840</v>
      </c>
    </row>
    <row r="45" spans="1:7" x14ac:dyDescent="0.3">
      <c r="A45" s="2">
        <v>6</v>
      </c>
      <c r="C45" s="38" t="s">
        <v>18</v>
      </c>
      <c r="D45" s="42">
        <f>TRUNC(17231,-1)</f>
        <v>17230</v>
      </c>
      <c r="E45" s="63">
        <f t="shared" si="1"/>
        <v>56950</v>
      </c>
    </row>
    <row r="46" spans="1:7" x14ac:dyDescent="0.3">
      <c r="A46" s="2">
        <v>7</v>
      </c>
      <c r="C46" s="38" t="s">
        <v>19</v>
      </c>
      <c r="D46" s="42">
        <f>TRUNC(13683,-1)</f>
        <v>13680</v>
      </c>
      <c r="E46" s="63">
        <f t="shared" si="1"/>
        <v>45220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TRUNC(31534,-1)</f>
        <v>31530</v>
      </c>
      <c r="E48" s="63">
        <f t="shared" si="1"/>
        <v>104230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TRUNC(8659,-1)</f>
        <v>8650</v>
      </c>
      <c r="E49" s="63">
        <f t="shared" si="1"/>
        <v>28590</v>
      </c>
    </row>
    <row r="50" spans="1:7" x14ac:dyDescent="0.3">
      <c r="A50" s="2">
        <v>11</v>
      </c>
      <c r="C50" s="38" t="s">
        <v>155</v>
      </c>
      <c r="D50" s="42">
        <f>TRUNC(62338,-1)</f>
        <v>62330</v>
      </c>
      <c r="E50" s="63">
        <f t="shared" si="1"/>
        <v>206050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TRUNC(25671,-1)</f>
        <v>25670</v>
      </c>
      <c r="E52" s="63">
        <f t="shared" si="1"/>
        <v>84850</v>
      </c>
    </row>
    <row r="53" spans="1:7" x14ac:dyDescent="0.3">
      <c r="A53" s="2">
        <v>14</v>
      </c>
      <c r="C53" s="38" t="s">
        <v>25</v>
      </c>
      <c r="D53" s="42">
        <f>TRUNC(103643,-1)</f>
        <v>103640</v>
      </c>
      <c r="E53" s="63">
        <f t="shared" si="1"/>
        <v>342610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TRUNC(186+3909,-1)</f>
        <v>4090</v>
      </c>
      <c r="E58" s="63">
        <f t="shared" si="1"/>
        <v>13520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TRUNC(284115,-1)</f>
        <v>284110</v>
      </c>
      <c r="E59" s="64">
        <f t="shared" si="1"/>
        <v>939210</v>
      </c>
    </row>
    <row r="60" spans="1:7" x14ac:dyDescent="0.3">
      <c r="A60" s="2">
        <v>21</v>
      </c>
      <c r="C60" s="27" t="s">
        <v>112</v>
      </c>
      <c r="D60" s="39">
        <f>SUM(D40:D59)</f>
        <v>845880</v>
      </c>
      <c r="E60" s="39">
        <f>SUM(E40:E59)</f>
        <v>2796250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TRUNC(167056,-1)</f>
        <v>167050</v>
      </c>
      <c r="E63" s="62">
        <f>TRUNC(+D63*3.3058,-1)</f>
        <v>552230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167050</v>
      </c>
      <c r="E66" s="65">
        <f>SUM(E63:E65)</f>
        <v>552230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TRUNC(18943,-1)</f>
        <v>18940</v>
      </c>
      <c r="E69" s="62">
        <f t="shared" ref="E69:E94" si="2">TRUNC(+D69*3.3058,-1)</f>
        <v>62610</v>
      </c>
    </row>
    <row r="70" spans="1:7" ht="16.5" customHeight="1" x14ac:dyDescent="0.3">
      <c r="A70" s="2">
        <v>2</v>
      </c>
      <c r="C70" s="38" t="s">
        <v>31</v>
      </c>
      <c r="D70" s="42">
        <f>TRUNC(2881,-1)</f>
        <v>2880</v>
      </c>
      <c r="E70" s="63">
        <f t="shared" si="2"/>
        <v>9520</v>
      </c>
    </row>
    <row r="71" spans="1:7" x14ac:dyDescent="0.3">
      <c r="A71" s="2">
        <v>3</v>
      </c>
      <c r="C71" s="38" t="s">
        <v>32</v>
      </c>
      <c r="D71" s="42">
        <f>TRUNC(10758,-1)</f>
        <v>10750</v>
      </c>
      <c r="E71" s="63">
        <f t="shared" si="2"/>
        <v>35530</v>
      </c>
    </row>
    <row r="72" spans="1:7" x14ac:dyDescent="0.3">
      <c r="A72" s="2">
        <v>4</v>
      </c>
      <c r="C72" s="38" t="s">
        <v>33</v>
      </c>
      <c r="D72" s="42">
        <f>TRUNC(3058,-1)</f>
        <v>3050</v>
      </c>
      <c r="E72" s="63">
        <f t="shared" si="2"/>
        <v>10080</v>
      </c>
    </row>
    <row r="73" spans="1:7" x14ac:dyDescent="0.3">
      <c r="A73" s="2">
        <v>5</v>
      </c>
      <c r="C73" s="38" t="s">
        <v>34</v>
      </c>
      <c r="D73" s="42">
        <f>TRUNC(13564,-1)</f>
        <v>13560</v>
      </c>
      <c r="E73" s="63">
        <f t="shared" si="2"/>
        <v>44820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TRUNC(1008,-1)</f>
        <v>1000</v>
      </c>
      <c r="E75" s="63">
        <f t="shared" si="2"/>
        <v>3300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TRUNC(11135,-1)</f>
        <v>11130</v>
      </c>
      <c r="E84" s="63">
        <f t="shared" si="2"/>
        <v>36790</v>
      </c>
      <c r="F84" s="2" t="s">
        <v>255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TRUNC(16263,-1)</f>
        <v>16260</v>
      </c>
      <c r="E89" s="63">
        <f t="shared" si="2"/>
        <v>53750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TRUNC(30680,-1)</f>
        <v>30680</v>
      </c>
      <c r="E91" s="63">
        <f t="shared" si="2"/>
        <v>101420</v>
      </c>
    </row>
    <row r="92" spans="1:7" x14ac:dyDescent="0.3">
      <c r="A92" s="2">
        <v>24</v>
      </c>
      <c r="C92" s="38" t="s">
        <v>38</v>
      </c>
      <c r="D92" s="42">
        <f>TRUNC(13096,-1)</f>
        <v>13090</v>
      </c>
      <c r="E92" s="63">
        <f t="shared" si="2"/>
        <v>43270</v>
      </c>
    </row>
    <row r="93" spans="1:7" x14ac:dyDescent="0.3">
      <c r="A93" s="2">
        <v>25</v>
      </c>
      <c r="C93" s="38" t="s">
        <v>148</v>
      </c>
      <c r="D93" s="42">
        <f>TRUNC(178257,-1)</f>
        <v>178250</v>
      </c>
      <c r="E93" s="63">
        <f t="shared" si="2"/>
        <v>589250</v>
      </c>
    </row>
    <row r="94" spans="1:7" ht="17.25" thickBot="1" x14ac:dyDescent="0.35">
      <c r="A94" s="2">
        <v>26</v>
      </c>
      <c r="C94" s="38" t="s">
        <v>47</v>
      </c>
      <c r="D94" s="43">
        <f>TRUNC(1673,-1)</f>
        <v>1670</v>
      </c>
      <c r="E94" s="64">
        <f t="shared" si="2"/>
        <v>5520</v>
      </c>
      <c r="F94" s="2" t="s">
        <v>256</v>
      </c>
    </row>
    <row r="95" spans="1:7" x14ac:dyDescent="0.3">
      <c r="A95" s="2">
        <v>27</v>
      </c>
      <c r="C95" s="27" t="s">
        <v>112</v>
      </c>
      <c r="D95" s="39">
        <f>SUM(D69:D94)</f>
        <v>301260</v>
      </c>
      <c r="E95" s="39">
        <f>SUM(E69:E94)</f>
        <v>995860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TRUNC(22560,-1)</f>
        <v>22560</v>
      </c>
      <c r="E98" s="62">
        <f t="shared" ref="E98:E118" si="3">TRUNC(+D98*3.3058,-1)</f>
        <v>74570</v>
      </c>
    </row>
    <row r="99" spans="1:7" x14ac:dyDescent="0.3">
      <c r="A99" s="2">
        <v>2</v>
      </c>
      <c r="C99" s="38" t="s">
        <v>40</v>
      </c>
      <c r="D99" s="42">
        <f>TRUNC(15323,-1)</f>
        <v>15320</v>
      </c>
      <c r="E99" s="63">
        <f t="shared" si="3"/>
        <v>50640</v>
      </c>
    </row>
    <row r="100" spans="1:7" x14ac:dyDescent="0.3">
      <c r="A100" s="2">
        <v>3</v>
      </c>
      <c r="C100" s="38" t="s">
        <v>41</v>
      </c>
      <c r="D100" s="42">
        <f>TRUNC(25158,-1)</f>
        <v>25150</v>
      </c>
      <c r="E100" s="63">
        <f t="shared" si="3"/>
        <v>83140</v>
      </c>
    </row>
    <row r="101" spans="1:7" x14ac:dyDescent="0.3">
      <c r="A101" s="2">
        <v>4</v>
      </c>
      <c r="C101" s="38" t="s">
        <v>42</v>
      </c>
      <c r="D101" s="42">
        <f>TRUNC(8648,-1)</f>
        <v>8640</v>
      </c>
      <c r="E101" s="63">
        <f t="shared" si="3"/>
        <v>28560</v>
      </c>
    </row>
    <row r="102" spans="1:7" x14ac:dyDescent="0.3">
      <c r="A102" s="2">
        <v>5</v>
      </c>
      <c r="C102" s="38" t="s">
        <v>43</v>
      </c>
      <c r="D102" s="42">
        <f>TRUNC(4810,-1)</f>
        <v>4810</v>
      </c>
      <c r="E102" s="63">
        <f t="shared" si="3"/>
        <v>15900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TRUNC(6091,-1)</f>
        <v>6090</v>
      </c>
      <c r="E104" s="63">
        <f t="shared" si="3"/>
        <v>20130</v>
      </c>
    </row>
    <row r="105" spans="1:7" x14ac:dyDescent="0.3">
      <c r="A105" s="2">
        <v>8</v>
      </c>
      <c r="C105" s="38" t="s">
        <v>46</v>
      </c>
      <c r="D105" s="42">
        <f>TRUNC(5681,-1)</f>
        <v>5680</v>
      </c>
      <c r="E105" s="63">
        <f t="shared" si="3"/>
        <v>18770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TRUNC(15150,-1)</f>
        <v>15150</v>
      </c>
      <c r="E114" s="63">
        <f t="shared" si="3"/>
        <v>50080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TRUNC(9726,-1)</f>
        <v>9720</v>
      </c>
      <c r="E116" s="63">
        <f t="shared" si="3"/>
        <v>32130</v>
      </c>
      <c r="F116" s="2" t="s">
        <v>257</v>
      </c>
    </row>
    <row r="117" spans="1:7" x14ac:dyDescent="0.3">
      <c r="A117" s="2">
        <v>20</v>
      </c>
      <c r="C117" s="38" t="s">
        <v>148</v>
      </c>
      <c r="D117" s="42">
        <f>TRUNC(135068,-1)</f>
        <v>135060</v>
      </c>
      <c r="E117" s="63">
        <f t="shared" si="3"/>
        <v>446480</v>
      </c>
    </row>
    <row r="118" spans="1:7" ht="17.25" thickBot="1" x14ac:dyDescent="0.35">
      <c r="A118" s="2">
        <v>21</v>
      </c>
      <c r="C118" s="38" t="s">
        <v>47</v>
      </c>
      <c r="D118" s="43">
        <f>TRUNC(29548,-1)</f>
        <v>29540</v>
      </c>
      <c r="E118" s="64">
        <f t="shared" si="3"/>
        <v>97650</v>
      </c>
      <c r="F118" s="2" t="s">
        <v>256</v>
      </c>
    </row>
    <row r="119" spans="1:7" x14ac:dyDescent="0.3">
      <c r="A119" s="2">
        <v>22</v>
      </c>
      <c r="C119" s="27" t="s">
        <v>112</v>
      </c>
      <c r="D119" s="39">
        <f>SUM(D98:D118)</f>
        <v>277720</v>
      </c>
      <c r="E119" s="39">
        <f>SUM(E98:E118)</f>
        <v>918050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TRUNC(9340,-1)</f>
        <v>9340</v>
      </c>
      <c r="E122" s="62">
        <f t="shared" ref="E122:E132" si="4">TRUNC(+D122*3.3058,-1)</f>
        <v>30870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TRUNC(3740,-1)</f>
        <v>3740</v>
      </c>
      <c r="E124" s="63">
        <f t="shared" si="4"/>
        <v>12360</v>
      </c>
    </row>
    <row r="125" spans="1:7" x14ac:dyDescent="0.3">
      <c r="A125" s="2">
        <v>4</v>
      </c>
      <c r="C125" s="38" t="s">
        <v>138</v>
      </c>
      <c r="D125" s="42">
        <f>TRUNC(6824,-1)</f>
        <v>6820</v>
      </c>
      <c r="E125" s="63">
        <f t="shared" si="4"/>
        <v>22540</v>
      </c>
    </row>
    <row r="126" spans="1:7" x14ac:dyDescent="0.3">
      <c r="A126" s="2">
        <v>5</v>
      </c>
      <c r="C126" s="38" t="s">
        <v>53</v>
      </c>
      <c r="D126" s="42">
        <f>TRUNC(7975,-1)</f>
        <v>7970</v>
      </c>
      <c r="E126" s="63">
        <f t="shared" si="4"/>
        <v>26340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TRUNC(6098,-1)</f>
        <v>6090</v>
      </c>
      <c r="E128" s="63">
        <f t="shared" si="4"/>
        <v>20130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TRUNC(15406,-1)</f>
        <v>15400</v>
      </c>
      <c r="E130" s="63">
        <f t="shared" si="4"/>
        <v>50900</v>
      </c>
    </row>
    <row r="131" spans="1:7" x14ac:dyDescent="0.3">
      <c r="A131" s="2">
        <v>10</v>
      </c>
      <c r="C131" s="38" t="s">
        <v>148</v>
      </c>
      <c r="D131" s="42">
        <f>TRUNC(74744,-1)</f>
        <v>74740</v>
      </c>
      <c r="E131" s="63">
        <f t="shared" si="4"/>
        <v>247070</v>
      </c>
    </row>
    <row r="132" spans="1:7" ht="18" thickBot="1" x14ac:dyDescent="0.35">
      <c r="A132" s="2">
        <v>11</v>
      </c>
      <c r="C132" s="38" t="s">
        <v>47</v>
      </c>
      <c r="D132" s="43">
        <f>TRUNC(7055,-1)</f>
        <v>7050</v>
      </c>
      <c r="E132" s="64">
        <f t="shared" si="4"/>
        <v>23300</v>
      </c>
      <c r="F132" s="54"/>
    </row>
    <row r="133" spans="1:7" x14ac:dyDescent="0.3">
      <c r="A133" s="2">
        <v>12</v>
      </c>
      <c r="C133" s="27" t="s">
        <v>112</v>
      </c>
      <c r="D133" s="39">
        <f>SUM(D122:D132)</f>
        <v>131150</v>
      </c>
      <c r="E133" s="39">
        <f>SUM(E122:E132)</f>
        <v>433510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TRUNC(886,-1)</f>
        <v>880</v>
      </c>
      <c r="E139" s="63">
        <f t="shared" si="5"/>
        <v>2900</v>
      </c>
    </row>
    <row r="140" spans="1:7" x14ac:dyDescent="0.3">
      <c r="A140" s="2">
        <v>5</v>
      </c>
      <c r="C140" s="38" t="s">
        <v>57</v>
      </c>
      <c r="D140" s="42">
        <f>TRUNC(1115,-1)</f>
        <v>1110</v>
      </c>
      <c r="E140" s="63">
        <f t="shared" si="5"/>
        <v>3660</v>
      </c>
    </row>
    <row r="141" spans="1:7" x14ac:dyDescent="0.3">
      <c r="A141" s="2">
        <v>6</v>
      </c>
      <c r="C141" s="38" t="s">
        <v>59</v>
      </c>
      <c r="D141" s="42">
        <f>TRUNC(3600,-1)</f>
        <v>3600</v>
      </c>
      <c r="E141" s="63">
        <f t="shared" si="5"/>
        <v>11900</v>
      </c>
    </row>
    <row r="142" spans="1:7" x14ac:dyDescent="0.3">
      <c r="A142" s="2">
        <v>7</v>
      </c>
      <c r="C142" s="38" t="s">
        <v>58</v>
      </c>
      <c r="D142" s="42">
        <f>TRUNC(1871,-1)</f>
        <v>1870</v>
      </c>
      <c r="E142" s="63">
        <f t="shared" si="5"/>
        <v>6180</v>
      </c>
    </row>
    <row r="143" spans="1:7" x14ac:dyDescent="0.3">
      <c r="A143" s="2">
        <v>8</v>
      </c>
      <c r="C143" s="38" t="s">
        <v>62</v>
      </c>
      <c r="D143" s="42">
        <f>TRUNC(6740,-1)</f>
        <v>6740</v>
      </c>
      <c r="E143" s="63">
        <f t="shared" si="5"/>
        <v>22280</v>
      </c>
    </row>
    <row r="144" spans="1:7" x14ac:dyDescent="0.3">
      <c r="A144" s="2">
        <v>9</v>
      </c>
      <c r="C144" s="38" t="s">
        <v>63</v>
      </c>
      <c r="D144" s="42">
        <f>TRUNC(28053,-1)</f>
        <v>28050</v>
      </c>
      <c r="E144" s="63">
        <f t="shared" si="5"/>
        <v>92720</v>
      </c>
    </row>
    <row r="145" spans="1:7" ht="17.25" thickBot="1" x14ac:dyDescent="0.35">
      <c r="A145" s="2">
        <v>10</v>
      </c>
      <c r="C145" s="38" t="s">
        <v>148</v>
      </c>
      <c r="D145" s="43">
        <f>TRUNC(173+2426+868,-1)</f>
        <v>3460</v>
      </c>
      <c r="E145" s="64">
        <f t="shared" si="5"/>
        <v>11430</v>
      </c>
      <c r="F145" s="2" t="s">
        <v>259</v>
      </c>
    </row>
    <row r="146" spans="1:7" x14ac:dyDescent="0.3">
      <c r="A146" s="2">
        <v>11</v>
      </c>
      <c r="C146" s="27" t="s">
        <v>112</v>
      </c>
      <c r="D146" s="39">
        <f>SUM(D136:D145)</f>
        <v>45710</v>
      </c>
      <c r="E146" s="39">
        <f>SUM(E136:E145)</f>
        <v>151070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TRUNC(21537+9128,-1)</f>
        <v>30660</v>
      </c>
      <c r="E149" s="62">
        <f>TRUNC(+D149*3.3058,-1)</f>
        <v>101350</v>
      </c>
      <c r="F149" s="2" t="s">
        <v>260</v>
      </c>
    </row>
    <row r="150" spans="1:7" x14ac:dyDescent="0.3">
      <c r="A150" s="2">
        <v>2</v>
      </c>
      <c r="C150" s="38" t="s">
        <v>49</v>
      </c>
      <c r="D150" s="42">
        <f>TRUNC(10404,-1)</f>
        <v>10400</v>
      </c>
      <c r="E150" s="63">
        <f>TRUNC(+D150*3.3058,-1)</f>
        <v>34380</v>
      </c>
    </row>
    <row r="151" spans="1:7" x14ac:dyDescent="0.3">
      <c r="A151" s="2">
        <v>3</v>
      </c>
      <c r="C151" s="38" t="s">
        <v>50</v>
      </c>
      <c r="D151" s="42">
        <f>TRUNC(32227,-1)</f>
        <v>32220</v>
      </c>
      <c r="E151" s="63">
        <f>TRUNC(+D151*3.3058,-1)</f>
        <v>106510</v>
      </c>
    </row>
    <row r="152" spans="1:7" x14ac:dyDescent="0.3">
      <c r="A152" s="2">
        <v>4</v>
      </c>
      <c r="C152" s="38" t="s">
        <v>47</v>
      </c>
      <c r="D152" s="42">
        <f>TRUNC(74+640+14494,-1)</f>
        <v>15200</v>
      </c>
      <c r="E152" s="63">
        <f>TRUNC(+D152*3.3058,-1)</f>
        <v>50240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TRUNC(80357,-1)</f>
        <v>80350</v>
      </c>
      <c r="E153" s="64">
        <f>TRUNC(+D153*3.3058,-1)</f>
        <v>265620</v>
      </c>
    </row>
    <row r="154" spans="1:7" x14ac:dyDescent="0.3">
      <c r="A154" s="2">
        <v>6</v>
      </c>
      <c r="C154" s="27" t="s">
        <v>112</v>
      </c>
      <c r="D154" s="39">
        <f>SUM(D149:D153)</f>
        <v>168830</v>
      </c>
      <c r="E154" s="39">
        <f>SUM(E149:E153)</f>
        <v>558100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TRUNC(43265,-1)</f>
        <v>43260</v>
      </c>
      <c r="E157" s="62">
        <f>TRUNC(+D157*3.3058,-1)</f>
        <v>143000</v>
      </c>
    </row>
    <row r="158" spans="1:7" x14ac:dyDescent="0.3">
      <c r="A158" s="2">
        <v>2</v>
      </c>
      <c r="C158" s="38" t="s">
        <v>52</v>
      </c>
      <c r="D158" s="42">
        <f>TRUNC(7395,-1)</f>
        <v>7390</v>
      </c>
      <c r="E158" s="63">
        <f>TRUNC(+D158*3.3058,-1)</f>
        <v>24420</v>
      </c>
      <c r="F158" s="2" t="s">
        <v>262</v>
      </c>
    </row>
    <row r="159" spans="1:7" x14ac:dyDescent="0.3">
      <c r="A159" s="2">
        <v>3</v>
      </c>
      <c r="C159" s="38" t="s">
        <v>47</v>
      </c>
      <c r="D159" s="42">
        <f>TRUNC(10873,-1)</f>
        <v>10870</v>
      </c>
      <c r="E159" s="63">
        <f>TRUNC(+D159*3.3058,-1)</f>
        <v>35930</v>
      </c>
      <c r="F159" s="2" t="s">
        <v>263</v>
      </c>
    </row>
    <row r="160" spans="1:7" ht="17.25" thickBot="1" x14ac:dyDescent="0.35">
      <c r="A160" s="2">
        <v>4</v>
      </c>
      <c r="C160" s="38" t="s">
        <v>148</v>
      </c>
      <c r="D160" s="43">
        <f>TRUNC(7229,-1)</f>
        <v>7220</v>
      </c>
      <c r="E160" s="64">
        <f>TRUNC(+D160*3.3058,-1)</f>
        <v>23860</v>
      </c>
    </row>
    <row r="161" spans="1:5" x14ac:dyDescent="0.3">
      <c r="A161" s="2">
        <v>5</v>
      </c>
      <c r="C161" s="27" t="s">
        <v>112</v>
      </c>
      <c r="D161" s="39">
        <f>SUM(D157:D160)</f>
        <v>68740</v>
      </c>
      <c r="E161" s="39">
        <f>SUM(E157:E160)</f>
        <v>227210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2020-12-08T01:59:37Z</dcterms:modified>
</cp:coreProperties>
</file>