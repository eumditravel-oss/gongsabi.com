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0" i="4"/>
  <c r="D149" i="4"/>
  <c r="D145" i="4"/>
  <c r="D144" i="4"/>
  <c r="D143" i="4"/>
  <c r="D142" i="4"/>
  <c r="D141" i="4"/>
  <c r="D140" i="4"/>
  <c r="D139" i="4"/>
  <c r="D137" i="4"/>
  <c r="D132" i="4"/>
  <c r="D130" i="4"/>
  <c r="D128" i="4"/>
  <c r="D126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1" i="4"/>
  <c r="D90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<sst xmlns="http://schemas.openxmlformats.org/spreadsheetml/2006/main" count="393" uniqueCount="268">
  <si>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</si>
  <si>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</si>
  <si>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</si>
  <si>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</si>
  <si>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</si>
  <si>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</si>
  <si>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</si>
  <si>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</si>
  <si>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</si>
  <si>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</si>
  <si>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</si>
  <si>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</si>
  <si>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</si>
  <si>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</si>
  <si>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</si>
  <si>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</si>
  <si>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</si>
  <si>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</si>
  <si>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</si>
  <si>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</si>
  <si>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</si>
  <si>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</si>
  <si>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</si>
  <si>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</si>
  <si>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</si>
  <si>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</si>
  <si>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</si>
  <si>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</si>
  <si>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</si>
  <si>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</si>
  <si>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</si>
  <si>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</si>
  <si>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</si>
  <si>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</si>
  <si>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</si>
  <si>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</si>
  <si>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</si>
  <si>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</si>
  <si>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</si>
  <si>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</si>
  <si>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</si>
  <si>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</si>
  <si>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</si>
  <si>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</si>
  <si>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</si>
  <si>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</si>
  <si>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</si>
  <si>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</si>
  <si>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</si>
  <si>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</si>
  <si>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</si>
  <si>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</si>
  <si>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</si>
  <si>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</si>
  <si>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</si>
  <si>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</si>
  <si>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</si>
  <si>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</si>
  <si>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</si>
  <si>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</si>
  <si>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</si>
  <si>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</si>
  <si>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</si>
  <si>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</si>
  <si>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</si>
  <si>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</si>
  <si>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</si>
  <si>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</si>
  <si>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</si>
  <si>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</si>
  <si>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</si>
  <si>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</si>
  <si>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</si>
  <si>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</si>
  <si>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</si>
  <si>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</si>
  <si>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</si>
  <si>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</si>
  <si>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</si>
  <si>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</si>
  <si>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</si>
  <si>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</si>
  <si>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</si>
  <si>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</si>
  <si>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</si>
  <si>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</si>
  <si>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</si>
  <si>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</si>
  <si>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</si>
  <si>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</si>
  <si>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</si>
  <si>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</si>
  <si>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</si>
  <si>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</si>
  <si>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</si>
  <si>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</si>
  <si>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</si>
  <si>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</si>
  <si>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</si>
  <si>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</si>
  <si>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</si>
  <si>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</si>
  <si>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</si>
  <si>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</si>
  <si>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</si>
  <si>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</si>
  <si>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</si>
  <si>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</si>
  <si>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</si>
  <si>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</si>
  <si>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</si>
  <si>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</si>
  <si>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</si>
  <si>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</si>
  <si>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</si>
  <si>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</si>
  <si>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</si>
  <si>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</si>
  <si>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</si>
  <si>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</si>
  <si>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</si>
  <si>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</si>
  <si>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</si>
  <si>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</si>
  <si>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</si>
  <si>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</si>
  <si>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</si>
  <si>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</si>
  <si>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</si>
  <si>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</si>
  <si>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</si>
  <si>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</si>
  <si>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</si>
  <si>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</si>
  <si>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</si>
  <si>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</si>
  <si>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</si>
  <si>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</si>
  <si>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</si>
  <si>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</si>
  <si>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</si>
  <si>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</si>
  <si>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</si>
  <si>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</si>
  <si>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</si>
  <si>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</si>
  <si>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</si>
  <si>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</si>
  <si>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</si>
  <si>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</si>
  <si>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</si>
  <si>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</si>
  <si>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</si>
  <si>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</si>
  <si>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</si>
  <si>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</si>
  <si>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</si>
  <si>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</si>
  <si>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</si>
  <si>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</si>
  <si>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</si>
  <si>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</si>
  <si>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</si>
  <si>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</si>
  <si>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</si>
  <si>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</si>
  <si>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</si>
  <si>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</si>
  <si>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</si>
  <si>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</si>
  <si>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</si>
  <si>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</si>
  <si>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</si>
  <si>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</si>
  <si>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</si>
  <si>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</si>
  <si>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</si>
  <si>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</si>
  <si>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</si>
  <si>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</si>
  <si>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</si>
  <si>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</si>
  <si>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</si>
  <si>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</si>
  <si>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</si>
  <si>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</si>
  <si>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</si>
  <si>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</si>
  <si>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</si>
  <si>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</si>
  <si>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</si>
  <si>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</si>
  <si>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</si>
  <si>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</si>
  <si>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</si>
  <si>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</si>
  <si>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</si>
  <si>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</si>
  <si>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</si>
  <si>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</si>
  <si>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</si>
  <si>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</si>
  <si>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</si>
  <si>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</si>
  <si>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</si>
  <si>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</si>
  <si>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</si>
  <si>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</si>
  <si>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</si>
  <si>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</si>
  <si>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</si>
  <si>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</si>
  <si>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</si>
  <si>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</si>
  <si>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</si>
  <si>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</si>
  <si>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</si>
  <si>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</si>
  <si>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</si>
  <si>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</si>
  <si>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</si>
  <si>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</si>
  <si>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</si>
  <si>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</si>
  <si>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</si>
  <si>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</si>
  <si>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</si>
  <si>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</si>
  <si>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</si>
  <si>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</si>
  <si>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</si>
  <si>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</si>
  <si>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</si>
  <si>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</si>
  <si>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</si>
  <si>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</si>
  <si>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</si>
  <si>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</si>
  <si>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</si>
  <si>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</si>
  <si>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</si>
  <si>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</si>
  <si>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</si>
  <si>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</si>
  <si>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</si>
  <si>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</si>
  <si>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</si>
  <si>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</si>
  <si>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</si>
  <si>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</si>
  <si>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</si>
  <si>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</si>
  <si>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</si>
  <si>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교육연구</t>
  </si>
  <si>
    <t>전라도</t>
  </si>
  <si>
    <t>한국한의학연구원 전남센터 건립공사</t>
    <phoneticPr fontId="2" type="noConversion"/>
  </si>
  <si>
    <t>골재비및운반비, 작업부산물, 기타공사</t>
    <phoneticPr fontId="2" type="noConversion"/>
  </si>
  <si>
    <t>난방배관공사 , 기타공사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</si>
  <si>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</si>
  <si>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</si>
  <si>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펌프실배관공사, 기타공사</t>
    <phoneticPr fontId="2" type="noConversion"/>
  </si>
  <si>
    <t>상수도공사, 사급자재비,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</si>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</sst>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6105.76</v>
      </c>
      <c r="D7" s="36">
        <f>+C7/3.3058</f>
        <v>1846.9840885716014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915640</v>
      </c>
      <c r="E25" s="59">
        <f t="shared" si="0"/>
        <v>3026920</v>
      </c>
    </row>
    <row r="26" spans="1:5" x14ac:dyDescent="0.3">
      <c r="B26" s="2">
        <v>3</v>
      </c>
      <c r="C26" s="35" t="s">
        <v>95</v>
      </c>
      <c r="D26" s="45">
        <f>+D66</f>
        <v>33270</v>
      </c>
      <c r="E26" s="59">
        <f t="shared" si="0"/>
        <v>109980</v>
      </c>
    </row>
    <row r="27" spans="1:5" x14ac:dyDescent="0.3">
      <c r="B27" s="2">
        <v>4</v>
      </c>
      <c r="C27" s="35" t="s">
        <v>96</v>
      </c>
      <c r="D27" s="45">
        <f>+D95</f>
        <v>294250</v>
      </c>
      <c r="E27" s="59">
        <f t="shared" si="0"/>
        <v>972730</v>
      </c>
    </row>
    <row r="28" spans="1:5" x14ac:dyDescent="0.3">
      <c r="B28" s="2">
        <v>5</v>
      </c>
      <c r="C28" s="35" t="s">
        <v>97</v>
      </c>
      <c r="D28" s="45">
        <f>+D119</f>
        <v>231070</v>
      </c>
      <c r="E28" s="59">
        <f t="shared" si="0"/>
        <v>763870</v>
      </c>
    </row>
    <row r="29" spans="1:5" x14ac:dyDescent="0.3">
      <c r="B29" s="2">
        <v>6</v>
      </c>
      <c r="C29" s="35" t="s">
        <v>98</v>
      </c>
      <c r="D29" s="45">
        <f>+D133</f>
        <v>84180</v>
      </c>
      <c r="E29" s="59">
        <f t="shared" si="0"/>
        <v>278280</v>
      </c>
    </row>
    <row r="30" spans="1:5" x14ac:dyDescent="0.3">
      <c r="B30" s="2">
        <v>7</v>
      </c>
      <c r="C30" s="35" t="s">
        <v>99</v>
      </c>
      <c r="D30" s="45">
        <f>+D146</f>
        <v>31480</v>
      </c>
      <c r="E30" s="59">
        <f t="shared" si="0"/>
        <v>104060</v>
      </c>
    </row>
    <row r="31" spans="1:5" x14ac:dyDescent="0.3">
      <c r="B31" s="2">
        <v>8</v>
      </c>
      <c r="C31" s="35" t="s">
        <v>100</v>
      </c>
      <c r="D31" s="45">
        <f>+D154</f>
        <v>59960</v>
      </c>
      <c r="E31" s="59">
        <f t="shared" si="0"/>
        <v>198210</v>
      </c>
    </row>
    <row r="32" spans="1:5" x14ac:dyDescent="0.3">
      <c r="B32" s="2">
        <v>9</v>
      </c>
      <c r="C32" s="35" t="s">
        <v>101</v>
      </c>
      <c r="D32" s="45">
        <f>+D161</f>
        <v>58090</v>
      </c>
      <c r="E32" s="59">
        <f t="shared" si="0"/>
        <v>192030</v>
      </c>
    </row>
    <row r="33" spans="1:7" x14ac:dyDescent="0.3">
      <c r="B33" s="2">
        <v>10</v>
      </c>
      <c r="C33" s="35" t="s">
        <v>154</v>
      </c>
      <c r="D33" s="53">
        <f>TRUNC(SUM(D24:D32)*0.275,-1)</f>
        <v>469680</v>
      </c>
      <c r="E33" s="60">
        <f t="shared" si="0"/>
        <v>1552660</v>
      </c>
    </row>
    <row r="34" spans="1:7" x14ac:dyDescent="0.3">
      <c r="C34" s="35" t="s">
        <v>112</v>
      </c>
      <c r="D34" s="44">
        <f>SUM(D24:D33)</f>
        <v>2177620</v>
      </c>
      <c r="E34" s="44">
        <f>SUM(E24:E33)</f>
        <v>7198740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TRUNC(93224,-1)</f>
        <v>93220</v>
      </c>
      <c r="E40" s="62">
        <f t="shared" ref="E40:E59" si="1">TRUNC(+D40*3.3058,-1)</f>
        <v>308160</v>
      </c>
    </row>
    <row r="41" spans="1:7" x14ac:dyDescent="0.3">
      <c r="A41" s="2">
        <v>2</v>
      </c>
      <c r="C41" s="38" t="s">
        <v>13</v>
      </c>
      <c r="D41" s="42">
        <f>TRUNC(179134,-1)</f>
        <v>179130</v>
      </c>
      <c r="E41" s="63">
        <f t="shared" si="1"/>
        <v>592160</v>
      </c>
    </row>
    <row r="42" spans="1:7" x14ac:dyDescent="0.3">
      <c r="A42" s="2">
        <v>3</v>
      </c>
      <c r="C42" s="38" t="s">
        <v>14</v>
      </c>
      <c r="D42" s="42">
        <f>TRUNC(1287,-1)</f>
        <v>1280</v>
      </c>
      <c r="E42" s="63">
        <f t="shared" si="1"/>
        <v>4230</v>
      </c>
    </row>
    <row r="43" spans="1:7" x14ac:dyDescent="0.3">
      <c r="A43" s="2">
        <v>4</v>
      </c>
      <c r="C43" s="38" t="s">
        <v>16</v>
      </c>
      <c r="D43" s="42">
        <f>TRUNC(25604,-1)</f>
        <v>25600</v>
      </c>
      <c r="E43" s="63">
        <f t="shared" si="1"/>
        <v>84620</v>
      </c>
    </row>
    <row r="44" spans="1:7" x14ac:dyDescent="0.3">
      <c r="A44" s="2">
        <v>5</v>
      </c>
      <c r="C44" s="38" t="s">
        <v>17</v>
      </c>
      <c r="D44" s="42">
        <f>TRUNC(39471,-1)</f>
        <v>39470</v>
      </c>
      <c r="E44" s="63">
        <f t="shared" si="1"/>
        <v>130470</v>
      </c>
    </row>
    <row r="45" spans="1:7" x14ac:dyDescent="0.3">
      <c r="A45" s="2">
        <v>6</v>
      </c>
      <c r="C45" s="38" t="s">
        <v>18</v>
      </c>
      <c r="D45" s="42">
        <f>TRUNC(13402,-1)</f>
        <v>13400</v>
      </c>
      <c r="E45" s="63">
        <f t="shared" si="1"/>
        <v>44290</v>
      </c>
    </row>
    <row r="46" spans="1:7" x14ac:dyDescent="0.3">
      <c r="A46" s="2">
        <v>7</v>
      </c>
      <c r="C46" s="38" t="s">
        <v>19</v>
      </c>
      <c r="D46" s="42">
        <f>TRUNC(17282,-1)</f>
        <v>17280</v>
      </c>
      <c r="E46" s="63">
        <f t="shared" si="1"/>
        <v>57120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TRUNC(54498,-1)</f>
        <v>54490</v>
      </c>
      <c r="E48" s="63">
        <f t="shared" si="1"/>
        <v>180130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TRUNC(19512,-1)</f>
        <v>19510</v>
      </c>
      <c r="E49" s="63">
        <f t="shared" si="1"/>
        <v>64490</v>
      </c>
    </row>
    <row r="50" spans="1:7" x14ac:dyDescent="0.3">
      <c r="A50" s="2">
        <v>11</v>
      </c>
      <c r="C50" s="38" t="s">
        <v>155</v>
      </c>
      <c r="D50" s="42">
        <f>TRUNC(52627,-1)</f>
        <v>52620</v>
      </c>
      <c r="E50" s="63">
        <f t="shared" si="1"/>
        <v>173950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TRUNC(15993,-1)</f>
        <v>15990</v>
      </c>
      <c r="E52" s="63">
        <f t="shared" si="1"/>
        <v>52850</v>
      </c>
    </row>
    <row r="53" spans="1:7" x14ac:dyDescent="0.3">
      <c r="A53" s="2">
        <v>14</v>
      </c>
      <c r="C53" s="38" t="s">
        <v>25</v>
      </c>
      <c r="D53" s="42">
        <f>TRUNC(100617,-1)</f>
        <v>100610</v>
      </c>
      <c r="E53" s="63">
        <f t="shared" si="1"/>
        <v>332590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TRUNC(3840-597+1783,-1)</f>
        <v>5020</v>
      </c>
      <c r="E58" s="63">
        <f t="shared" si="1"/>
        <v>16590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TRUNC(298026,-1)</f>
        <v>298020</v>
      </c>
      <c r="E59" s="64">
        <f t="shared" si="1"/>
        <v>985190</v>
      </c>
    </row>
    <row r="60" spans="1:7" x14ac:dyDescent="0.3">
      <c r="A60" s="2">
        <v>21</v>
      </c>
      <c r="C60" s="27" t="s">
        <v>112</v>
      </c>
      <c r="D60" s="39">
        <f>SUM(D40:D59)</f>
        <v>915640</v>
      </c>
      <c r="E60" s="39">
        <f>SUM(E40:E59)</f>
        <v>3026840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TRUNC(33276,-1)</f>
        <v>33270</v>
      </c>
      <c r="E63" s="62">
        <f>TRUNC(+D63*3.3058,-1)</f>
        <v>109980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33270</v>
      </c>
      <c r="E66" s="65">
        <f>SUM(E63:E65)</f>
        <v>109980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TRUNC(24873,-1)</f>
        <v>24870</v>
      </c>
      <c r="E69" s="62">
        <f t="shared" ref="E69:E94" si="2">TRUNC(+D69*3.3058,-1)</f>
        <v>82210</v>
      </c>
    </row>
    <row r="70" spans="1:7" ht="16.5" customHeight="1" x14ac:dyDescent="0.3">
      <c r="A70" s="2">
        <v>2</v>
      </c>
      <c r="C70" s="38" t="s">
        <v>31</v>
      </c>
      <c r="D70" s="42">
        <f>TRUNC(6513,-1)</f>
        <v>6510</v>
      </c>
      <c r="E70" s="63">
        <f t="shared" si="2"/>
        <v>21520</v>
      </c>
    </row>
    <row r="71" spans="1:7" x14ac:dyDescent="0.3">
      <c r="A71" s="2">
        <v>3</v>
      </c>
      <c r="C71" s="38" t="s">
        <v>32</v>
      </c>
      <c r="D71" s="42">
        <f>TRUNC(12002,-1)</f>
        <v>12000</v>
      </c>
      <c r="E71" s="63">
        <f t="shared" si="2"/>
        <v>39660</v>
      </c>
    </row>
    <row r="72" spans="1:7" x14ac:dyDescent="0.3">
      <c r="A72" s="2">
        <v>4</v>
      </c>
      <c r="C72" s="38" t="s">
        <v>33</v>
      </c>
      <c r="D72" s="42">
        <f>TRUNC(9554,-1)</f>
        <v>9550</v>
      </c>
      <c r="E72" s="63">
        <f t="shared" si="2"/>
        <v>31570</v>
      </c>
    </row>
    <row r="73" spans="1:7" x14ac:dyDescent="0.3">
      <c r="A73" s="2">
        <v>5</v>
      </c>
      <c r="C73" s="38" t="s">
        <v>34</v>
      </c>
      <c r="D73" s="42">
        <f>TRUNC(15757,-1)</f>
        <v>15750</v>
      </c>
      <c r="E73" s="63">
        <f t="shared" si="2"/>
        <v>52060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TRUNC(11788,-1)</f>
        <v>11780</v>
      </c>
      <c r="E89" s="63">
        <f t="shared" si="2"/>
        <v>38940</v>
      </c>
    </row>
    <row r="90" spans="1:7" x14ac:dyDescent="0.3">
      <c r="A90" s="2">
        <v>22</v>
      </c>
      <c r="C90" s="38" t="s">
        <v>36</v>
      </c>
      <c r="D90" s="42">
        <f>TRUNC(2584,-1)</f>
        <v>2580</v>
      </c>
      <c r="E90" s="63">
        <f t="shared" si="2"/>
        <v>8520</v>
      </c>
    </row>
    <row r="91" spans="1:7" x14ac:dyDescent="0.3">
      <c r="A91" s="2">
        <v>23</v>
      </c>
      <c r="C91" s="38" t="s">
        <v>37</v>
      </c>
      <c r="D91" s="42">
        <f>TRUNC(25116,-1)</f>
        <v>25110</v>
      </c>
      <c r="E91" s="63">
        <f t="shared" si="2"/>
        <v>83000</v>
      </c>
    </row>
    <row r="92" spans="1:7" x14ac:dyDescent="0.3">
      <c r="A92" s="2">
        <v>24</v>
      </c>
      <c r="C92" s="38" t="s">
        <v>38</v>
      </c>
      <c r="D92" s="42">
        <v>11590</v>
      </c>
      <c r="E92" s="63">
        <f t="shared" si="2"/>
        <v>38310</v>
      </c>
    </row>
    <row r="93" spans="1:7" x14ac:dyDescent="0.3">
      <c r="A93" s="2">
        <v>25</v>
      </c>
      <c r="C93" s="38" t="s">
        <v>148</v>
      </c>
      <c r="D93" s="42">
        <f>TRUNC(170624,-1)</f>
        <v>170620</v>
      </c>
      <c r="E93" s="63">
        <f t="shared" si="2"/>
        <v>564030</v>
      </c>
    </row>
    <row r="94" spans="1:7" ht="17.25" thickBot="1" x14ac:dyDescent="0.35">
      <c r="A94" s="2">
        <v>26</v>
      </c>
      <c r="C94" s="38" t="s">
        <v>47</v>
      </c>
      <c r="D94" s="43">
        <f>TRUNC(3478+413,-1)</f>
        <v>3890</v>
      </c>
      <c r="E94" s="64">
        <f t="shared" si="2"/>
        <v>12850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294250</v>
      </c>
      <c r="E95" s="39">
        <f>SUM(E69:E94)</f>
        <v>972670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TRUNC(15596,-1)</f>
        <v>15590</v>
      </c>
      <c r="E98" s="62">
        <f t="shared" ref="E98:E118" si="3">TRUNC(+D98*3.3058,-1)</f>
        <v>51530</v>
      </c>
    </row>
    <row r="99" spans="1:7" x14ac:dyDescent="0.3">
      <c r="A99" s="2">
        <v>2</v>
      </c>
      <c r="C99" s="38" t="s">
        <v>40</v>
      </c>
      <c r="D99" s="42">
        <f>TRUNC(8707,-1)</f>
        <v>8700</v>
      </c>
      <c r="E99" s="63">
        <f t="shared" si="3"/>
        <v>28760</v>
      </c>
    </row>
    <row r="100" spans="1:7" x14ac:dyDescent="0.3">
      <c r="A100" s="2">
        <v>3</v>
      </c>
      <c r="C100" s="38" t="s">
        <v>41</v>
      </c>
      <c r="D100" s="42">
        <f>TRUNC(31347,-1)</f>
        <v>31340</v>
      </c>
      <c r="E100" s="63">
        <f t="shared" si="3"/>
        <v>103600</v>
      </c>
    </row>
    <row r="101" spans="1:7" x14ac:dyDescent="0.3">
      <c r="A101" s="2">
        <v>4</v>
      </c>
      <c r="C101" s="38" t="s">
        <v>42</v>
      </c>
      <c r="D101" s="42">
        <f>TRUNC(2719,-1)</f>
        <v>2710</v>
      </c>
      <c r="E101" s="63">
        <f t="shared" si="3"/>
        <v>8950</v>
      </c>
    </row>
    <row r="102" spans="1:7" x14ac:dyDescent="0.3">
      <c r="A102" s="2">
        <v>5</v>
      </c>
      <c r="C102" s="38" t="s">
        <v>43</v>
      </c>
      <c r="D102" s="42">
        <f>TRUNC(27504,-10)</f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f>TRUNC(2308,-1)</f>
        <v>2300</v>
      </c>
      <c r="E103" s="63">
        <f t="shared" si="3"/>
        <v>7600</v>
      </c>
    </row>
    <row r="104" spans="1:7" x14ac:dyDescent="0.3">
      <c r="A104" s="2">
        <v>7</v>
      </c>
      <c r="C104" s="38" t="s">
        <v>45</v>
      </c>
      <c r="D104" s="42">
        <f>TRUNC(4474,-1)</f>
        <v>4470</v>
      </c>
      <c r="E104" s="63">
        <f t="shared" si="3"/>
        <v>14770</v>
      </c>
    </row>
    <row r="105" spans="1:7" x14ac:dyDescent="0.3">
      <c r="A105" s="2">
        <v>8</v>
      </c>
      <c r="C105" s="38" t="s">
        <v>46</v>
      </c>
      <c r="D105" s="42">
        <f>TRUNC(8875,-1)</f>
        <v>8870</v>
      </c>
      <c r="E105" s="63">
        <f t="shared" si="3"/>
        <v>29320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TRUNC(5369,-1)</f>
        <v>5360</v>
      </c>
      <c r="E114" s="63">
        <f t="shared" si="3"/>
        <v>17710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TRUNC(7956,-1)</f>
        <v>7950</v>
      </c>
      <c r="E116" s="63">
        <f t="shared" si="3"/>
        <v>26280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TRUNC(132238,-1)</f>
        <v>132230</v>
      </c>
      <c r="E117" s="63">
        <f t="shared" si="3"/>
        <v>437120</v>
      </c>
    </row>
    <row r="118" spans="1:7" ht="17.25" thickBot="1" x14ac:dyDescent="0.35">
      <c r="A118" s="2">
        <v>21</v>
      </c>
      <c r="C118" s="38" t="s">
        <v>47</v>
      </c>
      <c r="D118" s="43">
        <f>TRUNC(11556,-1)</f>
        <v>11550</v>
      </c>
      <c r="E118" s="64">
        <f t="shared" si="3"/>
        <v>38180</v>
      </c>
    </row>
    <row r="119" spans="1:7" x14ac:dyDescent="0.3">
      <c r="A119" s="2">
        <v>22</v>
      </c>
      <c r="C119" s="27" t="s">
        <v>112</v>
      </c>
      <c r="D119" s="39">
        <f>SUM(D98:D118)</f>
        <v>231070</v>
      </c>
      <c r="E119" s="39">
        <f>SUM(E98:E118)</f>
        <v>763820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TRUNC(5706,-1)</f>
        <v>5700</v>
      </c>
      <c r="E122" s="62">
        <f t="shared" ref="E122:E132" si="4">TRUNC(+D122*3.3058,-1)</f>
        <v>18840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TRUNC(1497,-1)</f>
        <v>1490</v>
      </c>
      <c r="E124" s="63">
        <f t="shared" si="4"/>
        <v>4920</v>
      </c>
    </row>
    <row r="125" spans="1:7" x14ac:dyDescent="0.3">
      <c r="A125" s="2">
        <v>4</v>
      </c>
      <c r="C125" s="38" t="s">
        <v>138</v>
      </c>
      <c r="D125" s="42">
        <v>5630</v>
      </c>
      <c r="E125" s="63">
        <f t="shared" si="4"/>
        <v>18610</v>
      </c>
    </row>
    <row r="126" spans="1:7" x14ac:dyDescent="0.3">
      <c r="A126" s="2">
        <v>5</v>
      </c>
      <c r="C126" s="38" t="s">
        <v>53</v>
      </c>
      <c r="D126" s="42">
        <f>TRUNC(6435,-1)</f>
        <v>6430</v>
      </c>
      <c r="E126" s="63">
        <f t="shared" si="4"/>
        <v>21250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TRUNC(6021,-1)</f>
        <v>6020</v>
      </c>
      <c r="E128" s="63">
        <f t="shared" si="4"/>
        <v>19900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TRUNC(31207,-1)</f>
        <v>31200</v>
      </c>
      <c r="E130" s="63">
        <f t="shared" si="4"/>
        <v>103140</v>
      </c>
    </row>
    <row r="131" spans="1:7" x14ac:dyDescent="0.3">
      <c r="A131" s="2">
        <v>10</v>
      </c>
      <c r="C131" s="38" t="s">
        <v>148</v>
      </c>
      <c r="D131" s="42">
        <v>21490</v>
      </c>
      <c r="E131" s="63">
        <f t="shared" si="4"/>
        <v>71040</v>
      </c>
    </row>
    <row r="132" spans="1:7" ht="18" thickBot="1" x14ac:dyDescent="0.35">
      <c r="A132" s="2">
        <v>11</v>
      </c>
      <c r="C132" s="38" t="s">
        <v>47</v>
      </c>
      <c r="D132" s="43">
        <f>TRUNC(4867+215+1142,-1)</f>
        <v>6220</v>
      </c>
      <c r="E132" s="64">
        <f t="shared" si="4"/>
        <v>20560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84180</v>
      </c>
      <c r="E133" s="39">
        <f>SUM(E122:E132)</f>
        <v>278260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TRUNC(2648+799,-1)</f>
        <v>3440</v>
      </c>
      <c r="E137" s="63">
        <f t="shared" si="5"/>
        <v>11370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TRUNC(868,-1)</f>
        <v>860</v>
      </c>
      <c r="E139" s="63">
        <f t="shared" si="5"/>
        <v>2840</v>
      </c>
    </row>
    <row r="140" spans="1:7" x14ac:dyDescent="0.3">
      <c r="A140" s="2">
        <v>5</v>
      </c>
      <c r="C140" s="38" t="s">
        <v>57</v>
      </c>
      <c r="D140" s="42">
        <f>TRUNC(1147,-1)</f>
        <v>1140</v>
      </c>
      <c r="E140" s="63">
        <f t="shared" si="5"/>
        <v>3760</v>
      </c>
    </row>
    <row r="141" spans="1:7" x14ac:dyDescent="0.3">
      <c r="A141" s="2">
        <v>6</v>
      </c>
      <c r="C141" s="38" t="s">
        <v>59</v>
      </c>
      <c r="D141" s="42">
        <f>TRUNC(1973,-1)</f>
        <v>1970</v>
      </c>
      <c r="E141" s="63">
        <f t="shared" si="5"/>
        <v>6510</v>
      </c>
    </row>
    <row r="142" spans="1:7" x14ac:dyDescent="0.3">
      <c r="A142" s="2">
        <v>7</v>
      </c>
      <c r="C142" s="38" t="s">
        <v>58</v>
      </c>
      <c r="D142" s="42">
        <f>TRUNC(2628,-1)</f>
        <v>2620</v>
      </c>
      <c r="E142" s="63">
        <f t="shared" si="5"/>
        <v>8660</v>
      </c>
    </row>
    <row r="143" spans="1:7" x14ac:dyDescent="0.3">
      <c r="A143" s="2">
        <v>8</v>
      </c>
      <c r="C143" s="38" t="s">
        <v>62</v>
      </c>
      <c r="D143" s="42">
        <f>TRUNC(4696,-1)</f>
        <v>4690</v>
      </c>
      <c r="E143" s="63">
        <f t="shared" si="5"/>
        <v>15500</v>
      </c>
    </row>
    <row r="144" spans="1:7" x14ac:dyDescent="0.3">
      <c r="A144" s="2">
        <v>9</v>
      </c>
      <c r="C144" s="38" t="s">
        <v>63</v>
      </c>
      <c r="D144" s="42">
        <f>TRUNC(13521-1)</f>
        <v>13520</v>
      </c>
      <c r="E144" s="63">
        <f t="shared" si="5"/>
        <v>44690</v>
      </c>
    </row>
    <row r="145" spans="1:7" ht="17.25" thickBot="1" x14ac:dyDescent="0.35">
      <c r="A145" s="2">
        <v>10</v>
      </c>
      <c r="C145" s="38" t="s">
        <v>148</v>
      </c>
      <c r="D145" s="43">
        <f>TRUNC(3243,-1)</f>
        <v>3240</v>
      </c>
      <c r="E145" s="64">
        <f t="shared" si="5"/>
        <v>10710</v>
      </c>
    </row>
    <row r="146" spans="1:7" x14ac:dyDescent="0.3">
      <c r="A146" s="2">
        <v>11</v>
      </c>
      <c r="C146" s="27" t="s">
        <v>112</v>
      </c>
      <c r="D146" s="39">
        <f>SUM(D136:D145)</f>
        <v>31480</v>
      </c>
      <c r="E146" s="39">
        <f>SUM(E136:E145)</f>
        <v>104040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TRUNC(10734+4204,-1)</f>
        <v>14930</v>
      </c>
      <c r="E149" s="62">
        <f>TRUNC(+D149*3.3058,-1)</f>
        <v>49350</v>
      </c>
    </row>
    <row r="150" spans="1:7" x14ac:dyDescent="0.3">
      <c r="A150" s="2">
        <v>2</v>
      </c>
      <c r="C150" s="38" t="s">
        <v>49</v>
      </c>
      <c r="D150" s="42">
        <f>TRUNC(8372,-1)</f>
        <v>8370</v>
      </c>
      <c r="E150" s="63">
        <f>TRUNC(+D150*3.3058,-1)</f>
        <v>27660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TRUNC(2080+4008+1878,-1)</f>
        <v>7960</v>
      </c>
      <c r="E152" s="63">
        <f>TRUNC(+D152*3.3058,-1)</f>
        <v>26310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TRUNC(28702,-1)</f>
        <v>28700</v>
      </c>
      <c r="E153" s="64">
        <f>TRUNC(+D153*3.3058,-1)</f>
        <v>94870</v>
      </c>
    </row>
    <row r="154" spans="1:7" x14ac:dyDescent="0.3">
      <c r="A154" s="2">
        <v>6</v>
      </c>
      <c r="C154" s="27" t="s">
        <v>112</v>
      </c>
      <c r="D154" s="39">
        <f>SUM(D149:D153)</f>
        <v>59960</v>
      </c>
      <c r="E154" s="39">
        <f>SUM(E149:E153)</f>
        <v>198190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TRUNC(44558,-1)</f>
        <v>44550</v>
      </c>
      <c r="E157" s="62">
        <f>TRUNC(+D157*3.3058,-1)</f>
        <v>147270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TRUNC(13545,-1)</f>
        <v>13540</v>
      </c>
      <c r="E159" s="63">
        <f>TRUNC(+D159*3.3058,-1)</f>
        <v>44760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58090</v>
      </c>
      <c r="E161" s="39">
        <f>SUM(E157:E160)</f>
        <v>192030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2020-12-08T01:23:21Z</dcterms:modified>
</cp:coreProperties>
</file>