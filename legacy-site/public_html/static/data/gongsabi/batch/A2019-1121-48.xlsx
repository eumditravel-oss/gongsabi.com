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39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2" i="4"/>
  <c r="D100" i="4"/>
  <c r="D98" i="4"/>
  <c r="D69" i="4"/>
  <c r="D94" i="4"/>
  <c r="D93" i="4"/>
  <c r="D92" i="4"/>
  <c r="D91" i="4"/>
  <c r="D89" i="4"/>
  <c r="D73" i="4"/>
  <c r="D70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<sst xmlns="http://schemas.openxmlformats.org/spreadsheetml/2006/main" count="394" uniqueCount="271">
  <si>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</si>
  <si>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</si>
  <si>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</si>
  <si>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</si>
  <si>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</si>
  <si>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</si>
  <si>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</si>
  <si>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</si>
  <si>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</si>
  <si>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</si>
  <si>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</si>
  <si>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</si>
  <si>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</si>
  <si>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</si>
  <si>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</si>
  <si>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</si>
  <si>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</si>
  <si>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</si>
  <si>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</si>
  <si>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</si>
  <si>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</si>
  <si>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</si>
  <si>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</si>
  <si>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</si>
  <si>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</si>
  <si>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</si>
  <si>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</si>
  <si>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</si>
  <si>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</si>
  <si>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</si>
  <si>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</si>
  <si>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</si>
  <si>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</si>
  <si>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</si>
  <si>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</si>
  <si>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</si>
  <si>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</si>
  <si>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</si>
  <si>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</si>
  <si>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</si>
  <si>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</si>
  <si>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</si>
  <si>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</si>
  <si>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</si>
  <si>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</si>
  <si>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</si>
  <si>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</si>
  <si>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</si>
  <si>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</si>
  <si>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</si>
  <si>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</si>
  <si>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</si>
  <si>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</si>
  <si>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</si>
  <si>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</si>
  <si>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</si>
  <si>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</si>
  <si>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</si>
  <si>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</si>
  <si>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</si>
  <si>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</si>
  <si>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</si>
  <si>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</si>
  <si>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</si>
  <si>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</si>
  <si>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</si>
  <si>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</si>
  <si>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</si>
  <si>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</si>
  <si>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</si>
  <si>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</si>
  <si>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</si>
  <si>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</si>
  <si>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</si>
  <si>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</si>
  <si>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</si>
  <si>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</si>
  <si>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</si>
  <si>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</si>
  <si>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</si>
  <si>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</si>
  <si>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</si>
  <si>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</si>
  <si>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</si>
  <si>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</si>
  <si>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</si>
  <si>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</si>
  <si>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</si>
  <si>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</si>
  <si>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</si>
  <si>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</si>
  <si>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</si>
  <si>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</si>
  <si>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</si>
  <si>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</si>
  <si>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</si>
  <si>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</si>
  <si>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</si>
  <si>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</si>
  <si>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</si>
  <si>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</si>
  <si>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</si>
  <si>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</si>
  <si>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</si>
  <si>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</si>
  <si>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</si>
  <si>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</si>
  <si>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</si>
  <si>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</si>
  <si>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</si>
  <si>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</si>
  <si>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</si>
  <si>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</si>
  <si>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</si>
  <si>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</si>
  <si>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</si>
  <si>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</si>
  <si>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</si>
  <si>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</si>
  <si>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</si>
  <si>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</si>
  <si>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</si>
  <si>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</si>
  <si>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</si>
  <si>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</si>
  <si>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</si>
  <si>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</si>
  <si>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</si>
  <si>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</si>
  <si>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</si>
  <si>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</si>
  <si>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</si>
  <si>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</si>
  <si>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</si>
  <si>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</si>
  <si>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</si>
  <si>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</si>
  <si>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</si>
  <si>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</si>
  <si>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</si>
  <si>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</si>
  <si>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</si>
  <si>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</si>
  <si>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</si>
  <si>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</si>
  <si>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</si>
  <si>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</si>
  <si>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</si>
  <si>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</si>
  <si>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</si>
  <si>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</si>
  <si>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</si>
  <si>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</si>
  <si>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</si>
  <si>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</si>
  <si>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</si>
  <si>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</si>
  <si>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</si>
  <si>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</si>
  <si>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</si>
  <si>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</si>
  <si>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</si>
  <si>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</si>
  <si>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</si>
  <si>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</si>
  <si>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</si>
  <si>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</si>
  <si>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</si>
  <si>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</si>
  <si>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</si>
  <si>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</si>
  <si>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</si>
  <si>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</si>
  <si>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</si>
  <si>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</si>
  <si>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</si>
  <si>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</si>
  <si>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</si>
  <si>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</si>
  <si>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</si>
  <si>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</si>
  <si>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</si>
  <si>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</si>
  <si>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</si>
  <si>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</si>
  <si>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</si>
  <si>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</si>
  <si>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</si>
  <si>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</si>
  <si>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</si>
  <si>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</si>
  <si>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</si>
  <si>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</si>
  <si>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</si>
  <si>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</si>
  <si>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</si>
  <si>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</si>
  <si>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</si>
  <si>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</si>
  <si>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</si>
  <si>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</si>
  <si>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</si>
  <si>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</si>
  <si>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</si>
  <si>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</si>
  <si>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</si>
  <si>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</si>
  <si>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</si>
  <si>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</si>
  <si>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</si>
  <si>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</si>
  <si>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</si>
  <si>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</si>
  <si>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</si>
  <si>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</si>
  <si>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</si>
  <si>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</si>
  <si>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</si>
  <si>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</si>
  <si>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</si>
  <si>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</si>
  <si>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</si>
  <si>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</si>
  <si>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</si>
  <si>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</si>
  <si>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</si>
  <si>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</si>
  <si>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</si>
  <si>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</si>
  <si>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</si>
  <si>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</si>
  <si>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</si>
  <si>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</si>
  <si>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</si>
  <si>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</si>
  <si>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</si>
  <si>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</si>
  <si>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</si>
  <si>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</si>
  <si>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</si>
  <si>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</si>
  <si>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</si>
  <si>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</si>
  <si>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</si>
  <si>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</si>
  <si>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</si>
  <si>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</si>
  <si>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</si>
  <si>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차세대융합기술혁신센터(OpenLAB) 건립공사(건축)</t>
    <phoneticPr fontId="2" type="noConversion"/>
  </si>
  <si>
    <t>교육연구</t>
  </si>
  <si>
    <t>서울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</si>
  <si>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</si>
  <si>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</si>
  <si>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</si>
  <si>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기초공사,골재비및운반비,품질시험비,기타공사</t>
    <phoneticPr fontId="2" type="noConversion"/>
  </si>
  <si>
    <t>난방배관공사,기타공사</t>
    <phoneticPr fontId="2" type="noConversion"/>
  </si>
  <si>
    <t xml:space="preserve">전기인입 및 수변전 설비공사  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</si>
  <si>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</si>
  <si>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</si>
  <si>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</si>
  <si>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</si>
  <si>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상수도공사</t>
    <phoneticPr fontId="2" type="noConversion"/>
  </si>
  <si>
    <t>포장공사</t>
    <phoneticPr fontId="2" type="noConversion"/>
  </si>
  <si>
    <t>조경시설물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</si>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</sst>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3125.59</v>
      </c>
      <c r="D7" s="36">
        <f>+C7/3.3058</f>
        <v>945.48672030975865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924880</v>
      </c>
      <c r="E25" s="59">
        <f t="shared" si="0"/>
        <v>3057460</v>
      </c>
    </row>
    <row r="26" spans="1:5" x14ac:dyDescent="0.3">
      <c r="B26" s="2">
        <v>3</v>
      </c>
      <c r="C26" s="35" t="s">
        <v>95</v>
      </c>
      <c r="D26" s="45">
        <f>+D66</f>
        <v>16340</v>
      </c>
      <c r="E26" s="59">
        <f t="shared" si="0"/>
        <v>54010</v>
      </c>
    </row>
    <row r="27" spans="1:5" x14ac:dyDescent="0.3">
      <c r="B27" s="2">
        <v>4</v>
      </c>
      <c r="C27" s="35" t="s">
        <v>96</v>
      </c>
      <c r="D27" s="45">
        <f>+D95</f>
        <v>206100</v>
      </c>
      <c r="E27" s="59">
        <f t="shared" si="0"/>
        <v>681320</v>
      </c>
    </row>
    <row r="28" spans="1:5" x14ac:dyDescent="0.3">
      <c r="B28" s="2">
        <v>5</v>
      </c>
      <c r="C28" s="35" t="s">
        <v>97</v>
      </c>
      <c r="D28" s="45">
        <f>+D119</f>
        <v>199540</v>
      </c>
      <c r="E28" s="59">
        <f t="shared" si="0"/>
        <v>659630</v>
      </c>
    </row>
    <row r="29" spans="1:5" x14ac:dyDescent="0.3">
      <c r="B29" s="2">
        <v>6</v>
      </c>
      <c r="C29" s="35" t="s">
        <v>98</v>
      </c>
      <c r="D29" s="45">
        <f>+D133</f>
        <v>106840</v>
      </c>
      <c r="E29" s="59">
        <f t="shared" si="0"/>
        <v>353190</v>
      </c>
    </row>
    <row r="30" spans="1:5" x14ac:dyDescent="0.3">
      <c r="B30" s="2">
        <v>7</v>
      </c>
      <c r="C30" s="35" t="s">
        <v>99</v>
      </c>
      <c r="D30" s="45">
        <f>+D146</f>
        <v>45660</v>
      </c>
      <c r="E30" s="59">
        <f t="shared" si="0"/>
        <v>150940</v>
      </c>
    </row>
    <row r="31" spans="1:5" x14ac:dyDescent="0.3">
      <c r="B31" s="2">
        <v>8</v>
      </c>
      <c r="C31" s="35" t="s">
        <v>100</v>
      </c>
      <c r="D31" s="45">
        <f>+D154</f>
        <v>46600</v>
      </c>
      <c r="E31" s="59">
        <f t="shared" si="0"/>
        <v>154050</v>
      </c>
    </row>
    <row r="32" spans="1:5" x14ac:dyDescent="0.3">
      <c r="B32" s="2">
        <v>9</v>
      </c>
      <c r="C32" s="35" t="s">
        <v>101</v>
      </c>
      <c r="D32" s="45">
        <f>+D161</f>
        <v>72000</v>
      </c>
      <c r="E32" s="59">
        <f t="shared" si="0"/>
        <v>238010</v>
      </c>
    </row>
    <row r="33" spans="1:7" x14ac:dyDescent="0.3">
      <c r="B33" s="2">
        <v>10</v>
      </c>
      <c r="C33" s="35" t="s">
        <v>154</v>
      </c>
      <c r="D33" s="53">
        <f>TRUNC(SUM(D24:D32)*0.275,-1)</f>
        <v>444930</v>
      </c>
      <c r="E33" s="60">
        <f t="shared" si="0"/>
        <v>1470840</v>
      </c>
    </row>
    <row r="34" spans="1:7" x14ac:dyDescent="0.3">
      <c r="C34" s="35" t="s">
        <v>112</v>
      </c>
      <c r="D34" s="44">
        <f>SUM(D24:D33)</f>
        <v>2062890</v>
      </c>
      <c r="E34" s="44">
        <f>SUM(E24:E33)</f>
        <v>6819450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TRUNC(55524,-1)</f>
        <v>55520</v>
      </c>
      <c r="E40" s="62">
        <f t="shared" ref="E40:E59" si="1">TRUNC(+D40*3.3058,-1)</f>
        <v>183530</v>
      </c>
    </row>
    <row r="41" spans="1:7" x14ac:dyDescent="0.3">
      <c r="A41" s="2">
        <v>2</v>
      </c>
      <c r="C41" s="38" t="s">
        <v>13</v>
      </c>
      <c r="D41" s="42">
        <v>208760</v>
      </c>
      <c r="E41" s="63">
        <f t="shared" si="1"/>
        <v>690110</v>
      </c>
    </row>
    <row r="42" spans="1:7" x14ac:dyDescent="0.3">
      <c r="A42" s="2">
        <v>3</v>
      </c>
      <c r="C42" s="38" t="s">
        <v>14</v>
      </c>
      <c r="D42" s="42">
        <f>TRUNC(13453,-1)</f>
        <v>13450</v>
      </c>
      <c r="E42" s="63">
        <f t="shared" si="1"/>
        <v>44460</v>
      </c>
    </row>
    <row r="43" spans="1:7" x14ac:dyDescent="0.3">
      <c r="A43" s="2">
        <v>4</v>
      </c>
      <c r="C43" s="38" t="s">
        <v>16</v>
      </c>
      <c r="D43" s="42">
        <f>TRUNC(24814,-1)</f>
        <v>24810</v>
      </c>
      <c r="E43" s="63">
        <f t="shared" si="1"/>
        <v>82010</v>
      </c>
    </row>
    <row r="44" spans="1:7" x14ac:dyDescent="0.3">
      <c r="A44" s="2">
        <v>5</v>
      </c>
      <c r="C44" s="38" t="s">
        <v>17</v>
      </c>
      <c r="D44" s="42">
        <f>TRUNC(34617,-1)</f>
        <v>34610</v>
      </c>
      <c r="E44" s="63">
        <f t="shared" si="1"/>
        <v>114410</v>
      </c>
    </row>
    <row r="45" spans="1:7" x14ac:dyDescent="0.3">
      <c r="A45" s="2">
        <v>6</v>
      </c>
      <c r="C45" s="38" t="s">
        <v>18</v>
      </c>
      <c r="D45" s="42">
        <f>TRUNC(3568,-1)</f>
        <v>3560</v>
      </c>
      <c r="E45" s="63">
        <f t="shared" si="1"/>
        <v>11760</v>
      </c>
    </row>
    <row r="46" spans="1:7" x14ac:dyDescent="0.3">
      <c r="A46" s="2">
        <v>7</v>
      </c>
      <c r="C46" s="38" t="s">
        <v>19</v>
      </c>
      <c r="D46" s="42">
        <f>TRUNC(65957,-1)</f>
        <v>65950</v>
      </c>
      <c r="E46" s="63">
        <f t="shared" si="1"/>
        <v>218010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TRUNC(23207,-1)</f>
        <v>23200</v>
      </c>
      <c r="E48" s="63">
        <f t="shared" si="1"/>
        <v>76690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TRUNC(19597,-1)</f>
        <v>19590</v>
      </c>
      <c r="E49" s="63">
        <f t="shared" si="1"/>
        <v>64760</v>
      </c>
    </row>
    <row r="50" spans="1:7" x14ac:dyDescent="0.3">
      <c r="A50" s="2">
        <v>11</v>
      </c>
      <c r="C50" s="38" t="s">
        <v>155</v>
      </c>
      <c r="D50" s="42">
        <f>TRUNC(76103,-1)</f>
        <v>76100</v>
      </c>
      <c r="E50" s="63">
        <f t="shared" si="1"/>
        <v>251570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TRUNC(40957,-1)</f>
        <v>40950</v>
      </c>
      <c r="E52" s="63">
        <f t="shared" si="1"/>
        <v>135370</v>
      </c>
    </row>
    <row r="53" spans="1:7" x14ac:dyDescent="0.3">
      <c r="A53" s="2">
        <v>14</v>
      </c>
      <c r="C53" s="38" t="s">
        <v>25</v>
      </c>
      <c r="D53" s="42">
        <f>TRUNC(45047,-1)</f>
        <v>45040</v>
      </c>
      <c r="E53" s="63">
        <f t="shared" si="1"/>
        <v>148890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TRUNC(38393+7391+1268+18151,-1)</f>
        <v>65200</v>
      </c>
      <c r="E58" s="63">
        <f t="shared" si="1"/>
        <v>215530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TRUNC(248148,-1)</f>
        <v>248140</v>
      </c>
      <c r="E59" s="64">
        <f t="shared" si="1"/>
        <v>820300</v>
      </c>
    </row>
    <row r="60" spans="1:7" x14ac:dyDescent="0.3">
      <c r="A60" s="2">
        <v>21</v>
      </c>
      <c r="C60" s="27" t="s">
        <v>112</v>
      </c>
      <c r="D60" s="39">
        <f>SUM(D40:D59)</f>
        <v>924880</v>
      </c>
      <c r="E60" s="39">
        <f>SUM(E40:E59)</f>
        <v>3057400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TRUNC(16342,-1)</f>
        <v>16340</v>
      </c>
      <c r="E63" s="62">
        <f>TRUNC(+D63*3.3058,-1)</f>
        <v>54010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16340</v>
      </c>
      <c r="E66" s="65">
        <f>SUM(E63:E65)</f>
        <v>54010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TRUNC(6608,-1)</f>
        <v>6600</v>
      </c>
      <c r="E69" s="62">
        <f t="shared" ref="E69:E94" si="2">TRUNC(+D69*3.3058,-1)</f>
        <v>21810</v>
      </c>
    </row>
    <row r="70" spans="1:7" ht="16.5" customHeight="1" x14ac:dyDescent="0.3">
      <c r="A70" s="2">
        <v>2</v>
      </c>
      <c r="C70" s="38" t="s">
        <v>31</v>
      </c>
      <c r="D70" s="42">
        <f>TRUNC(891,-1)</f>
        <v>890</v>
      </c>
      <c r="E70" s="63">
        <f t="shared" si="2"/>
        <v>2940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TRUNC(6666,-1)</f>
        <v>6660</v>
      </c>
      <c r="E73" s="63">
        <f t="shared" si="2"/>
        <v>22010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TRUNC(4567,-1)</f>
        <v>4560</v>
      </c>
      <c r="E89" s="63">
        <f t="shared" si="2"/>
        <v>15070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TRUNC(12014,-1)</f>
        <v>12010</v>
      </c>
      <c r="E91" s="63">
        <f t="shared" si="2"/>
        <v>39700</v>
      </c>
    </row>
    <row r="92" spans="1:7" x14ac:dyDescent="0.3">
      <c r="A92" s="2">
        <v>24</v>
      </c>
      <c r="C92" s="38" t="s">
        <v>38</v>
      </c>
      <c r="D92" s="42">
        <f>TRUNC(8732,-1)</f>
        <v>8730</v>
      </c>
      <c r="E92" s="63">
        <f t="shared" si="2"/>
        <v>28850</v>
      </c>
    </row>
    <row r="93" spans="1:7" x14ac:dyDescent="0.3">
      <c r="A93" s="2">
        <v>25</v>
      </c>
      <c r="C93" s="38" t="s">
        <v>148</v>
      </c>
      <c r="D93" s="42">
        <f>TRUNC(163503,-1)</f>
        <v>163500</v>
      </c>
      <c r="E93" s="63">
        <f t="shared" si="2"/>
        <v>540490</v>
      </c>
    </row>
    <row r="94" spans="1:7" ht="17.25" thickBot="1" x14ac:dyDescent="0.35">
      <c r="A94" s="2">
        <v>26</v>
      </c>
      <c r="C94" s="38" t="s">
        <v>47</v>
      </c>
      <c r="D94" s="43">
        <f>TRUNC(2810+343,-1)</f>
        <v>3150</v>
      </c>
      <c r="E94" s="64">
        <f t="shared" si="2"/>
        <v>10410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206100</v>
      </c>
      <c r="E95" s="39">
        <f>SUM(E69:E94)</f>
        <v>681280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TRUNC(22264,-1)</f>
        <v>22260</v>
      </c>
      <c r="E98" s="62">
        <f t="shared" ref="E98:E118" si="3">TRUNC(+D98*3.3058,-1)</f>
        <v>73580</v>
      </c>
    </row>
    <row r="99" spans="1:7" x14ac:dyDescent="0.3">
      <c r="A99" s="2">
        <v>2</v>
      </c>
      <c r="C99" s="38" t="s">
        <v>40</v>
      </c>
      <c r="D99" s="42">
        <v>11980</v>
      </c>
      <c r="E99" s="63">
        <f t="shared" si="3"/>
        <v>39600</v>
      </c>
    </row>
    <row r="100" spans="1:7" x14ac:dyDescent="0.3">
      <c r="A100" s="2">
        <v>3</v>
      </c>
      <c r="C100" s="38" t="s">
        <v>41</v>
      </c>
      <c r="D100" s="42">
        <f>TRUNC(36773,-1)</f>
        <v>36770</v>
      </c>
      <c r="E100" s="63">
        <f t="shared" si="3"/>
        <v>121550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TRUNC(10828,-1)</f>
        <v>10820</v>
      </c>
      <c r="E102" s="63">
        <f t="shared" si="3"/>
        <v>35760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TRUNC(7014,-1)</f>
        <v>7010</v>
      </c>
      <c r="E104" s="63">
        <f t="shared" si="3"/>
        <v>23170</v>
      </c>
    </row>
    <row r="105" spans="1:7" x14ac:dyDescent="0.3">
      <c r="A105" s="2">
        <v>8</v>
      </c>
      <c r="C105" s="38" t="s">
        <v>46</v>
      </c>
      <c r="D105" s="42">
        <f>TRUNC(5069,-1)</f>
        <v>5060</v>
      </c>
      <c r="E105" s="63">
        <f t="shared" si="3"/>
        <v>16720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TRUNC(4509,-1)</f>
        <v>4500</v>
      </c>
      <c r="E114" s="63">
        <f t="shared" si="3"/>
        <v>14870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TRUNC(5564,-1)</f>
        <v>5560</v>
      </c>
      <c r="E116" s="63">
        <f t="shared" si="3"/>
        <v>18380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TRUNC(88414,-1)</f>
        <v>88410</v>
      </c>
      <c r="E117" s="63">
        <f t="shared" si="3"/>
        <v>292260</v>
      </c>
    </row>
    <row r="118" spans="1:7" ht="17.25" thickBot="1" x14ac:dyDescent="0.35">
      <c r="A118" s="2">
        <v>21</v>
      </c>
      <c r="C118" s="38" t="s">
        <v>47</v>
      </c>
      <c r="D118" s="43">
        <f>TRUNC(1972+5200,-1)</f>
        <v>7170</v>
      </c>
      <c r="E118" s="64">
        <f t="shared" si="3"/>
        <v>23700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199540</v>
      </c>
      <c r="E119" s="39">
        <f>SUM(E98:E118)</f>
        <v>659590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TRUNC(7727,-1)</f>
        <v>7720</v>
      </c>
      <c r="E122" s="62">
        <f t="shared" ref="E122:E132" si="4">TRUNC(+D122*3.3058,-1)</f>
        <v>25520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TRUNC(4435,-1)</f>
        <v>4430</v>
      </c>
      <c r="E124" s="63">
        <f t="shared" si="4"/>
        <v>14640</v>
      </c>
    </row>
    <row r="125" spans="1:7" x14ac:dyDescent="0.3">
      <c r="A125" s="2">
        <v>4</v>
      </c>
      <c r="C125" s="38" t="s">
        <v>138</v>
      </c>
      <c r="D125" s="42">
        <f>TRUNC(7533,-1)</f>
        <v>7530</v>
      </c>
      <c r="E125" s="63">
        <f t="shared" si="4"/>
        <v>24890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TRUNC(1589,-1)</f>
        <v>1580</v>
      </c>
      <c r="E127" s="63">
        <f t="shared" si="4"/>
        <v>5220</v>
      </c>
    </row>
    <row r="128" spans="1:7" x14ac:dyDescent="0.3">
      <c r="A128" s="2">
        <v>7</v>
      </c>
      <c r="C128" s="38" t="s">
        <v>46</v>
      </c>
      <c r="D128" s="42">
        <f>TRUNC(9291,-1)</f>
        <v>9290</v>
      </c>
      <c r="E128" s="63">
        <f t="shared" si="4"/>
        <v>30710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TRUNC(17175,-1)</f>
        <v>17170</v>
      </c>
      <c r="E130" s="63">
        <f t="shared" si="4"/>
        <v>56760</v>
      </c>
    </row>
    <row r="131" spans="1:7" x14ac:dyDescent="0.3">
      <c r="A131" s="2">
        <v>10</v>
      </c>
      <c r="C131" s="38" t="s">
        <v>148</v>
      </c>
      <c r="D131" s="42">
        <f>TRUNC(58076,-1)</f>
        <v>58070</v>
      </c>
      <c r="E131" s="63">
        <f t="shared" si="4"/>
        <v>191960</v>
      </c>
    </row>
    <row r="132" spans="1:7" ht="18" thickBot="1" x14ac:dyDescent="0.35">
      <c r="A132" s="2">
        <v>11</v>
      </c>
      <c r="C132" s="38" t="s">
        <v>47</v>
      </c>
      <c r="D132" s="43">
        <f>TRUNC(1058,-1)</f>
        <v>1050</v>
      </c>
      <c r="E132" s="64">
        <f t="shared" si="4"/>
        <v>3470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106840</v>
      </c>
      <c r="E133" s="39">
        <f>SUM(E122:E132)</f>
        <v>353170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TRUNC(1291,-1)</f>
        <v>1290</v>
      </c>
      <c r="E139" s="63">
        <f t="shared" si="5"/>
        <v>4260</v>
      </c>
    </row>
    <row r="140" spans="1:7" x14ac:dyDescent="0.3">
      <c r="A140" s="2">
        <v>5</v>
      </c>
      <c r="C140" s="38" t="s">
        <v>57</v>
      </c>
      <c r="D140" s="42">
        <v>3200</v>
      </c>
      <c r="E140" s="63">
        <f t="shared" si="5"/>
        <v>10570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11780</v>
      </c>
      <c r="E142" s="63">
        <f t="shared" si="5"/>
        <v>38940</v>
      </c>
    </row>
    <row r="143" spans="1:7" x14ac:dyDescent="0.3">
      <c r="A143" s="2">
        <v>8</v>
      </c>
      <c r="C143" s="38" t="s">
        <v>62</v>
      </c>
      <c r="D143" s="42">
        <f>TRUNC(5093,-1)</f>
        <v>5090</v>
      </c>
      <c r="E143" s="63">
        <f t="shared" si="5"/>
        <v>16820</v>
      </c>
    </row>
    <row r="144" spans="1:7" x14ac:dyDescent="0.3">
      <c r="A144" s="2">
        <v>9</v>
      </c>
      <c r="C144" s="38" t="s">
        <v>63</v>
      </c>
      <c r="D144" s="42">
        <f>TRUNC(24302,-1)</f>
        <v>24300</v>
      </c>
      <c r="E144" s="63">
        <f t="shared" si="5"/>
        <v>80330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45660</v>
      </c>
      <c r="E146" s="39">
        <f>SUM(E136:E145)</f>
        <v>150920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TRUNC(14389+1496,-1)</f>
        <v>15880</v>
      </c>
      <c r="E149" s="62">
        <f>TRUNC(+D149*3.3058,-1)</f>
        <v>52490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TRUNC(13941,-1)</f>
        <v>13940</v>
      </c>
      <c r="E150" s="63">
        <f>TRUNC(+D150*3.3058,-1)</f>
        <v>46080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TRUNC(305,-1)</f>
        <v>300</v>
      </c>
      <c r="E152" s="63">
        <f>TRUNC(+D152*3.3058,-1)</f>
        <v>990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TRUNC(16485,-1)</f>
        <v>16480</v>
      </c>
      <c r="E153" s="64">
        <f>TRUNC(+D153*3.3058,-1)</f>
        <v>54470</v>
      </c>
    </row>
    <row r="154" spans="1:7" x14ac:dyDescent="0.3">
      <c r="A154" s="2">
        <v>6</v>
      </c>
      <c r="C154" s="27" t="s">
        <v>112</v>
      </c>
      <c r="D154" s="39">
        <f>SUM(D149:D153)</f>
        <v>46600</v>
      </c>
      <c r="E154" s="39">
        <f>SUM(E149:E153)</f>
        <v>154030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TRUNC(32771,-1)</f>
        <v>32770</v>
      </c>
      <c r="E157" s="62">
        <f>TRUNC(+D157*3.3058,-1)</f>
        <v>108330</v>
      </c>
    </row>
    <row r="158" spans="1:7" x14ac:dyDescent="0.3">
      <c r="A158" s="2">
        <v>2</v>
      </c>
      <c r="C158" s="38" t="s">
        <v>52</v>
      </c>
      <c r="D158" s="42">
        <f>TRUNC(4968,-1)</f>
        <v>4960</v>
      </c>
      <c r="E158" s="63">
        <f>TRUNC(+D158*3.3058,-1)</f>
        <v>16390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TRUNC(25249,-1)</f>
        <v>25240</v>
      </c>
      <c r="E159" s="63">
        <f>TRUNC(+D159*3.3058,-1)</f>
        <v>83430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9030</v>
      </c>
      <c r="E160" s="64">
        <f>TRUNC(+D160*3.3058,-1)</f>
        <v>29850</v>
      </c>
    </row>
    <row r="161" spans="1:5" x14ac:dyDescent="0.3">
      <c r="A161" s="2">
        <v>5</v>
      </c>
      <c r="C161" s="27" t="s">
        <v>112</v>
      </c>
      <c r="D161" s="39">
        <f>SUM(D157:D160)</f>
        <v>72000</v>
      </c>
      <c r="E161" s="39">
        <f>SUM(E157:E160)</f>
        <v>238000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2020-12-08T04:23:23Z</dcterms:modified>
</cp:coreProperties>
</file>