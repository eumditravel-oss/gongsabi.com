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50" i="4"/>
  <c r="D149" i="4"/>
  <c r="D143" i="4"/>
  <c r="D142" i="4"/>
  <c r="D141" i="4"/>
  <c r="D140" i="4"/>
  <c r="D139" i="4"/>
  <c r="D137" i="4"/>
  <c r="D132" i="4"/>
  <c r="D131" i="4"/>
  <c r="D130" i="4"/>
  <c r="D128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99" i="4"/>
  <c r="D98" i="4"/>
  <c r="D92" i="4"/>
  <c r="D89" i="4"/>
  <c r="D76" i="4"/>
  <c r="D72" i="4"/>
  <c r="D69" i="4"/>
  <c r="D63" i="4"/>
  <c r="D59" i="4"/>
  <c r="D58" i="4"/>
  <c r="D53" i="4"/>
  <c r="D52" i="4"/>
  <c r="D49" i="4"/>
  <c r="D48" i="4"/>
  <c r="D46" i="4"/>
  <c r="D45" i="4"/>
  <c r="D44" i="4"/>
  <c r="D43" i="4"/>
  <c r="D42" i="4"/>
  <c r="D41" i="4"/>
  <c r="D40" i="4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<sst xmlns="http://schemas.openxmlformats.org/spreadsheetml/2006/main" count="392" uniqueCount="268">
  <si>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</si>
  <si>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</si>
  <si>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</si>
  <si>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</si>
  <si>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</si>
  <si>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</si>
  <si>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</si>
  <si>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</si>
  <si>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</si>
  <si>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</si>
  <si>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</si>
  <si>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</si>
  <si>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</si>
  <si>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</si>
  <si>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</si>
  <si>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</si>
  <si>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</si>
  <si>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</si>
  <si>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</si>
  <si>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</si>
  <si>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</si>
  <si>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</si>
  <si>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</si>
  <si>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</si>
  <si>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</si>
  <si>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</si>
  <si>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</si>
  <si>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</si>
  <si>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</si>
  <si>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</si>
  <si>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</si>
  <si>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</si>
  <si>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</si>
  <si>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</si>
  <si>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</si>
  <si>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</si>
  <si>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</si>
  <si>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</si>
  <si>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</si>
  <si>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</si>
  <si>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</si>
  <si>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</si>
  <si>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</si>
  <si>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</si>
  <si>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</si>
  <si>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</si>
  <si>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</si>
  <si>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</si>
  <si>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</si>
  <si>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</si>
  <si>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</si>
  <si>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</si>
  <si>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</si>
  <si>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</si>
  <si>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</si>
  <si>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</si>
  <si>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</si>
  <si>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</si>
  <si>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</si>
  <si>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</si>
  <si>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</si>
  <si>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</si>
  <si>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</si>
  <si>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</si>
  <si>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</si>
  <si>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</si>
  <si>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</si>
  <si>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</si>
  <si>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</si>
  <si>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</si>
  <si>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</si>
  <si>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</si>
  <si>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</si>
  <si>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</si>
  <si>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</si>
  <si>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</si>
  <si>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</si>
  <si>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</si>
  <si>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</si>
  <si>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</si>
  <si>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</si>
  <si>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</si>
  <si>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</si>
  <si>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</si>
  <si>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</si>
  <si>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</si>
  <si>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</si>
  <si>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</si>
  <si>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</si>
  <si>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</si>
  <si>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</si>
  <si>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</si>
  <si>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</si>
  <si>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</si>
  <si>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</si>
  <si>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</si>
  <si>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</si>
  <si>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</si>
  <si>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</si>
  <si>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</si>
  <si>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</si>
  <si>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</si>
  <si>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</si>
  <si>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</si>
  <si>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</si>
  <si>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</si>
  <si>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</si>
  <si>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</si>
  <si>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</si>
  <si>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</si>
  <si>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</si>
  <si>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</si>
  <si>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</si>
  <si>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</si>
  <si>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</si>
  <si>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</si>
  <si>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</si>
  <si>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</si>
  <si>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</si>
  <si>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</si>
  <si>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</si>
  <si>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</si>
  <si>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</si>
  <si>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</si>
  <si>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</si>
  <si>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</si>
  <si>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</si>
  <si>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</si>
  <si>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</si>
  <si>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</si>
  <si>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</si>
  <si>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</si>
  <si>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</si>
  <si>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</si>
  <si>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</si>
  <si>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</si>
  <si>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</si>
  <si>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</si>
  <si>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</si>
  <si>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</si>
  <si>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</si>
  <si>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</si>
  <si>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</si>
  <si>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</si>
  <si>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</si>
  <si>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</si>
  <si>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</si>
  <si>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</si>
  <si>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</si>
  <si>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</si>
  <si>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</si>
  <si>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</si>
  <si>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</si>
  <si>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</si>
  <si>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</si>
  <si>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</si>
  <si>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</si>
  <si>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</si>
  <si>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</si>
  <si>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</si>
  <si>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</si>
  <si>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</si>
  <si>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</si>
  <si>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</si>
  <si>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</si>
  <si>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</si>
  <si>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</si>
  <si>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</si>
  <si>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</si>
  <si>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</si>
  <si>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</si>
  <si>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</si>
  <si>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</si>
  <si>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</si>
  <si>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</si>
  <si>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</si>
  <si>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</si>
  <si>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</si>
  <si>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</si>
  <si>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</si>
  <si>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</si>
  <si>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</si>
  <si>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</si>
  <si>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</si>
  <si>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</si>
  <si>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</si>
  <si>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</si>
  <si>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</si>
  <si>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</si>
  <si>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</si>
  <si>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</si>
  <si>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</si>
  <si>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</si>
  <si>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</si>
  <si>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</si>
  <si>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</si>
  <si>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</si>
  <si>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</si>
  <si>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</si>
  <si>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</si>
  <si>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</si>
  <si>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</si>
  <si>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</si>
  <si>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</si>
  <si>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</si>
  <si>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</si>
  <si>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</si>
  <si>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</si>
  <si>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</si>
  <si>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</si>
  <si>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</si>
  <si>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</si>
  <si>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</si>
  <si>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</si>
  <si>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</si>
  <si>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</si>
  <si>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</si>
  <si>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</si>
  <si>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</si>
  <si>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</si>
  <si>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</si>
  <si>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</si>
  <si>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</si>
  <si>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</si>
  <si>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</si>
  <si>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</si>
  <si>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</si>
  <si>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</si>
  <si>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</si>
  <si>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</si>
  <si>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</si>
  <si>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</si>
  <si>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</si>
  <si>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</si>
  <si>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</si>
  <si>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</si>
  <si>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</si>
  <si>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</si>
  <si>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</si>
  <si>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</si>
  <si>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</si>
  <si>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</si>
  <si>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</si>
  <si>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</si>
  <si>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</si>
  <si>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</si>
  <si>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</si>
  <si>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</si>
  <si>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</si>
  <si>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</si>
  <si>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</si>
  <si>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</si>
  <si>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</si>
  <si>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</si>
  <si>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</si>
  <si>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다정고등학교 신축공사</t>
    <phoneticPr fontId="2" type="noConversion"/>
  </si>
  <si>
    <t>세종시</t>
  </si>
  <si>
    <t>공조배관공사, 기타공사</t>
    <phoneticPr fontId="2" type="noConversion"/>
  </si>
  <si>
    <t>CCTV설비공사</t>
    <phoneticPr fontId="2" type="noConversion"/>
  </si>
  <si>
    <t xml:space="preserve"> 사급자재비, 기타공사</t>
    <phoneticPr fontId="2" type="noConversion"/>
  </si>
  <si>
    <t>포장공사</t>
    <phoneticPr fontId="2" type="noConversion"/>
  </si>
  <si>
    <t>기초공사, 골재비및운반비, 작업부산물,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</si>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</sst>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15499.24</v>
      </c>
      <c r="D7" s="36">
        <f>+C7/3.3058</f>
        <v>4688.4990017544924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696360</v>
      </c>
      <c r="E25" s="59">
        <f t="shared" si="0"/>
        <v>2302020</v>
      </c>
    </row>
    <row r="26" spans="1:5" x14ac:dyDescent="0.3">
      <c r="B26" s="2">
        <v>3</v>
      </c>
      <c r="C26" s="35" t="s">
        <v>95</v>
      </c>
      <c r="D26" s="45">
        <f>+D66</f>
        <v>5410</v>
      </c>
      <c r="E26" s="59">
        <f t="shared" si="0"/>
        <v>17880</v>
      </c>
    </row>
    <row r="27" spans="1:5" x14ac:dyDescent="0.3">
      <c r="B27" s="2">
        <v>4</v>
      </c>
      <c r="C27" s="35" t="s">
        <v>96</v>
      </c>
      <c r="D27" s="45">
        <f>+D95</f>
        <v>165450</v>
      </c>
      <c r="E27" s="59">
        <f t="shared" si="0"/>
        <v>546940</v>
      </c>
    </row>
    <row r="28" spans="1:5" x14ac:dyDescent="0.3">
      <c r="B28" s="2">
        <v>5</v>
      </c>
      <c r="C28" s="35" t="s">
        <v>97</v>
      </c>
      <c r="D28" s="45">
        <f>+D119</f>
        <v>155860</v>
      </c>
      <c r="E28" s="59">
        <f t="shared" si="0"/>
        <v>515240</v>
      </c>
    </row>
    <row r="29" spans="1:5" x14ac:dyDescent="0.3">
      <c r="B29" s="2">
        <v>6</v>
      </c>
      <c r="C29" s="35" t="s">
        <v>98</v>
      </c>
      <c r="D29" s="45">
        <f>+D133</f>
        <v>55010</v>
      </c>
      <c r="E29" s="59">
        <f t="shared" si="0"/>
        <v>181850</v>
      </c>
    </row>
    <row r="30" spans="1:5" x14ac:dyDescent="0.3">
      <c r="B30" s="2">
        <v>7</v>
      </c>
      <c r="C30" s="35" t="s">
        <v>99</v>
      </c>
      <c r="D30" s="45">
        <f>+D146</f>
        <v>37940</v>
      </c>
      <c r="E30" s="59">
        <f t="shared" si="0"/>
        <v>125420</v>
      </c>
    </row>
    <row r="31" spans="1:5" x14ac:dyDescent="0.3">
      <c r="B31" s="2">
        <v>8</v>
      </c>
      <c r="C31" s="35" t="s">
        <v>100</v>
      </c>
      <c r="D31" s="45">
        <f>+D154</f>
        <v>16520</v>
      </c>
      <c r="E31" s="59">
        <f t="shared" si="0"/>
        <v>54610</v>
      </c>
    </row>
    <row r="32" spans="1:5" x14ac:dyDescent="0.3">
      <c r="B32" s="2">
        <v>9</v>
      </c>
      <c r="C32" s="35" t="s">
        <v>101</v>
      </c>
      <c r="D32" s="45">
        <f>+D161</f>
        <v>26700</v>
      </c>
      <c r="E32" s="59">
        <f t="shared" si="0"/>
        <v>88260</v>
      </c>
    </row>
    <row r="33" spans="1:7" x14ac:dyDescent="0.3">
      <c r="B33" s="2">
        <v>10</v>
      </c>
      <c r="C33" s="35" t="s">
        <v>154</v>
      </c>
      <c r="D33" s="53">
        <f>TRUNC(SUM(D24:D32)*0.275,-1)</f>
        <v>318790</v>
      </c>
      <c r="E33" s="60">
        <f t="shared" si="0"/>
        <v>1053850</v>
      </c>
    </row>
    <row r="34" spans="1:7" x14ac:dyDescent="0.3">
      <c r="C34" s="35" t="s">
        <v>112</v>
      </c>
      <c r="D34" s="44">
        <f>SUM(D24:D33)</f>
        <v>1478040</v>
      </c>
      <c r="E34" s="44">
        <f>SUM(E24:E33)</f>
        <v>4886070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TRUNC(25888,-1)</f>
        <v>25880</v>
      </c>
      <c r="E40" s="62">
        <f t="shared" ref="E40:E59" si="1">TRUNC(+D40*3.3058,-1)</f>
        <v>85550</v>
      </c>
    </row>
    <row r="41" spans="1:7" x14ac:dyDescent="0.3">
      <c r="A41" s="2">
        <v>2</v>
      </c>
      <c r="C41" s="38" t="s">
        <v>13</v>
      </c>
      <c r="D41" s="42">
        <f>TRUNC(134631,-1)</f>
        <v>134630</v>
      </c>
      <c r="E41" s="63">
        <f t="shared" si="1"/>
        <v>445050</v>
      </c>
    </row>
    <row r="42" spans="1:7" x14ac:dyDescent="0.3">
      <c r="A42" s="2">
        <v>3</v>
      </c>
      <c r="C42" s="38" t="s">
        <v>14</v>
      </c>
      <c r="D42" s="42">
        <f>TRUNC(5042,-1)</f>
        <v>5040</v>
      </c>
      <c r="E42" s="63">
        <f t="shared" si="1"/>
        <v>16660</v>
      </c>
    </row>
    <row r="43" spans="1:7" x14ac:dyDescent="0.3">
      <c r="A43" s="2">
        <v>4</v>
      </c>
      <c r="C43" s="38" t="s">
        <v>16</v>
      </c>
      <c r="D43" s="42">
        <f>TRUNC(21172,-1)</f>
        <v>21170</v>
      </c>
      <c r="E43" s="63">
        <f t="shared" si="1"/>
        <v>69980</v>
      </c>
    </row>
    <row r="44" spans="1:7" x14ac:dyDescent="0.3">
      <c r="A44" s="2">
        <v>5</v>
      </c>
      <c r="C44" s="38" t="s">
        <v>17</v>
      </c>
      <c r="D44" s="42">
        <f>TRUNC(16466,-1)</f>
        <v>16460</v>
      </c>
      <c r="E44" s="63">
        <f t="shared" si="1"/>
        <v>54410</v>
      </c>
    </row>
    <row r="45" spans="1:7" x14ac:dyDescent="0.3">
      <c r="A45" s="2">
        <v>6</v>
      </c>
      <c r="C45" s="38" t="s">
        <v>18</v>
      </c>
      <c r="D45" s="42">
        <f>TRUNC(7894,-1)</f>
        <v>7890</v>
      </c>
      <c r="E45" s="63">
        <f t="shared" si="1"/>
        <v>26080</v>
      </c>
    </row>
    <row r="46" spans="1:7" x14ac:dyDescent="0.3">
      <c r="A46" s="2">
        <v>7</v>
      </c>
      <c r="C46" s="38" t="s">
        <v>19</v>
      </c>
      <c r="D46" s="42">
        <f>TRUNC(29728,-1)</f>
        <v>29720</v>
      </c>
      <c r="E46" s="63">
        <f t="shared" si="1"/>
        <v>98240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TRUNC(27854,-1)</f>
        <v>27850</v>
      </c>
      <c r="E48" s="63">
        <f t="shared" si="1"/>
        <v>92060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TRUNC(15275,-1)</f>
        <v>15270</v>
      </c>
      <c r="E49" s="63">
        <f t="shared" si="1"/>
        <v>50470</v>
      </c>
    </row>
    <row r="50" spans="1:7" x14ac:dyDescent="0.3">
      <c r="A50" s="2">
        <v>11</v>
      </c>
      <c r="C50" s="38" t="s">
        <v>155</v>
      </c>
      <c r="D50" s="42">
        <v>30330</v>
      </c>
      <c r="E50" s="63">
        <f t="shared" si="1"/>
        <v>100260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TRUNC(8454,-1)</f>
        <v>8450</v>
      </c>
      <c r="E52" s="63">
        <f t="shared" si="1"/>
        <v>27930</v>
      </c>
    </row>
    <row r="53" spans="1:7" x14ac:dyDescent="0.3">
      <c r="A53" s="2">
        <v>14</v>
      </c>
      <c r="C53" s="38" t="s">
        <v>25</v>
      </c>
      <c r="D53" s="42">
        <f>TRUNC(49561,-1)</f>
        <v>49560</v>
      </c>
      <c r="E53" s="63">
        <f t="shared" si="1"/>
        <v>163830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TRUNC(28301+6067-615+7211,-1)</f>
        <v>40960</v>
      </c>
      <c r="E58" s="63">
        <f t="shared" si="1"/>
        <v>135400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TRUNC(283154,-1)</f>
        <v>283150</v>
      </c>
      <c r="E59" s="64">
        <f t="shared" si="1"/>
        <v>936030</v>
      </c>
    </row>
    <row r="60" spans="1:7" x14ac:dyDescent="0.3">
      <c r="A60" s="2">
        <v>21</v>
      </c>
      <c r="C60" s="27" t="s">
        <v>112</v>
      </c>
      <c r="D60" s="39">
        <f>SUM(D40:D59)</f>
        <v>696360</v>
      </c>
      <c r="E60" s="39">
        <f>SUM(E40:E59)</f>
        <v>2301950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TRUNC(5417,-1)</f>
        <v>5410</v>
      </c>
      <c r="E63" s="62">
        <f>TRUNC(+D63*3.3058,-1)</f>
        <v>17880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5410</v>
      </c>
      <c r="E66" s="65">
        <f>SUM(E63:E65)</f>
        <v>17880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TRUNC(5964,-1)</f>
        <v>5960</v>
      </c>
      <c r="E69" s="62">
        <f t="shared" ref="E69:E94" si="2">TRUNC(+D69*3.3058,-1)</f>
        <v>19700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TRUNC(2662,-1)</f>
        <v>2660</v>
      </c>
      <c r="E72" s="63">
        <f t="shared" si="2"/>
        <v>8790</v>
      </c>
    </row>
    <row r="73" spans="1:7" x14ac:dyDescent="0.3">
      <c r="A73" s="2">
        <v>5</v>
      </c>
      <c r="C73" s="38" t="s">
        <v>34</v>
      </c>
      <c r="D73" s="42">
        <v>15870</v>
      </c>
      <c r="E73" s="63">
        <f t="shared" si="2"/>
        <v>52460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TRUNC(34931,-1)</f>
        <v>34930</v>
      </c>
      <c r="E76" s="63">
        <f t="shared" si="2"/>
        <v>115470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TRUNC(6679,-1)</f>
        <v>6670</v>
      </c>
      <c r="E89" s="63">
        <f t="shared" si="2"/>
        <v>22040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3690</v>
      </c>
      <c r="E91" s="63">
        <f t="shared" si="2"/>
        <v>12190</v>
      </c>
    </row>
    <row r="92" spans="1:7" x14ac:dyDescent="0.3">
      <c r="A92" s="2">
        <v>24</v>
      </c>
      <c r="C92" s="38" t="s">
        <v>38</v>
      </c>
      <c r="D92" s="42">
        <f>TRUNC(7918,-1)</f>
        <v>7910</v>
      </c>
      <c r="E92" s="63">
        <f t="shared" si="2"/>
        <v>26140</v>
      </c>
    </row>
    <row r="93" spans="1:7" x14ac:dyDescent="0.3">
      <c r="A93" s="2">
        <v>25</v>
      </c>
      <c r="C93" s="38" t="s">
        <v>148</v>
      </c>
      <c r="D93" s="42">
        <v>69390</v>
      </c>
      <c r="E93" s="63">
        <f t="shared" si="2"/>
        <v>229380</v>
      </c>
    </row>
    <row r="94" spans="1:7" ht="17.25" thickBot="1" x14ac:dyDescent="0.35">
      <c r="A94" s="2">
        <v>26</v>
      </c>
      <c r="C94" s="38" t="s">
        <v>47</v>
      </c>
      <c r="D94" s="43">
        <f>1165+17205</f>
        <v>18370</v>
      </c>
      <c r="E94" s="64">
        <f t="shared" si="2"/>
        <v>60720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165450</v>
      </c>
      <c r="E95" s="39">
        <f>SUM(E69:E94)</f>
        <v>546890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TRUNC(14787,-1)</f>
        <v>14780</v>
      </c>
      <c r="E98" s="62">
        <f t="shared" ref="E98:E118" si="3">TRUNC(+D98*3.3058,-1)</f>
        <v>48850</v>
      </c>
    </row>
    <row r="99" spans="1:7" x14ac:dyDescent="0.3">
      <c r="A99" s="2">
        <v>2</v>
      </c>
      <c r="C99" s="38" t="s">
        <v>40</v>
      </c>
      <c r="D99" s="42">
        <f>TRUNC(8036,-1)</f>
        <v>8030</v>
      </c>
      <c r="E99" s="63">
        <f t="shared" si="3"/>
        <v>26540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TRUNC(643,-1)</f>
        <v>640</v>
      </c>
      <c r="E101" s="63">
        <f t="shared" si="3"/>
        <v>2110</v>
      </c>
    </row>
    <row r="102" spans="1:7" x14ac:dyDescent="0.3">
      <c r="A102" s="2">
        <v>5</v>
      </c>
      <c r="C102" s="38" t="s">
        <v>43</v>
      </c>
      <c r="D102" s="42">
        <f>TRUNC(15224,-1)</f>
        <v>15220</v>
      </c>
      <c r="E102" s="63">
        <f t="shared" si="3"/>
        <v>50310</v>
      </c>
    </row>
    <row r="103" spans="1:7" x14ac:dyDescent="0.3">
      <c r="A103" s="2">
        <v>6</v>
      </c>
      <c r="C103" s="38" t="s">
        <v>44</v>
      </c>
      <c r="D103" s="42">
        <f>TRUNC(6094,-1)</f>
        <v>6090</v>
      </c>
      <c r="E103" s="63">
        <f t="shared" si="3"/>
        <v>20130</v>
      </c>
    </row>
    <row r="104" spans="1:7" x14ac:dyDescent="0.3">
      <c r="A104" s="2">
        <v>7</v>
      </c>
      <c r="C104" s="38" t="s">
        <v>45</v>
      </c>
      <c r="D104" s="42">
        <f>TRUNC(1634,-1)</f>
        <v>1630</v>
      </c>
      <c r="E104" s="63">
        <f t="shared" si="3"/>
        <v>5380</v>
      </c>
    </row>
    <row r="105" spans="1:7" x14ac:dyDescent="0.3">
      <c r="A105" s="2">
        <v>8</v>
      </c>
      <c r="C105" s="38" t="s">
        <v>46</v>
      </c>
      <c r="D105" s="42">
        <f>TRUNC(4532,-1)</f>
        <v>4530</v>
      </c>
      <c r="E105" s="63">
        <f t="shared" si="3"/>
        <v>14970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TRUNC(31727,-1)</f>
        <v>31720</v>
      </c>
      <c r="E114" s="63">
        <f t="shared" si="3"/>
        <v>104850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TRUNC(1693,-1)</f>
        <v>1690</v>
      </c>
      <c r="E116" s="63">
        <f t="shared" si="3"/>
        <v>5580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TRUNC(68878,-1)</f>
        <v>68870</v>
      </c>
      <c r="E117" s="63">
        <f t="shared" si="3"/>
        <v>227670</v>
      </c>
    </row>
    <row r="118" spans="1:7" ht="17.25" thickBot="1" x14ac:dyDescent="0.35">
      <c r="A118" s="2">
        <v>21</v>
      </c>
      <c r="C118" s="38" t="s">
        <v>47</v>
      </c>
      <c r="D118" s="43">
        <f>TRUNC(2666,-1)</f>
        <v>2660</v>
      </c>
      <c r="E118" s="64">
        <f t="shared" si="3"/>
        <v>8790</v>
      </c>
    </row>
    <row r="119" spans="1:7" x14ac:dyDescent="0.3">
      <c r="A119" s="2">
        <v>22</v>
      </c>
      <c r="C119" s="27" t="s">
        <v>112</v>
      </c>
      <c r="D119" s="39">
        <f>SUM(D98:D118)</f>
        <v>155860</v>
      </c>
      <c r="E119" s="39">
        <f>SUM(E98:E118)</f>
        <v>515180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TRUNC(3583,-1)</f>
        <v>3580</v>
      </c>
      <c r="E122" s="62">
        <f t="shared" ref="E122:E132" si="4">TRUNC(+D122*3.3058,-1)</f>
        <v>11830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TRUNC(1367,-1)</f>
        <v>1360</v>
      </c>
      <c r="E124" s="63">
        <f t="shared" si="4"/>
        <v>4490</v>
      </c>
    </row>
    <row r="125" spans="1:7" x14ac:dyDescent="0.3">
      <c r="A125" s="2">
        <v>4</v>
      </c>
      <c r="C125" s="38" t="s">
        <v>138</v>
      </c>
      <c r="D125" s="42">
        <f>TRUNC(10421,-1)</f>
        <v>10420</v>
      </c>
      <c r="E125" s="63">
        <f t="shared" si="4"/>
        <v>34440</v>
      </c>
    </row>
    <row r="126" spans="1:7" x14ac:dyDescent="0.3">
      <c r="A126" s="2">
        <v>5</v>
      </c>
      <c r="C126" s="38" t="s">
        <v>53</v>
      </c>
      <c r="D126" s="42">
        <f>TRUNC(724,-1)</f>
        <v>720</v>
      </c>
      <c r="E126" s="63">
        <f t="shared" si="4"/>
        <v>2380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TRUNC(4928,-1)</f>
        <v>4920</v>
      </c>
      <c r="E128" s="63">
        <f t="shared" si="4"/>
        <v>16260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TRUNC(13612,-1)</f>
        <v>13610</v>
      </c>
      <c r="E130" s="63">
        <f t="shared" si="4"/>
        <v>44990</v>
      </c>
    </row>
    <row r="131" spans="1:7" x14ac:dyDescent="0.3">
      <c r="A131" s="2">
        <v>10</v>
      </c>
      <c r="C131" s="38" t="s">
        <v>148</v>
      </c>
      <c r="D131" s="42">
        <f>TRUNC(17272,-1)</f>
        <v>17270</v>
      </c>
      <c r="E131" s="63">
        <f t="shared" si="4"/>
        <v>57090</v>
      </c>
    </row>
    <row r="132" spans="1:7" ht="18" thickBot="1" x14ac:dyDescent="0.35">
      <c r="A132" s="2">
        <v>11</v>
      </c>
      <c r="C132" s="38" t="s">
        <v>47</v>
      </c>
      <c r="D132" s="43">
        <f>TRUNC(3131,-1)</f>
        <v>3130</v>
      </c>
      <c r="E132" s="64">
        <f t="shared" si="4"/>
        <v>10340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55010</v>
      </c>
      <c r="E133" s="39">
        <f>SUM(E122:E132)</f>
        <v>181820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TRUNC(7962,-1)</f>
        <v>7960</v>
      </c>
      <c r="E137" s="63">
        <f t="shared" si="5"/>
        <v>26310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TRUNC(1503,-1)</f>
        <v>1500</v>
      </c>
      <c r="E139" s="63">
        <f t="shared" si="5"/>
        <v>4950</v>
      </c>
    </row>
    <row r="140" spans="1:7" x14ac:dyDescent="0.3">
      <c r="A140" s="2">
        <v>5</v>
      </c>
      <c r="C140" s="38" t="s">
        <v>57</v>
      </c>
      <c r="D140" s="42">
        <f>TRUNC(4393,-1)</f>
        <v>4390</v>
      </c>
      <c r="E140" s="63">
        <f t="shared" si="5"/>
        <v>14510</v>
      </c>
    </row>
    <row r="141" spans="1:7" x14ac:dyDescent="0.3">
      <c r="A141" s="2">
        <v>6</v>
      </c>
      <c r="C141" s="38" t="s">
        <v>59</v>
      </c>
      <c r="D141" s="42">
        <f>TRUNC(7338,-1)</f>
        <v>7330</v>
      </c>
      <c r="E141" s="63">
        <f t="shared" si="5"/>
        <v>24230</v>
      </c>
    </row>
    <row r="142" spans="1:7" x14ac:dyDescent="0.3">
      <c r="A142" s="2">
        <v>7</v>
      </c>
      <c r="C142" s="38" t="s">
        <v>58</v>
      </c>
      <c r="D142" s="42">
        <f>TRUNC(3988,-1)</f>
        <v>3980</v>
      </c>
      <c r="E142" s="63">
        <f t="shared" si="5"/>
        <v>13150</v>
      </c>
    </row>
    <row r="143" spans="1:7" x14ac:dyDescent="0.3">
      <c r="A143" s="2">
        <v>8</v>
      </c>
      <c r="C143" s="38" t="s">
        <v>62</v>
      </c>
      <c r="D143" s="42">
        <f>TRUNC(3987,-1)</f>
        <v>3980</v>
      </c>
      <c r="E143" s="63">
        <f t="shared" si="5"/>
        <v>13150</v>
      </c>
    </row>
    <row r="144" spans="1:7" x14ac:dyDescent="0.3">
      <c r="A144" s="2">
        <v>9</v>
      </c>
      <c r="C144" s="38" t="s">
        <v>63</v>
      </c>
      <c r="D144" s="42">
        <v>8800</v>
      </c>
      <c r="E144" s="63">
        <f t="shared" si="5"/>
        <v>29090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37940</v>
      </c>
      <c r="E146" s="39">
        <f>SUM(E136:E145)</f>
        <v>125390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TRUNC(4174+771,-1)</f>
        <v>4940</v>
      </c>
      <c r="E149" s="62">
        <f>TRUNC(+D149*3.3058,-1)</f>
        <v>16330</v>
      </c>
    </row>
    <row r="150" spans="1:7" x14ac:dyDescent="0.3">
      <c r="A150" s="2">
        <v>2</v>
      </c>
      <c r="C150" s="38" t="s">
        <v>49</v>
      </c>
      <c r="D150" s="42">
        <f>TRUNC(4645,-1)</f>
        <v>4640</v>
      </c>
      <c r="E150" s="63">
        <f>TRUNC(+D150*3.3058,-1)</f>
        <v>15330</v>
      </c>
    </row>
    <row r="151" spans="1:7" x14ac:dyDescent="0.3">
      <c r="A151" s="2">
        <v>3</v>
      </c>
      <c r="C151" s="38" t="s">
        <v>50</v>
      </c>
      <c r="D151" s="42">
        <f>TRUNC(2798,-1)</f>
        <v>2790</v>
      </c>
      <c r="E151" s="63">
        <f>TRUNC(+D151*3.3058,-1)</f>
        <v>9220</v>
      </c>
    </row>
    <row r="152" spans="1:7" x14ac:dyDescent="0.3">
      <c r="A152" s="2">
        <v>4</v>
      </c>
      <c r="C152" s="38" t="s">
        <v>47</v>
      </c>
      <c r="D152" s="42">
        <f>TRUNC(2469+1688,-1)</f>
        <v>4150</v>
      </c>
      <c r="E152" s="63">
        <f>TRUNC(+D152*3.3058,-1)</f>
        <v>13710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16520</v>
      </c>
      <c r="E154" s="39">
        <f>SUM(E149:E153)</f>
        <v>54590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TRUNC(20792,-1)</f>
        <v>20790</v>
      </c>
      <c r="E157" s="62">
        <f>TRUNC(+D157*3.3058,-1)</f>
        <v>68720</v>
      </c>
    </row>
    <row r="158" spans="1:7" x14ac:dyDescent="0.3">
      <c r="A158" s="2">
        <v>2</v>
      </c>
      <c r="C158" s="38" t="s">
        <v>52</v>
      </c>
      <c r="D158" s="42">
        <v>4260</v>
      </c>
      <c r="E158" s="63">
        <f>TRUNC(+D158*3.3058,-1)</f>
        <v>14080</v>
      </c>
    </row>
    <row r="159" spans="1:7" x14ac:dyDescent="0.3">
      <c r="A159" s="2">
        <v>3</v>
      </c>
      <c r="C159" s="38" t="s">
        <v>47</v>
      </c>
      <c r="D159" s="42">
        <f>TRUNC(1654,-1)</f>
        <v>1650</v>
      </c>
      <c r="E159" s="63">
        <f>TRUNC(+D159*3.3058,-1)</f>
        <v>5450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26700</v>
      </c>
      <c r="E161" s="39">
        <f>SUM(E157:E160)</f>
        <v>88250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2020-12-08T01:45:59Z</dcterms:modified>
</cp:coreProperties>
</file>