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1" i="4"/>
  <c r="E149" i="4"/>
  <c r="E145" i="4"/>
  <c r="E144" i="4"/>
  <c r="E143" i="4"/>
  <c r="E142" i="4"/>
  <c r="E141" i="4"/>
  <c r="E140" i="4"/>
  <c r="E139" i="4"/>
  <c r="E138" i="4"/>
  <c r="E129" i="4"/>
  <c r="E128" i="4"/>
  <c r="E123" i="4"/>
  <c r="E116" i="4"/>
  <c r="E114" i="4"/>
  <c r="E112" i="4"/>
  <c r="E111" i="4"/>
  <c r="E110" i="4"/>
  <c r="E109" i="4"/>
  <c r="E108" i="4"/>
  <c r="E107" i="4"/>
  <c r="E106" i="4"/>
  <c r="E105" i="4"/>
  <c r="E103" i="4"/>
  <c r="E101" i="4"/>
  <c r="E92" i="4"/>
  <c r="E91" i="4"/>
  <c r="E90" i="4"/>
  <c r="E89" i="4"/>
  <c r="E88" i="4"/>
  <c r="E87" i="4"/>
  <c r="E86" i="4"/>
  <c r="E85" i="4"/>
  <c r="E84" i="4"/>
  <c r="E83" i="4"/>
  <c r="E82" i="4"/>
  <c r="E80" i="4"/>
  <c r="E79" i="4"/>
  <c r="E78" i="4"/>
  <c r="E77" i="4"/>
  <c r="E75" i="4"/>
  <c r="E74" i="4"/>
  <c r="E73" i="4"/>
  <c r="E72" i="4"/>
  <c r="E65" i="4"/>
  <c r="E64" i="4"/>
  <c r="E57" i="4"/>
  <c r="E56" i="4"/>
  <c r="E54" i="4"/>
  <c r="E37" i="4"/>
  <c r="E161" i="4" l="1"/>
  <c r="D152" i="4"/>
  <c r="E152" i="4" s="1"/>
  <c r="E154" i="4" s="1"/>
  <c r="D150" i="4"/>
  <c r="E150" i="4" s="1"/>
  <c r="D137" i="4"/>
  <c r="E137" i="4" s="1"/>
  <c r="D136" i="4"/>
  <c r="E136" i="4" s="1"/>
  <c r="D132" i="4"/>
  <c r="E132" i="4" s="1"/>
  <c r="D131" i="4"/>
  <c r="E131" i="4" s="1"/>
  <c r="D130" i="4"/>
  <c r="E130" i="4" s="1"/>
  <c r="D127" i="4"/>
  <c r="E127" i="4" s="1"/>
  <c r="D126" i="4"/>
  <c r="E126" i="4" s="1"/>
  <c r="D125" i="4"/>
  <c r="E125" i="4" s="1"/>
  <c r="D124" i="4"/>
  <c r="E124" i="4" s="1"/>
  <c r="D122" i="4"/>
  <c r="E122" i="4" s="1"/>
  <c r="D118" i="4"/>
  <c r="E118" i="4" s="1"/>
  <c r="D117" i="4"/>
  <c r="E117" i="4" s="1"/>
  <c r="D115" i="4"/>
  <c r="E115" i="4" s="1"/>
  <c r="D113" i="4"/>
  <c r="E113" i="4" s="1"/>
  <c r="D104" i="4"/>
  <c r="E104" i="4" s="1"/>
  <c r="D102" i="4"/>
  <c r="E102" i="4" s="1"/>
  <c r="D100" i="4"/>
  <c r="E100" i="4" s="1"/>
  <c r="D99" i="4"/>
  <c r="E99" i="4" s="1"/>
  <c r="D98" i="4"/>
  <c r="E98" i="4" s="1"/>
  <c r="D94" i="4"/>
  <c r="E94" i="4" s="1"/>
  <c r="D93" i="4"/>
  <c r="E93" i="4" s="1"/>
  <c r="D81" i="4"/>
  <c r="E81" i="4" s="1"/>
  <c r="D76" i="4"/>
  <c r="E76" i="4" s="1"/>
  <c r="D71" i="4"/>
  <c r="E71" i="4" s="1"/>
  <c r="D70" i="4"/>
  <c r="E70" i="4" s="1"/>
  <c r="D69" i="4"/>
  <c r="E69" i="4" s="1"/>
  <c r="D63" i="4"/>
  <c r="E63" i="4" s="1"/>
  <c r="E66" i="4" s="1"/>
  <c r="D59" i="4"/>
  <c r="E59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161" i="4"/>
  <c r="D146" i="4"/>
  <c r="D66" i="4"/>
  <c r="D24" i="4"/>
  <c r="E24" i="4" s="1"/>
  <c r="D26" i="4"/>
  <c r="E26" i="4" s="1"/>
  <c r="D30" i="4"/>
  <c r="E30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119" i="4" l="1"/>
  <c r="D28" i="4" s="1"/>
  <c r="E28" i="4" s="1"/>
  <c r="D60" i="4"/>
  <c r="D25" i="4" s="1"/>
  <c r="D133" i="4"/>
  <c r="D29" i="4" s="1"/>
  <c r="E29" i="4" s="1"/>
  <c r="E60" i="4"/>
  <c r="E133" i="4"/>
  <c r="D95" i="4"/>
  <c r="D27" i="4" s="1"/>
  <c r="E27" i="4" s="1"/>
  <c r="D154" i="4"/>
  <c r="D31" i="4" s="1"/>
  <c r="E31" i="4" s="1"/>
  <c r="E95" i="4"/>
  <c r="E119" i="4"/>
  <c r="E146" i="4"/>
  <c r="D33" i="4" l="1"/>
  <c r="E33" i="4" s="1"/>
  <c r="E25" i="4"/>
  <c r="E34" i="4" s="1"/>
  <c r="D34" i="4"/>
</calcChain>
</file>

<file path=xl/sharedStrings.xml><?xml version="1.0" encoding="utf-8"?>
<sst xmlns="http://schemas.openxmlformats.org/spreadsheetml/2006/main" count="391" uniqueCount="265">
  <si>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</si>
  <si>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</si>
  <si>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</si>
  <si>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</si>
  <si>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</si>
  <si>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</si>
  <si>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</si>
  <si>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</si>
  <si>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</si>
  <si>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</si>
  <si>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</si>
  <si>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</si>
  <si>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</si>
  <si>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</si>
  <si>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</si>
  <si>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</si>
  <si>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</si>
  <si>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</si>
  <si>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</si>
  <si>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</si>
  <si>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</si>
  <si>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</si>
  <si>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</si>
  <si>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</si>
  <si>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</si>
  <si>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</si>
  <si>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</si>
  <si>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</si>
  <si>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</si>
  <si>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</si>
  <si>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</si>
  <si>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</si>
  <si>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</si>
  <si>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</si>
  <si>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</si>
  <si>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</si>
  <si>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</si>
  <si>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</si>
  <si>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</si>
  <si>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</si>
  <si>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</si>
  <si>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</si>
  <si>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</si>
  <si>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</si>
  <si>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</si>
  <si>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</si>
  <si>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</si>
  <si>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</si>
  <si>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</si>
  <si>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</si>
  <si>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</si>
  <si>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</si>
  <si>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</si>
  <si>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</si>
  <si>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</si>
  <si>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</si>
  <si>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</si>
  <si>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</si>
  <si>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</si>
  <si>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</si>
  <si>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</si>
  <si>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</si>
  <si>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</si>
  <si>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</si>
  <si>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</si>
  <si>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</si>
  <si>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</si>
  <si>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</si>
  <si>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</si>
  <si>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</si>
  <si>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</si>
  <si>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</si>
  <si>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</si>
  <si>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</si>
  <si>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</si>
  <si>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</si>
  <si>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</si>
  <si>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</si>
  <si>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</si>
  <si>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</si>
  <si>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</si>
  <si>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</si>
  <si>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</si>
  <si>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</si>
  <si>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</si>
  <si>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</si>
  <si>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</si>
  <si>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</si>
  <si>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</si>
  <si>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</si>
  <si>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</si>
  <si>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</si>
  <si>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</si>
  <si>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</si>
  <si>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</si>
  <si>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</si>
  <si>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</si>
  <si>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</si>
  <si>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</si>
  <si>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</si>
  <si>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</si>
  <si>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</si>
  <si>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</si>
  <si>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</si>
  <si>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</si>
  <si>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</si>
  <si>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</si>
  <si>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</si>
  <si>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</si>
  <si>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</si>
  <si>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</si>
  <si>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</si>
  <si>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</si>
  <si>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</si>
  <si>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</si>
  <si>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</si>
  <si>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</si>
  <si>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</si>
  <si>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</si>
  <si>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</si>
  <si>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</si>
  <si>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</si>
  <si>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</si>
  <si>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</si>
  <si>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</si>
  <si>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</si>
  <si>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</si>
  <si>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</si>
  <si>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</si>
  <si>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</si>
  <si>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</si>
  <si>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</si>
  <si>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</si>
  <si>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</si>
  <si>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</si>
  <si>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</si>
  <si>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</si>
  <si>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</si>
  <si>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</si>
  <si>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</si>
  <si>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</si>
  <si>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</si>
  <si>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</si>
  <si>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</si>
  <si>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</si>
  <si>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</si>
  <si>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</si>
  <si>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</si>
  <si>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</si>
  <si>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</si>
  <si>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</si>
  <si>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</si>
  <si>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</si>
  <si>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</si>
  <si>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</si>
  <si>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</si>
  <si>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</si>
  <si>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</si>
  <si>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</si>
  <si>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</si>
  <si>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</si>
  <si>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</si>
  <si>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</si>
  <si>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</si>
  <si>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</si>
  <si>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</si>
  <si>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</si>
  <si>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</si>
  <si>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</si>
  <si>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</si>
  <si>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</si>
  <si>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</si>
  <si>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</si>
  <si>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</si>
  <si>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</si>
  <si>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</si>
  <si>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</si>
  <si>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</si>
  <si>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</si>
  <si>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</si>
  <si>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</si>
  <si>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</si>
  <si>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</si>
  <si>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</si>
  <si>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</si>
  <si>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</si>
  <si>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</si>
  <si>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</si>
  <si>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</si>
  <si>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</si>
  <si>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</si>
  <si>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</si>
  <si>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</si>
  <si>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</si>
  <si>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</si>
  <si>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</si>
  <si>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</si>
  <si>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</si>
  <si>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</si>
  <si>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</si>
  <si>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</si>
  <si>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</si>
  <si>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</si>
  <si>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</si>
  <si>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</si>
  <si>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</si>
  <si>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</si>
  <si>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</si>
  <si>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</si>
  <si>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</si>
  <si>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</si>
  <si>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</si>
  <si>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</si>
  <si>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</si>
  <si>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</si>
  <si>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</si>
  <si>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</si>
  <si>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</si>
  <si>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</si>
  <si>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</si>
  <si>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</si>
  <si>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</si>
  <si>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</si>
  <si>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</si>
  <si>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</si>
  <si>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</si>
  <si>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</si>
  <si>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</si>
  <si>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</si>
  <si>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</si>
  <si>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</si>
  <si>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</si>
  <si>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</si>
  <si>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</si>
  <si>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업무</t>
  </si>
  <si>
    <t>도급자설치관급</t>
  </si>
  <si>
    <t>전기소방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</si>
  <si>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</si>
  <si>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</si>
  <si>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</si>
  <si>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</si>
  <si>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</si>
  <si>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</si>
  <si>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</si>
  <si>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</si>
  <si>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</si>
  <si>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</si>
  <si>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</si>
  <si>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</si>
  <si>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</si>
  <si>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인천00경찰서 청사 신축공사</t>
  </si>
  <si>
    <t>인천시</t>
  </si>
  <si>
    <t>배수공사,부대공사,철거공사,운반비,폐기물처리</t>
  </si>
  <si>
    <t>토공사,파일공사,기타공사,골재대및운반비,품질시험비,작업부산물,정화조,부대공사,폐자재처리비</t>
    <phoneticPr fontId="2" type="noConversion"/>
  </si>
  <si>
    <t>본관동,민원동,숙영동,정화조공사</t>
    <phoneticPr fontId="2" type="noConversion"/>
  </si>
  <si>
    <t>옥외전기공사,무대장치공사,강전트레이공사,강전덕트공사</t>
    <phoneticPr fontId="2" type="noConversion"/>
  </si>
  <si>
    <t>CCTV 설비공사,인터폰설비,약전 TRAY 설비공사</t>
    <phoneticPr fontId="2" type="noConversion"/>
  </si>
  <si>
    <t>관급자설치</t>
    <phoneticPr fontId="2" type="noConversion"/>
  </si>
  <si>
    <t>도급자설치, 관급자설치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</si>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</sst>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234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238</v>
      </c>
    </row>
    <row r="7" spans="1:4" ht="17.25" thickBot="1" x14ac:dyDescent="0.35">
      <c r="C7" s="37">
        <v>8546</v>
      </c>
      <c r="D7" s="36">
        <f>+C7/3.3058</f>
        <v>2585.1533668098491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239</v>
      </c>
      <c r="E23" s="35" t="s">
        <v>259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560530</v>
      </c>
      <c r="E25" s="59">
        <f t="shared" si="0"/>
        <v>1853000</v>
      </c>
    </row>
    <row r="26" spans="1:5" x14ac:dyDescent="0.3">
      <c r="B26" s="2">
        <v>3</v>
      </c>
      <c r="C26" s="35" t="s">
        <v>95</v>
      </c>
      <c r="D26" s="45">
        <f>+D66</f>
        <v>1230</v>
      </c>
      <c r="E26" s="59">
        <f t="shared" si="0"/>
        <v>4060</v>
      </c>
    </row>
    <row r="27" spans="1:5" x14ac:dyDescent="0.3">
      <c r="B27" s="2">
        <v>4</v>
      </c>
      <c r="C27" s="35" t="s">
        <v>96</v>
      </c>
      <c r="D27" s="45">
        <f>+D95</f>
        <v>188650</v>
      </c>
      <c r="E27" s="59">
        <f t="shared" si="0"/>
        <v>623630</v>
      </c>
    </row>
    <row r="28" spans="1:5" x14ac:dyDescent="0.3">
      <c r="B28" s="2">
        <v>5</v>
      </c>
      <c r="C28" s="35" t="s">
        <v>97</v>
      </c>
      <c r="D28" s="45">
        <f>+D119</f>
        <v>93740</v>
      </c>
      <c r="E28" s="59">
        <f t="shared" si="0"/>
        <v>309880</v>
      </c>
    </row>
    <row r="29" spans="1:5" x14ac:dyDescent="0.3">
      <c r="B29" s="2">
        <v>6</v>
      </c>
      <c r="C29" s="35" t="s">
        <v>98</v>
      </c>
      <c r="D29" s="45">
        <f>+D133</f>
        <v>86720</v>
      </c>
      <c r="E29" s="59">
        <f t="shared" si="0"/>
        <v>286670</v>
      </c>
    </row>
    <row r="30" spans="1:5" x14ac:dyDescent="0.3">
      <c r="B30" s="2">
        <v>7</v>
      </c>
      <c r="C30" s="35" t="s">
        <v>99</v>
      </c>
      <c r="D30" s="45">
        <f>+D146</f>
        <v>13790</v>
      </c>
      <c r="E30" s="59">
        <f t="shared" si="0"/>
        <v>45580</v>
      </c>
    </row>
    <row r="31" spans="1:5" x14ac:dyDescent="0.3">
      <c r="B31" s="2">
        <v>8</v>
      </c>
      <c r="C31" s="35" t="s">
        <v>100</v>
      </c>
      <c r="D31" s="45">
        <f>+D154</f>
        <v>32110</v>
      </c>
      <c r="E31" s="59">
        <f t="shared" si="0"/>
        <v>106140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268610</v>
      </c>
      <c r="E33" s="60">
        <f t="shared" si="0"/>
        <v>887970</v>
      </c>
    </row>
    <row r="34" spans="1:7" x14ac:dyDescent="0.3">
      <c r="C34" s="35" t="s">
        <v>112</v>
      </c>
      <c r="D34" s="44">
        <f>SUM(D24:D33)</f>
        <v>1245380</v>
      </c>
      <c r="E34" s="44">
        <f>SUM(E24:E33)</f>
        <v>4116930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240</v>
      </c>
      <c r="D36" s="57" t="s">
        <v>237</v>
      </c>
      <c r="E36" s="57" t="s">
        <v>259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244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TRUNC(40896.3099695764,-1)</f>
        <v>40890</v>
      </c>
      <c r="E40" s="62">
        <f t="shared" ref="E40:E59" si="1">TRUNC(+D40*3.3058,-1)</f>
        <v>135170</v>
      </c>
    </row>
    <row r="41" spans="1:7" x14ac:dyDescent="0.3">
      <c r="A41" s="2">
        <v>2</v>
      </c>
      <c r="C41" s="38" t="s">
        <v>13</v>
      </c>
      <c r="D41" s="42">
        <f>TRUNC(101761.653405102,-1)</f>
        <v>101760</v>
      </c>
      <c r="E41" s="63">
        <f t="shared" si="1"/>
        <v>336390</v>
      </c>
    </row>
    <row r="42" spans="1:7" x14ac:dyDescent="0.3">
      <c r="A42" s="2">
        <v>3</v>
      </c>
      <c r="C42" s="38" t="s">
        <v>14</v>
      </c>
      <c r="D42" s="42">
        <f>TRUNC(8690.95717294641,-1)</f>
        <v>8690</v>
      </c>
      <c r="E42" s="63">
        <f t="shared" si="1"/>
        <v>28720</v>
      </c>
    </row>
    <row r="43" spans="1:7" x14ac:dyDescent="0.3">
      <c r="A43" s="2">
        <v>4</v>
      </c>
      <c r="C43" s="38" t="s">
        <v>16</v>
      </c>
      <c r="D43" s="42">
        <f>TRUNC(17306.2239644278,-1)</f>
        <v>17300</v>
      </c>
      <c r="E43" s="63">
        <f t="shared" si="1"/>
        <v>57190</v>
      </c>
    </row>
    <row r="44" spans="1:7" x14ac:dyDescent="0.3">
      <c r="A44" s="2">
        <v>5</v>
      </c>
      <c r="C44" s="38" t="s">
        <v>17</v>
      </c>
      <c r="D44" s="42">
        <f>TRUNC(19518.8125438802,-1)</f>
        <v>19510</v>
      </c>
      <c r="E44" s="63">
        <f t="shared" si="1"/>
        <v>64490</v>
      </c>
    </row>
    <row r="45" spans="1:7" x14ac:dyDescent="0.3">
      <c r="A45" s="2">
        <v>6</v>
      </c>
      <c r="C45" s="38" t="s">
        <v>18</v>
      </c>
      <c r="D45" s="42">
        <f>TRUNC(7036.66206412357,-1)</f>
        <v>7030</v>
      </c>
      <c r="E45" s="63">
        <f t="shared" si="1"/>
        <v>23230</v>
      </c>
    </row>
    <row r="46" spans="1:7" x14ac:dyDescent="0.3">
      <c r="A46" s="2">
        <v>7</v>
      </c>
      <c r="C46" s="38" t="s">
        <v>19</v>
      </c>
      <c r="D46" s="42">
        <f>TRUNC(34057.659372806,-1)</f>
        <v>34050</v>
      </c>
      <c r="E46" s="63">
        <f t="shared" si="1"/>
        <v>112560</v>
      </c>
    </row>
    <row r="47" spans="1:7" x14ac:dyDescent="0.3">
      <c r="A47" s="2">
        <v>8</v>
      </c>
      <c r="C47" s="38" t="s">
        <v>20</v>
      </c>
      <c r="D47" s="42">
        <f>TRUNC(748.363327872689,-1)</f>
        <v>740</v>
      </c>
      <c r="E47" s="63">
        <f t="shared" si="1"/>
        <v>2440</v>
      </c>
    </row>
    <row r="48" spans="1:7" x14ac:dyDescent="0.3">
      <c r="A48" s="2">
        <v>9</v>
      </c>
      <c r="C48" s="38" t="s">
        <v>21</v>
      </c>
      <c r="D48" s="42">
        <f>TRUNC(36772.205008191,-1)</f>
        <v>36770</v>
      </c>
      <c r="E48" s="63">
        <f t="shared" si="1"/>
        <v>121550</v>
      </c>
    </row>
    <row r="49" spans="1:7" x14ac:dyDescent="0.3">
      <c r="A49" s="2">
        <v>10</v>
      </c>
      <c r="C49" s="38" t="s">
        <v>22</v>
      </c>
      <c r="D49" s="42">
        <f>TRUNC(16564.6246197051,-1)</f>
        <v>16560</v>
      </c>
      <c r="E49" s="63">
        <f t="shared" si="1"/>
        <v>54740</v>
      </c>
    </row>
    <row r="50" spans="1:7" x14ac:dyDescent="0.3">
      <c r="A50" s="2">
        <v>11</v>
      </c>
      <c r="C50" s="38" t="s">
        <v>154</v>
      </c>
      <c r="D50" s="42">
        <f>TRUNC(49175.6069506202,-1)</f>
        <v>49170</v>
      </c>
      <c r="E50" s="63">
        <f t="shared" si="1"/>
        <v>162540</v>
      </c>
    </row>
    <row r="51" spans="1:7" x14ac:dyDescent="0.3">
      <c r="A51" s="2">
        <v>12</v>
      </c>
      <c r="C51" s="38" t="s">
        <v>23</v>
      </c>
      <c r="D51" s="42">
        <f>TRUNC(13541.8808799438,-1)</f>
        <v>13540</v>
      </c>
      <c r="E51" s="63">
        <f t="shared" si="1"/>
        <v>44760</v>
      </c>
    </row>
    <row r="52" spans="1:7" x14ac:dyDescent="0.3">
      <c r="A52" s="2">
        <v>13</v>
      </c>
      <c r="C52" s="38" t="s">
        <v>24</v>
      </c>
      <c r="D52" s="42">
        <f>TRUNC(5187.03955066698,-1)</f>
        <v>5180</v>
      </c>
      <c r="E52" s="63">
        <f t="shared" si="1"/>
        <v>17120</v>
      </c>
    </row>
    <row r="53" spans="1:7" x14ac:dyDescent="0.3">
      <c r="A53" s="2">
        <v>14</v>
      </c>
      <c r="C53" s="38" t="s">
        <v>25</v>
      </c>
      <c r="D53" s="42">
        <f>TRUNC(33860.9501521179,-1)</f>
        <v>33860</v>
      </c>
      <c r="E53" s="63">
        <f t="shared" si="1"/>
        <v>111930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TRUNC(1395.87093377018,-1)</f>
        <v>1390</v>
      </c>
      <c r="E55" s="63">
        <f t="shared" si="1"/>
        <v>4590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TRUNC(13951.8711677978+33826.9241750527+4668.91738825181+8622.46267259537+702.720571027381-348.420313597004+5276.38228410953+1210.11443950386+2060.51954130587,-1)</f>
        <v>69970</v>
      </c>
      <c r="E58" s="63">
        <f t="shared" si="1"/>
        <v>231300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TRUNC(104129.183243623,-1)</f>
        <v>104120</v>
      </c>
      <c r="E59" s="64">
        <f t="shared" si="1"/>
        <v>344190</v>
      </c>
      <c r="F59" s="2" t="s">
        <v>235</v>
      </c>
    </row>
    <row r="60" spans="1:7" x14ac:dyDescent="0.3">
      <c r="A60" s="2">
        <v>21</v>
      </c>
      <c r="C60" s="27" t="s">
        <v>112</v>
      </c>
      <c r="D60" s="39">
        <f>SUM(D40:D59)</f>
        <v>560530</v>
      </c>
      <c r="E60" s="39">
        <f>SUM(E40:E59)</f>
        <v>1852910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241</v>
      </c>
      <c r="C62" s="56" t="s">
        <v>242</v>
      </c>
      <c r="D62" s="57" t="s">
        <v>239</v>
      </c>
      <c r="E62" s="57" t="s">
        <v>259</v>
      </c>
      <c r="G62" s="55"/>
    </row>
    <row r="63" spans="1:7" x14ac:dyDescent="0.3">
      <c r="A63" s="2">
        <v>1</v>
      </c>
      <c r="C63" s="38" t="s">
        <v>27</v>
      </c>
      <c r="D63" s="40">
        <f>TRUNC(1230.56798502223,-1)</f>
        <v>1230</v>
      </c>
      <c r="E63" s="62">
        <f>TRUNC(+D63*3.3058,-1)</f>
        <v>4060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1230</v>
      </c>
      <c r="E66" s="65">
        <f>SUM(E63:E65)</f>
        <v>4060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243</v>
      </c>
      <c r="C68" s="56" t="s">
        <v>244</v>
      </c>
      <c r="D68" s="57" t="s">
        <v>237</v>
      </c>
      <c r="E68" s="57" t="s">
        <v>259</v>
      </c>
      <c r="G68" s="55"/>
    </row>
    <row r="69" spans="1:7" x14ac:dyDescent="0.3">
      <c r="A69" s="2">
        <v>1</v>
      </c>
      <c r="C69" s="38" t="s">
        <v>30</v>
      </c>
      <c r="D69" s="40">
        <f>TRUNC(9014.34366955301,-1)</f>
        <v>9010</v>
      </c>
      <c r="E69" s="62">
        <f>TRUNC(+D69*3.3058,-1)</f>
        <v>29780</v>
      </c>
    </row>
    <row r="70" spans="1:7" ht="16.5" customHeight="1" x14ac:dyDescent="0.3">
      <c r="A70" s="2">
        <v>2</v>
      </c>
      <c r="C70" s="38" t="s">
        <v>31</v>
      </c>
      <c r="D70" s="42">
        <f>TRUNC(2650.65293704657,-1)</f>
        <v>2650</v>
      </c>
      <c r="E70" s="63">
        <f>TRUNC(+D70*3.3058,-1)</f>
        <v>8760</v>
      </c>
    </row>
    <row r="71" spans="1:7" x14ac:dyDescent="0.3">
      <c r="A71" s="2">
        <v>3</v>
      </c>
      <c r="C71" s="38" t="s">
        <v>32</v>
      </c>
      <c r="D71" s="42">
        <f>TRUNC(20354.3478820501,-1)</f>
        <v>20350</v>
      </c>
      <c r="E71" s="63">
        <f t="shared" ref="E71:E73" si="2">TRUNC(+D71*3.3058,-1)</f>
        <v>67270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f>TRUNC(27357.0499648959,-1)</f>
        <v>27350</v>
      </c>
      <c r="E76" s="63">
        <f t="shared" ref="E76:E89" si="3">TRUNC(+D76*3.3058,-1)</f>
        <v>90410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f>TRUNC(14607.3386379593,-1)</f>
        <v>14600</v>
      </c>
      <c r="E81" s="63">
        <f t="shared" si="3"/>
        <v>48260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>TRUNC(+D90*3.3058,-1)</f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>TRUNC(+D91*3.3058,-1)</f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>TRUNC(+D92*3.3058,-1)</f>
        <v>0</v>
      </c>
    </row>
    <row r="93" spans="1:7" x14ac:dyDescent="0.3">
      <c r="A93" s="2">
        <v>25</v>
      </c>
      <c r="C93" s="38" t="s">
        <v>148</v>
      </c>
      <c r="D93" s="42">
        <f>TRUNC(24470.629534285,-1)</f>
        <v>24470</v>
      </c>
      <c r="E93" s="63">
        <f>TRUNC(+D93*3.3058,-1)</f>
        <v>80890</v>
      </c>
      <c r="F93" s="2" t="s">
        <v>257</v>
      </c>
    </row>
    <row r="94" spans="1:7" ht="17.25" thickBot="1" x14ac:dyDescent="0.35">
      <c r="A94" s="2">
        <v>26</v>
      </c>
      <c r="C94" s="38" t="s">
        <v>47</v>
      </c>
      <c r="D94" s="43">
        <f>TRUNC(53805.5063187456+8798.3512754505+19463.5627194009+8161.56225134566,-1)</f>
        <v>90220</v>
      </c>
      <c r="E94" s="64">
        <f>TRUNC(+D94*3.3058,-1)</f>
        <v>298240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188650</v>
      </c>
      <c r="E95" s="39">
        <f>SUM(E69:E94)</f>
        <v>623610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245</v>
      </c>
      <c r="C97" s="56" t="s">
        <v>244</v>
      </c>
      <c r="D97" s="57" t="s">
        <v>237</v>
      </c>
      <c r="E97" s="57" t="s">
        <v>259</v>
      </c>
      <c r="G97" s="55"/>
    </row>
    <row r="98" spans="1:7" x14ac:dyDescent="0.3">
      <c r="A98" s="2">
        <v>1</v>
      </c>
      <c r="C98" s="38" t="s">
        <v>39</v>
      </c>
      <c r="D98" s="40">
        <f>TRUNC(4401.8911771589,-1)</f>
        <v>4400</v>
      </c>
      <c r="E98" s="62">
        <f t="shared" ref="E98:E118" si="4">TRUNC(+D98*3.3058,-1)</f>
        <v>14540</v>
      </c>
    </row>
    <row r="99" spans="1:7" x14ac:dyDescent="0.3">
      <c r="A99" s="2">
        <v>2</v>
      </c>
      <c r="C99" s="38" t="s">
        <v>40</v>
      </c>
      <c r="D99" s="42">
        <f>TRUNC(3606.77041890943,-1)</f>
        <v>3600</v>
      </c>
      <c r="E99" s="63">
        <f t="shared" si="4"/>
        <v>11900</v>
      </c>
    </row>
    <row r="100" spans="1:7" x14ac:dyDescent="0.3">
      <c r="A100" s="2">
        <v>3</v>
      </c>
      <c r="C100" s="38" t="s">
        <v>41</v>
      </c>
      <c r="D100" s="42">
        <f>TRUNC(16665.2332085186,-1)</f>
        <v>16660</v>
      </c>
      <c r="E100" s="63">
        <f t="shared" si="4"/>
        <v>55070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TRUNC(7485.17247835245,-1)</f>
        <v>7480</v>
      </c>
      <c r="E102" s="63">
        <f t="shared" si="4"/>
        <v>24720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f>TRUNC(1263.63456587877,-1)</f>
        <v>1260</v>
      </c>
      <c r="E104" s="63">
        <f t="shared" si="4"/>
        <v>4160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f>TRUNC(1876.9631406506,-1)</f>
        <v>1870</v>
      </c>
      <c r="E113" s="63">
        <f t="shared" si="4"/>
        <v>6180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f>TRUNC(959.659606833606,-1)</f>
        <v>950</v>
      </c>
      <c r="E115" s="63">
        <f t="shared" si="4"/>
        <v>3140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TRUNC(18097.2384741399+35863.7959279195,-1)</f>
        <v>53960</v>
      </c>
      <c r="E117" s="63">
        <f t="shared" si="4"/>
        <v>178380</v>
      </c>
      <c r="F117" s="2" t="s">
        <v>258</v>
      </c>
    </row>
    <row r="118" spans="1:7" ht="17.25" thickBot="1" x14ac:dyDescent="0.35">
      <c r="A118" s="2">
        <v>21</v>
      </c>
      <c r="C118" s="38" t="s">
        <v>47</v>
      </c>
      <c r="D118" s="43">
        <f>TRUNC(2015.7300491458+65.517669084952+1232.33068102036+248.100748888369,-1)</f>
        <v>3560</v>
      </c>
      <c r="E118" s="64">
        <f t="shared" si="4"/>
        <v>11760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93740</v>
      </c>
      <c r="E119" s="39">
        <f>SUM(E98:E118)</f>
        <v>309850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246</v>
      </c>
      <c r="C121" s="56" t="s">
        <v>244</v>
      </c>
      <c r="D121" s="57" t="s">
        <v>237</v>
      </c>
      <c r="E121" s="57" t="s">
        <v>259</v>
      </c>
      <c r="G121" s="55"/>
    </row>
    <row r="122" spans="1:7" x14ac:dyDescent="0.3">
      <c r="A122" s="2">
        <v>1</v>
      </c>
      <c r="C122" s="38" t="s">
        <v>55</v>
      </c>
      <c r="D122" s="40">
        <f>TRUNC(2071.076644044,-1)</f>
        <v>2070</v>
      </c>
      <c r="E122" s="62">
        <f t="shared" ref="E122:E132" si="5">TRUNC(+D122*3.3058,-1)</f>
        <v>6840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f>TRUNC(948.794523753803,-1)</f>
        <v>940</v>
      </c>
      <c r="E124" s="63">
        <f t="shared" si="5"/>
        <v>3100</v>
      </c>
    </row>
    <row r="125" spans="1:7" x14ac:dyDescent="0.3">
      <c r="A125" s="2">
        <v>4</v>
      </c>
      <c r="C125" s="38" t="s">
        <v>138</v>
      </c>
      <c r="D125" s="42">
        <f>TRUNC(3835.95635384975,-1)</f>
        <v>3830</v>
      </c>
      <c r="E125" s="63">
        <f t="shared" si="5"/>
        <v>12660</v>
      </c>
    </row>
    <row r="126" spans="1:7" x14ac:dyDescent="0.3">
      <c r="A126" s="2">
        <v>5</v>
      </c>
      <c r="C126" s="38" t="s">
        <v>53</v>
      </c>
      <c r="D126" s="42">
        <f>TRUNC(1800.69155160309,-1)</f>
        <v>1800</v>
      </c>
      <c r="E126" s="63">
        <f t="shared" si="5"/>
        <v>5950</v>
      </c>
    </row>
    <row r="127" spans="1:7" x14ac:dyDescent="0.3">
      <c r="A127" s="2">
        <v>6</v>
      </c>
      <c r="C127" s="38" t="s">
        <v>56</v>
      </c>
      <c r="D127" s="42">
        <f>TRUNC(1522.52480692722,-1)</f>
        <v>1520</v>
      </c>
      <c r="E127" s="63">
        <f t="shared" si="5"/>
        <v>5020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TRUNC(23808.0999297917,-1)</f>
        <v>23800</v>
      </c>
      <c r="E130" s="63">
        <f t="shared" si="5"/>
        <v>78670</v>
      </c>
    </row>
    <row r="131" spans="1:7" x14ac:dyDescent="0.3">
      <c r="A131" s="2">
        <v>10</v>
      </c>
      <c r="C131" s="38" t="s">
        <v>148</v>
      </c>
      <c r="D131" s="42">
        <f>TRUNC(48526.5621343318,-1)</f>
        <v>48520</v>
      </c>
      <c r="E131" s="63">
        <f t="shared" si="5"/>
        <v>160390</v>
      </c>
      <c r="F131" s="2" t="s">
        <v>257</v>
      </c>
    </row>
    <row r="132" spans="1:7" ht="18" thickBot="1" x14ac:dyDescent="0.35">
      <c r="A132" s="2">
        <v>11</v>
      </c>
      <c r="C132" s="38" t="s">
        <v>47</v>
      </c>
      <c r="D132" s="43">
        <f>TRUNC(1788.28434355254+114.00889304938+2338.6273110227,-1)</f>
        <v>4240</v>
      </c>
      <c r="E132" s="64">
        <f t="shared" si="5"/>
        <v>14010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86720</v>
      </c>
      <c r="E133" s="39">
        <f>SUM(E122:E132)</f>
        <v>286640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247</v>
      </c>
      <c r="C135" s="56" t="s">
        <v>244</v>
      </c>
      <c r="D135" s="57" t="s">
        <v>237</v>
      </c>
      <c r="E135" s="57" t="s">
        <v>259</v>
      </c>
      <c r="G135" s="55"/>
    </row>
    <row r="136" spans="1:7" x14ac:dyDescent="0.3">
      <c r="A136" s="2">
        <v>1</v>
      </c>
      <c r="C136" s="38" t="s">
        <v>131</v>
      </c>
      <c r="D136" s="40">
        <f>TRUNC(8460.33957406974,-1)</f>
        <v>8460</v>
      </c>
      <c r="E136" s="62">
        <f t="shared" ref="E136:E145" si="6">TRUNC(+D136*3.3058,-1)</f>
        <v>27960</v>
      </c>
    </row>
    <row r="137" spans="1:7" x14ac:dyDescent="0.3">
      <c r="A137" s="2">
        <v>2</v>
      </c>
      <c r="C137" s="38" t="s">
        <v>47</v>
      </c>
      <c r="D137" s="42">
        <f>TRUNC(5336.61853498713,-1)</f>
        <v>5330</v>
      </c>
      <c r="E137" s="63">
        <f t="shared" si="6"/>
        <v>17610</v>
      </c>
      <c r="F137" s="2" t="s">
        <v>236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13790</v>
      </c>
      <c r="E146" s="39">
        <f>SUM(E136:E145)</f>
        <v>45570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248</v>
      </c>
      <c r="C148" s="56" t="s">
        <v>244</v>
      </c>
      <c r="D148" s="57" t="s">
        <v>237</v>
      </c>
      <c r="E148" s="57" t="s">
        <v>259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f>TRUNC(10135.110695062,-1)</f>
        <v>10130</v>
      </c>
      <c r="E150" s="63">
        <f>TRUNC(+D150*3.3058,-1)</f>
        <v>33480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TRUNC(8503.66136204072+3852.48092674936+597.945354551837+3.45693891879242+64.2522817692488+6869.6732974491+2089.43283407442,-1)</f>
        <v>21980</v>
      </c>
      <c r="E152" s="63">
        <f>TRUNC(+D152*3.3058,-1)</f>
        <v>72660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32110</v>
      </c>
      <c r="E154" s="39">
        <f>SUM(E149:E153)</f>
        <v>106140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249</v>
      </c>
      <c r="C156" s="56" t="s">
        <v>244</v>
      </c>
      <c r="D156" s="57" t="s">
        <v>237</v>
      </c>
      <c r="E156" s="57" t="s">
        <v>259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2020-12-07T09:08:58Z</dcterms:modified>
</cp:coreProperties>
</file>