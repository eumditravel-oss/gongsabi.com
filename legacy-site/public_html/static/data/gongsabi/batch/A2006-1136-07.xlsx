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1" i="4"/>
  <c r="E149" i="4"/>
  <c r="E144" i="4"/>
  <c r="E143" i="4"/>
  <c r="E142" i="4"/>
  <c r="E141" i="4"/>
  <c r="E140" i="4"/>
  <c r="E139" i="4"/>
  <c r="E138" i="4"/>
  <c r="E132" i="4"/>
  <c r="E129" i="4"/>
  <c r="E127" i="4"/>
  <c r="E126" i="4"/>
  <c r="E124" i="4"/>
  <c r="E123" i="4"/>
  <c r="E116" i="4"/>
  <c r="E114" i="4"/>
  <c r="E113" i="4"/>
  <c r="E112" i="4"/>
  <c r="E111" i="4"/>
  <c r="E110" i="4"/>
  <c r="E109" i="4"/>
  <c r="E103" i="4"/>
  <c r="E98" i="4"/>
  <c r="E91" i="4"/>
  <c r="E90" i="4"/>
  <c r="E89" i="4"/>
  <c r="E88" i="4"/>
  <c r="E87" i="4"/>
  <c r="E86" i="4"/>
  <c r="E85" i="4"/>
  <c r="E84" i="4"/>
  <c r="E83" i="4"/>
  <c r="E82" i="4"/>
  <c r="E80" i="4"/>
  <c r="E78" i="4"/>
  <c r="E77" i="4"/>
  <c r="E76" i="4"/>
  <c r="E75" i="4"/>
  <c r="E74" i="4"/>
  <c r="E73" i="4"/>
  <c r="E65" i="4"/>
  <c r="E64" i="4"/>
  <c r="E57" i="4"/>
  <c r="E56" i="4"/>
  <c r="E55" i="4"/>
  <c r="E54" i="4"/>
  <c r="E37" i="4"/>
  <c r="D107" i="4" l="1"/>
  <c r="E107" i="4" s="1"/>
  <c r="D118" i="4"/>
  <c r="E118" i="4" s="1"/>
  <c r="D106" i="4"/>
  <c r="E106" i="4" s="1"/>
  <c r="D159" i="4"/>
  <c r="E159" i="4" s="1"/>
  <c r="D158" i="4"/>
  <c r="E158" i="4" s="1"/>
  <c r="D157" i="4"/>
  <c r="E157" i="4" s="1"/>
  <c r="E161" i="4" s="1"/>
  <c r="D153" i="4"/>
  <c r="E153" i="4" s="1"/>
  <c r="D152" i="4"/>
  <c r="E152" i="4" s="1"/>
  <c r="E154" i="4" s="1"/>
  <c r="D150" i="4"/>
  <c r="E150" i="4" s="1"/>
  <c r="D145" i="4"/>
  <c r="E145" i="4" s="1"/>
  <c r="D137" i="4"/>
  <c r="E137" i="4" s="1"/>
  <c r="D136" i="4"/>
  <c r="E136" i="4" s="1"/>
  <c r="D131" i="4"/>
  <c r="E131" i="4" s="1"/>
  <c r="D130" i="4"/>
  <c r="E130" i="4" s="1"/>
  <c r="D128" i="4"/>
  <c r="E128" i="4" s="1"/>
  <c r="D125" i="4"/>
  <c r="E125" i="4" s="1"/>
  <c r="D122" i="4"/>
  <c r="E122" i="4" s="1"/>
  <c r="D117" i="4"/>
  <c r="E117" i="4" s="1"/>
  <c r="D115" i="4"/>
  <c r="E115" i="4" s="1"/>
  <c r="D108" i="4"/>
  <c r="E108" i="4" s="1"/>
  <c r="D105" i="4"/>
  <c r="E105" i="4" s="1"/>
  <c r="D104" i="4"/>
  <c r="E104" i="4" s="1"/>
  <c r="D102" i="4"/>
  <c r="E102" i="4" s="1"/>
  <c r="D101" i="4"/>
  <c r="E101" i="4" s="1"/>
  <c r="D100" i="4"/>
  <c r="E100" i="4" s="1"/>
  <c r="D99" i="4"/>
  <c r="E99" i="4" s="1"/>
  <c r="E119" i="4" s="1"/>
  <c r="D94" i="4"/>
  <c r="E94" i="4" s="1"/>
  <c r="D93" i="4"/>
  <c r="E93" i="4" s="1"/>
  <c r="D92" i="4"/>
  <c r="E92" i="4" s="1"/>
  <c r="D81" i="4"/>
  <c r="E81" i="4" s="1"/>
  <c r="D79" i="4"/>
  <c r="E79" i="4" s="1"/>
  <c r="D72" i="4"/>
  <c r="E72" i="4" s="1"/>
  <c r="D71" i="4"/>
  <c r="E71" i="4" s="1"/>
  <c r="D70" i="4"/>
  <c r="E70" i="4" s="1"/>
  <c r="D69" i="4"/>
  <c r="E69" i="4" s="1"/>
  <c r="D63" i="4"/>
  <c r="E63" i="4" s="1"/>
  <c r="E66" i="4" s="1"/>
  <c r="D59" i="4"/>
  <c r="E59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154" i="4"/>
  <c r="D31" i="4" s="1"/>
  <c r="E31" i="4" s="1"/>
  <c r="D133" i="4"/>
  <c r="D95" i="4"/>
  <c r="D27" i="4" s="1"/>
  <c r="E27" i="4" s="1"/>
  <c r="D24" i="4"/>
  <c r="E24" i="4" s="1"/>
  <c r="D29" i="4"/>
  <c r="E29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60" i="4" l="1"/>
  <c r="D25" i="4" s="1"/>
  <c r="E60" i="4"/>
  <c r="E146" i="4"/>
  <c r="D66" i="4"/>
  <c r="D26" i="4" s="1"/>
  <c r="E26" i="4" s="1"/>
  <c r="D146" i="4"/>
  <c r="D30" i="4" s="1"/>
  <c r="E30" i="4" s="1"/>
  <c r="E95" i="4"/>
  <c r="D119" i="4"/>
  <c r="D28" i="4" s="1"/>
  <c r="E28" i="4" s="1"/>
  <c r="D161" i="4"/>
  <c r="D32" i="4" s="1"/>
  <c r="E32" i="4" s="1"/>
  <c r="E133" i="4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<sst xmlns="http://schemas.openxmlformats.org/spreadsheetml/2006/main" count="398" uniqueCount="272">
  <si>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</si>
  <si>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</si>
  <si>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</si>
  <si>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</si>
  <si>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</si>
  <si>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</si>
  <si>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</si>
  <si>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</si>
  <si>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</si>
  <si>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</si>
  <si>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</si>
  <si>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</si>
  <si>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</si>
  <si>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</si>
  <si>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</si>
  <si>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</si>
  <si>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</si>
  <si>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</si>
  <si>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</si>
  <si>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</si>
  <si>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</si>
  <si>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</si>
  <si>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</si>
  <si>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</si>
  <si>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</si>
  <si>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</si>
  <si>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</si>
  <si>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</si>
  <si>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</si>
  <si>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</si>
  <si>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</si>
  <si>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</si>
  <si>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</si>
  <si>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</si>
  <si>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</si>
  <si>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</si>
  <si>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</si>
  <si>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</si>
  <si>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</si>
  <si>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</si>
  <si>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</si>
  <si>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</si>
  <si>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</si>
  <si>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</si>
  <si>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</si>
  <si>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</si>
  <si>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</si>
  <si>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</si>
  <si>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</si>
  <si>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</si>
  <si>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</si>
  <si>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</si>
  <si>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</si>
  <si>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</si>
  <si>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</si>
  <si>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</si>
  <si>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</si>
  <si>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</si>
  <si>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</si>
  <si>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</si>
  <si>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</si>
  <si>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</si>
  <si>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</si>
  <si>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</si>
  <si>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</si>
  <si>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</si>
  <si>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</si>
  <si>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</si>
  <si>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</si>
  <si>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</si>
  <si>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</si>
  <si>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</si>
  <si>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</si>
  <si>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</si>
  <si>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</si>
  <si>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</si>
  <si>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</si>
  <si>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</si>
  <si>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</si>
  <si>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</si>
  <si>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</si>
  <si>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</si>
  <si>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</si>
  <si>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</si>
  <si>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</si>
  <si>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</si>
  <si>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</si>
  <si>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</si>
  <si>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</si>
  <si>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</si>
  <si>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</si>
  <si>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</si>
  <si>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</si>
  <si>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</si>
  <si>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</si>
  <si>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</si>
  <si>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</si>
  <si>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</si>
  <si>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</si>
  <si>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</si>
  <si>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</si>
  <si>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</si>
  <si>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</si>
  <si>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</si>
  <si>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</si>
  <si>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</si>
  <si>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</si>
  <si>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</si>
  <si>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</si>
  <si>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</si>
  <si>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</si>
  <si>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</si>
  <si>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</si>
  <si>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</si>
  <si>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</si>
  <si>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</si>
  <si>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</si>
  <si>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</si>
  <si>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</si>
  <si>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</si>
  <si>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</si>
  <si>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</si>
  <si>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</si>
  <si>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</si>
  <si>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</si>
  <si>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</si>
  <si>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</si>
  <si>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</si>
  <si>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</si>
  <si>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</si>
  <si>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</si>
  <si>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</si>
  <si>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</si>
  <si>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</si>
  <si>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</si>
  <si>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</si>
  <si>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</si>
  <si>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</si>
  <si>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</si>
  <si>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</si>
  <si>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</si>
  <si>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</si>
  <si>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</si>
  <si>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</si>
  <si>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</si>
  <si>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</si>
  <si>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</si>
  <si>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</si>
  <si>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</si>
  <si>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</si>
  <si>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</si>
  <si>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</si>
  <si>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</si>
  <si>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</si>
  <si>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</si>
  <si>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</si>
  <si>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</si>
  <si>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</si>
  <si>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</si>
  <si>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</si>
  <si>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</si>
  <si>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</si>
  <si>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</si>
  <si>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</si>
  <si>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</si>
  <si>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</si>
  <si>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</si>
  <si>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</si>
  <si>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</si>
  <si>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</si>
  <si>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</si>
  <si>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</si>
  <si>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</si>
  <si>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</si>
  <si>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</si>
  <si>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</si>
  <si>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</si>
  <si>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</si>
  <si>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</si>
  <si>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</si>
  <si>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</si>
  <si>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</si>
  <si>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</si>
  <si>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</si>
  <si>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</si>
  <si>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</si>
  <si>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</si>
  <si>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</si>
  <si>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</si>
  <si>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</si>
  <si>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</si>
  <si>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</si>
  <si>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</si>
  <si>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</si>
  <si>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</si>
  <si>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</si>
  <si>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</si>
  <si>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</si>
  <si>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</si>
  <si>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</si>
  <si>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</si>
  <si>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</si>
  <si>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</si>
  <si>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</si>
  <si>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</si>
  <si>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</si>
  <si>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</si>
  <si>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</si>
  <si>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</si>
  <si>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</si>
  <si>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</si>
  <si>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</si>
  <si>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</si>
  <si>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</si>
  <si>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</si>
  <si>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</si>
  <si>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</si>
  <si>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</si>
  <si>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</si>
  <si>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</si>
  <si>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</si>
  <si>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</si>
  <si>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</si>
  <si>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</si>
  <si>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</si>
  <si>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</si>
  <si>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</si>
  <si>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</si>
  <si>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</si>
  <si>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</si>
  <si>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</si>
  <si>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</si>
  <si>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</si>
  <si>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</si>
  <si>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</si>
  <si>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</si>
  <si>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</si>
  <si>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</si>
  <si>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</si>
  <si>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</si>
  <si>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</si>
  <si>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</si>
  <si>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</si>
  <si>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</si>
  <si>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</si>
  <si>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</si>
  <si>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</si>
  <si>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</si>
  <si>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00대학교 법학전문대학원 신축공사</t>
  </si>
  <si>
    <t>대구시</t>
  </si>
  <si>
    <t>도급자설치관급</t>
  </si>
  <si>
    <t>토공사, 잡공사, 골재대, 운반비, 철거공사</t>
    <phoneticPr fontId="2" type="noConversion"/>
  </si>
  <si>
    <t>배수공, 철거및복구공, 부대공</t>
    <phoneticPr fontId="2" type="noConversion"/>
  </si>
  <si>
    <t>이식공, 포장공</t>
    <phoneticPr fontId="2" type="noConversion"/>
  </si>
  <si>
    <t>위생도기설치공사</t>
  </si>
  <si>
    <t>냉난방배관공사, 위생배관공사</t>
    <phoneticPr fontId="2" type="noConversion"/>
  </si>
  <si>
    <t>환기덕트설치공사</t>
  </si>
  <si>
    <t>도급자설치관급자재비</t>
  </si>
  <si>
    <t>도급자설치관급자재비, 관급자설치관급자재</t>
    <phoneticPr fontId="2" type="noConversion"/>
  </si>
  <si>
    <t>기계실동력 설비공사</t>
  </si>
  <si>
    <t>피뢰침 설비공사</t>
  </si>
  <si>
    <t>전기소방</t>
    <phoneticPr fontId="2" type="noConversion"/>
  </si>
  <si>
    <t>도급자설치관급자재, 관급자설치관급자재</t>
    <phoneticPr fontId="2" type="noConversion"/>
  </si>
  <si>
    <t>전관방송 설비공사, 강의실방송 설비공사, 무인전자경비 설비공사, 무대기계 설비공사, 가설공사</t>
    <phoneticPr fontId="2" type="noConversion"/>
  </si>
  <si>
    <t>외등 설비공사, 전기간선 설비공사,  가설공사</t>
    <phoneticPr fontId="2" type="noConversion"/>
  </si>
  <si>
    <t>비상조명등 설비공사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</si>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</sst>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269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6985</v>
      </c>
      <c r="D7" s="36">
        <f>+C7/3.3058</f>
        <v>2112.9529917115374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270</v>
      </c>
    </row>
    <row r="19" spans="1:5" x14ac:dyDescent="0.3">
      <c r="A19" s="2">
        <v>9</v>
      </c>
      <c r="B19" s="2" t="s">
        <v>271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266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495930</v>
      </c>
      <c r="E25" s="59">
        <f t="shared" si="0"/>
        <v>1639440</v>
      </c>
    </row>
    <row r="26" spans="1:5" x14ac:dyDescent="0.3">
      <c r="B26" s="2">
        <v>3</v>
      </c>
      <c r="C26" s="35" t="s">
        <v>95</v>
      </c>
      <c r="D26" s="45">
        <f>+D66</f>
        <v>1180</v>
      </c>
      <c r="E26" s="59">
        <f t="shared" si="0"/>
        <v>3900</v>
      </c>
    </row>
    <row r="27" spans="1:5" x14ac:dyDescent="0.3">
      <c r="B27" s="2">
        <v>4</v>
      </c>
      <c r="C27" s="35" t="s">
        <v>96</v>
      </c>
      <c r="D27" s="45">
        <f>+D95</f>
        <v>164630</v>
      </c>
      <c r="E27" s="59">
        <f t="shared" si="0"/>
        <v>544230</v>
      </c>
    </row>
    <row r="28" spans="1:5" x14ac:dyDescent="0.3">
      <c r="B28" s="2">
        <v>5</v>
      </c>
      <c r="C28" s="35" t="s">
        <v>97</v>
      </c>
      <c r="D28" s="45">
        <f>+D119</f>
        <v>70210</v>
      </c>
      <c r="E28" s="59">
        <f t="shared" si="0"/>
        <v>232100</v>
      </c>
    </row>
    <row r="29" spans="1:5" x14ac:dyDescent="0.3">
      <c r="B29" s="2">
        <v>6</v>
      </c>
      <c r="C29" s="35" t="s">
        <v>98</v>
      </c>
      <c r="D29" s="45">
        <f>+D133</f>
        <v>28070</v>
      </c>
      <c r="E29" s="59">
        <f t="shared" si="0"/>
        <v>92790</v>
      </c>
    </row>
    <row r="30" spans="1:5" x14ac:dyDescent="0.3">
      <c r="B30" s="2">
        <v>7</v>
      </c>
      <c r="C30" s="35" t="s">
        <v>99</v>
      </c>
      <c r="D30" s="45">
        <f>+D146</f>
        <v>46200</v>
      </c>
      <c r="E30" s="59">
        <f t="shared" si="0"/>
        <v>152720</v>
      </c>
    </row>
    <row r="31" spans="1:5" x14ac:dyDescent="0.3">
      <c r="B31" s="2">
        <v>8</v>
      </c>
      <c r="C31" s="35" t="s">
        <v>100</v>
      </c>
      <c r="D31" s="45">
        <f>+D154</f>
        <v>35460</v>
      </c>
      <c r="E31" s="59">
        <f t="shared" si="0"/>
        <v>117220</v>
      </c>
    </row>
    <row r="32" spans="1:5" x14ac:dyDescent="0.3">
      <c r="B32" s="2">
        <v>9</v>
      </c>
      <c r="C32" s="35" t="s">
        <v>101</v>
      </c>
      <c r="D32" s="45">
        <f>+D161</f>
        <v>16540</v>
      </c>
      <c r="E32" s="59">
        <f t="shared" si="0"/>
        <v>54670</v>
      </c>
    </row>
    <row r="33" spans="1:7" x14ac:dyDescent="0.3">
      <c r="B33" s="2">
        <v>10</v>
      </c>
      <c r="C33" s="35" t="s">
        <v>153</v>
      </c>
      <c r="D33" s="53">
        <f>TRUNC(SUM(D24:D32)*0.275,-1)</f>
        <v>236010</v>
      </c>
      <c r="E33" s="60">
        <f t="shared" si="0"/>
        <v>780200</v>
      </c>
    </row>
    <row r="34" spans="1:7" x14ac:dyDescent="0.3">
      <c r="C34" s="35" t="s">
        <v>112</v>
      </c>
      <c r="D34" s="44">
        <f>SUM(D24:D33)</f>
        <v>1094230</v>
      </c>
      <c r="E34" s="44">
        <f>SUM(E24:E33)</f>
        <v>3617270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234</v>
      </c>
      <c r="E36" s="57" t="s">
        <v>266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267</v>
      </c>
      <c r="E39" s="67" t="s">
        <v>268</v>
      </c>
      <c r="G39" s="68"/>
    </row>
    <row r="40" spans="1:7" x14ac:dyDescent="0.3">
      <c r="A40" s="2">
        <v>1</v>
      </c>
      <c r="C40" s="38" t="s">
        <v>15</v>
      </c>
      <c r="D40" s="40">
        <f>TRUNC(30611.5126700072,-1)</f>
        <v>30610</v>
      </c>
      <c r="E40" s="62">
        <f t="shared" ref="E40:E59" si="1">TRUNC(+D40*3.3058,-1)</f>
        <v>101190</v>
      </c>
    </row>
    <row r="41" spans="1:7" x14ac:dyDescent="0.3">
      <c r="A41" s="2">
        <v>2</v>
      </c>
      <c r="C41" s="38" t="s">
        <v>13</v>
      </c>
      <c r="D41" s="42">
        <f>TRUNC(92554.6346456693,-1)</f>
        <v>92550</v>
      </c>
      <c r="E41" s="63">
        <f t="shared" si="1"/>
        <v>305950</v>
      </c>
    </row>
    <row r="42" spans="1:7" x14ac:dyDescent="0.3">
      <c r="A42" s="2">
        <v>3</v>
      </c>
      <c r="C42" s="38" t="s">
        <v>14</v>
      </c>
      <c r="D42" s="42">
        <f>TRUNC(3252.73013600573,-1)</f>
        <v>3250</v>
      </c>
      <c r="E42" s="63">
        <f t="shared" si="1"/>
        <v>10740</v>
      </c>
    </row>
    <row r="43" spans="1:7" x14ac:dyDescent="0.3">
      <c r="A43" s="2">
        <v>4</v>
      </c>
      <c r="C43" s="38" t="s">
        <v>16</v>
      </c>
      <c r="D43" s="42">
        <f>TRUNC(44351.2219040802,-1)</f>
        <v>44350</v>
      </c>
      <c r="E43" s="63">
        <f t="shared" si="1"/>
        <v>146610</v>
      </c>
    </row>
    <row r="44" spans="1:7" x14ac:dyDescent="0.3">
      <c r="A44" s="2">
        <v>5</v>
      </c>
      <c r="C44" s="38" t="s">
        <v>17</v>
      </c>
      <c r="D44" s="42">
        <f>TRUNC(17412.5526127416,-1)</f>
        <v>17410</v>
      </c>
      <c r="E44" s="63">
        <f t="shared" si="1"/>
        <v>57550</v>
      </c>
    </row>
    <row r="45" spans="1:7" x14ac:dyDescent="0.3">
      <c r="A45" s="2">
        <v>6</v>
      </c>
      <c r="C45" s="38" t="s">
        <v>18</v>
      </c>
      <c r="D45" s="42">
        <f>TRUNC(4289.28761632069,-1)</f>
        <v>4280</v>
      </c>
      <c r="E45" s="63">
        <f t="shared" si="1"/>
        <v>14140</v>
      </c>
    </row>
    <row r="46" spans="1:7" x14ac:dyDescent="0.3">
      <c r="A46" s="2">
        <v>7</v>
      </c>
      <c r="C46" s="38" t="s">
        <v>19</v>
      </c>
      <c r="D46" s="42">
        <f>TRUNC(47897.9705082319,-1)</f>
        <v>47890</v>
      </c>
      <c r="E46" s="63">
        <f t="shared" si="1"/>
        <v>158310</v>
      </c>
    </row>
    <row r="47" spans="1:7" x14ac:dyDescent="0.3">
      <c r="A47" s="2">
        <v>8</v>
      </c>
      <c r="C47" s="38" t="s">
        <v>20</v>
      </c>
      <c r="D47" s="42">
        <f>TRUNC(3498.10694345025,-1)</f>
        <v>3490</v>
      </c>
      <c r="E47" s="63">
        <f t="shared" si="1"/>
        <v>11530</v>
      </c>
    </row>
    <row r="48" spans="1:7" x14ac:dyDescent="0.3">
      <c r="A48" s="2">
        <v>9</v>
      </c>
      <c r="C48" s="38" t="s">
        <v>21</v>
      </c>
      <c r="D48" s="42">
        <f>TRUNC(32999.020329277,-1)</f>
        <v>32990</v>
      </c>
      <c r="E48" s="63">
        <f t="shared" si="1"/>
        <v>109050</v>
      </c>
    </row>
    <row r="49" spans="1:7" x14ac:dyDescent="0.3">
      <c r="A49" s="2">
        <v>10</v>
      </c>
      <c r="C49" s="38" t="s">
        <v>22</v>
      </c>
      <c r="D49" s="42">
        <f>TRUNC(14723.7805297065,-1)</f>
        <v>14720</v>
      </c>
      <c r="E49" s="63">
        <f t="shared" si="1"/>
        <v>48660</v>
      </c>
    </row>
    <row r="50" spans="1:7" x14ac:dyDescent="0.3">
      <c r="A50" s="2">
        <v>11</v>
      </c>
      <c r="C50" s="38" t="s">
        <v>154</v>
      </c>
      <c r="D50" s="42">
        <f>TRUNC(49742.8472440945,-1)</f>
        <v>49740</v>
      </c>
      <c r="E50" s="63">
        <f t="shared" si="1"/>
        <v>164430</v>
      </c>
    </row>
    <row r="51" spans="1:7" x14ac:dyDescent="0.3">
      <c r="A51" s="2">
        <v>12</v>
      </c>
      <c r="C51" s="38" t="s">
        <v>23</v>
      </c>
      <c r="D51" s="42">
        <f>TRUNC(6889.24366499642,-1)</f>
        <v>6880</v>
      </c>
      <c r="E51" s="63">
        <f t="shared" si="1"/>
        <v>22740</v>
      </c>
    </row>
    <row r="52" spans="1:7" x14ac:dyDescent="0.3">
      <c r="A52" s="2">
        <v>13</v>
      </c>
      <c r="C52" s="38" t="s">
        <v>24</v>
      </c>
      <c r="D52" s="42">
        <f>TRUNC(7956.25783822477,-1)</f>
        <v>7950</v>
      </c>
      <c r="E52" s="63">
        <f t="shared" si="1"/>
        <v>26280</v>
      </c>
    </row>
    <row r="53" spans="1:7" x14ac:dyDescent="0.3">
      <c r="A53" s="2">
        <v>14</v>
      </c>
      <c r="C53" s="38" t="s">
        <v>25</v>
      </c>
      <c r="D53" s="42">
        <f>TRUNC(28808.4085898354,-1)</f>
        <v>28800</v>
      </c>
      <c r="E53" s="63">
        <f t="shared" si="1"/>
        <v>95200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TRUNC(6302.41245526127+22683.4483894059+4982.76879026485+1273.40343593414+135.395418754474,-1)</f>
        <v>35370</v>
      </c>
      <c r="E58" s="63">
        <f t="shared" si="1"/>
        <v>116920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TRUNC(75656.9792412312,-1)</f>
        <v>75650</v>
      </c>
      <c r="E59" s="64">
        <f t="shared" si="1"/>
        <v>250080</v>
      </c>
      <c r="F59" s="2" t="s">
        <v>250</v>
      </c>
    </row>
    <row r="60" spans="1:7" x14ac:dyDescent="0.3">
      <c r="A60" s="2">
        <v>21</v>
      </c>
      <c r="C60" s="27" t="s">
        <v>112</v>
      </c>
      <c r="D60" s="39">
        <f>SUM(D40:D59)</f>
        <v>495930</v>
      </c>
      <c r="E60" s="39">
        <f>SUM(E40:E59)</f>
        <v>1639380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236</v>
      </c>
      <c r="E62" s="57" t="s">
        <v>266</v>
      </c>
      <c r="G62" s="55"/>
    </row>
    <row r="63" spans="1:7" x14ac:dyDescent="0.3">
      <c r="A63" s="2">
        <v>1</v>
      </c>
      <c r="C63" s="38" t="s">
        <v>27</v>
      </c>
      <c r="D63" s="40">
        <f>TRUNC(1186.57308518253,-1)</f>
        <v>1180</v>
      </c>
      <c r="E63" s="62">
        <f>TRUNC(+D63*3.3058,-1)</f>
        <v>3900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1180</v>
      </c>
      <c r="E66" s="65">
        <f>SUM(E63:E65)</f>
        <v>3900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240</v>
      </c>
      <c r="C68" s="56" t="s">
        <v>241</v>
      </c>
      <c r="D68" s="57" t="s">
        <v>234</v>
      </c>
      <c r="E68" s="57" t="s">
        <v>266</v>
      </c>
      <c r="G68" s="55"/>
    </row>
    <row r="69" spans="1:7" x14ac:dyDescent="0.3">
      <c r="A69" s="2">
        <v>1</v>
      </c>
      <c r="C69" s="38" t="s">
        <v>30</v>
      </c>
      <c r="D69" s="40">
        <f>TRUNC(6776.52670007158,-1)</f>
        <v>6770</v>
      </c>
      <c r="E69" s="62">
        <f>TRUNC(+D69*3.3058,-1)</f>
        <v>22380</v>
      </c>
    </row>
    <row r="70" spans="1:7" ht="16.5" customHeight="1" x14ac:dyDescent="0.3">
      <c r="A70" s="2">
        <v>2</v>
      </c>
      <c r="C70" s="38" t="s">
        <v>31</v>
      </c>
      <c r="D70" s="42">
        <f>TRUNC(110.7085182534,-1)</f>
        <v>110</v>
      </c>
      <c r="E70" s="63">
        <f>TRUNC(+D70*3.3058,-1)</f>
        <v>360</v>
      </c>
    </row>
    <row r="71" spans="1:7" x14ac:dyDescent="0.3">
      <c r="A71" s="2">
        <v>3</v>
      </c>
      <c r="C71" s="38" t="s">
        <v>32</v>
      </c>
      <c r="D71" s="42">
        <f>TRUNC(2993.17151037938,-1)</f>
        <v>2990</v>
      </c>
      <c r="E71" s="63">
        <f t="shared" ref="E71:E73" si="2">TRUNC(+D71*3.3058,-1)</f>
        <v>9880</v>
      </c>
    </row>
    <row r="72" spans="1:7" x14ac:dyDescent="0.3">
      <c r="A72" s="2">
        <v>4</v>
      </c>
      <c r="C72" s="38" t="s">
        <v>33</v>
      </c>
      <c r="D72" s="42">
        <f>TRUNC(8053.31753758053,-1)</f>
        <v>8050</v>
      </c>
      <c r="E72" s="63">
        <f t="shared" si="2"/>
        <v>26610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f>TRUNC(1307.39040801718,-1)</f>
        <v>1300</v>
      </c>
      <c r="E79" s="63">
        <f t="shared" si="3"/>
        <v>4290</v>
      </c>
      <c r="F79" s="2" t="s">
        <v>256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f>TRUNC(11041.6714387974,-1)</f>
        <v>11040</v>
      </c>
      <c r="E81" s="63">
        <f t="shared" si="3"/>
        <v>36490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>TRUNC(+D90*3.3058,-1)</f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f>TRUNC(7732.57337151038,-1)</f>
        <v>7730</v>
      </c>
      <c r="E92" s="63">
        <f>TRUNC(+D92*3.3058,-1)</f>
        <v>25550</v>
      </c>
      <c r="F92" s="2" t="s">
        <v>254</v>
      </c>
    </row>
    <row r="93" spans="1:7" x14ac:dyDescent="0.3">
      <c r="A93" s="2">
        <v>25</v>
      </c>
      <c r="C93" s="38" t="s">
        <v>148</v>
      </c>
      <c r="D93" s="42">
        <f>TRUNC(90622.7630637079,-1)</f>
        <v>90620</v>
      </c>
      <c r="E93" s="63">
        <f>TRUNC(+D93*3.3058,-1)</f>
        <v>299570</v>
      </c>
      <c r="F93" s="2" t="s">
        <v>257</v>
      </c>
    </row>
    <row r="94" spans="1:7" ht="17.25" thickBot="1" x14ac:dyDescent="0.35">
      <c r="A94" s="2">
        <v>26</v>
      </c>
      <c r="C94" s="38" t="s">
        <v>47</v>
      </c>
      <c r="D94" s="43">
        <f>TRUNC(27768.0621331424+8253.95561918397,-1)</f>
        <v>36020</v>
      </c>
      <c r="E94" s="64">
        <f>TRUNC(+D94*3.3058,-1)</f>
        <v>119070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164630</v>
      </c>
      <c r="E95" s="39">
        <f>SUM(E69:E94)</f>
        <v>544200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242</v>
      </c>
      <c r="C97" s="56" t="s">
        <v>241</v>
      </c>
      <c r="D97" s="57" t="s">
        <v>234</v>
      </c>
      <c r="E97" s="57" t="s">
        <v>266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f>TRUNC(684.569935576235,-1)</f>
        <v>680</v>
      </c>
      <c r="E99" s="63">
        <f t="shared" si="4"/>
        <v>2240</v>
      </c>
      <c r="F99" s="2" t="s">
        <v>259</v>
      </c>
    </row>
    <row r="100" spans="1:7" x14ac:dyDescent="0.3">
      <c r="A100" s="2">
        <v>3</v>
      </c>
      <c r="C100" s="38" t="s">
        <v>41</v>
      </c>
      <c r="D100" s="42">
        <f>TRUNC(11261.6118826056,-1)</f>
        <v>11260</v>
      </c>
      <c r="E100" s="63">
        <f t="shared" si="4"/>
        <v>37220</v>
      </c>
    </row>
    <row r="101" spans="1:7" x14ac:dyDescent="0.3">
      <c r="A101" s="2">
        <v>4</v>
      </c>
      <c r="C101" s="38" t="s">
        <v>42</v>
      </c>
      <c r="D101" s="42">
        <f>TRUNC(8908.46728704366,-1)</f>
        <v>8900</v>
      </c>
      <c r="E101" s="63">
        <f t="shared" si="4"/>
        <v>29420</v>
      </c>
    </row>
    <row r="102" spans="1:7" x14ac:dyDescent="0.3">
      <c r="A102" s="2">
        <v>5</v>
      </c>
      <c r="C102" s="38" t="s">
        <v>43</v>
      </c>
      <c r="D102" s="42">
        <f>TRUNC(3742.93357193987,-1)</f>
        <v>3740</v>
      </c>
      <c r="E102" s="63">
        <f t="shared" si="4"/>
        <v>12360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TRUNC(604.168790264853,-1)</f>
        <v>600</v>
      </c>
      <c r="E104" s="63">
        <f t="shared" si="4"/>
        <v>1980</v>
      </c>
      <c r="F104" s="2" t="s">
        <v>260</v>
      </c>
    </row>
    <row r="105" spans="1:7" x14ac:dyDescent="0.3">
      <c r="A105" s="2">
        <v>8</v>
      </c>
      <c r="C105" s="38" t="s">
        <v>46</v>
      </c>
      <c r="D105" s="42">
        <f>TRUNC(877.327272727273,-1)</f>
        <v>870</v>
      </c>
      <c r="E105" s="63">
        <f t="shared" si="4"/>
        <v>2870</v>
      </c>
    </row>
    <row r="106" spans="1:7" x14ac:dyDescent="0.3">
      <c r="A106" s="2">
        <v>9</v>
      </c>
      <c r="C106" s="38" t="s">
        <v>135</v>
      </c>
      <c r="D106" s="42">
        <f>TRUNC(827.201431639227,-1)</f>
        <v>820</v>
      </c>
      <c r="E106" s="63">
        <f t="shared" si="4"/>
        <v>2710</v>
      </c>
    </row>
    <row r="107" spans="1:7" x14ac:dyDescent="0.3">
      <c r="A107" s="2">
        <v>10</v>
      </c>
      <c r="C107" s="38" t="s">
        <v>117</v>
      </c>
      <c r="D107" s="42">
        <f>TRUNC(753.73829634932,-1)</f>
        <v>750</v>
      </c>
      <c r="E107" s="63">
        <f t="shared" si="4"/>
        <v>2470</v>
      </c>
      <c r="F107" s="2" t="s">
        <v>265</v>
      </c>
    </row>
    <row r="108" spans="1:7" x14ac:dyDescent="0.3">
      <c r="A108" s="2">
        <v>11</v>
      </c>
      <c r="C108" s="38" t="s">
        <v>120</v>
      </c>
      <c r="D108" s="42">
        <f>TRUNC(1320.01059413028,-1)</f>
        <v>1320</v>
      </c>
      <c r="E108" s="63">
        <f t="shared" si="4"/>
        <v>4360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f>TRUNC(716.43192555476,-1)</f>
        <v>710</v>
      </c>
      <c r="E115" s="63">
        <f t="shared" si="4"/>
        <v>2340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TRUNC(7301.36005726557+21116.6785969936,-1)</f>
        <v>28410</v>
      </c>
      <c r="E117" s="63">
        <f t="shared" si="4"/>
        <v>93910</v>
      </c>
      <c r="F117" s="2" t="s">
        <v>262</v>
      </c>
    </row>
    <row r="118" spans="1:7" ht="17.25" thickBot="1" x14ac:dyDescent="0.35">
      <c r="A118" s="2">
        <v>21</v>
      </c>
      <c r="C118" s="38" t="s">
        <v>47</v>
      </c>
      <c r="D118" s="43">
        <f>TRUNC(2577.87372942019+9504.63192555476+72.884896206156,-1)</f>
        <v>12150</v>
      </c>
      <c r="E118" s="64">
        <f t="shared" si="4"/>
        <v>40160</v>
      </c>
      <c r="F118" s="2" t="s">
        <v>264</v>
      </c>
    </row>
    <row r="119" spans="1:7" x14ac:dyDescent="0.3">
      <c r="A119" s="2">
        <v>22</v>
      </c>
      <c r="C119" s="27" t="s">
        <v>112</v>
      </c>
      <c r="D119" s="39">
        <f>SUM(D98:D118)</f>
        <v>70210</v>
      </c>
      <c r="E119" s="39">
        <f>SUM(E98:E118)</f>
        <v>232040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243</v>
      </c>
      <c r="C121" s="56" t="s">
        <v>241</v>
      </c>
      <c r="D121" s="57" t="s">
        <v>234</v>
      </c>
      <c r="E121" s="57" t="s">
        <v>266</v>
      </c>
      <c r="G121" s="55"/>
    </row>
    <row r="122" spans="1:7" x14ac:dyDescent="0.3">
      <c r="A122" s="2">
        <v>1</v>
      </c>
      <c r="C122" s="38" t="s">
        <v>55</v>
      </c>
      <c r="D122" s="40">
        <f>TRUNC(1090.10121689334,-1)</f>
        <v>1090</v>
      </c>
      <c r="E122" s="62">
        <f t="shared" ref="E122:E132" si="5">TRUNC(+D122*3.3058,-1)</f>
        <v>3600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TRUNC(1089.03421617752+6434.27057981389+3108.70365068003+1916.52770221904+72.884896206156,-1)</f>
        <v>12620</v>
      </c>
      <c r="E125" s="63">
        <f t="shared" si="5"/>
        <v>41710</v>
      </c>
      <c r="F125" s="2" t="s">
        <v>263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f>TRUNC(2382.81989978525,-1)</f>
        <v>2380</v>
      </c>
      <c r="E128" s="63">
        <f t="shared" si="5"/>
        <v>7860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TRUNC(6620.04595561918,-1)</f>
        <v>6620</v>
      </c>
      <c r="E130" s="63">
        <f t="shared" si="5"/>
        <v>21880</v>
      </c>
    </row>
    <row r="131" spans="1:7" x14ac:dyDescent="0.3">
      <c r="A131" s="2">
        <v>10</v>
      </c>
      <c r="C131" s="38" t="s">
        <v>148</v>
      </c>
      <c r="D131" s="42">
        <f>TRUNC(5368.64710093057,-1)</f>
        <v>5360</v>
      </c>
      <c r="E131" s="63">
        <f t="shared" si="5"/>
        <v>17710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5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28070</v>
      </c>
      <c r="E133" s="39">
        <f>SUM(E122:E132)</f>
        <v>92760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244</v>
      </c>
      <c r="C135" s="56" t="s">
        <v>241</v>
      </c>
      <c r="D135" s="57" t="s">
        <v>234</v>
      </c>
      <c r="E135" s="57" t="s">
        <v>266</v>
      </c>
      <c r="G135" s="55"/>
    </row>
    <row r="136" spans="1:7" x14ac:dyDescent="0.3">
      <c r="A136" s="2">
        <v>1</v>
      </c>
      <c r="C136" s="38" t="s">
        <v>131</v>
      </c>
      <c r="D136" s="40">
        <f>TRUNC(12698.2247673586,-1)</f>
        <v>12690</v>
      </c>
      <c r="E136" s="62">
        <f t="shared" ref="E136:E145" si="6">TRUNC(+D136*3.3058,-1)</f>
        <v>41950</v>
      </c>
    </row>
    <row r="137" spans="1:7" x14ac:dyDescent="0.3">
      <c r="A137" s="2">
        <v>2</v>
      </c>
      <c r="C137" s="38" t="s">
        <v>47</v>
      </c>
      <c r="D137" s="42">
        <f>TRUNC(5102.83135289907,-1)</f>
        <v>5100</v>
      </c>
      <c r="E137" s="63">
        <f t="shared" si="6"/>
        <v>16850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f>TRUNC(7301.36005726557+21116.6785969936,-1)</f>
        <v>28410</v>
      </c>
      <c r="E145" s="64">
        <f t="shared" si="6"/>
        <v>93910</v>
      </c>
      <c r="F145" s="2" t="s">
        <v>258</v>
      </c>
    </row>
    <row r="146" spans="1:7" x14ac:dyDescent="0.3">
      <c r="A146" s="2">
        <v>11</v>
      </c>
      <c r="C146" s="27" t="s">
        <v>112</v>
      </c>
      <c r="D146" s="39">
        <f>SUM(D136:D145)</f>
        <v>46200</v>
      </c>
      <c r="E146" s="39">
        <f>SUM(E136:E145)</f>
        <v>152710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245</v>
      </c>
      <c r="C148" s="56" t="s">
        <v>241</v>
      </c>
      <c r="D148" s="57" t="s">
        <v>234</v>
      </c>
      <c r="E148" s="57" t="s">
        <v>266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TRUNC(17629.0070150322,-1)</f>
        <v>17620</v>
      </c>
      <c r="E150" s="63">
        <f>TRUNC(+D150*3.3058,-1)</f>
        <v>58240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TRUNC(11270.7855404438+2732.22419470293+113.817322834646,-1)</f>
        <v>14110</v>
      </c>
      <c r="E152" s="63">
        <f>TRUNC(+D152*3.3058,-1)</f>
        <v>46640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f>TRUNC(3736.57838224767,-1)</f>
        <v>3730</v>
      </c>
      <c r="E153" s="64">
        <f>TRUNC(+D153*3.3058,-1)</f>
        <v>12330</v>
      </c>
      <c r="F153" s="2" t="s">
        <v>257</v>
      </c>
    </row>
    <row r="154" spans="1:7" x14ac:dyDescent="0.3">
      <c r="A154" s="2">
        <v>6</v>
      </c>
      <c r="C154" s="27" t="s">
        <v>112</v>
      </c>
      <c r="D154" s="39">
        <f>SUM(D149:D153)</f>
        <v>35460</v>
      </c>
      <c r="E154" s="39">
        <f>SUM(E149:E153)</f>
        <v>117210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246</v>
      </c>
      <c r="C156" s="56" t="s">
        <v>241</v>
      </c>
      <c r="D156" s="57" t="s">
        <v>234</v>
      </c>
      <c r="E156" s="57" t="s">
        <v>266</v>
      </c>
      <c r="G156" s="55"/>
    </row>
    <row r="157" spans="1:7" x14ac:dyDescent="0.3">
      <c r="A157" s="2">
        <v>1</v>
      </c>
      <c r="C157" s="38" t="s">
        <v>51</v>
      </c>
      <c r="D157" s="40">
        <f>TRUNC(3830.84051539012,-1)</f>
        <v>3830</v>
      </c>
      <c r="E157" s="62">
        <f>TRUNC(+D157*3.3058,-1)</f>
        <v>12660</v>
      </c>
    </row>
    <row r="158" spans="1:7" x14ac:dyDescent="0.3">
      <c r="A158" s="2">
        <v>2</v>
      </c>
      <c r="C158" s="38" t="s">
        <v>52</v>
      </c>
      <c r="D158" s="42">
        <f>TRUNC(1453.86227630637,-1)</f>
        <v>1450</v>
      </c>
      <c r="E158" s="63">
        <f>TRUNC(+D158*3.3058,-1)</f>
        <v>4790</v>
      </c>
    </row>
    <row r="159" spans="1:7" x14ac:dyDescent="0.3">
      <c r="A159" s="2">
        <v>3</v>
      </c>
      <c r="C159" s="38" t="s">
        <v>47</v>
      </c>
      <c r="D159" s="42">
        <f>TRUNC(3810.03063707946+7456.65025053686,-1)</f>
        <v>11260</v>
      </c>
      <c r="E159" s="63">
        <f>TRUNC(+D159*3.3058,-1)</f>
        <v>37220</v>
      </c>
      <c r="F159" s="2" t="s">
        <v>253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16540</v>
      </c>
      <c r="E161" s="39">
        <f>SUM(E157:E160)</f>
        <v>54670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2020-12-07T09:06:50Z</dcterms:modified>
</cp:coreProperties>
</file>