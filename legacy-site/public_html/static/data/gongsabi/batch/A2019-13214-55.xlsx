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1" i="4"/>
  <c r="E143" i="4"/>
  <c r="E141" i="4"/>
  <c r="E140" i="4"/>
  <c r="E138" i="4"/>
  <c r="E136" i="4"/>
  <c r="E129" i="4"/>
  <c r="E127" i="4"/>
  <c r="E126" i="4"/>
  <c r="E123" i="4"/>
  <c r="E116" i="4"/>
  <c r="E114" i="4"/>
  <c r="E113" i="4"/>
  <c r="E112" i="4"/>
  <c r="E111" i="4"/>
  <c r="E110" i="4"/>
  <c r="E109" i="4"/>
  <c r="E107" i="4"/>
  <c r="E106" i="4"/>
  <c r="E104" i="4"/>
  <c r="E103" i="4"/>
  <c r="E93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1" i="4"/>
  <c r="E70" i="4"/>
  <c r="E69" i="4"/>
  <c r="E65" i="4"/>
  <c r="E64" i="4"/>
  <c r="E57" i="4"/>
  <c r="E56" i="4"/>
  <c r="E55" i="4"/>
  <c r="E54" i="4"/>
  <c r="E50" i="4"/>
  <c r="E47" i="4"/>
  <c r="E42" i="4"/>
  <c r="E37" i="4"/>
  <c r="D158" i="4" l="1"/>
  <c r="E158" i="4" s="1"/>
  <c r="D157" i="4"/>
  <c r="D153" i="4"/>
  <c r="E153" i="4" s="1"/>
  <c r="D152" i="4"/>
  <c r="E152" i="4" s="1"/>
  <c r="D150" i="4"/>
  <c r="E150" i="4" s="1"/>
  <c r="D149" i="4"/>
  <c r="D145" i="4"/>
  <c r="E145" i="4" s="1"/>
  <c r="D144" i="4"/>
  <c r="E144" i="4" s="1"/>
  <c r="D142" i="4"/>
  <c r="E142" i="4" s="1"/>
  <c r="D139" i="4"/>
  <c r="E139" i="4" s="1"/>
  <c r="D137" i="4"/>
  <c r="D132" i="4"/>
  <c r="E132" i="4" s="1"/>
  <c r="D131" i="4"/>
  <c r="E131" i="4" s="1"/>
  <c r="D130" i="4"/>
  <c r="E130" i="4" s="1"/>
  <c r="D128" i="4"/>
  <c r="E128" i="4" s="1"/>
  <c r="D125" i="4"/>
  <c r="E125" i="4" s="1"/>
  <c r="D124" i="4"/>
  <c r="E124" i="4" s="1"/>
  <c r="D122" i="4"/>
  <c r="E122" i="4" s="1"/>
  <c r="D118" i="4"/>
  <c r="E118" i="4" s="1"/>
  <c r="D117" i="4"/>
  <c r="E117" i="4" s="1"/>
  <c r="D115" i="4"/>
  <c r="E115" i="4" s="1"/>
  <c r="D108" i="4"/>
  <c r="E108" i="4" s="1"/>
  <c r="D105" i="4"/>
  <c r="E105" i="4" s="1"/>
  <c r="D102" i="4"/>
  <c r="E102" i="4" s="1"/>
  <c r="D101" i="4"/>
  <c r="E101" i="4" s="1"/>
  <c r="D100" i="4"/>
  <c r="D99" i="4"/>
  <c r="E99" i="4" s="1"/>
  <c r="D98" i="4"/>
  <c r="E98" i="4" s="1"/>
  <c r="D94" i="4"/>
  <c r="E94" i="4" s="1"/>
  <c r="D92" i="4"/>
  <c r="E92" i="4" s="1"/>
  <c r="D91" i="4"/>
  <c r="E91" i="4" s="1"/>
  <c r="D89" i="4"/>
  <c r="E89" i="4" s="1"/>
  <c r="D84" i="4"/>
  <c r="D73" i="4"/>
  <c r="E73" i="4" s="1"/>
  <c r="D72" i="4"/>
  <c r="E72" i="4" s="1"/>
  <c r="D63" i="4"/>
  <c r="D59" i="4"/>
  <c r="E59" i="4" s="1"/>
  <c r="D58" i="4"/>
  <c r="E58" i="4" s="1"/>
  <c r="D53" i="4"/>
  <c r="E53" i="4" s="1"/>
  <c r="D52" i="4"/>
  <c r="E52" i="4" s="1"/>
  <c r="D51" i="4"/>
  <c r="E51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24" i="4"/>
  <c r="D7" i="4"/>
  <c r="E24" i="4" l="1"/>
  <c r="D119" i="4"/>
  <c r="D28" i="4" s="1"/>
  <c r="E28" i="4" s="1"/>
  <c r="E100" i="4"/>
  <c r="D60" i="4"/>
  <c r="D25" i="4" s="1"/>
  <c r="E25" i="4" s="1"/>
  <c r="E40" i="4"/>
  <c r="E60" i="4" s="1"/>
  <c r="D95" i="4"/>
  <c r="D27" i="4" s="1"/>
  <c r="E27" i="4" s="1"/>
  <c r="E84" i="4"/>
  <c r="E95" i="4" s="1"/>
  <c r="D154" i="4"/>
  <c r="D31" i="4" s="1"/>
  <c r="E31" i="4" s="1"/>
  <c r="E149" i="4"/>
  <c r="E154" i="4" s="1"/>
  <c r="E119" i="4"/>
  <c r="D133" i="4"/>
  <c r="D29" i="4" s="1"/>
  <c r="E29" i="4" s="1"/>
  <c r="D146" i="4"/>
  <c r="D30" i="4" s="1"/>
  <c r="E30" i="4" s="1"/>
  <c r="E137" i="4"/>
  <c r="E146" i="4" s="1"/>
  <c r="D161" i="4"/>
  <c r="D32" i="4" s="1"/>
  <c r="E32" i="4" s="1"/>
  <c r="E157" i="4"/>
  <c r="E161" i="4" s="1"/>
  <c r="D66" i="4"/>
  <c r="D26" i="4" s="1"/>
  <c r="E26" i="4" s="1"/>
  <c r="E63" i="4"/>
  <c r="E66" i="4" s="1"/>
  <c r="E1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<sst xmlns="http://schemas.openxmlformats.org/spreadsheetml/2006/main" count="387" uniqueCount="261">
  <si>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</si>
  <si>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</si>
  <si>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</si>
  <si>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</si>
  <si>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</si>
  <si>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</si>
  <si>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</si>
  <si>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</si>
  <si>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</si>
  <si>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</si>
  <si>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</si>
  <si>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</si>
  <si>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</si>
  <si>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</si>
  <si>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</si>
  <si>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</si>
  <si>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</si>
  <si>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</si>
  <si>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</si>
  <si>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</si>
  <si>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</si>
  <si>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</si>
  <si>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</si>
  <si>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</si>
  <si>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</si>
  <si>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</si>
  <si>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</si>
  <si>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</si>
  <si>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</si>
  <si>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</si>
  <si>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</si>
  <si>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</si>
  <si>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</si>
  <si>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</si>
  <si>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</si>
  <si>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</si>
  <si>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</si>
  <si>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</si>
  <si>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</si>
  <si>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</si>
  <si>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</si>
  <si>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</si>
  <si>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</si>
  <si>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</si>
  <si>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</si>
  <si>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</si>
  <si>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</si>
  <si>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</si>
  <si>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</si>
  <si>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</si>
  <si>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</si>
  <si>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</si>
  <si>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</si>
  <si>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</si>
  <si>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</si>
  <si>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</si>
  <si>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</si>
  <si>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</si>
  <si>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</si>
  <si>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</si>
  <si>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</si>
  <si>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</si>
  <si>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</si>
  <si>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</si>
  <si>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</si>
  <si>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</si>
  <si>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</si>
  <si>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</si>
  <si>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</si>
  <si>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</si>
  <si>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</si>
  <si>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</si>
  <si>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</si>
  <si>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</si>
  <si>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</si>
  <si>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</si>
  <si>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</si>
  <si>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</si>
  <si>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</si>
  <si>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</si>
  <si>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</si>
  <si>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</si>
  <si>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</si>
  <si>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</si>
  <si>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</si>
  <si>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</si>
  <si>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</si>
  <si>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</si>
  <si>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</si>
  <si>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</si>
  <si>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</si>
  <si>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</si>
  <si>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</si>
  <si>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</si>
  <si>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</si>
  <si>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</si>
  <si>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</si>
  <si>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</si>
  <si>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</si>
  <si>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</si>
  <si>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</si>
  <si>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</si>
  <si>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</si>
  <si>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</si>
  <si>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</si>
  <si>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</si>
  <si>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</si>
  <si>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</si>
  <si>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</si>
  <si>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</si>
  <si>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</si>
  <si>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</si>
  <si>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</si>
  <si>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</si>
  <si>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</si>
  <si>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</si>
  <si>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</si>
  <si>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</si>
  <si>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</si>
  <si>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</si>
  <si>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</si>
  <si>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</si>
  <si>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</si>
  <si>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</si>
  <si>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</si>
  <si>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</si>
  <si>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</si>
  <si>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</si>
  <si>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</si>
  <si>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</si>
  <si>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</si>
  <si>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</si>
  <si>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</si>
  <si>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</si>
  <si>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</si>
  <si>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</si>
  <si>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</si>
  <si>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</si>
  <si>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</si>
  <si>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</si>
  <si>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</si>
  <si>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</si>
  <si>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</si>
  <si>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</si>
  <si>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</si>
  <si>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</si>
  <si>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</si>
  <si>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</si>
  <si>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</si>
  <si>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</si>
  <si>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</si>
  <si>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</si>
  <si>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</si>
  <si>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</si>
  <si>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</si>
  <si>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</si>
  <si>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</si>
  <si>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</si>
  <si>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</si>
  <si>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</si>
  <si>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</si>
  <si>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</si>
  <si>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</si>
  <si>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</si>
  <si>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</si>
  <si>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</si>
  <si>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</si>
  <si>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</si>
  <si>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</si>
  <si>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</si>
  <si>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</si>
  <si>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</si>
  <si>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</si>
  <si>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</si>
  <si>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</si>
  <si>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</si>
  <si>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</si>
  <si>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</si>
  <si>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</si>
  <si>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</si>
  <si>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</si>
  <si>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</si>
  <si>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</si>
  <si>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</si>
  <si>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</si>
  <si>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</si>
  <si>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</si>
  <si>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</si>
  <si>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</si>
  <si>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</si>
  <si>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</si>
  <si>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</si>
  <si>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</si>
  <si>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</si>
  <si>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</si>
  <si>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</si>
  <si>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</si>
  <si>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</si>
  <si>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</si>
  <si>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</si>
  <si>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</si>
  <si>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</si>
  <si>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</si>
  <si>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</si>
  <si>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</si>
  <si>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</si>
  <si>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</si>
  <si>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</si>
  <si>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</si>
  <si>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</si>
  <si>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</si>
  <si>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</si>
  <si>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</si>
  <si>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</si>
  <si>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</si>
  <si>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</si>
  <si>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</si>
  <si>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</si>
  <si>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</si>
  <si>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</si>
  <si>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</si>
  <si>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</si>
  <si>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</si>
  <si>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</si>
  <si>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</si>
  <si>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</si>
  <si>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</si>
  <si>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</si>
  <si>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</si>
  <si>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</si>
  <si>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</si>
  <si>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</si>
  <si>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</si>
  <si>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</si>
  <si>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</si>
  <si>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</si>
  <si>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</si>
  <si>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</si>
  <si>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</si>
  <si>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</si>
  <si>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</si>
  <si>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</si>
  <si>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</si>
  <si>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</si>
  <si>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</si>
  <si>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</si>
  <si>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</si>
  <si>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한림읍 청사 신축공사(건축,기계,토목)</t>
    <phoneticPr fontId="2" type="noConversion"/>
  </si>
  <si>
    <t>제주도</t>
  </si>
  <si>
    <t>해체 및 철거공사, 골재비 및 운반비,작업부산물, 품질시험비,기타공사</t>
    <phoneticPr fontId="2" type="noConversion"/>
  </si>
  <si>
    <t>우수처리시설공사,기타공사</t>
    <phoneticPr fontId="2" type="noConversion"/>
  </si>
  <si>
    <t>CCTV설비공사</t>
    <phoneticPr fontId="2" type="noConversion"/>
  </si>
  <si>
    <t>토목 포장</t>
    <phoneticPr fontId="2" type="noConversion"/>
  </si>
  <si>
    <t>토목 사급자재비, 토목 운반비, 토목 기타공사</t>
    <phoneticPr fontId="2" type="noConversion"/>
  </si>
  <si>
    <t>토목 관급자재비</t>
    <phoneticPr fontId="2" type="noConversion"/>
  </si>
  <si>
    <t>원 /평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</si>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</sst>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8" t="s">
        <v>155</v>
      </c>
      <c r="B2" s="71" t="s">
        <v>0</v>
      </c>
      <c r="C2" s="72"/>
      <c r="D2" s="71" t="s">
        <v>1</v>
      </c>
      <c r="E2" s="72"/>
      <c r="F2" s="71" t="s">
        <v>156</v>
      </c>
      <c r="G2" s="72"/>
      <c r="H2" s="71" t="s">
        <v>2</v>
      </c>
      <c r="I2" s="72"/>
      <c r="J2" s="71" t="s">
        <v>3</v>
      </c>
      <c r="K2" s="72"/>
      <c r="L2" s="71" t="s">
        <v>157</v>
      </c>
      <c r="M2" s="72"/>
      <c r="N2" s="71" t="s">
        <v>158</v>
      </c>
      <c r="O2" s="72"/>
      <c r="P2" s="71" t="s">
        <v>5</v>
      </c>
      <c r="Q2" s="72"/>
      <c r="R2" s="65" t="s">
        <v>94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3" x14ac:dyDescent="0.3">
      <c r="A3" s="69"/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0"/>
      <c r="B4" s="75"/>
      <c r="C4" s="76"/>
      <c r="D4" s="75"/>
      <c r="E4" s="76"/>
      <c r="F4" s="75"/>
      <c r="G4" s="76"/>
      <c r="H4" s="75"/>
      <c r="I4" s="76"/>
      <c r="J4" s="75"/>
      <c r="K4" s="76"/>
      <c r="L4" s="75"/>
      <c r="M4" s="76"/>
      <c r="N4" s="75"/>
      <c r="O4" s="76"/>
      <c r="P4" s="75"/>
      <c r="Q4" s="76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234</v>
      </c>
    </row>
    <row r="7" spans="1:4" ht="17.25" thickBot="1" x14ac:dyDescent="0.35">
      <c r="C7" s="37">
        <v>4989.54</v>
      </c>
      <c r="D7" s="36">
        <f>+C7/3.3058</f>
        <v>1509.3290580192388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255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928070</v>
      </c>
      <c r="E25" s="59">
        <f t="shared" si="0"/>
        <v>3068010</v>
      </c>
    </row>
    <row r="26" spans="1:5" x14ac:dyDescent="0.3">
      <c r="B26" s="2">
        <v>3</v>
      </c>
      <c r="C26" s="35" t="s">
        <v>95</v>
      </c>
      <c r="D26" s="45">
        <f>+D66</f>
        <v>68270</v>
      </c>
      <c r="E26" s="59">
        <f t="shared" si="0"/>
        <v>225680</v>
      </c>
    </row>
    <row r="27" spans="1:5" x14ac:dyDescent="0.3">
      <c r="B27" s="2">
        <v>4</v>
      </c>
      <c r="C27" s="35" t="s">
        <v>96</v>
      </c>
      <c r="D27" s="45">
        <f>+D95</f>
        <v>54160</v>
      </c>
      <c r="E27" s="59">
        <f t="shared" si="0"/>
        <v>179040</v>
      </c>
    </row>
    <row r="28" spans="1:5" x14ac:dyDescent="0.3">
      <c r="B28" s="2">
        <v>5</v>
      </c>
      <c r="C28" s="35" t="s">
        <v>97</v>
      </c>
      <c r="D28" s="45">
        <f>+D119</f>
        <v>296390</v>
      </c>
      <c r="E28" s="59">
        <f t="shared" si="0"/>
        <v>979800</v>
      </c>
    </row>
    <row r="29" spans="1:5" x14ac:dyDescent="0.3">
      <c r="B29" s="2">
        <v>6</v>
      </c>
      <c r="C29" s="35" t="s">
        <v>98</v>
      </c>
      <c r="D29" s="45">
        <f>+D133</f>
        <v>49590</v>
      </c>
      <c r="E29" s="59">
        <f t="shared" si="0"/>
        <v>163930</v>
      </c>
    </row>
    <row r="30" spans="1:5" x14ac:dyDescent="0.3">
      <c r="B30" s="2">
        <v>7</v>
      </c>
      <c r="C30" s="35" t="s">
        <v>99</v>
      </c>
      <c r="D30" s="45">
        <f>+D146</f>
        <v>58260</v>
      </c>
      <c r="E30" s="59">
        <f t="shared" si="0"/>
        <v>192590</v>
      </c>
    </row>
    <row r="31" spans="1:5" x14ac:dyDescent="0.3">
      <c r="B31" s="2">
        <v>8</v>
      </c>
      <c r="C31" s="35" t="s">
        <v>100</v>
      </c>
      <c r="D31" s="45">
        <f>+D154</f>
        <v>63060</v>
      </c>
      <c r="E31" s="59">
        <f t="shared" si="0"/>
        <v>208460</v>
      </c>
    </row>
    <row r="32" spans="1:5" x14ac:dyDescent="0.3">
      <c r="B32" s="2">
        <v>9</v>
      </c>
      <c r="C32" s="35" t="s">
        <v>101</v>
      </c>
      <c r="D32" s="45">
        <f>+D161</f>
        <v>23970</v>
      </c>
      <c r="E32" s="59">
        <f t="shared" si="0"/>
        <v>79240</v>
      </c>
    </row>
    <row r="33" spans="1:7" x14ac:dyDescent="0.3">
      <c r="B33" s="2">
        <v>10</v>
      </c>
      <c r="C33" s="35" t="s">
        <v>153</v>
      </c>
      <c r="D33" s="53">
        <f>TRUNC(SUM(D24:D32)*0.275,-1)</f>
        <v>423980</v>
      </c>
      <c r="E33" s="60">
        <f t="shared" si="0"/>
        <v>1401590</v>
      </c>
    </row>
    <row r="34" spans="1:7" x14ac:dyDescent="0.3">
      <c r="C34" s="35" t="s">
        <v>112</v>
      </c>
      <c r="D34" s="44">
        <f>SUM(D24:D33)</f>
        <v>1965750</v>
      </c>
      <c r="E34" s="44">
        <f>SUM(E24:E33)</f>
        <v>6498340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5" customFormat="1" x14ac:dyDescent="0.3">
      <c r="C38" s="56"/>
      <c r="D38" s="56"/>
      <c r="E38" s="56"/>
      <c r="G38" s="54"/>
    </row>
    <row r="39" spans="1:7" s="55" customFormat="1" ht="17.25" thickBot="1" x14ac:dyDescent="0.35">
      <c r="B39" s="55" t="s">
        <v>6</v>
      </c>
      <c r="C39" s="55" t="s">
        <v>113</v>
      </c>
      <c r="D39" s="56" t="s">
        <v>256</v>
      </c>
      <c r="E39" s="56" t="s">
        <v>257</v>
      </c>
      <c r="G39" s="54"/>
    </row>
    <row r="40" spans="1:7" x14ac:dyDescent="0.3">
      <c r="A40" s="2">
        <v>1</v>
      </c>
      <c r="C40" s="38" t="s">
        <v>15</v>
      </c>
      <c r="D40" s="40">
        <f>TRUNC(59360,-1)</f>
        <v>59360</v>
      </c>
      <c r="E40" s="62">
        <f t="shared" ref="E40:E59" si="1">TRUNC(+D40*3.3058,-1)</f>
        <v>196230</v>
      </c>
    </row>
    <row r="41" spans="1:7" x14ac:dyDescent="0.3">
      <c r="A41" s="2">
        <v>2</v>
      </c>
      <c r="C41" s="38" t="s">
        <v>13</v>
      </c>
      <c r="D41" s="42">
        <f>TRUNC(217871,-1)</f>
        <v>217870</v>
      </c>
      <c r="E41" s="63">
        <f t="shared" si="1"/>
        <v>720230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TRUNC(15739,-1)</f>
        <v>15730</v>
      </c>
      <c r="E43" s="63">
        <f t="shared" si="1"/>
        <v>52000</v>
      </c>
    </row>
    <row r="44" spans="1:7" x14ac:dyDescent="0.3">
      <c r="A44" s="2">
        <v>5</v>
      </c>
      <c r="C44" s="38" t="s">
        <v>17</v>
      </c>
      <c r="D44" s="42">
        <f>TRUNC(41851,-1)</f>
        <v>41850</v>
      </c>
      <c r="E44" s="63">
        <f t="shared" si="1"/>
        <v>138340</v>
      </c>
    </row>
    <row r="45" spans="1:7" x14ac:dyDescent="0.3">
      <c r="A45" s="2">
        <v>6</v>
      </c>
      <c r="C45" s="38" t="s">
        <v>18</v>
      </c>
      <c r="D45" s="42">
        <f>TRUNC(77687,-1)</f>
        <v>77680</v>
      </c>
      <c r="E45" s="63">
        <f t="shared" si="1"/>
        <v>256790</v>
      </c>
    </row>
    <row r="46" spans="1:7" x14ac:dyDescent="0.3">
      <c r="A46" s="2">
        <v>7</v>
      </c>
      <c r="C46" s="38" t="s">
        <v>19</v>
      </c>
      <c r="D46" s="42">
        <f>TRUNC(1556,-1)</f>
        <v>1550</v>
      </c>
      <c r="E46" s="63">
        <f t="shared" si="1"/>
        <v>5120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TRUNC(52072,-1)</f>
        <v>52070</v>
      </c>
      <c r="E48" s="63">
        <f t="shared" si="1"/>
        <v>172130</v>
      </c>
    </row>
    <row r="49" spans="1:7" x14ac:dyDescent="0.3">
      <c r="A49" s="2">
        <v>10</v>
      </c>
      <c r="C49" s="38" t="s">
        <v>22</v>
      </c>
      <c r="D49" s="42">
        <f>TRUNC(34045,-1)</f>
        <v>34040</v>
      </c>
      <c r="E49" s="63">
        <f t="shared" si="1"/>
        <v>112520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f>TRUNC(37539,-1)</f>
        <v>37530</v>
      </c>
      <c r="E51" s="63">
        <f t="shared" si="1"/>
        <v>124060</v>
      </c>
    </row>
    <row r="52" spans="1:7" x14ac:dyDescent="0.3">
      <c r="A52" s="2">
        <v>13</v>
      </c>
      <c r="C52" s="38" t="s">
        <v>24</v>
      </c>
      <c r="D52" s="42">
        <f>TRUNC(19030,-1)</f>
        <v>19030</v>
      </c>
      <c r="E52" s="63">
        <f t="shared" si="1"/>
        <v>62900</v>
      </c>
    </row>
    <row r="53" spans="1:7" x14ac:dyDescent="0.3">
      <c r="A53" s="2">
        <v>14</v>
      </c>
      <c r="C53" s="38" t="s">
        <v>25</v>
      </c>
      <c r="D53" s="42">
        <f>TRUNC(71789,-1)</f>
        <v>71780</v>
      </c>
      <c r="E53" s="63">
        <f t="shared" si="1"/>
        <v>237290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TRUNC(21356+8241-5440+2072+9270,-1)</f>
        <v>35490</v>
      </c>
      <c r="E58" s="63">
        <f t="shared" si="1"/>
        <v>117320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TRUNC(264097,-1)</f>
        <v>264090</v>
      </c>
      <c r="E59" s="64">
        <f t="shared" si="1"/>
        <v>873020</v>
      </c>
    </row>
    <row r="60" spans="1:7" x14ac:dyDescent="0.3">
      <c r="A60" s="2">
        <v>21</v>
      </c>
      <c r="C60" s="27" t="s">
        <v>112</v>
      </c>
      <c r="D60" s="39">
        <f>SUM(D40:D59)</f>
        <v>928070</v>
      </c>
      <c r="E60" s="39">
        <f>SUM(E40:E59)</f>
        <v>3067950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255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TRUNC(68279,-1)</f>
        <v>68270</v>
      </c>
      <c r="E63" s="62">
        <f>TRUNC(+D63*3.3058,-1)</f>
        <v>225680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68270</v>
      </c>
      <c r="E66" s="57">
        <f>SUM(E63:E65)</f>
        <v>225680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255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TRUNC(5817,-1)</f>
        <v>5810</v>
      </c>
      <c r="E72" s="63">
        <f t="shared" si="2"/>
        <v>19200</v>
      </c>
    </row>
    <row r="73" spans="1:7" x14ac:dyDescent="0.3">
      <c r="A73" s="2">
        <v>5</v>
      </c>
      <c r="C73" s="38" t="s">
        <v>34</v>
      </c>
      <c r="D73" s="42">
        <f>TRUNC(9497,-1)</f>
        <v>9490</v>
      </c>
      <c r="E73" s="63">
        <f t="shared" si="2"/>
        <v>31370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TRUNC(336,-1)</f>
        <v>330</v>
      </c>
      <c r="E84" s="63">
        <f t="shared" si="2"/>
        <v>1090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TRUNC(5331,-1)</f>
        <v>5330</v>
      </c>
      <c r="E89" s="63">
        <f t="shared" si="2"/>
        <v>17610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TRUNC(2157,-1)</f>
        <v>2150</v>
      </c>
      <c r="E91" s="63">
        <f t="shared" si="2"/>
        <v>7100</v>
      </c>
    </row>
    <row r="92" spans="1:7" x14ac:dyDescent="0.3">
      <c r="A92" s="2">
        <v>24</v>
      </c>
      <c r="C92" s="38" t="s">
        <v>38</v>
      </c>
      <c r="D92" s="42">
        <f>TRUNC(12784,-1)</f>
        <v>12780</v>
      </c>
      <c r="E92" s="63">
        <f t="shared" si="2"/>
        <v>42240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TRUNC(16431+1841,-1)</f>
        <v>18270</v>
      </c>
      <c r="E94" s="64">
        <f t="shared" si="2"/>
        <v>60390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54160</v>
      </c>
      <c r="E95" s="39">
        <f>SUM(E69:E94)</f>
        <v>179000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TRUNC(14302,-1)</f>
        <v>14300</v>
      </c>
      <c r="E98" s="62">
        <f t="shared" ref="E98:E118" si="3">TRUNC(+D98*3.3058,-1)</f>
        <v>47270</v>
      </c>
    </row>
    <row r="99" spans="1:7" x14ac:dyDescent="0.3">
      <c r="A99" s="2">
        <v>2</v>
      </c>
      <c r="C99" s="38" t="s">
        <v>40</v>
      </c>
      <c r="D99" s="42">
        <f>TRUNC(6045,-1)</f>
        <v>6040</v>
      </c>
      <c r="E99" s="63">
        <f t="shared" si="3"/>
        <v>19960</v>
      </c>
    </row>
    <row r="100" spans="1:7" x14ac:dyDescent="0.3">
      <c r="A100" s="2">
        <v>3</v>
      </c>
      <c r="C100" s="38" t="s">
        <v>41</v>
      </c>
      <c r="D100" s="42">
        <f>TRUNC(32954,-1)</f>
        <v>32950</v>
      </c>
      <c r="E100" s="63">
        <f t="shared" si="3"/>
        <v>108920</v>
      </c>
    </row>
    <row r="101" spans="1:7" x14ac:dyDescent="0.3">
      <c r="A101" s="2">
        <v>4</v>
      </c>
      <c r="C101" s="38" t="s">
        <v>42</v>
      </c>
      <c r="D101" s="42">
        <f>TRUNC(4912,-1)</f>
        <v>4910</v>
      </c>
      <c r="E101" s="63">
        <f t="shared" si="3"/>
        <v>16230</v>
      </c>
    </row>
    <row r="102" spans="1:7" x14ac:dyDescent="0.3">
      <c r="A102" s="2">
        <v>5</v>
      </c>
      <c r="C102" s="38" t="s">
        <v>43</v>
      </c>
      <c r="D102" s="42">
        <f>TRUNC(9995,-1)</f>
        <v>9990</v>
      </c>
      <c r="E102" s="63">
        <f t="shared" si="3"/>
        <v>33020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TRUNC(5647,-1)</f>
        <v>5640</v>
      </c>
      <c r="E105" s="63">
        <f t="shared" si="3"/>
        <v>18640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TRUNC(3652,-1)</f>
        <v>3650</v>
      </c>
      <c r="E108" s="63">
        <f t="shared" si="3"/>
        <v>12060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TRUNC(14412,-1)</f>
        <v>14410</v>
      </c>
      <c r="E115" s="63">
        <f t="shared" si="3"/>
        <v>47630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TRUNC(202188,-1)</f>
        <v>202180</v>
      </c>
      <c r="E117" s="63">
        <f t="shared" si="3"/>
        <v>668360</v>
      </c>
    </row>
    <row r="118" spans="1:7" ht="17.25" thickBot="1" x14ac:dyDescent="0.35">
      <c r="A118" s="2">
        <v>21</v>
      </c>
      <c r="C118" s="38" t="s">
        <v>47</v>
      </c>
      <c r="D118" s="43">
        <f>TRUNC(2322,-1)</f>
        <v>2320</v>
      </c>
      <c r="E118" s="64">
        <f t="shared" si="3"/>
        <v>7660</v>
      </c>
    </row>
    <row r="119" spans="1:7" x14ac:dyDescent="0.3">
      <c r="A119" s="2">
        <v>22</v>
      </c>
      <c r="C119" s="27" t="s">
        <v>112</v>
      </c>
      <c r="D119" s="39">
        <f>SUM(D98:D118)</f>
        <v>296390</v>
      </c>
      <c r="E119" s="39">
        <f>SUM(E98:E118)</f>
        <v>979750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TRUNC(4339,-1)</f>
        <v>4330</v>
      </c>
      <c r="E122" s="62">
        <f t="shared" ref="E122:E132" si="4">TRUNC(+D122*3.3058,-1)</f>
        <v>14310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TRUNC(2433,-1)</f>
        <v>2430</v>
      </c>
      <c r="E124" s="63">
        <f t="shared" si="4"/>
        <v>8030</v>
      </c>
    </row>
    <row r="125" spans="1:7" x14ac:dyDescent="0.3">
      <c r="A125" s="2">
        <v>4</v>
      </c>
      <c r="C125" s="38" t="s">
        <v>138</v>
      </c>
      <c r="D125" s="42">
        <f>TRUNC(6711,-1)</f>
        <v>6710</v>
      </c>
      <c r="E125" s="63">
        <f t="shared" si="4"/>
        <v>22180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TRUNC(4108,-1)</f>
        <v>4100</v>
      </c>
      <c r="E128" s="63">
        <f t="shared" si="4"/>
        <v>13550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TRUNC(15189,-1)</f>
        <v>15180</v>
      </c>
      <c r="E130" s="63">
        <f t="shared" si="4"/>
        <v>50180</v>
      </c>
    </row>
    <row r="131" spans="1:7" x14ac:dyDescent="0.3">
      <c r="A131" s="2">
        <v>10</v>
      </c>
      <c r="C131" s="38" t="s">
        <v>148</v>
      </c>
      <c r="D131" s="42">
        <f>TRUNC(14041,-1)</f>
        <v>14040</v>
      </c>
      <c r="E131" s="63">
        <f t="shared" si="4"/>
        <v>46410</v>
      </c>
    </row>
    <row r="132" spans="1:7" ht="17.25" thickBot="1" x14ac:dyDescent="0.35">
      <c r="A132" s="2">
        <v>11</v>
      </c>
      <c r="C132" s="38" t="s">
        <v>47</v>
      </c>
      <c r="D132" s="43">
        <f>TRUNC(2806,-1)</f>
        <v>2800</v>
      </c>
      <c r="E132" s="64">
        <f t="shared" si="4"/>
        <v>9250</v>
      </c>
      <c r="F132" s="2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49590</v>
      </c>
      <c r="E133" s="39">
        <f>SUM(E122:E132)</f>
        <v>163910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TRUNC(19067,-1)</f>
        <v>19060</v>
      </c>
      <c r="E137" s="63">
        <f t="shared" si="5"/>
        <v>63000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TRUNC(2156,-1)</f>
        <v>2150</v>
      </c>
      <c r="E139" s="63">
        <f t="shared" si="5"/>
        <v>7100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TRUNC(25484,-1)</f>
        <v>25480</v>
      </c>
      <c r="E142" s="63">
        <f t="shared" si="5"/>
        <v>84230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TRUNC(7294,-1)</f>
        <v>7290</v>
      </c>
      <c r="E144" s="63">
        <f t="shared" si="5"/>
        <v>24090</v>
      </c>
    </row>
    <row r="145" spans="1:7" ht="17.25" thickBot="1" x14ac:dyDescent="0.35">
      <c r="A145" s="2">
        <v>10</v>
      </c>
      <c r="C145" s="38" t="s">
        <v>148</v>
      </c>
      <c r="D145" s="43">
        <f>TRUNC(4289,-1)</f>
        <v>4280</v>
      </c>
      <c r="E145" s="64">
        <f t="shared" si="5"/>
        <v>14140</v>
      </c>
    </row>
    <row r="146" spans="1:7" x14ac:dyDescent="0.3">
      <c r="A146" s="2">
        <v>11</v>
      </c>
      <c r="C146" s="27" t="s">
        <v>112</v>
      </c>
      <c r="D146" s="39">
        <f>SUM(D136:D145)</f>
        <v>58260</v>
      </c>
      <c r="E146" s="39">
        <f>SUM(E136:E145)</f>
        <v>192560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TRUNC(10848+1866,-1)</f>
        <v>12710</v>
      </c>
      <c r="E149" s="62">
        <f>TRUNC(+D149*3.3058,-1)</f>
        <v>42010</v>
      </c>
    </row>
    <row r="150" spans="1:7" x14ac:dyDescent="0.3">
      <c r="A150" s="2">
        <v>2</v>
      </c>
      <c r="C150" s="38" t="s">
        <v>49</v>
      </c>
      <c r="D150" s="42">
        <f>TRUNC(14077,-1)</f>
        <v>14070</v>
      </c>
      <c r="E150" s="63">
        <f>TRUNC(+D150*3.3058,-1)</f>
        <v>46510</v>
      </c>
      <c r="F150" s="2" t="s">
        <v>252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TRUNC(5632+895 +4234,-1)</f>
        <v>10760</v>
      </c>
      <c r="E152" s="63">
        <f>TRUNC(+D152*3.3058,-1)</f>
        <v>35570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TRUNC(25529,-1)</f>
        <v>25520</v>
      </c>
      <c r="E153" s="64">
        <f>TRUNC(+D153*3.3058,-1)</f>
        <v>84360</v>
      </c>
      <c r="F153" s="2" t="s">
        <v>254</v>
      </c>
    </row>
    <row r="154" spans="1:7" x14ac:dyDescent="0.3">
      <c r="A154" s="2">
        <v>6</v>
      </c>
      <c r="C154" s="27" t="s">
        <v>112</v>
      </c>
      <c r="D154" s="39">
        <f>SUM(D149:D153)</f>
        <v>63060</v>
      </c>
      <c r="E154" s="39">
        <f>SUM(E149:E153)</f>
        <v>208450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TRUNC(15750,-1)</f>
        <v>15750</v>
      </c>
      <c r="E157" s="62">
        <f>TRUNC(+D157*3.3058,-1)</f>
        <v>52060</v>
      </c>
    </row>
    <row r="158" spans="1:7" x14ac:dyDescent="0.3">
      <c r="A158" s="2">
        <v>2</v>
      </c>
      <c r="C158" s="38" t="s">
        <v>52</v>
      </c>
      <c r="D158" s="42">
        <f>TRUNC(8222,-1)</f>
        <v>8220</v>
      </c>
      <c r="E158" s="63">
        <f>TRUNC(+D158*3.3058,-1)</f>
        <v>27170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23970</v>
      </c>
      <c r="E161" s="39">
        <f>SUM(E157:E160)</f>
        <v>79230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2020-12-08T04:50:17Z</dcterms:modified>
</cp:coreProperties>
</file>