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0" i="4" l="1"/>
  <c r="D159" i="4"/>
  <c r="D158" i="4"/>
  <c r="D157" i="4"/>
  <c r="D153" i="4"/>
  <c r="D152" i="4"/>
  <c r="D150" i="4"/>
  <c r="D149" i="4"/>
  <c r="D145" i="4"/>
  <c r="D144" i="4"/>
  <c r="D143" i="4"/>
  <c r="D142" i="4"/>
  <c r="D141" i="4"/>
  <c r="D140" i="4"/>
  <c r="D139" i="4"/>
  <c r="D137" i="4"/>
  <c r="D132" i="4"/>
  <c r="D131" i="4"/>
  <c r="D128" i="4"/>
  <c r="D127" i="4"/>
  <c r="D124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1" i="4"/>
  <c r="D70" i="4"/>
  <c r="D69" i="4"/>
  <c r="D63" i="4"/>
  <c r="D59" i="4"/>
  <c r="D58" i="4"/>
  <c r="D53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<sst xmlns="http://schemas.openxmlformats.org/spreadsheetml/2006/main" count="389" uniqueCount="264">
  <si>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</si>
  <si>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</si>
  <si>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</si>
  <si>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</si>
  <si>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</si>
  <si>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</si>
  <si>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</si>
  <si>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</si>
  <si>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</si>
  <si>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</si>
  <si>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</si>
  <si>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</si>
  <si>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</si>
  <si>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</si>
  <si>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</si>
  <si>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</si>
  <si>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</si>
  <si>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</si>
  <si>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</si>
  <si>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</si>
  <si>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</si>
  <si>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</si>
  <si>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</si>
  <si>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</si>
  <si>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</si>
  <si>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</si>
  <si>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</si>
  <si>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</si>
  <si>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</si>
  <si>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</si>
  <si>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</si>
  <si>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</si>
  <si>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</si>
  <si>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</si>
  <si>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</si>
  <si>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</si>
  <si>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</si>
  <si>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</si>
  <si>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</si>
  <si>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</si>
  <si>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</si>
  <si>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</si>
  <si>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</si>
  <si>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</si>
  <si>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</si>
  <si>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</si>
  <si>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</si>
  <si>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</si>
  <si>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</si>
  <si>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</si>
  <si>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</si>
  <si>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</si>
  <si>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</si>
  <si>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</si>
  <si>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</si>
  <si>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</si>
  <si>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</si>
  <si>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</si>
  <si>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</si>
  <si>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</si>
  <si>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</si>
  <si>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</si>
  <si>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</si>
  <si>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</si>
  <si>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</si>
  <si>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</si>
  <si>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</si>
  <si>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</si>
  <si>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</si>
  <si>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</si>
  <si>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</si>
  <si>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</si>
  <si>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</si>
  <si>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</si>
  <si>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</si>
  <si>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</si>
  <si>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</si>
  <si>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</si>
  <si>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</si>
  <si>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</si>
  <si>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</si>
  <si>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</si>
  <si>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</si>
  <si>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</si>
  <si>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</si>
  <si>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</si>
  <si>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</si>
  <si>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</si>
  <si>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</si>
  <si>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</si>
  <si>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</si>
  <si>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</si>
  <si>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</si>
  <si>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</si>
  <si>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</si>
  <si>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</si>
  <si>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</si>
  <si>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</si>
  <si>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</si>
  <si>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</si>
  <si>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</si>
  <si>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</si>
  <si>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</si>
  <si>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</si>
  <si>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</si>
  <si>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</si>
  <si>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</si>
  <si>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</si>
  <si>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</si>
  <si>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</si>
  <si>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</si>
  <si>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</si>
  <si>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</si>
  <si>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</si>
  <si>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</si>
  <si>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</si>
  <si>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</si>
  <si>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</si>
  <si>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</si>
  <si>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</si>
  <si>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</si>
  <si>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</si>
  <si>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</si>
  <si>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</si>
  <si>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</si>
  <si>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</si>
  <si>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</si>
  <si>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</si>
  <si>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</si>
  <si>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</si>
  <si>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</si>
  <si>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</si>
  <si>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</si>
  <si>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</si>
  <si>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</si>
  <si>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</si>
  <si>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</si>
  <si>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</si>
  <si>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</si>
  <si>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</si>
  <si>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</si>
  <si>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</si>
  <si>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</si>
  <si>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</si>
  <si>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</si>
  <si>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</si>
  <si>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</si>
  <si>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</si>
  <si>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</si>
  <si>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</si>
  <si>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</si>
  <si>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</si>
  <si>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</si>
  <si>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</si>
  <si>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</si>
  <si>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</si>
  <si>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</si>
  <si>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</si>
  <si>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</si>
  <si>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</si>
  <si>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</si>
  <si>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</si>
  <si>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</si>
  <si>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</si>
  <si>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</si>
  <si>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</si>
  <si>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</si>
  <si>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</si>
  <si>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</si>
  <si>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</si>
  <si>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</si>
  <si>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</si>
  <si>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</si>
  <si>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</si>
  <si>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</si>
  <si>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</si>
  <si>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</si>
  <si>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</si>
  <si>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</si>
  <si>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</si>
  <si>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</si>
  <si>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</si>
  <si>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</si>
  <si>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</si>
  <si>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</si>
  <si>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</si>
  <si>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</si>
  <si>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</si>
  <si>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</si>
  <si>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</si>
  <si>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</si>
  <si>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</si>
  <si>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</si>
  <si>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</si>
  <si>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</si>
  <si>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</si>
  <si>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</si>
  <si>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</si>
  <si>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</si>
  <si>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</si>
  <si>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</si>
  <si>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</si>
  <si>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</si>
  <si>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</si>
  <si>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</si>
  <si>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</si>
  <si>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</si>
  <si>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</si>
  <si>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</si>
  <si>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</si>
  <si>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</si>
  <si>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</si>
  <si>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</si>
  <si>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</si>
  <si>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</si>
  <si>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</si>
  <si>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</si>
  <si>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</si>
  <si>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</si>
  <si>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</si>
  <si>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</si>
  <si>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</si>
  <si>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</si>
  <si>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</si>
  <si>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</si>
  <si>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</si>
  <si>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</si>
  <si>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</si>
  <si>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</si>
  <si>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</si>
  <si>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</si>
  <si>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</si>
  <si>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</si>
  <si>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</si>
  <si>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</si>
  <si>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</si>
  <si>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</si>
  <si>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</si>
  <si>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</si>
  <si>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</si>
  <si>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</si>
  <si>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</si>
  <si>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</si>
  <si>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</si>
  <si>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</si>
  <si>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</si>
  <si>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</si>
  <si>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</si>
  <si>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</si>
  <si>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목포해양대학교 해사과학관 강의동 신축공사</t>
    <phoneticPr fontId="2" type="noConversion"/>
  </si>
  <si>
    <t>전라도</t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</si>
  <si>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</si>
  <si>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</si>
  <si>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기타공사</t>
    <phoneticPr fontId="2" type="noConversion"/>
  </si>
  <si>
    <t>공조배관공사, 우수처리시설공사, 기타공사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</si>
  <si>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</si>
  <si>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</si>
  <si>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옥외소화배관공사, 펌프실배관공사, 기타공사</t>
    <phoneticPr fontId="2" type="noConversion"/>
  </si>
  <si>
    <t>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</si>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</sst>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8684.2000000000007</v>
      </c>
      <c r="D7" s="36">
        <f>+C7/3.3058</f>
        <v>2626.9586786859459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954360</v>
      </c>
      <c r="E25" s="59">
        <f t="shared" si="0"/>
        <v>3154920</v>
      </c>
    </row>
    <row r="26" spans="1:5" x14ac:dyDescent="0.3">
      <c r="B26" s="2">
        <v>3</v>
      </c>
      <c r="C26" s="35" t="s">
        <v>95</v>
      </c>
      <c r="D26" s="45">
        <f>+D66</f>
        <v>4290</v>
      </c>
      <c r="E26" s="59">
        <f t="shared" si="0"/>
        <v>14180</v>
      </c>
    </row>
    <row r="27" spans="1:5" x14ac:dyDescent="0.3">
      <c r="B27" s="2">
        <v>4</v>
      </c>
      <c r="C27" s="35" t="s">
        <v>96</v>
      </c>
      <c r="D27" s="45">
        <f>+D95</f>
        <v>248510</v>
      </c>
      <c r="E27" s="59">
        <f t="shared" si="0"/>
        <v>821520</v>
      </c>
    </row>
    <row r="28" spans="1:5" x14ac:dyDescent="0.3">
      <c r="B28" s="2">
        <v>5</v>
      </c>
      <c r="C28" s="35" t="s">
        <v>97</v>
      </c>
      <c r="D28" s="45">
        <f>+D119</f>
        <v>225910</v>
      </c>
      <c r="E28" s="59">
        <f t="shared" si="0"/>
        <v>746810</v>
      </c>
    </row>
    <row r="29" spans="1:5" x14ac:dyDescent="0.3">
      <c r="B29" s="2">
        <v>6</v>
      </c>
      <c r="C29" s="35" t="s">
        <v>98</v>
      </c>
      <c r="D29" s="45">
        <f>+D133</f>
        <v>75180</v>
      </c>
      <c r="E29" s="59">
        <f t="shared" si="0"/>
        <v>248530</v>
      </c>
    </row>
    <row r="30" spans="1:5" x14ac:dyDescent="0.3">
      <c r="B30" s="2">
        <v>7</v>
      </c>
      <c r="C30" s="35" t="s">
        <v>99</v>
      </c>
      <c r="D30" s="45">
        <f>+D146</f>
        <v>45740</v>
      </c>
      <c r="E30" s="59">
        <f t="shared" si="0"/>
        <v>151200</v>
      </c>
    </row>
    <row r="31" spans="1:5" x14ac:dyDescent="0.3">
      <c r="B31" s="2">
        <v>8</v>
      </c>
      <c r="C31" s="35" t="s">
        <v>100</v>
      </c>
      <c r="D31" s="45">
        <f>+D154</f>
        <v>26960</v>
      </c>
      <c r="E31" s="59">
        <f t="shared" si="0"/>
        <v>89120</v>
      </c>
    </row>
    <row r="32" spans="1:5" x14ac:dyDescent="0.3">
      <c r="B32" s="2">
        <v>9</v>
      </c>
      <c r="C32" s="35" t="s">
        <v>101</v>
      </c>
      <c r="D32" s="45">
        <f>+D161</f>
        <v>24100</v>
      </c>
      <c r="E32" s="59">
        <f t="shared" si="0"/>
        <v>79660</v>
      </c>
    </row>
    <row r="33" spans="1:7" x14ac:dyDescent="0.3">
      <c r="B33" s="2">
        <v>10</v>
      </c>
      <c r="C33" s="35" t="s">
        <v>154</v>
      </c>
      <c r="D33" s="53">
        <f>TRUNC(SUM(D24:D32)*0.275,-1)</f>
        <v>441380</v>
      </c>
      <c r="E33" s="60">
        <f t="shared" si="0"/>
        <v>1459110</v>
      </c>
    </row>
    <row r="34" spans="1:7" x14ac:dyDescent="0.3">
      <c r="C34" s="35" t="s">
        <v>112</v>
      </c>
      <c r="D34" s="44">
        <f>SUM(D24:D33)</f>
        <v>2046430</v>
      </c>
      <c r="E34" s="44">
        <f>SUM(E24:E33)</f>
        <v>6765050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TRUNC(63351,-1)</f>
        <v>63350</v>
      </c>
      <c r="E40" s="62">
        <f t="shared" ref="E40:E59" si="1">TRUNC(+D40*3.3058,-1)</f>
        <v>209420</v>
      </c>
    </row>
    <row r="41" spans="1:7" x14ac:dyDescent="0.3">
      <c r="A41" s="2">
        <v>2</v>
      </c>
      <c r="C41" s="38" t="s">
        <v>13</v>
      </c>
      <c r="D41" s="42">
        <f>TRUNC(179583,-1)</f>
        <v>179580</v>
      </c>
      <c r="E41" s="63">
        <f t="shared" si="1"/>
        <v>593650</v>
      </c>
    </row>
    <row r="42" spans="1:7" x14ac:dyDescent="0.3">
      <c r="A42" s="2">
        <v>3</v>
      </c>
      <c r="C42" s="38" t="s">
        <v>14</v>
      </c>
      <c r="D42" s="42">
        <f>TRUNC(7021,-1)</f>
        <v>7020</v>
      </c>
      <c r="E42" s="63">
        <f t="shared" si="1"/>
        <v>23200</v>
      </c>
    </row>
    <row r="43" spans="1:7" x14ac:dyDescent="0.3">
      <c r="A43" s="2">
        <v>4</v>
      </c>
      <c r="C43" s="38" t="s">
        <v>16</v>
      </c>
      <c r="D43" s="42">
        <f>TRUNC(28721,-1)</f>
        <v>28720</v>
      </c>
      <c r="E43" s="63">
        <f t="shared" si="1"/>
        <v>94940</v>
      </c>
    </row>
    <row r="44" spans="1:7" x14ac:dyDescent="0.3">
      <c r="A44" s="2">
        <v>5</v>
      </c>
      <c r="C44" s="38" t="s">
        <v>17</v>
      </c>
      <c r="D44" s="42">
        <f>TRUNC(9626,-1)</f>
        <v>9620</v>
      </c>
      <c r="E44" s="63">
        <f t="shared" si="1"/>
        <v>31800</v>
      </c>
    </row>
    <row r="45" spans="1:7" x14ac:dyDescent="0.3">
      <c r="A45" s="2">
        <v>6</v>
      </c>
      <c r="C45" s="38" t="s">
        <v>18</v>
      </c>
      <c r="D45" s="42">
        <f>TRUNC(11237,-1)</f>
        <v>11230</v>
      </c>
      <c r="E45" s="63">
        <f t="shared" si="1"/>
        <v>37120</v>
      </c>
    </row>
    <row r="46" spans="1:7" x14ac:dyDescent="0.3">
      <c r="A46" s="2">
        <v>7</v>
      </c>
      <c r="C46" s="38" t="s">
        <v>19</v>
      </c>
      <c r="D46" s="42">
        <f>TRUNC(19381,-1)</f>
        <v>19380</v>
      </c>
      <c r="E46" s="63">
        <f t="shared" si="1"/>
        <v>64060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TRUNC(73637,-1)</f>
        <v>73630</v>
      </c>
      <c r="E48" s="63">
        <f t="shared" si="1"/>
        <v>243400</v>
      </c>
    </row>
    <row r="49" spans="1:7" x14ac:dyDescent="0.3">
      <c r="A49" s="2">
        <v>10</v>
      </c>
      <c r="C49" s="38" t="s">
        <v>22</v>
      </c>
      <c r="D49" s="42">
        <f>TRUNC(34386,-1)</f>
        <v>34380</v>
      </c>
      <c r="E49" s="63">
        <f t="shared" si="1"/>
        <v>113650</v>
      </c>
    </row>
    <row r="50" spans="1:7" x14ac:dyDescent="0.3">
      <c r="A50" s="2">
        <v>11</v>
      </c>
      <c r="C50" s="38" t="s">
        <v>155</v>
      </c>
      <c r="D50" s="42">
        <f>TRUNC(46873,-1)</f>
        <v>46870</v>
      </c>
      <c r="E50" s="63">
        <f t="shared" si="1"/>
        <v>154940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13340</v>
      </c>
      <c r="E52" s="63">
        <f t="shared" si="1"/>
        <v>44090</v>
      </c>
    </row>
    <row r="53" spans="1:7" x14ac:dyDescent="0.3">
      <c r="A53" s="2">
        <v>14</v>
      </c>
      <c r="C53" s="38" t="s">
        <v>25</v>
      </c>
      <c r="D53" s="42">
        <f>TRUNC(31371,-1)</f>
        <v>31370</v>
      </c>
      <c r="E53" s="63">
        <f t="shared" si="1"/>
        <v>103700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TRUNC(62766+9578+7373,-1)</f>
        <v>79710</v>
      </c>
      <c r="E58" s="63">
        <f t="shared" si="1"/>
        <v>263500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TRUNC(356165,-1)</f>
        <v>356160</v>
      </c>
      <c r="E59" s="64">
        <f t="shared" si="1"/>
        <v>1177390</v>
      </c>
    </row>
    <row r="60" spans="1:7" x14ac:dyDescent="0.3">
      <c r="A60" s="2">
        <v>21</v>
      </c>
      <c r="C60" s="27" t="s">
        <v>112</v>
      </c>
      <c r="D60" s="39">
        <f>SUM(D40:D59)</f>
        <v>954360</v>
      </c>
      <c r="E60" s="39">
        <f>SUM(E40:E59)</f>
        <v>3154860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TRUNC(4296,-1)</f>
        <v>4290</v>
      </c>
      <c r="E63" s="62">
        <f>TRUNC(+D63*3.3058,-1)</f>
        <v>14180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4290</v>
      </c>
      <c r="E66" s="65">
        <f>SUM(E63:E65)</f>
        <v>14180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TRUNC(8868,-1)</f>
        <v>8860</v>
      </c>
      <c r="E69" s="62">
        <f t="shared" ref="E69:E94" si="2">TRUNC(+D69*3.3058,-1)</f>
        <v>29280</v>
      </c>
    </row>
    <row r="70" spans="1:7" ht="16.5" customHeight="1" x14ac:dyDescent="0.3">
      <c r="A70" s="2">
        <v>2</v>
      </c>
      <c r="C70" s="38" t="s">
        <v>31</v>
      </c>
      <c r="D70" s="42">
        <f>TRUNC(2415,-1)</f>
        <v>2410</v>
      </c>
      <c r="E70" s="63">
        <f t="shared" si="2"/>
        <v>7960</v>
      </c>
    </row>
    <row r="71" spans="1:7" x14ac:dyDescent="0.3">
      <c r="A71" s="2">
        <v>3</v>
      </c>
      <c r="C71" s="38" t="s">
        <v>32</v>
      </c>
      <c r="D71" s="42">
        <f>TRUNC(8132,-1)</f>
        <v>8130</v>
      </c>
      <c r="E71" s="63">
        <f t="shared" si="2"/>
        <v>26870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7140</v>
      </c>
      <c r="E73" s="63">
        <f t="shared" si="2"/>
        <v>23600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TRUNC(7437,-1)</f>
        <v>7430</v>
      </c>
      <c r="E89" s="63">
        <f t="shared" si="2"/>
        <v>24560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TRUNC(5059,-1)</f>
        <v>5050</v>
      </c>
      <c r="E91" s="63">
        <f t="shared" si="2"/>
        <v>16690</v>
      </c>
    </row>
    <row r="92" spans="1:7" x14ac:dyDescent="0.3">
      <c r="A92" s="2">
        <v>24</v>
      </c>
      <c r="C92" s="38" t="s">
        <v>38</v>
      </c>
      <c r="D92" s="42">
        <f>TRUNC(6998,-1)</f>
        <v>6990</v>
      </c>
      <c r="E92" s="63">
        <f t="shared" si="2"/>
        <v>23100</v>
      </c>
    </row>
    <row r="93" spans="1:7" x14ac:dyDescent="0.3">
      <c r="A93" s="2">
        <v>25</v>
      </c>
      <c r="C93" s="38" t="s">
        <v>148</v>
      </c>
      <c r="D93" s="42">
        <f>TRUNC(179328,-1)</f>
        <v>179320</v>
      </c>
      <c r="E93" s="63">
        <f t="shared" si="2"/>
        <v>592790</v>
      </c>
    </row>
    <row r="94" spans="1:7" ht="17.25" thickBot="1" x14ac:dyDescent="0.35">
      <c r="A94" s="2">
        <v>26</v>
      </c>
      <c r="C94" s="38" t="s">
        <v>47</v>
      </c>
      <c r="D94" s="43">
        <f>TRUNC(19434+3627+127,-1)</f>
        <v>23180</v>
      </c>
      <c r="E94" s="64">
        <f t="shared" si="2"/>
        <v>76620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248510</v>
      </c>
      <c r="E95" s="39">
        <f>SUM(E69:E94)</f>
        <v>821470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TRUNC(22393,-1)</f>
        <v>22390</v>
      </c>
      <c r="E98" s="62">
        <f t="shared" ref="E98:E118" si="3">TRUNC(+D98*3.3058,-1)</f>
        <v>74010</v>
      </c>
    </row>
    <row r="99" spans="1:7" x14ac:dyDescent="0.3">
      <c r="A99" s="2">
        <v>2</v>
      </c>
      <c r="C99" s="38" t="s">
        <v>40</v>
      </c>
      <c r="D99" s="42">
        <f>TRUNC(11129,-1)</f>
        <v>11120</v>
      </c>
      <c r="E99" s="63">
        <f t="shared" si="3"/>
        <v>36760</v>
      </c>
    </row>
    <row r="100" spans="1:7" x14ac:dyDescent="0.3">
      <c r="A100" s="2">
        <v>3</v>
      </c>
      <c r="C100" s="38" t="s">
        <v>41</v>
      </c>
      <c r="D100" s="42">
        <f>TRUNC(24671,-1)</f>
        <v>24670</v>
      </c>
      <c r="E100" s="63">
        <f t="shared" si="3"/>
        <v>81550</v>
      </c>
    </row>
    <row r="101" spans="1:7" x14ac:dyDescent="0.3">
      <c r="A101" s="2">
        <v>4</v>
      </c>
      <c r="C101" s="38" t="s">
        <v>42</v>
      </c>
      <c r="D101" s="42">
        <f>TRUNC(2219,-1)</f>
        <v>2210</v>
      </c>
      <c r="E101" s="63">
        <f t="shared" si="3"/>
        <v>7300</v>
      </c>
    </row>
    <row r="102" spans="1:7" x14ac:dyDescent="0.3">
      <c r="A102" s="2">
        <v>5</v>
      </c>
      <c r="C102" s="38" t="s">
        <v>43</v>
      </c>
      <c r="D102" s="42">
        <f>TRUNC(11717,-1)</f>
        <v>11710</v>
      </c>
      <c r="E102" s="63">
        <f t="shared" si="3"/>
        <v>38710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TRUNC(2195,-1)</f>
        <v>2190</v>
      </c>
      <c r="E104" s="63">
        <f t="shared" si="3"/>
        <v>7230</v>
      </c>
    </row>
    <row r="105" spans="1:7" x14ac:dyDescent="0.3">
      <c r="A105" s="2">
        <v>8</v>
      </c>
      <c r="C105" s="38" t="s">
        <v>46</v>
      </c>
      <c r="D105" s="42">
        <f>TRUNC(10561,-1)</f>
        <v>10560</v>
      </c>
      <c r="E105" s="63">
        <f t="shared" si="3"/>
        <v>34900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TRUNC(3164,-1)</f>
        <v>3160</v>
      </c>
      <c r="E114" s="63">
        <f t="shared" si="3"/>
        <v>10440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TRUNC(11599,-1)</f>
        <v>11590</v>
      </c>
      <c r="E116" s="63">
        <f t="shared" si="3"/>
        <v>38310</v>
      </c>
    </row>
    <row r="117" spans="1:7" x14ac:dyDescent="0.3">
      <c r="A117" s="2">
        <v>20</v>
      </c>
      <c r="C117" s="38" t="s">
        <v>148</v>
      </c>
      <c r="D117" s="42">
        <f>TRUNC(125001,-1)</f>
        <v>125000</v>
      </c>
      <c r="E117" s="63">
        <f t="shared" si="3"/>
        <v>413220</v>
      </c>
    </row>
    <row r="118" spans="1:7" ht="17.25" thickBot="1" x14ac:dyDescent="0.35">
      <c r="A118" s="2">
        <v>21</v>
      </c>
      <c r="C118" s="38" t="s">
        <v>47</v>
      </c>
      <c r="D118" s="43">
        <f>TRUNC(1073+239,-1)</f>
        <v>1310</v>
      </c>
      <c r="E118" s="64">
        <f t="shared" si="3"/>
        <v>4330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225910</v>
      </c>
      <c r="E119" s="39">
        <f>SUM(E98:E118)</f>
        <v>746760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TRUNC(703,-1)</f>
        <v>700</v>
      </c>
      <c r="E124" s="63">
        <f t="shared" si="4"/>
        <v>2310</v>
      </c>
    </row>
    <row r="125" spans="1:7" x14ac:dyDescent="0.3">
      <c r="A125" s="2">
        <v>4</v>
      </c>
      <c r="C125" s="38" t="s">
        <v>138</v>
      </c>
      <c r="D125" s="42">
        <v>5650</v>
      </c>
      <c r="E125" s="63">
        <f t="shared" si="4"/>
        <v>18670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TRUNC(949,-1)</f>
        <v>940</v>
      </c>
      <c r="E127" s="63">
        <f t="shared" si="4"/>
        <v>3100</v>
      </c>
    </row>
    <row r="128" spans="1:7" x14ac:dyDescent="0.3">
      <c r="A128" s="2">
        <v>7</v>
      </c>
      <c r="C128" s="38" t="s">
        <v>46</v>
      </c>
      <c r="D128" s="42">
        <f>TRUNC(7854,-1)</f>
        <v>7850</v>
      </c>
      <c r="E128" s="63">
        <f t="shared" si="4"/>
        <v>25950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TRUNC(24974,-1)</f>
        <v>24970</v>
      </c>
      <c r="E130" s="63">
        <f t="shared" si="4"/>
        <v>82540</v>
      </c>
    </row>
    <row r="131" spans="1:7" x14ac:dyDescent="0.3">
      <c r="A131" s="2">
        <v>10</v>
      </c>
      <c r="C131" s="38" t="s">
        <v>148</v>
      </c>
      <c r="D131" s="42">
        <f>TRUNC(31243,-1)</f>
        <v>31240</v>
      </c>
      <c r="E131" s="63">
        <f t="shared" si="4"/>
        <v>103270</v>
      </c>
    </row>
    <row r="132" spans="1:7" ht="18" thickBot="1" x14ac:dyDescent="0.35">
      <c r="A132" s="2">
        <v>11</v>
      </c>
      <c r="C132" s="38" t="s">
        <v>47</v>
      </c>
      <c r="D132" s="43">
        <f>TRUNC(3595+239,-1)</f>
        <v>3830</v>
      </c>
      <c r="E132" s="64">
        <f t="shared" si="4"/>
        <v>12660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75180</v>
      </c>
      <c r="E133" s="39">
        <f>SUM(E122:E132)</f>
        <v>248500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TRUNC(335+3863+708,-1)</f>
        <v>4900</v>
      </c>
      <c r="E137" s="63">
        <f t="shared" si="5"/>
        <v>16190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TRUNC(3168,-1)</f>
        <v>3160</v>
      </c>
      <c r="E139" s="63">
        <f t="shared" si="5"/>
        <v>10440</v>
      </c>
    </row>
    <row r="140" spans="1:7" x14ac:dyDescent="0.3">
      <c r="A140" s="2">
        <v>5</v>
      </c>
      <c r="C140" s="38" t="s">
        <v>57</v>
      </c>
      <c r="D140" s="42">
        <f>TRUNC(1607,-1)</f>
        <v>1600</v>
      </c>
      <c r="E140" s="63">
        <f t="shared" si="5"/>
        <v>5280</v>
      </c>
    </row>
    <row r="141" spans="1:7" x14ac:dyDescent="0.3">
      <c r="A141" s="2">
        <v>6</v>
      </c>
      <c r="C141" s="38" t="s">
        <v>59</v>
      </c>
      <c r="D141" s="42">
        <f>TRUNC(9335,-1)</f>
        <v>9330</v>
      </c>
      <c r="E141" s="63">
        <f t="shared" si="5"/>
        <v>30840</v>
      </c>
    </row>
    <row r="142" spans="1:7" x14ac:dyDescent="0.3">
      <c r="A142" s="2">
        <v>7</v>
      </c>
      <c r="C142" s="38" t="s">
        <v>58</v>
      </c>
      <c r="D142" s="42">
        <f>TRUNC(6108,-1)</f>
        <v>6100</v>
      </c>
      <c r="E142" s="63">
        <f t="shared" si="5"/>
        <v>20160</v>
      </c>
    </row>
    <row r="143" spans="1:7" x14ac:dyDescent="0.3">
      <c r="A143" s="2">
        <v>8</v>
      </c>
      <c r="C143" s="38" t="s">
        <v>62</v>
      </c>
      <c r="D143" s="42">
        <f>TRUNC(3763,-1)</f>
        <v>3760</v>
      </c>
      <c r="E143" s="63">
        <f t="shared" si="5"/>
        <v>12420</v>
      </c>
    </row>
    <row r="144" spans="1:7" x14ac:dyDescent="0.3">
      <c r="A144" s="2">
        <v>9</v>
      </c>
      <c r="C144" s="38" t="s">
        <v>63</v>
      </c>
      <c r="D144" s="42">
        <f>TRUNC(15187,-1)</f>
        <v>15180</v>
      </c>
      <c r="E144" s="63">
        <f t="shared" si="5"/>
        <v>50180</v>
      </c>
    </row>
    <row r="145" spans="1:7" ht="17.25" thickBot="1" x14ac:dyDescent="0.35">
      <c r="A145" s="2">
        <v>10</v>
      </c>
      <c r="C145" s="38" t="s">
        <v>148</v>
      </c>
      <c r="D145" s="43">
        <f>TRUNC(1719,-1)</f>
        <v>1710</v>
      </c>
      <c r="E145" s="64">
        <f t="shared" si="5"/>
        <v>5650</v>
      </c>
    </row>
    <row r="146" spans="1:7" x14ac:dyDescent="0.3">
      <c r="A146" s="2">
        <v>11</v>
      </c>
      <c r="C146" s="27" t="s">
        <v>112</v>
      </c>
      <c r="D146" s="39">
        <f>SUM(D136:D145)</f>
        <v>45740</v>
      </c>
      <c r="E146" s="39">
        <f>SUM(E136:E145)</f>
        <v>151160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TRUNC(3624+3982,-1)</f>
        <v>7600</v>
      </c>
      <c r="E149" s="62">
        <f>TRUNC(+D149*3.3058,-1)</f>
        <v>25120</v>
      </c>
    </row>
    <row r="150" spans="1:7" x14ac:dyDescent="0.3">
      <c r="A150" s="2">
        <v>2</v>
      </c>
      <c r="C150" s="38" t="s">
        <v>49</v>
      </c>
      <c r="D150" s="42">
        <f>TRUNC(6103,-1)</f>
        <v>6100</v>
      </c>
      <c r="E150" s="63">
        <f>TRUNC(+D150*3.3058,-1)</f>
        <v>20160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TRUNC(1241+527,-1)</f>
        <v>1760</v>
      </c>
      <c r="E152" s="63">
        <f>TRUNC(+D152*3.3058,-1)</f>
        <v>5810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TRUNC(11503,-1)</f>
        <v>11500</v>
      </c>
      <c r="E153" s="64">
        <f>TRUNC(+D153*3.3058,-1)</f>
        <v>38010</v>
      </c>
    </row>
    <row r="154" spans="1:7" x14ac:dyDescent="0.3">
      <c r="A154" s="2">
        <v>6</v>
      </c>
      <c r="C154" s="27" t="s">
        <v>112</v>
      </c>
      <c r="D154" s="39">
        <f>SUM(D149:D153)</f>
        <v>26960</v>
      </c>
      <c r="E154" s="39">
        <f>SUM(E149:E153)</f>
        <v>89100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TRUNC(19481,-1)</f>
        <v>19480</v>
      </c>
      <c r="E157" s="62">
        <f>TRUNC(+D157*3.3058,-1)</f>
        <v>64390</v>
      </c>
    </row>
    <row r="158" spans="1:7" x14ac:dyDescent="0.3">
      <c r="A158" s="2">
        <v>2</v>
      </c>
      <c r="C158" s="38" t="s">
        <v>52</v>
      </c>
      <c r="D158" s="42">
        <f>TRUNC(314,-1)</f>
        <v>310</v>
      </c>
      <c r="E158" s="63">
        <f>TRUNC(+D158*3.3058,-1)</f>
        <v>1020</v>
      </c>
    </row>
    <row r="159" spans="1:7" x14ac:dyDescent="0.3">
      <c r="A159" s="2">
        <v>3</v>
      </c>
      <c r="C159" s="38" t="s">
        <v>47</v>
      </c>
      <c r="D159" s="42">
        <f>TRUNC(4313,-1)</f>
        <v>4310</v>
      </c>
      <c r="E159" s="63">
        <f>TRUNC(+D159*3.3058,-1)</f>
        <v>14240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24100</v>
      </c>
      <c r="E161" s="39">
        <f>SUM(E157:E160)</f>
        <v>79650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2020-12-08T02:52:29Z</dcterms:modified>
</cp:coreProperties>
</file>