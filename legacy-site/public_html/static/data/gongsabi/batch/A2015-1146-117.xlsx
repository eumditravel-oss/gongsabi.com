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1" i="4"/>
  <c r="D140" i="4"/>
  <c r="D137" i="4"/>
  <c r="D132" i="4"/>
  <c r="D130" i="4"/>
  <c r="D128" i="4"/>
  <c r="D126" i="4"/>
  <c r="D125" i="4"/>
  <c r="D124" i="4"/>
  <c r="D118" i="4"/>
  <c r="D117" i="4"/>
  <c r="D116" i="4"/>
  <c r="D114" i="4"/>
  <c r="D105" i="4"/>
  <c r="D104" i="4"/>
  <c r="D103" i="4"/>
  <c r="D102" i="4"/>
  <c r="D100" i="4"/>
  <c r="D99" i="4"/>
  <c r="D94" i="4"/>
  <c r="D92" i="4"/>
  <c r="D91" i="4"/>
  <c r="D89" i="4"/>
  <c r="D73" i="4"/>
  <c r="D72" i="4"/>
  <c r="D71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<sst xmlns="http://schemas.openxmlformats.org/spreadsheetml/2006/main" count="392" uniqueCount="268">
  <si>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</si>
  <si>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</si>
  <si>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</si>
  <si>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</si>
  <si>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</si>
  <si>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</si>
  <si>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</si>
  <si>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</si>
  <si>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</si>
  <si>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</si>
  <si>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</si>
  <si>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</si>
  <si>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</si>
  <si>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</si>
  <si>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</si>
  <si>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</si>
  <si>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</si>
  <si>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</si>
  <si>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</si>
  <si>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</si>
  <si>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</si>
  <si>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</si>
  <si>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</si>
  <si>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</si>
  <si>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</si>
  <si>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</si>
  <si>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</si>
  <si>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</si>
  <si>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</si>
  <si>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</si>
  <si>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</si>
  <si>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</si>
  <si>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</si>
  <si>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</si>
  <si>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</si>
  <si>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</si>
  <si>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</si>
  <si>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</si>
  <si>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</si>
  <si>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</si>
  <si>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</si>
  <si>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</si>
  <si>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</si>
  <si>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</si>
  <si>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</si>
  <si>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</si>
  <si>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</si>
  <si>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</si>
  <si>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</si>
  <si>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</si>
  <si>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</si>
  <si>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</si>
  <si>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</si>
  <si>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</si>
  <si>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</si>
  <si>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</si>
  <si>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</si>
  <si>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</si>
  <si>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</si>
  <si>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</si>
  <si>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</si>
  <si>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</si>
  <si>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</si>
  <si>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</si>
  <si>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</si>
  <si>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</si>
  <si>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</si>
  <si>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</si>
  <si>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</si>
  <si>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</si>
  <si>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</si>
  <si>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</si>
  <si>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</si>
  <si>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</si>
  <si>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</si>
  <si>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</si>
  <si>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</si>
  <si>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</si>
  <si>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</si>
  <si>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</si>
  <si>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</si>
  <si>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</si>
  <si>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</si>
  <si>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</si>
  <si>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</si>
  <si>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</si>
  <si>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</si>
  <si>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</si>
  <si>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</si>
  <si>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</si>
  <si>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</si>
  <si>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</si>
  <si>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</si>
  <si>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</si>
  <si>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</si>
  <si>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</si>
  <si>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</si>
  <si>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</si>
  <si>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</si>
  <si>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</si>
  <si>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</si>
  <si>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</si>
  <si>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</si>
  <si>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</si>
  <si>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</si>
  <si>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</si>
  <si>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</si>
  <si>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</si>
  <si>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</si>
  <si>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</si>
  <si>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</si>
  <si>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</si>
  <si>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</si>
  <si>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</si>
  <si>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</si>
  <si>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</si>
  <si>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</si>
  <si>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</si>
  <si>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</si>
  <si>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</si>
  <si>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</si>
  <si>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</si>
  <si>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</si>
  <si>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</si>
  <si>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</si>
  <si>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</si>
  <si>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</si>
  <si>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</si>
  <si>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</si>
  <si>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</si>
  <si>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</si>
  <si>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</si>
  <si>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</si>
  <si>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</si>
  <si>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</si>
  <si>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</si>
  <si>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</si>
  <si>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</si>
  <si>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</si>
  <si>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</si>
  <si>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</si>
  <si>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</si>
  <si>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</si>
  <si>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</si>
  <si>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</si>
  <si>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</si>
  <si>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</si>
  <si>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</si>
  <si>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</si>
  <si>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</si>
  <si>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</si>
  <si>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</si>
  <si>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</si>
  <si>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</si>
  <si>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</si>
  <si>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</si>
  <si>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</si>
  <si>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</si>
  <si>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</si>
  <si>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</si>
  <si>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</si>
  <si>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</si>
  <si>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</si>
  <si>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</si>
  <si>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</si>
  <si>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</si>
  <si>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</si>
  <si>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</si>
  <si>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</si>
  <si>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</si>
  <si>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</si>
  <si>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</si>
  <si>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</si>
  <si>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</si>
  <si>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</si>
  <si>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</si>
  <si>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</si>
  <si>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</si>
  <si>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</si>
  <si>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</si>
  <si>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</si>
  <si>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</si>
  <si>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</si>
  <si>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</si>
  <si>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</si>
  <si>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</si>
  <si>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</si>
  <si>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</si>
  <si>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</si>
  <si>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</si>
  <si>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</si>
  <si>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</si>
  <si>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</si>
  <si>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</si>
  <si>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</si>
  <si>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</si>
  <si>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</si>
  <si>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</si>
  <si>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</si>
  <si>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</si>
  <si>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</si>
  <si>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</si>
  <si>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</si>
  <si>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</si>
  <si>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</si>
  <si>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</si>
  <si>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</si>
  <si>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</si>
  <si>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</si>
  <si>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</si>
  <si>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</si>
  <si>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</si>
  <si>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</si>
  <si>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</si>
  <si>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</si>
  <si>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</si>
  <si>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</si>
  <si>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</si>
  <si>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</si>
  <si>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</si>
  <si>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</si>
  <si>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</si>
  <si>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</si>
  <si>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</si>
  <si>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</si>
  <si>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</si>
  <si>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</si>
  <si>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</si>
  <si>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</si>
  <si>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</si>
  <si>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</si>
  <si>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</si>
  <si>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</si>
  <si>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</si>
  <si>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</si>
  <si>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</si>
  <si>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</si>
  <si>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</si>
  <si>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</si>
  <si>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</si>
  <si>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</si>
  <si>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</si>
  <si>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</si>
  <si>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</si>
  <si>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</si>
  <si>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</si>
  <si>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</si>
  <si>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</si>
  <si>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</si>
  <si>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</si>
  <si>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</si>
  <si>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</si>
  <si>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</si>
  <si>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</si>
  <si>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</si>
  <si>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</si>
  <si>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</si>
  <si>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</si>
  <si>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</si>
  <si>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</si>
  <si>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</si>
  <si>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</si>
  <si>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대구용천초등학교 신축공사(장기계속)</t>
    <phoneticPr fontId="2" type="noConversion"/>
  </si>
  <si>
    <t>대구시</t>
  </si>
  <si>
    <t>옥외소화배관공사, 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</si>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</sst>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11503.17</v>
      </c>
      <c r="D7" s="36">
        <f>+C7/3.3058</f>
        <v>3479.6932663803013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851590</v>
      </c>
      <c r="E25" s="59">
        <f t="shared" si="0"/>
        <v>2815180</v>
      </c>
    </row>
    <row r="26" spans="1:5" x14ac:dyDescent="0.3">
      <c r="B26" s="2">
        <v>3</v>
      </c>
      <c r="C26" s="35" t="s">
        <v>95</v>
      </c>
      <c r="D26" s="45">
        <f>+D66</f>
        <v>1610</v>
      </c>
      <c r="E26" s="59">
        <f t="shared" si="0"/>
        <v>5320</v>
      </c>
    </row>
    <row r="27" spans="1:5" x14ac:dyDescent="0.3">
      <c r="B27" s="2">
        <v>4</v>
      </c>
      <c r="C27" s="35" t="s">
        <v>96</v>
      </c>
      <c r="D27" s="45">
        <f>+D95</f>
        <v>131250</v>
      </c>
      <c r="E27" s="59">
        <f t="shared" si="0"/>
        <v>433880</v>
      </c>
    </row>
    <row r="28" spans="1:5" x14ac:dyDescent="0.3">
      <c r="B28" s="2">
        <v>5</v>
      </c>
      <c r="C28" s="35" t="s">
        <v>97</v>
      </c>
      <c r="D28" s="45">
        <f>+D119</f>
        <v>127430</v>
      </c>
      <c r="E28" s="59">
        <f t="shared" si="0"/>
        <v>421250</v>
      </c>
    </row>
    <row r="29" spans="1:5" x14ac:dyDescent="0.3">
      <c r="B29" s="2">
        <v>6</v>
      </c>
      <c r="C29" s="35" t="s">
        <v>98</v>
      </c>
      <c r="D29" s="45">
        <f>+D133</f>
        <v>55570</v>
      </c>
      <c r="E29" s="59">
        <f t="shared" si="0"/>
        <v>183700</v>
      </c>
    </row>
    <row r="30" spans="1:5" x14ac:dyDescent="0.3">
      <c r="B30" s="2">
        <v>7</v>
      </c>
      <c r="C30" s="35" t="s">
        <v>99</v>
      </c>
      <c r="D30" s="45">
        <f>+D146</f>
        <v>36610</v>
      </c>
      <c r="E30" s="59">
        <f t="shared" si="0"/>
        <v>121020</v>
      </c>
    </row>
    <row r="31" spans="1:5" x14ac:dyDescent="0.3">
      <c r="B31" s="2">
        <v>8</v>
      </c>
      <c r="C31" s="35" t="s">
        <v>100</v>
      </c>
      <c r="D31" s="45">
        <f>+D154</f>
        <v>37540</v>
      </c>
      <c r="E31" s="59">
        <f t="shared" si="0"/>
        <v>124090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341440</v>
      </c>
      <c r="E33" s="60">
        <f t="shared" si="0"/>
        <v>1128730</v>
      </c>
    </row>
    <row r="34" spans="1:7" x14ac:dyDescent="0.3">
      <c r="C34" s="35" t="s">
        <v>112</v>
      </c>
      <c r="D34" s="44">
        <f>SUM(D24:D33)</f>
        <v>1583040</v>
      </c>
      <c r="E34" s="44">
        <f>SUM(E24:E33)</f>
        <v>5233170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TRUNC(46822,-1)</f>
        <v>46820</v>
      </c>
      <c r="E40" s="62">
        <f t="shared" ref="E40:E59" si="1">TRUNC(+D40*3.3058,-1)</f>
        <v>154770</v>
      </c>
    </row>
    <row r="41" spans="1:7" x14ac:dyDescent="0.3">
      <c r="A41" s="2">
        <v>2</v>
      </c>
      <c r="C41" s="38" t="s">
        <v>13</v>
      </c>
      <c r="D41" s="42">
        <f>TRUNC(133816,-1)</f>
        <v>133810</v>
      </c>
      <c r="E41" s="63">
        <f t="shared" si="1"/>
        <v>442340</v>
      </c>
    </row>
    <row r="42" spans="1:7" x14ac:dyDescent="0.3">
      <c r="A42" s="2">
        <v>3</v>
      </c>
      <c r="C42" s="38" t="s">
        <v>14</v>
      </c>
      <c r="D42" s="42">
        <f>TRUNC(6362,-1)</f>
        <v>6360</v>
      </c>
      <c r="E42" s="63">
        <f t="shared" si="1"/>
        <v>21020</v>
      </c>
    </row>
    <row r="43" spans="1:7" x14ac:dyDescent="0.3">
      <c r="A43" s="2">
        <v>4</v>
      </c>
      <c r="C43" s="38" t="s">
        <v>16</v>
      </c>
      <c r="D43" s="42">
        <f>TRUNC(53984,-1)</f>
        <v>53980</v>
      </c>
      <c r="E43" s="63">
        <f t="shared" si="1"/>
        <v>178440</v>
      </c>
    </row>
    <row r="44" spans="1:7" x14ac:dyDescent="0.3">
      <c r="A44" s="2">
        <v>5</v>
      </c>
      <c r="C44" s="38" t="s">
        <v>17</v>
      </c>
      <c r="D44" s="42">
        <f>TRUNC(19499,-1)</f>
        <v>19490</v>
      </c>
      <c r="E44" s="63">
        <f t="shared" si="1"/>
        <v>64430</v>
      </c>
    </row>
    <row r="45" spans="1:7" x14ac:dyDescent="0.3">
      <c r="A45" s="2">
        <v>6</v>
      </c>
      <c r="C45" s="38" t="s">
        <v>18</v>
      </c>
      <c r="D45" s="42">
        <f>TRUNC(10948,-1)</f>
        <v>10940</v>
      </c>
      <c r="E45" s="63">
        <f t="shared" si="1"/>
        <v>36160</v>
      </c>
    </row>
    <row r="46" spans="1:7" x14ac:dyDescent="0.3">
      <c r="A46" s="2">
        <v>7</v>
      </c>
      <c r="C46" s="38" t="s">
        <v>19</v>
      </c>
      <c r="D46" s="42">
        <f>TRUNC(29112,-1)</f>
        <v>29110</v>
      </c>
      <c r="E46" s="63">
        <f t="shared" si="1"/>
        <v>96230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TRUNC(57404,-1)</f>
        <v>57400</v>
      </c>
      <c r="E48" s="63">
        <f t="shared" si="1"/>
        <v>189750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TRUNC(15975,-1)</f>
        <v>15970</v>
      </c>
      <c r="E49" s="63">
        <f t="shared" si="1"/>
        <v>52790</v>
      </c>
    </row>
    <row r="50" spans="1:7" x14ac:dyDescent="0.3">
      <c r="A50" s="2">
        <v>11</v>
      </c>
      <c r="C50" s="38" t="s">
        <v>155</v>
      </c>
      <c r="D50" s="42">
        <f>TRUNC(43718,-1)</f>
        <v>43710</v>
      </c>
      <c r="E50" s="63">
        <f t="shared" si="1"/>
        <v>144490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TRUNC(7984,-1)</f>
        <v>7980</v>
      </c>
      <c r="E52" s="63">
        <f t="shared" si="1"/>
        <v>26380</v>
      </c>
    </row>
    <row r="53" spans="1:7" x14ac:dyDescent="0.3">
      <c r="A53" s="2">
        <v>14</v>
      </c>
      <c r="C53" s="38" t="s">
        <v>25</v>
      </c>
      <c r="D53" s="42">
        <f>TRUNC(50019,-1)</f>
        <v>50010</v>
      </c>
      <c r="E53" s="63">
        <f t="shared" si="1"/>
        <v>165320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TRUNC(20026+4420+19725,-1)</f>
        <v>44170</v>
      </c>
      <c r="E58" s="63">
        <f t="shared" si="1"/>
        <v>146010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TRUNC(331841,-1)</f>
        <v>331840</v>
      </c>
      <c r="E59" s="64">
        <f t="shared" si="1"/>
        <v>1096990</v>
      </c>
    </row>
    <row r="60" spans="1:7" x14ac:dyDescent="0.3">
      <c r="A60" s="2">
        <v>21</v>
      </c>
      <c r="C60" s="27" t="s">
        <v>112</v>
      </c>
      <c r="D60" s="39">
        <f>SUM(D40:D59)</f>
        <v>851590</v>
      </c>
      <c r="E60" s="39">
        <f>SUM(E40:E59)</f>
        <v>2815120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1610</v>
      </c>
      <c r="E63" s="62">
        <f>TRUNC(+D63*3.3058,-1)</f>
        <v>5320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1610</v>
      </c>
      <c r="E66" s="65">
        <f>SUM(E63:E65)</f>
        <v>5320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8940</v>
      </c>
      <c r="E69" s="62">
        <f t="shared" ref="E69:E94" si="2">TRUNC(+D69*3.3058,-1)</f>
        <v>29550</v>
      </c>
    </row>
    <row r="70" spans="1:7" ht="16.5" customHeight="1" x14ac:dyDescent="0.3">
      <c r="A70" s="2">
        <v>2</v>
      </c>
      <c r="C70" s="38" t="s">
        <v>31</v>
      </c>
      <c r="D70" s="42">
        <v>1870</v>
      </c>
      <c r="E70" s="63">
        <f t="shared" si="2"/>
        <v>6180</v>
      </c>
    </row>
    <row r="71" spans="1:7" x14ac:dyDescent="0.3">
      <c r="A71" s="2">
        <v>3</v>
      </c>
      <c r="C71" s="38" t="s">
        <v>32</v>
      </c>
      <c r="D71" s="42">
        <f>TRUNC(4634,-1)</f>
        <v>4630</v>
      </c>
      <c r="E71" s="63">
        <f t="shared" si="2"/>
        <v>15300</v>
      </c>
    </row>
    <row r="72" spans="1:7" x14ac:dyDescent="0.3">
      <c r="A72" s="2">
        <v>4</v>
      </c>
      <c r="C72" s="38" t="s">
        <v>33</v>
      </c>
      <c r="D72" s="42">
        <f>TRUNC(2602,-1)</f>
        <v>2600</v>
      </c>
      <c r="E72" s="63">
        <f t="shared" si="2"/>
        <v>8590</v>
      </c>
    </row>
    <row r="73" spans="1:7" x14ac:dyDescent="0.3">
      <c r="A73" s="2">
        <v>5</v>
      </c>
      <c r="C73" s="38" t="s">
        <v>34</v>
      </c>
      <c r="D73" s="42">
        <f>TRUNC(18287,-1)</f>
        <v>18280</v>
      </c>
      <c r="E73" s="63">
        <f t="shared" si="2"/>
        <v>60430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62350</v>
      </c>
      <c r="E76" s="63">
        <f t="shared" si="2"/>
        <v>206110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TRUNC(8236,-1)</f>
        <v>8230</v>
      </c>
      <c r="E89" s="63">
        <f t="shared" si="2"/>
        <v>27200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TRUNC(5068,-1)</f>
        <v>5060</v>
      </c>
      <c r="E91" s="63">
        <f t="shared" si="2"/>
        <v>16720</v>
      </c>
    </row>
    <row r="92" spans="1:7" x14ac:dyDescent="0.3">
      <c r="A92" s="2">
        <v>24</v>
      </c>
      <c r="C92" s="38" t="s">
        <v>38</v>
      </c>
      <c r="D92" s="42">
        <f>TRUNC(12028,-1)</f>
        <v>12020</v>
      </c>
      <c r="E92" s="63">
        <f t="shared" si="2"/>
        <v>39730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TRUNC(877+717+5683,-1)</f>
        <v>7270</v>
      </c>
      <c r="E94" s="64">
        <f t="shared" si="2"/>
        <v>24030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131250</v>
      </c>
      <c r="E95" s="39">
        <f>SUM(E69:E94)</f>
        <v>433840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11050</v>
      </c>
      <c r="E98" s="62">
        <f t="shared" ref="E98:E118" si="3">TRUNC(+D98*3.3058,-1)</f>
        <v>36520</v>
      </c>
    </row>
    <row r="99" spans="1:7" x14ac:dyDescent="0.3">
      <c r="A99" s="2">
        <v>2</v>
      </c>
      <c r="C99" s="38" t="s">
        <v>40</v>
      </c>
      <c r="D99" s="42">
        <f>TRUNC(3776,-1)</f>
        <v>3770</v>
      </c>
      <c r="E99" s="63">
        <f t="shared" si="3"/>
        <v>12460</v>
      </c>
    </row>
    <row r="100" spans="1:7" x14ac:dyDescent="0.3">
      <c r="A100" s="2">
        <v>3</v>
      </c>
      <c r="C100" s="38" t="s">
        <v>41</v>
      </c>
      <c r="D100" s="42">
        <f>TRUNC(26305,-1)</f>
        <v>26300</v>
      </c>
      <c r="E100" s="63">
        <f t="shared" si="3"/>
        <v>86940</v>
      </c>
    </row>
    <row r="101" spans="1:7" x14ac:dyDescent="0.3">
      <c r="A101" s="2">
        <v>4</v>
      </c>
      <c r="C101" s="38" t="s">
        <v>42</v>
      </c>
      <c r="D101" s="42">
        <v>2800</v>
      </c>
      <c r="E101" s="63">
        <f t="shared" si="3"/>
        <v>9250</v>
      </c>
    </row>
    <row r="102" spans="1:7" x14ac:dyDescent="0.3">
      <c r="A102" s="2">
        <v>5</v>
      </c>
      <c r="C102" s="38" t="s">
        <v>43</v>
      </c>
      <c r="D102" s="42">
        <f>TRUNC(16232,-1)</f>
        <v>16230</v>
      </c>
      <c r="E102" s="63">
        <f t="shared" si="3"/>
        <v>53650</v>
      </c>
    </row>
    <row r="103" spans="1:7" x14ac:dyDescent="0.3">
      <c r="A103" s="2">
        <v>6</v>
      </c>
      <c r="C103" s="38" t="s">
        <v>44</v>
      </c>
      <c r="D103" s="42">
        <f>TRUNC(6153,-1)</f>
        <v>6150</v>
      </c>
      <c r="E103" s="63">
        <f t="shared" si="3"/>
        <v>20330</v>
      </c>
    </row>
    <row r="104" spans="1:7" x14ac:dyDescent="0.3">
      <c r="A104" s="2">
        <v>7</v>
      </c>
      <c r="C104" s="38" t="s">
        <v>45</v>
      </c>
      <c r="D104" s="42">
        <f>TRUNC(3233,-1)</f>
        <v>3230</v>
      </c>
      <c r="E104" s="63">
        <f t="shared" si="3"/>
        <v>10670</v>
      </c>
    </row>
    <row r="105" spans="1:7" x14ac:dyDescent="0.3">
      <c r="A105" s="2">
        <v>8</v>
      </c>
      <c r="C105" s="38" t="s">
        <v>46</v>
      </c>
      <c r="D105" s="42">
        <f>TRUNC(1502,-1)</f>
        <v>1500</v>
      </c>
      <c r="E105" s="63">
        <f t="shared" si="3"/>
        <v>4950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TRUNC(4509,-1)</f>
        <v>4500</v>
      </c>
      <c r="E114" s="63">
        <f t="shared" si="3"/>
        <v>14870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TRUNC(3446,-1)</f>
        <v>3440</v>
      </c>
      <c r="E116" s="63">
        <f t="shared" si="3"/>
        <v>11370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TRUNC(41899,-1)</f>
        <v>41890</v>
      </c>
      <c r="E117" s="63">
        <f t="shared" si="3"/>
        <v>138470</v>
      </c>
    </row>
    <row r="118" spans="1:7" ht="17.25" thickBot="1" x14ac:dyDescent="0.35">
      <c r="A118" s="2">
        <v>21</v>
      </c>
      <c r="C118" s="38" t="s">
        <v>47</v>
      </c>
      <c r="D118" s="43">
        <f>TRUNC(6578,-1)</f>
        <v>6570</v>
      </c>
      <c r="E118" s="64">
        <f t="shared" si="3"/>
        <v>21710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127430</v>
      </c>
      <c r="E119" s="39">
        <f>SUM(E98:E118)</f>
        <v>421190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TRUNC(1371,-1)</f>
        <v>1370</v>
      </c>
      <c r="E124" s="63">
        <f t="shared" si="4"/>
        <v>4520</v>
      </c>
    </row>
    <row r="125" spans="1:7" x14ac:dyDescent="0.3">
      <c r="A125" s="2">
        <v>4</v>
      </c>
      <c r="C125" s="38" t="s">
        <v>138</v>
      </c>
      <c r="D125" s="42">
        <f>TRUNC(7626,-1)</f>
        <v>7620</v>
      </c>
      <c r="E125" s="63">
        <f t="shared" si="4"/>
        <v>25190</v>
      </c>
    </row>
    <row r="126" spans="1:7" x14ac:dyDescent="0.3">
      <c r="A126" s="2">
        <v>5</v>
      </c>
      <c r="C126" s="38" t="s">
        <v>53</v>
      </c>
      <c r="D126" s="42">
        <f>TRUNC(1665,-1)</f>
        <v>1660</v>
      </c>
      <c r="E126" s="63">
        <f t="shared" si="4"/>
        <v>5480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TRUNC(3848,-1)</f>
        <v>3840</v>
      </c>
      <c r="E128" s="63">
        <f t="shared" si="4"/>
        <v>12690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TRUNC(18595,-1)</f>
        <v>18590</v>
      </c>
      <c r="E130" s="63">
        <f t="shared" si="4"/>
        <v>61450</v>
      </c>
    </row>
    <row r="131" spans="1:7" x14ac:dyDescent="0.3">
      <c r="A131" s="2">
        <v>10</v>
      </c>
      <c r="C131" s="38" t="s">
        <v>148</v>
      </c>
      <c r="D131" s="42">
        <v>20580</v>
      </c>
      <c r="E131" s="63">
        <f t="shared" si="4"/>
        <v>68030</v>
      </c>
    </row>
    <row r="132" spans="1:7" ht="18" thickBot="1" x14ac:dyDescent="0.35">
      <c r="A132" s="2">
        <v>11</v>
      </c>
      <c r="C132" s="38" t="s">
        <v>47</v>
      </c>
      <c r="D132" s="43">
        <f>TRUNC(1385+533,-1)</f>
        <v>1910</v>
      </c>
      <c r="E132" s="64">
        <f t="shared" si="4"/>
        <v>6310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55570</v>
      </c>
      <c r="E133" s="39">
        <f>SUM(E122:E132)</f>
        <v>183670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TRUNC(134+3428+7387,-1)</f>
        <v>10940</v>
      </c>
      <c r="E137" s="63">
        <f t="shared" si="5"/>
        <v>36160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TRUNC(1957,-1)</f>
        <v>1950</v>
      </c>
      <c r="E140" s="63">
        <f t="shared" si="5"/>
        <v>6440</v>
      </c>
    </row>
    <row r="141" spans="1:7" x14ac:dyDescent="0.3">
      <c r="A141" s="2">
        <v>6</v>
      </c>
      <c r="C141" s="38" t="s">
        <v>59</v>
      </c>
      <c r="D141" s="42">
        <f>TRUNC(7475,-1)</f>
        <v>7470</v>
      </c>
      <c r="E141" s="63">
        <f t="shared" si="5"/>
        <v>24690</v>
      </c>
    </row>
    <row r="142" spans="1:7" x14ac:dyDescent="0.3">
      <c r="A142" s="2">
        <v>7</v>
      </c>
      <c r="C142" s="38" t="s">
        <v>58</v>
      </c>
      <c r="D142" s="42">
        <f>TRUNC(7069,-1)</f>
        <v>7060</v>
      </c>
      <c r="E142" s="63">
        <f t="shared" si="5"/>
        <v>23330</v>
      </c>
    </row>
    <row r="143" spans="1:7" x14ac:dyDescent="0.3">
      <c r="A143" s="2">
        <v>8</v>
      </c>
      <c r="C143" s="38" t="s">
        <v>62</v>
      </c>
      <c r="D143" s="42">
        <f>TRUNC(2942,-1)</f>
        <v>2940</v>
      </c>
      <c r="E143" s="63">
        <f t="shared" si="5"/>
        <v>9710</v>
      </c>
    </row>
    <row r="144" spans="1:7" x14ac:dyDescent="0.3">
      <c r="A144" s="2">
        <v>9</v>
      </c>
      <c r="C144" s="38" t="s">
        <v>63</v>
      </c>
      <c r="D144" s="42">
        <f>TRUNC(6257,-1)</f>
        <v>6250</v>
      </c>
      <c r="E144" s="63">
        <f t="shared" si="5"/>
        <v>20660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36610</v>
      </c>
      <c r="E146" s="39">
        <f>SUM(E136:E145)</f>
        <v>120990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TRUNC(9899+3542,-1)</f>
        <v>13440</v>
      </c>
      <c r="E149" s="62">
        <f>TRUNC(+D149*3.3058,-1)</f>
        <v>44420</v>
      </c>
    </row>
    <row r="150" spans="1:7" x14ac:dyDescent="0.3">
      <c r="A150" s="2">
        <v>2</v>
      </c>
      <c r="C150" s="38" t="s">
        <v>49</v>
      </c>
      <c r="D150" s="42">
        <f>TRUNC(10403,-1)</f>
        <v>10400</v>
      </c>
      <c r="E150" s="63">
        <f>TRUNC(+D150*3.3058,-1)</f>
        <v>34380</v>
      </c>
    </row>
    <row r="151" spans="1:7" x14ac:dyDescent="0.3">
      <c r="A151" s="2">
        <v>3</v>
      </c>
      <c r="C151" s="38" t="s">
        <v>50</v>
      </c>
      <c r="D151" s="42">
        <f>TRUNC(11064,-1)</f>
        <v>11060</v>
      </c>
      <c r="E151" s="63">
        <f>TRUNC(+D151*3.3058,-1)</f>
        <v>36560</v>
      </c>
    </row>
    <row r="152" spans="1:7" x14ac:dyDescent="0.3">
      <c r="A152" s="2">
        <v>4</v>
      </c>
      <c r="C152" s="38" t="s">
        <v>47</v>
      </c>
      <c r="D152" s="42">
        <f>TRUNC(222+2421,-1)</f>
        <v>2640</v>
      </c>
      <c r="E152" s="63">
        <f>TRUNC(+D152*3.3058,-1)</f>
        <v>8720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37540</v>
      </c>
      <c r="E154" s="39">
        <f>SUM(E149:E153)</f>
        <v>124080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2020-12-07T09:59:18Z</dcterms:modified>
</cp:coreProperties>
</file>