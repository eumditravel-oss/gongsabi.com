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8" i="4" l="1"/>
  <c r="D69" i="4"/>
  <c r="D9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0" i="4"/>
  <c r="E129" i="4"/>
  <c r="E128" i="4"/>
  <c r="E127" i="4"/>
  <c r="E126" i="4"/>
  <c r="E124" i="4"/>
  <c r="E123" i="4"/>
  <c r="E122" i="4"/>
  <c r="E118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95" i="4" l="1"/>
  <c r="E154" i="4"/>
  <c r="E146" i="4"/>
  <c r="D117" i="4"/>
  <c r="E117" i="4" s="1"/>
  <c r="E119" i="4" s="1"/>
  <c r="D93" i="4"/>
  <c r="E93" i="4" s="1"/>
  <c r="D59" i="4"/>
  <c r="E59" i="4" s="1"/>
  <c r="D161" i="4" l="1"/>
  <c r="D154" i="4"/>
  <c r="D31" i="4" s="1"/>
  <c r="E31" i="4" s="1"/>
  <c r="D146" i="4"/>
  <c r="D30" i="4" s="1"/>
  <c r="E30" i="4" s="1"/>
  <c r="D131" i="4"/>
  <c r="E131" i="4" s="1"/>
  <c r="D125" i="4"/>
  <c r="D119" i="4"/>
  <c r="D28" i="4" s="1"/>
  <c r="E28" i="4" s="1"/>
  <c r="D95" i="4"/>
  <c r="D27" i="4" s="1"/>
  <c r="E27" i="4" s="1"/>
  <c r="D66" i="4"/>
  <c r="D58" i="4"/>
  <c r="E58" i="4" s="1"/>
  <c r="E60" i="4" s="1"/>
  <c r="D32" i="4"/>
  <c r="E32" i="4" s="1"/>
  <c r="D26" i="4"/>
  <c r="E26" i="4" s="1"/>
  <c r="D24" i="4"/>
  <c r="E24" i="4" s="1"/>
  <c r="D7" i="4"/>
  <c r="D60" i="4" l="1"/>
  <c r="D25" i="4" s="1"/>
  <c r="E25" i="4" s="1"/>
  <c r="D133" i="4"/>
  <c r="D29" i="4" s="1"/>
  <c r="E29" i="4" s="1"/>
  <c r="E125" i="4"/>
  <c r="E133" i="4" s="1"/>
  <c r="D33" i="4" l="1"/>
  <c r="E33" i="4" s="1"/>
  <c r="E34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<sst xmlns="http://schemas.openxmlformats.org/spreadsheetml/2006/main" count="397" uniqueCount="269">
  <si>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</si>
  <si>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</si>
  <si>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</si>
  <si>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</si>
  <si>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</si>
  <si>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</si>
  <si>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</si>
  <si>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</si>
  <si>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</si>
  <si>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</si>
  <si>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</si>
  <si>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</si>
  <si>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</si>
  <si>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</si>
  <si>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</si>
  <si>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</si>
  <si>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</si>
  <si>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</si>
  <si>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</si>
  <si>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</si>
  <si>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</si>
  <si>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</si>
  <si>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</si>
  <si>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</si>
  <si>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</si>
  <si>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</si>
  <si>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</si>
  <si>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</si>
  <si>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</si>
  <si>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</si>
  <si>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</si>
  <si>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</si>
  <si>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</si>
  <si>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</si>
  <si>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</si>
  <si>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</si>
  <si>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</si>
  <si>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</si>
  <si>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</si>
  <si>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</si>
  <si>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</si>
  <si>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</si>
  <si>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</si>
  <si>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</si>
  <si>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</si>
  <si>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</si>
  <si>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</si>
  <si>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</si>
  <si>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</si>
  <si>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</si>
  <si>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</si>
  <si>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</si>
  <si>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</si>
  <si>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</si>
  <si>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</si>
  <si>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</si>
  <si>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</si>
  <si>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</si>
  <si>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</si>
  <si>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</si>
  <si>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</si>
  <si>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</si>
  <si>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</si>
  <si>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</si>
  <si>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</si>
  <si>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</si>
  <si>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</si>
  <si>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</si>
  <si>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</si>
  <si>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</si>
  <si>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</si>
  <si>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</si>
  <si>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</si>
  <si>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</si>
  <si>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</si>
  <si>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</si>
  <si>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</si>
  <si>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</si>
  <si>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</si>
  <si>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</si>
  <si>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</si>
  <si>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</si>
  <si>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</si>
  <si>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</si>
  <si>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</si>
  <si>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</si>
  <si>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</si>
  <si>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</si>
  <si>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</si>
  <si>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</si>
  <si>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</si>
  <si>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</si>
  <si>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</si>
  <si>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</si>
  <si>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</si>
  <si>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</si>
  <si>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</si>
  <si>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</si>
  <si>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</si>
  <si>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</si>
  <si>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</si>
  <si>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</si>
  <si>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</si>
  <si>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</si>
  <si>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</si>
  <si>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</si>
  <si>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</si>
  <si>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</si>
  <si>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</si>
  <si>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</si>
  <si>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</si>
  <si>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</si>
  <si>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</si>
  <si>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</si>
  <si>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</si>
  <si>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</si>
  <si>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</si>
  <si>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</si>
  <si>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</si>
  <si>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</si>
  <si>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</si>
  <si>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</si>
  <si>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</si>
  <si>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</si>
  <si>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</si>
  <si>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</si>
  <si>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</si>
  <si>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</si>
  <si>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</si>
  <si>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</si>
  <si>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</si>
  <si>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</si>
  <si>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</si>
  <si>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</si>
  <si>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</si>
  <si>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</si>
  <si>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</si>
  <si>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</si>
  <si>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</si>
  <si>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</si>
  <si>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</si>
  <si>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</si>
  <si>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</si>
  <si>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</si>
  <si>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</si>
  <si>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</si>
  <si>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</si>
  <si>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</si>
  <si>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</si>
  <si>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</si>
  <si>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</si>
  <si>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</si>
  <si>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</si>
  <si>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</si>
  <si>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</si>
  <si>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</si>
  <si>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</si>
  <si>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</si>
  <si>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</si>
  <si>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</si>
  <si>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</si>
  <si>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</si>
  <si>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</si>
  <si>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</si>
  <si>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</si>
  <si>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</si>
  <si>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</si>
  <si>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</si>
  <si>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</si>
  <si>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</si>
  <si>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</si>
  <si>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</si>
  <si>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</si>
  <si>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</si>
  <si>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</si>
  <si>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</si>
  <si>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</si>
  <si>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</si>
  <si>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</si>
  <si>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</si>
  <si>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</si>
  <si>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</si>
  <si>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</si>
  <si>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</si>
  <si>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</si>
  <si>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</si>
  <si>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</si>
  <si>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</si>
  <si>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</si>
  <si>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</si>
  <si>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</si>
  <si>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</si>
  <si>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</si>
  <si>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</si>
  <si>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</si>
  <si>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</si>
  <si>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</si>
  <si>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</si>
  <si>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</si>
  <si>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</si>
  <si>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</si>
  <si>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</si>
  <si>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</si>
  <si>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</si>
  <si>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</si>
  <si>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</si>
  <si>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</si>
  <si>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</si>
  <si>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</si>
  <si>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</si>
  <si>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</si>
  <si>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</si>
  <si>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</si>
  <si>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</si>
  <si>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</si>
  <si>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</si>
  <si>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</si>
  <si>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</si>
  <si>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</si>
  <si>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</si>
  <si>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</si>
  <si>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</si>
  <si>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</si>
  <si>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</si>
  <si>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</si>
  <si>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</si>
  <si>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</si>
  <si>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</si>
  <si>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</si>
  <si>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</si>
  <si>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</si>
  <si>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</si>
  <si>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</si>
  <si>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</si>
  <si>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</si>
  <si>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</si>
  <si>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</si>
  <si>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</si>
  <si>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</si>
  <si>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</si>
  <si>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</si>
  <si>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</si>
  <si>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</si>
  <si>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</si>
  <si>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</si>
  <si>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</si>
  <si>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</si>
  <si>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</si>
  <si>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00대학교 교사교육센터 신축공사</t>
  </si>
  <si>
    <t>기초 및 토공사,기타공사,부대공사,골재비,운반비,철거공사</t>
    <phoneticPr fontId="2" type="noConversion"/>
  </si>
  <si>
    <t>냉,난방 배관공사</t>
  </si>
  <si>
    <t>옥외전기간선 설비공사</t>
  </si>
  <si>
    <t xml:space="preserve">전화,LAN 설비공사  </t>
  </si>
  <si>
    <t>옥외방송 설비공사,전관방송 설비공사,강의실 방송 설비공사</t>
    <phoneticPr fontId="2" type="noConversion"/>
  </si>
  <si>
    <t>통신인입&amp;CABLE TRAY 설비공사</t>
  </si>
  <si>
    <t>가설공사</t>
    <phoneticPr fontId="2" type="noConversion"/>
  </si>
  <si>
    <t>기계 소화배관</t>
    <phoneticPr fontId="2" type="noConversion"/>
  </si>
  <si>
    <t>도급자설치, 관급자설치</t>
    <phoneticPr fontId="2" type="noConversion"/>
  </si>
  <si>
    <t>관급자설치</t>
    <phoneticPr fontId="2" type="noConversion"/>
  </si>
  <si>
    <t>원 /평</t>
    <phoneticPr fontId="2" type="noConversion"/>
  </si>
  <si>
    <t>위생배관 공사,화장실배관공사</t>
    <phoneticPr fontId="2" type="noConversion"/>
  </si>
  <si>
    <t>기계장비 설치공사</t>
    <phoneticPr fontId="2" type="noConversion"/>
  </si>
  <si>
    <t>22.9KV 인입 설비공사,외등 설비공사,전기라지애타 설비공사,자탐 설비공사,유도등설비공사,가설공사</t>
    <phoneticPr fontId="2" type="noConversion"/>
  </si>
  <si>
    <t>기계실동력 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</si>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</sst>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85" zoomScaleNormal="85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6284</v>
      </c>
      <c r="D7" s="36">
        <f>+C7/3.3058</f>
        <v>1900.9014459434932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259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483290</v>
      </c>
      <c r="E25" s="60">
        <f t="shared" si="0"/>
        <v>1597660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205850</v>
      </c>
      <c r="E27" s="60">
        <f t="shared" si="0"/>
        <v>680490</v>
      </c>
    </row>
    <row r="28" spans="1:5" x14ac:dyDescent="0.3">
      <c r="B28" s="2">
        <v>5</v>
      </c>
      <c r="C28" s="35" t="s">
        <v>97</v>
      </c>
      <c r="D28" s="45">
        <f>+D119</f>
        <v>117760</v>
      </c>
      <c r="E28" s="60">
        <f t="shared" si="0"/>
        <v>389290</v>
      </c>
    </row>
    <row r="29" spans="1:5" x14ac:dyDescent="0.3">
      <c r="B29" s="2">
        <v>6</v>
      </c>
      <c r="C29" s="35" t="s">
        <v>98</v>
      </c>
      <c r="D29" s="45">
        <f>+D133</f>
        <v>69930</v>
      </c>
      <c r="E29" s="60">
        <f t="shared" si="0"/>
        <v>231170</v>
      </c>
    </row>
    <row r="30" spans="1:5" x14ac:dyDescent="0.3">
      <c r="B30" s="2">
        <v>7</v>
      </c>
      <c r="C30" s="35" t="s">
        <v>99</v>
      </c>
      <c r="D30" s="45">
        <f>+D146</f>
        <v>22950</v>
      </c>
      <c r="E30" s="60">
        <f t="shared" si="0"/>
        <v>75860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60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247430</v>
      </c>
      <c r="E33" s="61">
        <f t="shared" si="0"/>
        <v>817950</v>
      </c>
    </row>
    <row r="34" spans="1:7" x14ac:dyDescent="0.3">
      <c r="C34" s="35" t="s">
        <v>112</v>
      </c>
      <c r="D34" s="44">
        <f>SUM(D24:D33)</f>
        <v>1147210</v>
      </c>
      <c r="E34" s="44">
        <f>SUM(E24:E33)</f>
        <v>3792420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235</v>
      </c>
      <c r="E36" s="56" t="s">
        <v>259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v>31710</v>
      </c>
      <c r="E40" s="63">
        <f t="shared" ref="E40:E59" si="1">TRUNC(+D40*3.3058,-1)</f>
        <v>104820</v>
      </c>
    </row>
    <row r="41" spans="1:7" x14ac:dyDescent="0.3">
      <c r="A41" s="2">
        <v>2</v>
      </c>
      <c r="C41" s="38" t="s">
        <v>13</v>
      </c>
      <c r="D41" s="42">
        <v>114790</v>
      </c>
      <c r="E41" s="64">
        <f t="shared" si="1"/>
        <v>379470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v>23900</v>
      </c>
      <c r="E43" s="64">
        <f t="shared" si="1"/>
        <v>79000</v>
      </c>
    </row>
    <row r="44" spans="1:7" x14ac:dyDescent="0.3">
      <c r="A44" s="2">
        <v>5</v>
      </c>
      <c r="C44" s="38" t="s">
        <v>17</v>
      </c>
      <c r="D44" s="42">
        <v>11650</v>
      </c>
      <c r="E44" s="64">
        <f t="shared" si="1"/>
        <v>38510</v>
      </c>
    </row>
    <row r="45" spans="1:7" x14ac:dyDescent="0.3">
      <c r="A45" s="2">
        <v>6</v>
      </c>
      <c r="C45" s="38" t="s">
        <v>18</v>
      </c>
      <c r="D45" s="42">
        <v>5310</v>
      </c>
      <c r="E45" s="64">
        <f t="shared" si="1"/>
        <v>17550</v>
      </c>
    </row>
    <row r="46" spans="1:7" x14ac:dyDescent="0.3">
      <c r="A46" s="2">
        <v>7</v>
      </c>
      <c r="C46" s="38" t="s">
        <v>19</v>
      </c>
      <c r="D46" s="42">
        <v>22180</v>
      </c>
      <c r="E46" s="64">
        <f t="shared" si="1"/>
        <v>73320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v>62910</v>
      </c>
      <c r="E48" s="64">
        <f t="shared" si="1"/>
        <v>207960</v>
      </c>
    </row>
    <row r="49" spans="1:7" x14ac:dyDescent="0.3">
      <c r="A49" s="2">
        <v>10</v>
      </c>
      <c r="C49" s="38" t="s">
        <v>22</v>
      </c>
      <c r="D49" s="42">
        <v>21070</v>
      </c>
      <c r="E49" s="64">
        <f t="shared" si="1"/>
        <v>69650</v>
      </c>
    </row>
    <row r="50" spans="1:7" x14ac:dyDescent="0.3">
      <c r="A50" s="2">
        <v>11</v>
      </c>
      <c r="C50" s="38" t="s">
        <v>154</v>
      </c>
      <c r="D50" s="42">
        <v>33210</v>
      </c>
      <c r="E50" s="64">
        <f t="shared" si="1"/>
        <v>109780</v>
      </c>
    </row>
    <row r="51" spans="1:7" x14ac:dyDescent="0.3">
      <c r="A51" s="2">
        <v>12</v>
      </c>
      <c r="C51" s="38" t="s">
        <v>23</v>
      </c>
      <c r="D51" s="42">
        <v>4920</v>
      </c>
      <c r="E51" s="64">
        <f t="shared" si="1"/>
        <v>16260</v>
      </c>
    </row>
    <row r="52" spans="1:7" x14ac:dyDescent="0.3">
      <c r="A52" s="2">
        <v>13</v>
      </c>
      <c r="C52" s="38" t="s">
        <v>24</v>
      </c>
      <c r="D52" s="42">
        <v>6020</v>
      </c>
      <c r="E52" s="64">
        <f t="shared" si="1"/>
        <v>19900</v>
      </c>
    </row>
    <row r="53" spans="1:7" x14ac:dyDescent="0.3">
      <c r="A53" s="2">
        <v>14</v>
      </c>
      <c r="C53" s="38" t="s">
        <v>25</v>
      </c>
      <c r="D53" s="42">
        <v>8620</v>
      </c>
      <c r="E53" s="64">
        <f t="shared" si="1"/>
        <v>28490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TRUNC(17830+390+3550+2720+2220+4300,-1)</f>
        <v>31010</v>
      </c>
      <c r="E58" s="64">
        <f t="shared" si="1"/>
        <v>102510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f>TRUNC(103965.46785487+2032.6225334182,-1)</f>
        <v>105990</v>
      </c>
      <c r="E59" s="65">
        <f t="shared" si="1"/>
        <v>350380</v>
      </c>
      <c r="F59" s="2" t="s">
        <v>257</v>
      </c>
    </row>
    <row r="60" spans="1:7" x14ac:dyDescent="0.3">
      <c r="A60" s="2">
        <v>21</v>
      </c>
      <c r="C60" s="27" t="s">
        <v>112</v>
      </c>
      <c r="D60" s="39">
        <f>SUM(D40:D59)</f>
        <v>483290</v>
      </c>
      <c r="E60" s="39">
        <f>SUM(E40:E59)</f>
        <v>1597600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235</v>
      </c>
      <c r="E62" s="56" t="s">
        <v>259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3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235</v>
      </c>
      <c r="E68" s="56" t="s">
        <v>259</v>
      </c>
      <c r="F68" s="54"/>
      <c r="G68" s="54"/>
    </row>
    <row r="69" spans="1:7" x14ac:dyDescent="0.3">
      <c r="A69" s="2">
        <v>1</v>
      </c>
      <c r="C69" s="38" t="s">
        <v>30</v>
      </c>
      <c r="D69" s="40">
        <f>20870</f>
        <v>20870</v>
      </c>
      <c r="E69" s="63">
        <f>TRUNC(+D69*3.3058,-1)</f>
        <v>68990</v>
      </c>
      <c r="F69" s="2" t="s">
        <v>261</v>
      </c>
    </row>
    <row r="70" spans="1:7" ht="16.5" customHeight="1" x14ac:dyDescent="0.3">
      <c r="A70" s="2">
        <v>2</v>
      </c>
      <c r="C70" s="38" t="s">
        <v>31</v>
      </c>
      <c r="D70" s="42">
        <v>16290</v>
      </c>
      <c r="E70" s="64">
        <f>TRUNC(+D70*3.3058,-1)</f>
        <v>53850</v>
      </c>
    </row>
    <row r="71" spans="1:7" x14ac:dyDescent="0.3">
      <c r="A71" s="2">
        <v>3</v>
      </c>
      <c r="C71" s="38" t="s">
        <v>32</v>
      </c>
      <c r="D71" s="42">
        <v>34520</v>
      </c>
      <c r="E71" s="64">
        <f t="shared" ref="E71:E73" si="2">TRUNC(+D71*3.3058,-1)</f>
        <v>114110</v>
      </c>
    </row>
    <row r="72" spans="1:7" x14ac:dyDescent="0.3">
      <c r="A72" s="2">
        <v>4</v>
      </c>
      <c r="C72" s="38" t="s">
        <v>33</v>
      </c>
      <c r="D72" s="42">
        <v>3410</v>
      </c>
      <c r="E72" s="64">
        <f t="shared" si="2"/>
        <v>11270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  <c r="F84" s="2" t="s">
        <v>250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840</v>
      </c>
      <c r="E90" s="64">
        <f>TRUNC(+D90*3.3058,-1)</f>
        <v>2770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TRUNC(9680.14003819223+104901.336728199,-1)</f>
        <v>114580</v>
      </c>
      <c r="E93" s="64">
        <f>TRUNC(+D93*3.3058,-1)</f>
        <v>378770</v>
      </c>
      <c r="F93" s="2" t="s">
        <v>257</v>
      </c>
    </row>
    <row r="94" spans="1:7" ht="17.25" thickBot="1" x14ac:dyDescent="0.35">
      <c r="A94" s="2">
        <v>26</v>
      </c>
      <c r="C94" s="38" t="s">
        <v>47</v>
      </c>
      <c r="D94" s="43">
        <f>10180+5160</f>
        <v>15340</v>
      </c>
      <c r="E94" s="65">
        <f>TRUNC(+D94*3.3058,-1)</f>
        <v>50710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205850</v>
      </c>
      <c r="E95" s="39">
        <f>SUM(E69:E94)</f>
        <v>680470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235</v>
      </c>
      <c r="E97" s="56" t="s">
        <v>259</v>
      </c>
      <c r="F97" s="54"/>
      <c r="G97" s="54"/>
    </row>
    <row r="98" spans="1:7" x14ac:dyDescent="0.3">
      <c r="A98" s="2">
        <v>1</v>
      </c>
      <c r="C98" s="38" t="s">
        <v>39</v>
      </c>
      <c r="D98" s="40">
        <v>7840</v>
      </c>
      <c r="E98" s="63">
        <f t="shared" ref="E98:E118" si="4">TRUNC(+D98*3.3058,-1)</f>
        <v>25910</v>
      </c>
    </row>
    <row r="99" spans="1:7" x14ac:dyDescent="0.3">
      <c r="A99" s="2">
        <v>2</v>
      </c>
      <c r="C99" s="38" t="s">
        <v>40</v>
      </c>
      <c r="D99" s="42">
        <v>3590</v>
      </c>
      <c r="E99" s="64">
        <f t="shared" si="4"/>
        <v>11860</v>
      </c>
      <c r="F99" s="2" t="s">
        <v>263</v>
      </c>
    </row>
    <row r="100" spans="1:7" x14ac:dyDescent="0.3">
      <c r="A100" s="2">
        <v>3</v>
      </c>
      <c r="C100" s="38" t="s">
        <v>41</v>
      </c>
      <c r="D100" s="42">
        <v>11760</v>
      </c>
      <c r="E100" s="64">
        <f t="shared" si="4"/>
        <v>38870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3640</v>
      </c>
      <c r="E102" s="64">
        <f t="shared" si="4"/>
        <v>12030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620</v>
      </c>
      <c r="E104" s="64">
        <f t="shared" si="4"/>
        <v>2040</v>
      </c>
    </row>
    <row r="105" spans="1:7" x14ac:dyDescent="0.3">
      <c r="A105" s="2">
        <v>8</v>
      </c>
      <c r="C105" s="38" t="s">
        <v>46</v>
      </c>
      <c r="D105" s="42">
        <v>4020</v>
      </c>
      <c r="E105" s="64">
        <f t="shared" si="4"/>
        <v>13280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550</v>
      </c>
      <c r="E107" s="64">
        <f t="shared" si="4"/>
        <v>1810</v>
      </c>
    </row>
    <row r="108" spans="1:7" x14ac:dyDescent="0.3">
      <c r="A108" s="2">
        <v>11</v>
      </c>
      <c r="C108" s="38" t="s">
        <v>120</v>
      </c>
      <c r="D108" s="42">
        <v>1200</v>
      </c>
      <c r="E108" s="64">
        <f t="shared" si="4"/>
        <v>3960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1490</v>
      </c>
      <c r="E115" s="64">
        <f t="shared" si="4"/>
        <v>4920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TRUNC(10661.9987269255+63582.2724379376,-1)</f>
        <v>74240</v>
      </c>
      <c r="E117" s="64">
        <f t="shared" si="4"/>
        <v>245420</v>
      </c>
      <c r="F117" s="2" t="s">
        <v>257</v>
      </c>
    </row>
    <row r="118" spans="1:7" ht="17.25" thickBot="1" x14ac:dyDescent="0.35">
      <c r="A118" s="2">
        <v>21</v>
      </c>
      <c r="C118" s="38" t="s">
        <v>47</v>
      </c>
      <c r="D118" s="43">
        <f>2110+160+140+3370+2820+210</f>
        <v>8810</v>
      </c>
      <c r="E118" s="65">
        <f t="shared" si="4"/>
        <v>29120</v>
      </c>
      <c r="F118" s="2" t="s">
        <v>262</v>
      </c>
    </row>
    <row r="119" spans="1:7" x14ac:dyDescent="0.3">
      <c r="A119" s="2">
        <v>22</v>
      </c>
      <c r="C119" s="27" t="s">
        <v>112</v>
      </c>
      <c r="D119" s="39">
        <f>SUM(D98:D118)</f>
        <v>117760</v>
      </c>
      <c r="E119" s="39">
        <f>SUM(E98:E118)</f>
        <v>389220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235</v>
      </c>
      <c r="E121" s="56" t="s">
        <v>259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1880</v>
      </c>
      <c r="E122" s="63">
        <f t="shared" ref="E122:E132" si="5">TRUNC(+D122*3.3058,-1)</f>
        <v>6210</v>
      </c>
    </row>
    <row r="123" spans="1:7" x14ac:dyDescent="0.3">
      <c r="A123" s="2">
        <v>2</v>
      </c>
      <c r="C123" s="38" t="s">
        <v>124</v>
      </c>
      <c r="D123" s="42">
        <v>7440</v>
      </c>
      <c r="E123" s="64">
        <f t="shared" si="5"/>
        <v>24590</v>
      </c>
      <c r="F123" s="2" t="s">
        <v>252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220+2560+2570</f>
        <v>5350</v>
      </c>
      <c r="E125" s="64">
        <f t="shared" si="5"/>
        <v>17680</v>
      </c>
      <c r="F125" s="2" t="s">
        <v>253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3020</v>
      </c>
      <c r="E127" s="64">
        <f t="shared" si="5"/>
        <v>9980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  <c r="F128" s="2" t="s">
        <v>254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TRUNC(52036.9191597708,-1)</f>
        <v>52030</v>
      </c>
      <c r="E131" s="64">
        <f t="shared" si="5"/>
        <v>172000</v>
      </c>
      <c r="F131" s="2" t="s">
        <v>258</v>
      </c>
    </row>
    <row r="132" spans="1:7" ht="17.25" thickBot="1" x14ac:dyDescent="0.35">
      <c r="A132" s="2">
        <v>11</v>
      </c>
      <c r="C132" s="38" t="s">
        <v>47</v>
      </c>
      <c r="D132" s="43">
        <v>210</v>
      </c>
      <c r="E132" s="65">
        <f t="shared" si="5"/>
        <v>690</v>
      </c>
      <c r="F132" s="2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69930</v>
      </c>
      <c r="E133" s="39">
        <f>SUM(E122:E132)</f>
        <v>231150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235</v>
      </c>
      <c r="E135" s="56" t="s">
        <v>259</v>
      </c>
      <c r="F135" s="54"/>
      <c r="G135" s="54"/>
    </row>
    <row r="136" spans="1:7" ht="17.25" thickBot="1" x14ac:dyDescent="0.35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0">
        <v>22950</v>
      </c>
      <c r="E137" s="64">
        <f t="shared" si="6"/>
        <v>75860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22950</v>
      </c>
      <c r="E146" s="39">
        <f>SUM(E136:E145)</f>
        <v>75860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235</v>
      </c>
      <c r="E148" s="56" t="s">
        <v>259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4">
        <f>TRUNC(+D152*3.3058,-1)</f>
        <v>0</v>
      </c>
      <c r="F152" s="58"/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235</v>
      </c>
      <c r="E156" s="56" t="s">
        <v>259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2020-12-07T09:00:07Z</dcterms:modified>
</cp:coreProperties>
</file>