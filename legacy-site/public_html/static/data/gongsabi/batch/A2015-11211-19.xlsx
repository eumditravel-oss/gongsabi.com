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1" i="4" l="1"/>
  <c r="D117" i="4"/>
  <c r="D59" i="4"/>
  <c r="D52" i="4"/>
  <c r="D152" i="4"/>
  <c r="D149" i="4"/>
  <c r="D144" i="4"/>
  <c r="D143" i="4"/>
  <c r="D142" i="4"/>
  <c r="D140" i="4"/>
  <c r="D137" i="4"/>
  <c r="D130" i="4"/>
  <c r="D126" i="4"/>
  <c r="D125" i="4"/>
  <c r="D118" i="4"/>
  <c r="D116" i="4"/>
  <c r="D114" i="4"/>
  <c r="D102" i="4"/>
  <c r="D100" i="4"/>
  <c r="D98" i="4"/>
  <c r="D94" i="4"/>
  <c r="D89" i="4"/>
  <c r="D73" i="4"/>
  <c r="D69" i="4"/>
  <c r="D53" i="4"/>
  <c r="D50" i="4"/>
  <c r="D49" i="4"/>
  <c r="D48" i="4"/>
  <c r="D46" i="4"/>
  <c r="D45" i="4"/>
  <c r="D44" i="4"/>
  <c r="D43" i="4"/>
  <c r="D42" i="4"/>
  <c r="D41" i="4"/>
  <c r="D40" i="4"/>
  <c r="D58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<sst xmlns="http://schemas.openxmlformats.org/spreadsheetml/2006/main" count="389" uniqueCount="265">
  <si>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</si>
  <si>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</si>
  <si>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</si>
  <si>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</si>
  <si>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</si>
  <si>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</si>
  <si>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</si>
  <si>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</si>
  <si>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</si>
  <si>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</si>
  <si>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</si>
  <si>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</si>
  <si>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</si>
  <si>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</si>
  <si>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</si>
  <si>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</si>
  <si>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</si>
  <si>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</si>
  <si>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</si>
  <si>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</si>
  <si>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</si>
  <si>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</si>
  <si>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</si>
  <si>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</si>
  <si>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</si>
  <si>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</si>
  <si>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</si>
  <si>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</si>
  <si>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</si>
  <si>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</si>
  <si>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</si>
  <si>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</si>
  <si>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</si>
  <si>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</si>
  <si>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</si>
  <si>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</si>
  <si>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</si>
  <si>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</si>
  <si>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</si>
  <si>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</si>
  <si>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</si>
  <si>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</si>
  <si>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</si>
  <si>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</si>
  <si>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</si>
  <si>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</si>
  <si>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</si>
  <si>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</si>
  <si>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</si>
  <si>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</si>
  <si>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</si>
  <si>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</si>
  <si>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</si>
  <si>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</si>
  <si>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</si>
  <si>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</si>
  <si>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</si>
  <si>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</si>
  <si>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</si>
  <si>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</si>
  <si>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</si>
  <si>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</si>
  <si>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</si>
  <si>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</si>
  <si>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</si>
  <si>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</si>
  <si>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</si>
  <si>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</si>
  <si>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</si>
  <si>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</si>
  <si>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</si>
  <si>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</si>
  <si>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</si>
  <si>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</si>
  <si>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</si>
  <si>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</si>
  <si>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</si>
  <si>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</si>
  <si>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</si>
  <si>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</si>
  <si>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</si>
  <si>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</si>
  <si>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</si>
  <si>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</si>
  <si>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</si>
  <si>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</si>
  <si>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</si>
  <si>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</si>
  <si>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</si>
  <si>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</si>
  <si>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</si>
  <si>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</si>
  <si>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</si>
  <si>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</si>
  <si>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</si>
  <si>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</si>
  <si>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</si>
  <si>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</si>
  <si>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</si>
  <si>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</si>
  <si>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</si>
  <si>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</si>
  <si>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</si>
  <si>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</si>
  <si>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</si>
  <si>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</si>
  <si>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</si>
  <si>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</si>
  <si>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</si>
  <si>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</si>
  <si>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</si>
  <si>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</si>
  <si>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</si>
  <si>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</si>
  <si>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</si>
  <si>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</si>
  <si>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</si>
  <si>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</si>
  <si>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</si>
  <si>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</si>
  <si>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</si>
  <si>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</si>
  <si>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</si>
  <si>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</si>
  <si>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</si>
  <si>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</si>
  <si>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</si>
  <si>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</si>
  <si>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</si>
  <si>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</si>
  <si>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</si>
  <si>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</si>
  <si>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</si>
  <si>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</si>
  <si>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</si>
  <si>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</si>
  <si>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</si>
  <si>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</si>
  <si>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</si>
  <si>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</si>
  <si>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</si>
  <si>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</si>
  <si>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</si>
  <si>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</si>
  <si>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</si>
  <si>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</si>
  <si>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</si>
  <si>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</si>
  <si>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</si>
  <si>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</si>
  <si>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</si>
  <si>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</si>
  <si>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</si>
  <si>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</si>
  <si>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</si>
  <si>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</si>
  <si>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</si>
  <si>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</si>
  <si>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</si>
  <si>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</si>
  <si>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</si>
  <si>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</si>
  <si>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</si>
  <si>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</si>
  <si>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</si>
  <si>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</si>
  <si>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</si>
  <si>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</si>
  <si>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</si>
  <si>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</si>
  <si>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</si>
  <si>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</si>
  <si>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</si>
  <si>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</si>
  <si>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</si>
  <si>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</si>
  <si>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</si>
  <si>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</si>
  <si>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</si>
  <si>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</si>
  <si>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</si>
  <si>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</si>
  <si>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</si>
  <si>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</si>
  <si>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</si>
  <si>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</si>
  <si>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</si>
  <si>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</si>
  <si>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</si>
  <si>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</si>
  <si>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</si>
  <si>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</si>
  <si>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</si>
  <si>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</si>
  <si>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</si>
  <si>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</si>
  <si>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</si>
  <si>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</si>
  <si>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</si>
  <si>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</si>
  <si>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</si>
  <si>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</si>
  <si>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</si>
  <si>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</si>
  <si>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</si>
  <si>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</si>
  <si>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</si>
  <si>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</si>
  <si>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</si>
  <si>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</si>
  <si>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</si>
  <si>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</si>
  <si>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</si>
  <si>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</si>
  <si>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</si>
  <si>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</si>
  <si>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</si>
  <si>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</si>
  <si>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</si>
  <si>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</si>
  <si>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</si>
  <si>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</si>
  <si>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</si>
  <si>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</si>
  <si>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</si>
  <si>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</si>
  <si>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</si>
  <si>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</si>
  <si>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</si>
  <si>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</si>
  <si>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</si>
  <si>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</si>
  <si>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</si>
  <si>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</si>
  <si>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</si>
  <si>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</si>
  <si>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</si>
  <si>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</si>
  <si>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</si>
  <si>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</si>
  <si>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</si>
  <si>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</si>
  <si>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</si>
  <si>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</si>
  <si>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</si>
  <si>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</si>
  <si>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</si>
  <si>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</si>
  <si>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</si>
  <si>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항 목</t>
    <phoneticPr fontId="2" type="noConversion"/>
  </si>
  <si>
    <t>원/ m2</t>
    <phoneticPr fontId="2" type="noConversion"/>
  </si>
  <si>
    <t>원 /평</t>
    <phoneticPr fontId="2" type="noConversion"/>
  </si>
  <si>
    <t>지붕및홈통공사 포함</t>
    <phoneticPr fontId="2" type="noConversion"/>
  </si>
  <si>
    <t>전기인입 및 수변전 설비공사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</si>
  <si>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</si>
  <si>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</si>
  <si>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석문 문화스포츠센터 신축공사</t>
    <phoneticPr fontId="2" type="noConversion"/>
  </si>
  <si>
    <t>충청도</t>
  </si>
  <si>
    <t>기초공사,폐기물처리비, 골재비및운반비, 품질시험비, 기타공사</t>
    <phoneticPr fontId="2" type="noConversion"/>
  </si>
  <si>
    <t>바닥난방공사</t>
    <phoneticPr fontId="2" type="noConversion"/>
  </si>
  <si>
    <t>옥외보안등설비공사</t>
    <phoneticPr fontId="2" type="noConversion"/>
  </si>
  <si>
    <t>사급자재비,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</si>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</sst>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262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3596.33</v>
      </c>
      <c r="D7" s="36">
        <f>+C7/3.3058</f>
        <v>1087.8849295178172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257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263</v>
      </c>
    </row>
    <row r="19" spans="1:5" x14ac:dyDescent="0.3">
      <c r="A19" s="2">
        <v>9</v>
      </c>
      <c r="B19" s="2" t="s">
        <v>264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1313820</v>
      </c>
      <c r="E25" s="59">
        <f t="shared" si="0"/>
        <v>4343220</v>
      </c>
    </row>
    <row r="26" spans="1:5" x14ac:dyDescent="0.3">
      <c r="B26" s="2">
        <v>3</v>
      </c>
      <c r="C26" s="35" t="s">
        <v>95</v>
      </c>
      <c r="D26" s="45">
        <f>+D66</f>
        <v>41020</v>
      </c>
      <c r="E26" s="59">
        <f t="shared" si="0"/>
        <v>135600</v>
      </c>
    </row>
    <row r="27" spans="1:5" x14ac:dyDescent="0.3">
      <c r="B27" s="2">
        <v>4</v>
      </c>
      <c r="C27" s="35" t="s">
        <v>96</v>
      </c>
      <c r="D27" s="45">
        <f>+D95</f>
        <v>30230</v>
      </c>
      <c r="E27" s="59">
        <f t="shared" si="0"/>
        <v>99930</v>
      </c>
    </row>
    <row r="28" spans="1:5" x14ac:dyDescent="0.3">
      <c r="B28" s="2">
        <v>5</v>
      </c>
      <c r="C28" s="35" t="s">
        <v>97</v>
      </c>
      <c r="D28" s="45">
        <f>+D119</f>
        <v>204960</v>
      </c>
      <c r="E28" s="59">
        <f t="shared" si="0"/>
        <v>677550</v>
      </c>
    </row>
    <row r="29" spans="1:5" x14ac:dyDescent="0.3">
      <c r="B29" s="2">
        <v>6</v>
      </c>
      <c r="C29" s="35" t="s">
        <v>98</v>
      </c>
      <c r="D29" s="45">
        <f>+D133</f>
        <v>50060</v>
      </c>
      <c r="E29" s="59">
        <f t="shared" si="0"/>
        <v>165480</v>
      </c>
    </row>
    <row r="30" spans="1:5" x14ac:dyDescent="0.3">
      <c r="B30" s="2">
        <v>7</v>
      </c>
      <c r="C30" s="35" t="s">
        <v>99</v>
      </c>
      <c r="D30" s="45">
        <f>+D146</f>
        <v>45640</v>
      </c>
      <c r="E30" s="59">
        <f t="shared" si="0"/>
        <v>150870</v>
      </c>
    </row>
    <row r="31" spans="1:5" x14ac:dyDescent="0.3">
      <c r="B31" s="2">
        <v>8</v>
      </c>
      <c r="C31" s="35" t="s">
        <v>100</v>
      </c>
      <c r="D31" s="45">
        <f>+D154</f>
        <v>66990</v>
      </c>
      <c r="E31" s="59">
        <f t="shared" si="0"/>
        <v>221450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481990</v>
      </c>
      <c r="E33" s="60">
        <f t="shared" si="0"/>
        <v>1593360</v>
      </c>
    </row>
    <row r="34" spans="1:7" x14ac:dyDescent="0.3">
      <c r="C34" s="35" t="s">
        <v>112</v>
      </c>
      <c r="D34" s="44">
        <f>SUM(D24:D33)</f>
        <v>2234710</v>
      </c>
      <c r="E34" s="44">
        <f>SUM(E24:E33)</f>
        <v>7387460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249</v>
      </c>
      <c r="D39" s="57" t="s">
        <v>250</v>
      </c>
      <c r="E39" s="57" t="s">
        <v>251</v>
      </c>
      <c r="G39" s="55"/>
    </row>
    <row r="40" spans="1:7" x14ac:dyDescent="0.3">
      <c r="A40" s="2">
        <v>1</v>
      </c>
      <c r="C40" s="38" t="s">
        <v>15</v>
      </c>
      <c r="D40" s="40">
        <f>TRUNC(47411,-1)</f>
        <v>47410</v>
      </c>
      <c r="E40" s="62">
        <f t="shared" ref="E40:E59" si="1">TRUNC(+D40*3.3058,-1)</f>
        <v>156720</v>
      </c>
    </row>
    <row r="41" spans="1:7" x14ac:dyDescent="0.3">
      <c r="A41" s="2">
        <v>2</v>
      </c>
      <c r="C41" s="38" t="s">
        <v>13</v>
      </c>
      <c r="D41" s="42">
        <f>TRUNC(148568,-1)</f>
        <v>148560</v>
      </c>
      <c r="E41" s="63">
        <f t="shared" si="1"/>
        <v>491100</v>
      </c>
    </row>
    <row r="42" spans="1:7" x14ac:dyDescent="0.3">
      <c r="A42" s="2">
        <v>3</v>
      </c>
      <c r="C42" s="38" t="s">
        <v>14</v>
      </c>
      <c r="D42" s="42">
        <f>TRUNC(35507,-1)</f>
        <v>35500</v>
      </c>
      <c r="E42" s="63">
        <f t="shared" si="1"/>
        <v>117350</v>
      </c>
    </row>
    <row r="43" spans="1:7" x14ac:dyDescent="0.3">
      <c r="A43" s="2">
        <v>4</v>
      </c>
      <c r="C43" s="38" t="s">
        <v>16</v>
      </c>
      <c r="D43" s="42">
        <f>TRUNC(27771,-1)</f>
        <v>27770</v>
      </c>
      <c r="E43" s="63">
        <f t="shared" si="1"/>
        <v>91800</v>
      </c>
    </row>
    <row r="44" spans="1:7" x14ac:dyDescent="0.3">
      <c r="A44" s="2">
        <v>5</v>
      </c>
      <c r="C44" s="38" t="s">
        <v>17</v>
      </c>
      <c r="D44" s="42">
        <f>TRUNC(31789,-1)</f>
        <v>31780</v>
      </c>
      <c r="E44" s="63">
        <f t="shared" si="1"/>
        <v>105050</v>
      </c>
    </row>
    <row r="45" spans="1:7" x14ac:dyDescent="0.3">
      <c r="A45" s="2">
        <v>6</v>
      </c>
      <c r="C45" s="38" t="s">
        <v>18</v>
      </c>
      <c r="D45" s="42">
        <f>TRUNC(16697,-1)</f>
        <v>16690</v>
      </c>
      <c r="E45" s="63">
        <f t="shared" si="1"/>
        <v>55170</v>
      </c>
    </row>
    <row r="46" spans="1:7" x14ac:dyDescent="0.3">
      <c r="A46" s="2">
        <v>7</v>
      </c>
      <c r="C46" s="38" t="s">
        <v>19</v>
      </c>
      <c r="D46" s="42">
        <f>TRUNC(55297,-1)</f>
        <v>55290</v>
      </c>
      <c r="E46" s="63">
        <f t="shared" si="1"/>
        <v>182770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TRUNC(37905,-1)</f>
        <v>37900</v>
      </c>
      <c r="E48" s="63">
        <f t="shared" si="1"/>
        <v>125280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TRUNC(17417,-1)</f>
        <v>17410</v>
      </c>
      <c r="E49" s="63">
        <f t="shared" si="1"/>
        <v>57550</v>
      </c>
    </row>
    <row r="50" spans="1:7" x14ac:dyDescent="0.3">
      <c r="A50" s="2">
        <v>11</v>
      </c>
      <c r="C50" s="38" t="s">
        <v>155</v>
      </c>
      <c r="D50" s="42">
        <f>TRUNC(33659,-1)</f>
        <v>33650</v>
      </c>
      <c r="E50" s="63">
        <f t="shared" si="1"/>
        <v>111240</v>
      </c>
      <c r="F50" s="2" t="s">
        <v>254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TRUNC(8557,-1)</f>
        <v>8550</v>
      </c>
      <c r="E52" s="63">
        <f t="shared" si="1"/>
        <v>28260</v>
      </c>
    </row>
    <row r="53" spans="1:7" x14ac:dyDescent="0.3">
      <c r="A53" s="2">
        <v>14</v>
      </c>
      <c r="C53" s="38" t="s">
        <v>25</v>
      </c>
      <c r="D53" s="42">
        <f>TRUNC(167743,-1)</f>
        <v>167740</v>
      </c>
      <c r="E53" s="63">
        <f t="shared" si="1"/>
        <v>554510</v>
      </c>
      <c r="F53" s="2" t="s">
        <v>255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12520+398+7032+995+44615</f>
        <v>65560</v>
      </c>
      <c r="E58" s="63">
        <f t="shared" si="1"/>
        <v>216720</v>
      </c>
      <c r="F58" s="2" t="s">
        <v>258</v>
      </c>
    </row>
    <row r="59" spans="1:7" ht="17.25" thickBot="1" x14ac:dyDescent="0.35">
      <c r="A59" s="2">
        <v>20</v>
      </c>
      <c r="C59" s="38" t="s">
        <v>148</v>
      </c>
      <c r="D59" s="43">
        <f>TRUNC(620017,-1)</f>
        <v>620010</v>
      </c>
      <c r="E59" s="64">
        <f t="shared" si="1"/>
        <v>2049620</v>
      </c>
    </row>
    <row r="60" spans="1:7" x14ac:dyDescent="0.3">
      <c r="A60" s="2">
        <v>21</v>
      </c>
      <c r="C60" s="27" t="s">
        <v>112</v>
      </c>
      <c r="D60" s="39">
        <f>SUM(D40:D59)</f>
        <v>1313820</v>
      </c>
      <c r="E60" s="39">
        <f>SUM(E40:E59)</f>
        <v>4343140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41020</v>
      </c>
      <c r="E63" s="62">
        <f>TRUNC(+D63*3.3058,-1)</f>
        <v>135600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41020</v>
      </c>
      <c r="E66" s="65">
        <f>SUM(E63:E65)</f>
        <v>135600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TRUNC(7462,-1)</f>
        <v>7460</v>
      </c>
      <c r="E69" s="62">
        <f t="shared" ref="E69:E94" si="2">TRUNC(+D69*3.3058,-1)</f>
        <v>24660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TRUNC(8165,-1)</f>
        <v>8160</v>
      </c>
      <c r="E73" s="63">
        <f t="shared" si="2"/>
        <v>26970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TRUNC(4379,-1)</f>
        <v>4370</v>
      </c>
      <c r="E89" s="63">
        <f t="shared" si="2"/>
        <v>14440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v>8580</v>
      </c>
      <c r="E92" s="63">
        <f t="shared" si="2"/>
        <v>28360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TRUNC(1661,-1)</f>
        <v>1660</v>
      </c>
      <c r="E94" s="64">
        <f t="shared" si="2"/>
        <v>5480</v>
      </c>
      <c r="F94" s="2" t="s">
        <v>259</v>
      </c>
    </row>
    <row r="95" spans="1:7" x14ac:dyDescent="0.3">
      <c r="A95" s="2">
        <v>27</v>
      </c>
      <c r="C95" s="27" t="s">
        <v>112</v>
      </c>
      <c r="D95" s="39">
        <f>SUM(D69:D94)</f>
        <v>30230</v>
      </c>
      <c r="E95" s="39">
        <f>SUM(E69:E94)</f>
        <v>99910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TRUNC(16134,-1)</f>
        <v>16130</v>
      </c>
      <c r="E98" s="62">
        <f t="shared" ref="E98:E118" si="3">TRUNC(+D98*3.3058,-1)</f>
        <v>53320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3"/>
        <v>0</v>
      </c>
    </row>
    <row r="100" spans="1:7" x14ac:dyDescent="0.3">
      <c r="A100" s="2">
        <v>3</v>
      </c>
      <c r="C100" s="38" t="s">
        <v>41</v>
      </c>
      <c r="D100" s="42">
        <f>TRUNC(22596,-1)</f>
        <v>22590</v>
      </c>
      <c r="E100" s="63">
        <f t="shared" si="3"/>
        <v>74670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TRUNC(10585,-1)</f>
        <v>10580</v>
      </c>
      <c r="E102" s="63">
        <f t="shared" si="3"/>
        <v>34970</v>
      </c>
    </row>
    <row r="103" spans="1:7" x14ac:dyDescent="0.3">
      <c r="A103" s="2">
        <v>6</v>
      </c>
      <c r="C103" s="38" t="s">
        <v>44</v>
      </c>
      <c r="D103" s="42">
        <v>8670</v>
      </c>
      <c r="E103" s="63">
        <f t="shared" si="3"/>
        <v>28660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TRUNC(6901,-1)</f>
        <v>6900</v>
      </c>
      <c r="E114" s="63">
        <f t="shared" si="3"/>
        <v>22810</v>
      </c>
      <c r="F114" s="2" t="s">
        <v>260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TRUNC(4864,-1)</f>
        <v>4860</v>
      </c>
      <c r="E116" s="63">
        <f t="shared" si="3"/>
        <v>16060</v>
      </c>
      <c r="F116" s="2" t="s">
        <v>253</v>
      </c>
    </row>
    <row r="117" spans="1:7" x14ac:dyDescent="0.3">
      <c r="A117" s="2">
        <v>20</v>
      </c>
      <c r="C117" s="38" t="s">
        <v>148</v>
      </c>
      <c r="D117" s="42">
        <f>TRUNC(126518,-1)</f>
        <v>126510</v>
      </c>
      <c r="E117" s="63">
        <f t="shared" si="3"/>
        <v>418210</v>
      </c>
    </row>
    <row r="118" spans="1:7" ht="17.25" thickBot="1" x14ac:dyDescent="0.35">
      <c r="A118" s="2">
        <v>21</v>
      </c>
      <c r="C118" s="38" t="s">
        <v>47</v>
      </c>
      <c r="D118" s="43">
        <f>TRUNC(8723,-1)</f>
        <v>8720</v>
      </c>
      <c r="E118" s="64">
        <f t="shared" si="3"/>
        <v>28820</v>
      </c>
    </row>
    <row r="119" spans="1:7" x14ac:dyDescent="0.3">
      <c r="A119" s="2">
        <v>22</v>
      </c>
      <c r="C119" s="27" t="s">
        <v>112</v>
      </c>
      <c r="D119" s="39">
        <f>SUM(D98:D118)</f>
        <v>204960</v>
      </c>
      <c r="E119" s="39">
        <f>SUM(E98:E118)</f>
        <v>677520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TRUNC(3389,-1)</f>
        <v>3380</v>
      </c>
      <c r="E125" s="63">
        <f t="shared" si="4"/>
        <v>11170</v>
      </c>
    </row>
    <row r="126" spans="1:7" x14ac:dyDescent="0.3">
      <c r="A126" s="2">
        <v>5</v>
      </c>
      <c r="C126" s="38" t="s">
        <v>53</v>
      </c>
      <c r="D126" s="42">
        <f>TRUNC(2913,-1)</f>
        <v>2910</v>
      </c>
      <c r="E126" s="63">
        <f t="shared" si="4"/>
        <v>9610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TRUNC(9683,-1)</f>
        <v>9680</v>
      </c>
      <c r="E130" s="63">
        <f t="shared" si="4"/>
        <v>32000</v>
      </c>
    </row>
    <row r="131" spans="1:7" x14ac:dyDescent="0.3">
      <c r="A131" s="2">
        <v>10</v>
      </c>
      <c r="C131" s="38" t="s">
        <v>148</v>
      </c>
      <c r="D131" s="42">
        <f>TRUNC(34092,-1)</f>
        <v>34090</v>
      </c>
      <c r="E131" s="63">
        <f t="shared" si="4"/>
        <v>112690</v>
      </c>
    </row>
    <row r="132" spans="1:7" ht="18" thickBot="1" x14ac:dyDescent="0.35">
      <c r="A132" s="2">
        <v>11</v>
      </c>
      <c r="C132" s="38" t="s">
        <v>47</v>
      </c>
      <c r="D132" s="43">
        <v>0</v>
      </c>
      <c r="E132" s="64">
        <f t="shared" si="4"/>
        <v>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50060</v>
      </c>
      <c r="E133" s="39">
        <f>SUM(E122:E132)</f>
        <v>165470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TRUNC(10287,-1)</f>
        <v>10280</v>
      </c>
      <c r="E137" s="63">
        <f t="shared" si="5"/>
        <v>33980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TRUNC(3321,-1)</f>
        <v>3320</v>
      </c>
      <c r="E140" s="63">
        <f t="shared" si="5"/>
        <v>10970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TRUNC(22742,-1)</f>
        <v>22740</v>
      </c>
      <c r="E142" s="63">
        <f t="shared" si="5"/>
        <v>75170</v>
      </c>
    </row>
    <row r="143" spans="1:7" x14ac:dyDescent="0.3">
      <c r="A143" s="2">
        <v>8</v>
      </c>
      <c r="C143" s="38" t="s">
        <v>62</v>
      </c>
      <c r="D143" s="42">
        <f>TRUNC(4414,-1)</f>
        <v>4410</v>
      </c>
      <c r="E143" s="63">
        <f t="shared" si="5"/>
        <v>14570</v>
      </c>
    </row>
    <row r="144" spans="1:7" x14ac:dyDescent="0.3">
      <c r="A144" s="2">
        <v>9</v>
      </c>
      <c r="C144" s="38" t="s">
        <v>63</v>
      </c>
      <c r="D144" s="42">
        <f>TRUNC(4892,-1)</f>
        <v>4890</v>
      </c>
      <c r="E144" s="63">
        <f t="shared" si="5"/>
        <v>16160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45640</v>
      </c>
      <c r="E146" s="39">
        <f>SUM(E136:E145)</f>
        <v>150850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TRUNC(8268,-1)</f>
        <v>8260</v>
      </c>
      <c r="E149" s="62">
        <f>TRUNC(+D149*3.3058,-1)</f>
        <v>27300</v>
      </c>
    </row>
    <row r="150" spans="1:7" x14ac:dyDescent="0.3">
      <c r="A150" s="2">
        <v>2</v>
      </c>
      <c r="C150" s="38" t="s">
        <v>49</v>
      </c>
      <c r="D150" s="42">
        <v>10620</v>
      </c>
      <c r="E150" s="63">
        <f>TRUNC(+D150*3.3058,-1)</f>
        <v>35100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TRUNC(2174+45945,-1)</f>
        <v>48110</v>
      </c>
      <c r="E152" s="63">
        <f>TRUNC(+D152*3.3058,-1)</f>
        <v>159040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66990</v>
      </c>
      <c r="E154" s="39">
        <f>SUM(E149:E153)</f>
        <v>221440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2020-12-07T10:09:34Z</dcterms:modified>
</cp:coreProperties>
</file>