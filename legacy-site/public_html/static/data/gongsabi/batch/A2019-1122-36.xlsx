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3" i="4"/>
  <c r="D131" i="4"/>
  <c r="D117" i="4"/>
  <c r="D93" i="4"/>
  <c r="D59" i="4"/>
  <c r="D159" i="4"/>
  <c r="D158" i="4"/>
  <c r="D157" i="4"/>
  <c r="D152" i="4"/>
  <c r="D149" i="4"/>
  <c r="D137" i="4"/>
  <c r="D144" i="4"/>
  <c r="D143" i="4"/>
  <c r="D139" i="4"/>
  <c r="D142" i="4"/>
  <c r="D140" i="4"/>
  <c r="D132" i="4"/>
  <c r="D128" i="4"/>
  <c r="D127" i="4"/>
  <c r="D124" i="4"/>
  <c r="D125" i="4"/>
  <c r="D122" i="4"/>
  <c r="D130" i="4"/>
  <c r="D126" i="4"/>
  <c r="D118" i="4"/>
  <c r="D105" i="4"/>
  <c r="D104" i="4"/>
  <c r="D102" i="4"/>
  <c r="D101" i="4"/>
  <c r="D99" i="4"/>
  <c r="D98" i="4"/>
  <c r="D75" i="4"/>
  <c r="D76" i="4"/>
  <c r="D92" i="4"/>
  <c r="D91" i="4"/>
  <c r="D89" i="4"/>
  <c r="D73" i="4"/>
  <c r="D71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<sst xmlns="http://schemas.openxmlformats.org/spreadsheetml/2006/main" count="394" uniqueCount="271">
  <si>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</si>
  <si>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</si>
  <si>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</si>
  <si>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</si>
  <si>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</si>
  <si>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</si>
  <si>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</si>
  <si>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</si>
  <si>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</si>
  <si>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</si>
  <si>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</si>
  <si>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</si>
  <si>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</si>
  <si>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</si>
  <si>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</si>
  <si>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</si>
  <si>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</si>
  <si>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</si>
  <si>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</si>
  <si>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</si>
  <si>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</si>
  <si>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</si>
  <si>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</si>
  <si>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</si>
  <si>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</si>
  <si>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</si>
  <si>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</si>
  <si>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</si>
  <si>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</si>
  <si>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</si>
  <si>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</si>
  <si>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</si>
  <si>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</si>
  <si>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</si>
  <si>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</si>
  <si>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</si>
  <si>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</si>
  <si>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</si>
  <si>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</si>
  <si>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</si>
  <si>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</si>
  <si>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</si>
  <si>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</si>
  <si>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</si>
  <si>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</si>
  <si>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</si>
  <si>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</si>
  <si>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</si>
  <si>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</si>
  <si>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</si>
  <si>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</si>
  <si>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</si>
  <si>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</si>
  <si>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</si>
  <si>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</si>
  <si>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</si>
  <si>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</si>
  <si>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</si>
  <si>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</si>
  <si>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</si>
  <si>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</si>
  <si>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</si>
  <si>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</si>
  <si>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</si>
  <si>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</si>
  <si>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</si>
  <si>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</si>
  <si>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</si>
  <si>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</si>
  <si>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</si>
  <si>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</si>
  <si>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</si>
  <si>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</si>
  <si>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</si>
  <si>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</si>
  <si>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</si>
  <si>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</si>
  <si>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</si>
  <si>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</si>
  <si>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</si>
  <si>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</si>
  <si>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</si>
  <si>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</si>
  <si>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</si>
  <si>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</si>
  <si>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</si>
  <si>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</si>
  <si>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</si>
  <si>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</si>
  <si>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</si>
  <si>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</si>
  <si>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</si>
  <si>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</si>
  <si>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</si>
  <si>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</si>
  <si>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</si>
  <si>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</si>
  <si>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</si>
  <si>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</si>
  <si>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</si>
  <si>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</si>
  <si>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</si>
  <si>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</si>
  <si>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</si>
  <si>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</si>
  <si>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</si>
  <si>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</si>
  <si>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</si>
  <si>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</si>
  <si>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</si>
  <si>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</si>
  <si>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</si>
  <si>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</si>
  <si>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</si>
  <si>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</si>
  <si>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</si>
  <si>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</si>
  <si>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</si>
  <si>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</si>
  <si>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</si>
  <si>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</si>
  <si>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</si>
  <si>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</si>
  <si>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</si>
  <si>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</si>
  <si>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</si>
  <si>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</si>
  <si>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</si>
  <si>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</si>
  <si>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</si>
  <si>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</si>
  <si>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</si>
  <si>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</si>
  <si>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</si>
  <si>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</si>
  <si>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</si>
  <si>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</si>
  <si>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</si>
  <si>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</si>
  <si>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</si>
  <si>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</si>
  <si>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</si>
  <si>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</si>
  <si>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</si>
  <si>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</si>
  <si>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</si>
  <si>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</si>
  <si>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</si>
  <si>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</si>
  <si>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</si>
  <si>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</si>
  <si>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</si>
  <si>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</si>
  <si>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</si>
  <si>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</si>
  <si>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</si>
  <si>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</si>
  <si>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</si>
  <si>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</si>
  <si>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</si>
  <si>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</si>
  <si>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</si>
  <si>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</si>
  <si>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</si>
  <si>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</si>
  <si>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</si>
  <si>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</si>
  <si>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</si>
  <si>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</si>
  <si>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</si>
  <si>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</si>
  <si>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</si>
  <si>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</si>
  <si>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</si>
  <si>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</si>
  <si>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</si>
  <si>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</si>
  <si>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</si>
  <si>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</si>
  <si>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</si>
  <si>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</si>
  <si>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</si>
  <si>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</si>
  <si>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</si>
  <si>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</si>
  <si>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</si>
  <si>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</si>
  <si>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</si>
  <si>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</si>
  <si>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</si>
  <si>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</si>
  <si>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</si>
  <si>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</si>
  <si>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</si>
  <si>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</si>
  <si>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</si>
  <si>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</si>
  <si>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</si>
  <si>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</si>
  <si>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</si>
  <si>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</si>
  <si>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</si>
  <si>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</si>
  <si>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</si>
  <si>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</si>
  <si>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</si>
  <si>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</si>
  <si>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</si>
  <si>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</si>
  <si>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</si>
  <si>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</si>
  <si>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</si>
  <si>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</si>
  <si>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</si>
  <si>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</si>
  <si>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</si>
  <si>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</si>
  <si>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</si>
  <si>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</si>
  <si>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</si>
  <si>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</si>
  <si>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</si>
  <si>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</si>
  <si>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</si>
  <si>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</si>
  <si>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</si>
  <si>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</si>
  <si>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</si>
  <si>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</si>
  <si>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</si>
  <si>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</si>
  <si>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</si>
  <si>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</si>
  <si>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</si>
  <si>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</si>
  <si>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</si>
  <si>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</si>
  <si>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</si>
  <si>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</si>
  <si>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</si>
  <si>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</si>
  <si>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</si>
  <si>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</si>
  <si>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</si>
  <si>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</si>
  <si>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</si>
  <si>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</si>
  <si>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</si>
  <si>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</si>
  <si>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하남시 위례도서관 신축 건축공사</t>
    <phoneticPr fontId="2" type="noConversion"/>
  </si>
  <si>
    <t>교육연구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</si>
  <si>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</si>
  <si>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</si>
  <si>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</si>
  <si>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기초공사,골재비및운반비,작업부산물,기타공사</t>
    <phoneticPr fontId="2" type="noConversion"/>
  </si>
  <si>
    <t>원격검침설비공사,기타공사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</si>
  <si>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</si>
  <si>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</si>
  <si>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펌프실배관공사,기타공사</t>
    <phoneticPr fontId="2" type="noConversion"/>
  </si>
  <si>
    <t>우수공사,오수공사</t>
    <phoneticPr fontId="2" type="noConversion"/>
  </si>
  <si>
    <t>상수도공사,사급자재비,운반비</t>
    <phoneticPr fontId="2" type="noConversion"/>
  </si>
  <si>
    <t>포장공사</t>
    <phoneticPr fontId="2" type="noConversion"/>
  </si>
  <si>
    <t>조경시설물</t>
    <phoneticPr fontId="2" type="noConversion"/>
  </si>
  <si>
    <t>바닥난방공사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</si>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</sst>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2218.4499999999998</v>
      </c>
      <c r="D7" s="36">
        <f>+C7/3.3058</f>
        <v>671.07810514852679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1349420</v>
      </c>
      <c r="E25" s="59">
        <f t="shared" si="0"/>
        <v>4460910</v>
      </c>
    </row>
    <row r="26" spans="1:5" x14ac:dyDescent="0.3">
      <c r="B26" s="2">
        <v>3</v>
      </c>
      <c r="C26" s="35" t="s">
        <v>95</v>
      </c>
      <c r="D26" s="45">
        <f>+D66</f>
        <v>16390</v>
      </c>
      <c r="E26" s="59">
        <f t="shared" si="0"/>
        <v>54180</v>
      </c>
    </row>
    <row r="27" spans="1:5" x14ac:dyDescent="0.3">
      <c r="B27" s="2">
        <v>4</v>
      </c>
      <c r="C27" s="35" t="s">
        <v>96</v>
      </c>
      <c r="D27" s="45">
        <f>+D95</f>
        <v>363000</v>
      </c>
      <c r="E27" s="59">
        <f t="shared" si="0"/>
        <v>1200000</v>
      </c>
    </row>
    <row r="28" spans="1:5" x14ac:dyDescent="0.3">
      <c r="B28" s="2">
        <v>5</v>
      </c>
      <c r="C28" s="35" t="s">
        <v>97</v>
      </c>
      <c r="D28" s="45">
        <f>+D119</f>
        <v>215590</v>
      </c>
      <c r="E28" s="59">
        <f t="shared" si="0"/>
        <v>712690</v>
      </c>
    </row>
    <row r="29" spans="1:5" x14ac:dyDescent="0.3">
      <c r="B29" s="2">
        <v>6</v>
      </c>
      <c r="C29" s="35" t="s">
        <v>98</v>
      </c>
      <c r="D29" s="45">
        <f>+D133</f>
        <v>189500</v>
      </c>
      <c r="E29" s="59">
        <f t="shared" si="0"/>
        <v>626440</v>
      </c>
    </row>
    <row r="30" spans="1:5" x14ac:dyDescent="0.3">
      <c r="B30" s="2">
        <v>7</v>
      </c>
      <c r="C30" s="35" t="s">
        <v>99</v>
      </c>
      <c r="D30" s="45">
        <f>+D146</f>
        <v>47350</v>
      </c>
      <c r="E30" s="59">
        <f t="shared" si="0"/>
        <v>156520</v>
      </c>
    </row>
    <row r="31" spans="1:5" x14ac:dyDescent="0.3">
      <c r="B31" s="2">
        <v>8</v>
      </c>
      <c r="C31" s="35" t="s">
        <v>100</v>
      </c>
      <c r="D31" s="45">
        <f>+D154</f>
        <v>12240</v>
      </c>
      <c r="E31" s="59">
        <f t="shared" si="0"/>
        <v>40460</v>
      </c>
    </row>
    <row r="32" spans="1:5" x14ac:dyDescent="0.3">
      <c r="B32" s="2">
        <v>9</v>
      </c>
      <c r="C32" s="35" t="s">
        <v>101</v>
      </c>
      <c r="D32" s="45">
        <f>+D161</f>
        <v>42240</v>
      </c>
      <c r="E32" s="59">
        <f t="shared" si="0"/>
        <v>139630</v>
      </c>
    </row>
    <row r="33" spans="1:7" x14ac:dyDescent="0.3">
      <c r="B33" s="2">
        <v>10</v>
      </c>
      <c r="C33" s="35" t="s">
        <v>154</v>
      </c>
      <c r="D33" s="53">
        <f>TRUNC(SUM(D24:D32)*0.275,-1)</f>
        <v>614820</v>
      </c>
      <c r="E33" s="60">
        <f t="shared" si="0"/>
        <v>2032470</v>
      </c>
    </row>
    <row r="34" spans="1:7" x14ac:dyDescent="0.3">
      <c r="C34" s="35" t="s">
        <v>112</v>
      </c>
      <c r="D34" s="44">
        <f>SUM(D24:D33)</f>
        <v>2850550</v>
      </c>
      <c r="E34" s="44">
        <f>SUM(E24:E33)</f>
        <v>9423300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TRUNC(103142,-1)</f>
        <v>103140</v>
      </c>
      <c r="E40" s="62">
        <f t="shared" ref="E40:E59" si="1">TRUNC(+D40*3.3058,-1)</f>
        <v>340960</v>
      </c>
    </row>
    <row r="41" spans="1:7" x14ac:dyDescent="0.3">
      <c r="A41" s="2">
        <v>2</v>
      </c>
      <c r="C41" s="38" t="s">
        <v>13</v>
      </c>
      <c r="D41" s="42">
        <f>TRUNC(214751,-1)</f>
        <v>214750</v>
      </c>
      <c r="E41" s="63">
        <f t="shared" si="1"/>
        <v>709920</v>
      </c>
    </row>
    <row r="42" spans="1:7" x14ac:dyDescent="0.3">
      <c r="A42" s="2">
        <v>3</v>
      </c>
      <c r="C42" s="38" t="s">
        <v>14</v>
      </c>
      <c r="D42" s="42">
        <f>TRUNC(25611,-1)</f>
        <v>25610</v>
      </c>
      <c r="E42" s="63">
        <f t="shared" si="1"/>
        <v>84660</v>
      </c>
    </row>
    <row r="43" spans="1:7" x14ac:dyDescent="0.3">
      <c r="A43" s="2">
        <v>4</v>
      </c>
      <c r="C43" s="38" t="s">
        <v>16</v>
      </c>
      <c r="D43" s="42">
        <f>TRUNC(15808,-1)</f>
        <v>15800</v>
      </c>
      <c r="E43" s="63">
        <f t="shared" si="1"/>
        <v>52230</v>
      </c>
    </row>
    <row r="44" spans="1:7" x14ac:dyDescent="0.3">
      <c r="A44" s="2">
        <v>5</v>
      </c>
      <c r="C44" s="38" t="s">
        <v>17</v>
      </c>
      <c r="D44" s="42">
        <f>TRUNC(37519,-1)</f>
        <v>37510</v>
      </c>
      <c r="E44" s="63">
        <f t="shared" si="1"/>
        <v>124000</v>
      </c>
    </row>
    <row r="45" spans="1:7" x14ac:dyDescent="0.3">
      <c r="A45" s="2">
        <v>6</v>
      </c>
      <c r="C45" s="38" t="s">
        <v>18</v>
      </c>
      <c r="D45" s="42">
        <f>TRUNC(21717,-1)</f>
        <v>21710</v>
      </c>
      <c r="E45" s="63">
        <f t="shared" si="1"/>
        <v>71760</v>
      </c>
    </row>
    <row r="46" spans="1:7" x14ac:dyDescent="0.3">
      <c r="A46" s="2">
        <v>7</v>
      </c>
      <c r="C46" s="38" t="s">
        <v>19</v>
      </c>
      <c r="D46" s="42">
        <f>TRUNC(8649,-1)</f>
        <v>8640</v>
      </c>
      <c r="E46" s="63">
        <f t="shared" si="1"/>
        <v>28560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TRUNC(147347,-1)</f>
        <v>147340</v>
      </c>
      <c r="E48" s="63">
        <f t="shared" si="1"/>
        <v>487070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TRUNC(40744,-1)</f>
        <v>40740</v>
      </c>
      <c r="E49" s="63">
        <f t="shared" si="1"/>
        <v>134670</v>
      </c>
    </row>
    <row r="50" spans="1:7" x14ac:dyDescent="0.3">
      <c r="A50" s="2">
        <v>11</v>
      </c>
      <c r="C50" s="38" t="s">
        <v>155</v>
      </c>
      <c r="D50" s="42">
        <f>TRUNC(135970,-1)</f>
        <v>135970</v>
      </c>
      <c r="E50" s="63">
        <f t="shared" si="1"/>
        <v>449480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TRUNC(14454,-1)</f>
        <v>14450</v>
      </c>
      <c r="E52" s="63">
        <f t="shared" si="1"/>
        <v>47760</v>
      </c>
    </row>
    <row r="53" spans="1:7" x14ac:dyDescent="0.3">
      <c r="A53" s="2">
        <v>14</v>
      </c>
      <c r="C53" s="38" t="s">
        <v>25</v>
      </c>
      <c r="D53" s="42">
        <f>TRUNC(187723,-1)</f>
        <v>187720</v>
      </c>
      <c r="E53" s="63">
        <f t="shared" si="1"/>
        <v>620560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TRUNC(49608+24466-1078+11718,-1)</f>
        <v>84710</v>
      </c>
      <c r="E58" s="63">
        <f t="shared" si="1"/>
        <v>280030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TRUNC(311335,-1)</f>
        <v>311330</v>
      </c>
      <c r="E59" s="64">
        <f t="shared" si="1"/>
        <v>1029190</v>
      </c>
    </row>
    <row r="60" spans="1:7" x14ac:dyDescent="0.3">
      <c r="A60" s="2">
        <v>21</v>
      </c>
      <c r="C60" s="27" t="s">
        <v>112</v>
      </c>
      <c r="D60" s="39">
        <f>SUM(D40:D59)</f>
        <v>1349420</v>
      </c>
      <c r="E60" s="39">
        <f>SUM(E40:E59)</f>
        <v>4460850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TRUNC(16398,-1)</f>
        <v>16390</v>
      </c>
      <c r="E63" s="62">
        <f>TRUNC(+D63*3.3058,-1)</f>
        <v>54180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16390</v>
      </c>
      <c r="E66" s="65">
        <f>SUM(E63:E65)</f>
        <v>54180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TRUNC(10545,-1)</f>
        <v>10540</v>
      </c>
      <c r="E69" s="62">
        <f t="shared" ref="E69:E94" si="2">TRUNC(+D69*3.3058,-1)</f>
        <v>34840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TRUNC(3133,-1)</f>
        <v>3130</v>
      </c>
      <c r="E71" s="63">
        <f t="shared" si="2"/>
        <v>10340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TRUNC(9835,-1)</f>
        <v>9830</v>
      </c>
      <c r="E73" s="63">
        <f t="shared" si="2"/>
        <v>32490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TRUNC(92,-1)</f>
        <v>90</v>
      </c>
      <c r="E75" s="63">
        <f t="shared" si="2"/>
        <v>290</v>
      </c>
    </row>
    <row r="76" spans="1:7" x14ac:dyDescent="0.3">
      <c r="A76" s="2">
        <v>8</v>
      </c>
      <c r="C76" s="38" t="s">
        <v>119</v>
      </c>
      <c r="D76" s="42">
        <f>TRUNC(111379,-1)</f>
        <v>111370</v>
      </c>
      <c r="E76" s="63">
        <f t="shared" si="2"/>
        <v>368160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TRUNC(6929,-1)</f>
        <v>6920</v>
      </c>
      <c r="E89" s="63">
        <f t="shared" si="2"/>
        <v>22870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TRUNC(19844,-1)</f>
        <v>19840</v>
      </c>
      <c r="E91" s="63">
        <f t="shared" si="2"/>
        <v>65580</v>
      </c>
    </row>
    <row r="92" spans="1:7" x14ac:dyDescent="0.3">
      <c r="A92" s="2">
        <v>24</v>
      </c>
      <c r="C92" s="38" t="s">
        <v>38</v>
      </c>
      <c r="D92" s="42">
        <f>TRUNC(9990,-1)</f>
        <v>9990</v>
      </c>
      <c r="E92" s="63">
        <f t="shared" si="2"/>
        <v>33020</v>
      </c>
    </row>
    <row r="93" spans="1:7" x14ac:dyDescent="0.3">
      <c r="A93" s="2">
        <v>25</v>
      </c>
      <c r="C93" s="38" t="s">
        <v>148</v>
      </c>
      <c r="D93" s="42">
        <f>TRUNC(189645,-1)</f>
        <v>189640</v>
      </c>
      <c r="E93" s="63">
        <f t="shared" si="2"/>
        <v>626910</v>
      </c>
    </row>
    <row r="94" spans="1:7" ht="17.25" thickBot="1" x14ac:dyDescent="0.35">
      <c r="A94" s="2">
        <v>26</v>
      </c>
      <c r="C94" s="38" t="s">
        <v>47</v>
      </c>
      <c r="D94" s="43">
        <f>TRUNC(1652,-1)</f>
        <v>1650</v>
      </c>
      <c r="E94" s="64">
        <f t="shared" si="2"/>
        <v>5450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363000</v>
      </c>
      <c r="E95" s="39">
        <f>SUM(E69:E94)</f>
        <v>1199950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TRUNC(8708,-1)</f>
        <v>8700</v>
      </c>
      <c r="E98" s="62">
        <f t="shared" ref="E98:E118" si="3">TRUNC(+D98*3.3058,-1)</f>
        <v>28760</v>
      </c>
    </row>
    <row r="99" spans="1:7" x14ac:dyDescent="0.3">
      <c r="A99" s="2">
        <v>2</v>
      </c>
      <c r="C99" s="38" t="s">
        <v>40</v>
      </c>
      <c r="D99" s="42">
        <f>TRUNC(15644,-1)</f>
        <v>15640</v>
      </c>
      <c r="E99" s="63">
        <f t="shared" si="3"/>
        <v>51700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TRUNC(46450,-1)</f>
        <v>46450</v>
      </c>
      <c r="E101" s="63">
        <f t="shared" si="3"/>
        <v>153550</v>
      </c>
    </row>
    <row r="102" spans="1:7" x14ac:dyDescent="0.3">
      <c r="A102" s="2">
        <v>5</v>
      </c>
      <c r="C102" s="38" t="s">
        <v>43</v>
      </c>
      <c r="D102" s="42">
        <f>TRUNC(33971,-1)</f>
        <v>33970</v>
      </c>
      <c r="E102" s="63">
        <f t="shared" si="3"/>
        <v>112290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TRUNC(12902,-1)</f>
        <v>12900</v>
      </c>
      <c r="E104" s="63">
        <f t="shared" si="3"/>
        <v>42640</v>
      </c>
    </row>
    <row r="105" spans="1:7" x14ac:dyDescent="0.3">
      <c r="A105" s="2">
        <v>8</v>
      </c>
      <c r="C105" s="38" t="s">
        <v>46</v>
      </c>
      <c r="D105" s="42">
        <f>TRUNC(4466,-1)</f>
        <v>4460</v>
      </c>
      <c r="E105" s="63">
        <f t="shared" si="3"/>
        <v>14740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TRUNC(75198,-1)</f>
        <v>75190</v>
      </c>
      <c r="E117" s="63">
        <f t="shared" si="3"/>
        <v>248560</v>
      </c>
    </row>
    <row r="118" spans="1:7" ht="17.25" thickBot="1" x14ac:dyDescent="0.35">
      <c r="A118" s="2">
        <v>21</v>
      </c>
      <c r="C118" s="38" t="s">
        <v>47</v>
      </c>
      <c r="D118" s="43">
        <f>TRUNC(7781+10499,-1)</f>
        <v>18280</v>
      </c>
      <c r="E118" s="64">
        <f t="shared" si="3"/>
        <v>60430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215590</v>
      </c>
      <c r="E119" s="39">
        <f>SUM(E98:E118)</f>
        <v>712670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TRUNC(5051,-1)</f>
        <v>5050</v>
      </c>
      <c r="E122" s="62">
        <f t="shared" ref="E122:E132" si="4">TRUNC(+D122*3.3058,-1)</f>
        <v>16690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TRUNC(3320,-1)</f>
        <v>3320</v>
      </c>
      <c r="E124" s="63">
        <f t="shared" si="4"/>
        <v>10970</v>
      </c>
    </row>
    <row r="125" spans="1:7" x14ac:dyDescent="0.3">
      <c r="A125" s="2">
        <v>4</v>
      </c>
      <c r="C125" s="38" t="s">
        <v>138</v>
      </c>
      <c r="D125" s="42">
        <f>TRUNC(6851,-1)</f>
        <v>6850</v>
      </c>
      <c r="E125" s="63">
        <f t="shared" si="4"/>
        <v>22640</v>
      </c>
    </row>
    <row r="126" spans="1:7" x14ac:dyDescent="0.3">
      <c r="A126" s="2">
        <v>5</v>
      </c>
      <c r="C126" s="38" t="s">
        <v>53</v>
      </c>
      <c r="D126" s="42">
        <f>TRUNC(6642,-1)</f>
        <v>6640</v>
      </c>
      <c r="E126" s="63">
        <f t="shared" si="4"/>
        <v>21950</v>
      </c>
    </row>
    <row r="127" spans="1:7" x14ac:dyDescent="0.3">
      <c r="A127" s="2">
        <v>6</v>
      </c>
      <c r="C127" s="38" t="s">
        <v>56</v>
      </c>
      <c r="D127" s="42">
        <f>TRUNC(598,-1)</f>
        <v>590</v>
      </c>
      <c r="E127" s="63">
        <f t="shared" si="4"/>
        <v>1950</v>
      </c>
    </row>
    <row r="128" spans="1:7" x14ac:dyDescent="0.3">
      <c r="A128" s="2">
        <v>7</v>
      </c>
      <c r="C128" s="38" t="s">
        <v>46</v>
      </c>
      <c r="D128" s="42">
        <f>TRUNC(9954,-1)</f>
        <v>9950</v>
      </c>
      <c r="E128" s="63">
        <f t="shared" si="4"/>
        <v>32890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TRUNC(19656,-1)</f>
        <v>19650</v>
      </c>
      <c r="E130" s="63">
        <f t="shared" si="4"/>
        <v>64950</v>
      </c>
    </row>
    <row r="131" spans="1:7" x14ac:dyDescent="0.3">
      <c r="A131" s="2">
        <v>10</v>
      </c>
      <c r="C131" s="38" t="s">
        <v>148</v>
      </c>
      <c r="D131" s="42">
        <f>TRUNC(129068,-1)</f>
        <v>129060</v>
      </c>
      <c r="E131" s="63">
        <f t="shared" si="4"/>
        <v>426640</v>
      </c>
    </row>
    <row r="132" spans="1:7" ht="18" thickBot="1" x14ac:dyDescent="0.35">
      <c r="A132" s="2">
        <v>11</v>
      </c>
      <c r="C132" s="38" t="s">
        <v>47</v>
      </c>
      <c r="D132" s="43">
        <f>TRUNC(6360+1161+869,-1)</f>
        <v>8390</v>
      </c>
      <c r="E132" s="64">
        <f t="shared" si="4"/>
        <v>27730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189500</v>
      </c>
      <c r="E133" s="39">
        <f>SUM(E122:E132)</f>
        <v>626410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TRUNC(6212+869,-1)</f>
        <v>7080</v>
      </c>
      <c r="E137" s="63">
        <f t="shared" si="5"/>
        <v>23400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TRUNC(1231,-1)</f>
        <v>1230</v>
      </c>
      <c r="E139" s="63">
        <f t="shared" si="5"/>
        <v>4060</v>
      </c>
    </row>
    <row r="140" spans="1:7" x14ac:dyDescent="0.3">
      <c r="A140" s="2">
        <v>5</v>
      </c>
      <c r="C140" s="38" t="s">
        <v>57</v>
      </c>
      <c r="D140" s="42">
        <f>TRUNC(4440,-1)</f>
        <v>4440</v>
      </c>
      <c r="E140" s="63">
        <f t="shared" si="5"/>
        <v>14670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TRUNC(8797,-1)</f>
        <v>8790</v>
      </c>
      <c r="E142" s="63">
        <f t="shared" si="5"/>
        <v>29050</v>
      </c>
    </row>
    <row r="143" spans="1:7" x14ac:dyDescent="0.3">
      <c r="A143" s="2">
        <v>8</v>
      </c>
      <c r="C143" s="38" t="s">
        <v>62</v>
      </c>
      <c r="D143" s="42">
        <f>TRUNC(4693,-1)</f>
        <v>4690</v>
      </c>
      <c r="E143" s="63">
        <f t="shared" si="5"/>
        <v>15500</v>
      </c>
    </row>
    <row r="144" spans="1:7" x14ac:dyDescent="0.3">
      <c r="A144" s="2">
        <v>9</v>
      </c>
      <c r="C144" s="38" t="s">
        <v>63</v>
      </c>
      <c r="D144" s="42">
        <f>TRUNC(21124,-1)</f>
        <v>21120</v>
      </c>
      <c r="E144" s="63">
        <f t="shared" si="5"/>
        <v>69810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47350</v>
      </c>
      <c r="E146" s="39">
        <f>SUM(E136:E145)</f>
        <v>156490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TRUNC(3291+1729,-1)</f>
        <v>5020</v>
      </c>
      <c r="E149" s="62">
        <f>TRUNC(+D149*3.3058,-1)</f>
        <v>16590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TRUNC(654+6175+96,-1)</f>
        <v>6920</v>
      </c>
      <c r="E152" s="63">
        <f>TRUNC(+D152*3.3058,-1)</f>
        <v>22870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TRUNC(303,-1)</f>
        <v>300</v>
      </c>
      <c r="E153" s="64">
        <f>TRUNC(+D153*3.3058,-1)</f>
        <v>990</v>
      </c>
    </row>
    <row r="154" spans="1:7" x14ac:dyDescent="0.3">
      <c r="A154" s="2">
        <v>6</v>
      </c>
      <c r="C154" s="27" t="s">
        <v>112</v>
      </c>
      <c r="D154" s="39">
        <f>SUM(D149:D153)</f>
        <v>12240</v>
      </c>
      <c r="E154" s="39">
        <f>SUM(E149:E153)</f>
        <v>40450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TRUNC(5837,-1)</f>
        <v>5830</v>
      </c>
      <c r="E157" s="62">
        <f>TRUNC(+D157*3.3058,-1)</f>
        <v>19270</v>
      </c>
    </row>
    <row r="158" spans="1:7" x14ac:dyDescent="0.3">
      <c r="A158" s="2">
        <v>2</v>
      </c>
      <c r="C158" s="38" t="s">
        <v>52</v>
      </c>
      <c r="D158" s="42">
        <f>TRUNC(12023,-1)</f>
        <v>12020</v>
      </c>
      <c r="E158" s="63">
        <f>TRUNC(+D158*3.3058,-1)</f>
        <v>39730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TRUNC(19421,-1)</f>
        <v>19420</v>
      </c>
      <c r="E159" s="63">
        <f>TRUNC(+D159*3.3058,-1)</f>
        <v>64190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f>TRUNC(4979,-1)</f>
        <v>4970</v>
      </c>
      <c r="E160" s="64">
        <f>TRUNC(+D160*3.3058,-1)</f>
        <v>16420</v>
      </c>
    </row>
    <row r="161" spans="1:5" x14ac:dyDescent="0.3">
      <c r="A161" s="2">
        <v>5</v>
      </c>
      <c r="C161" s="27" t="s">
        <v>112</v>
      </c>
      <c r="D161" s="39">
        <f>SUM(D157:D160)</f>
        <v>42240</v>
      </c>
      <c r="E161" s="39">
        <f>SUM(E157:E160)</f>
        <v>139610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2020-12-08T04:23:15Z</dcterms:modified>
</cp:coreProperties>
</file>