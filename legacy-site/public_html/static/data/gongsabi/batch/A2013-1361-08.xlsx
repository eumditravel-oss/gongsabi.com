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4" i="4" l="1"/>
  <c r="D132" i="4"/>
  <c r="D100" i="4"/>
  <c r="D118" i="4"/>
  <c r="E160" i="4" l="1"/>
  <c r="E153" i="4"/>
  <c r="E151" i="4"/>
  <c r="E150" i="4"/>
  <c r="E149" i="4"/>
  <c r="E145" i="4"/>
  <c r="E139" i="4"/>
  <c r="E136" i="4"/>
  <c r="E132" i="4"/>
  <c r="E130" i="4"/>
  <c r="E129" i="4"/>
  <c r="E127" i="4"/>
  <c r="E124" i="4"/>
  <c r="E118" i="4"/>
  <c r="E117" i="4"/>
  <c r="E116" i="4"/>
  <c r="E114" i="4"/>
  <c r="E113" i="4"/>
  <c r="E112" i="4"/>
  <c r="E111" i="4"/>
  <c r="E110" i="4"/>
  <c r="E109" i="4"/>
  <c r="E108" i="4"/>
  <c r="E107" i="4"/>
  <c r="E106" i="4"/>
  <c r="E103" i="4"/>
  <c r="E101" i="4"/>
  <c r="E100" i="4"/>
  <c r="E92" i="4"/>
  <c r="E91" i="4"/>
  <c r="E89" i="4"/>
  <c r="E87" i="4"/>
  <c r="E83" i="4"/>
  <c r="E82" i="4"/>
  <c r="E81" i="4"/>
  <c r="E80" i="4"/>
  <c r="E79" i="4"/>
  <c r="E77" i="4"/>
  <c r="E74" i="4"/>
  <c r="E73" i="4"/>
  <c r="E72" i="4"/>
  <c r="E65" i="4"/>
  <c r="E64" i="4"/>
  <c r="E63" i="4"/>
  <c r="E57" i="4"/>
  <c r="E56" i="4"/>
  <c r="E47" i="4"/>
  <c r="E66" i="4" l="1"/>
  <c r="E154" i="4"/>
  <c r="D131" i="4"/>
  <c r="E131" i="4" s="1"/>
  <c r="D128" i="4"/>
  <c r="E128" i="4" s="1"/>
  <c r="D126" i="4"/>
  <c r="E126" i="4" s="1"/>
  <c r="D125" i="4"/>
  <c r="E125" i="4" s="1"/>
  <c r="D123" i="4"/>
  <c r="E123" i="4" s="1"/>
  <c r="D122" i="4"/>
  <c r="E122" i="4" s="1"/>
  <c r="D137" i="4"/>
  <c r="E137" i="4" s="1"/>
  <c r="E146" i="4" s="1"/>
  <c r="D144" i="4"/>
  <c r="E144" i="4" s="1"/>
  <c r="D143" i="4"/>
  <c r="E143" i="4" s="1"/>
  <c r="D105" i="4"/>
  <c r="E105" i="4" s="1"/>
  <c r="D104" i="4"/>
  <c r="E104" i="4" s="1"/>
  <c r="D102" i="4"/>
  <c r="E102" i="4" s="1"/>
  <c r="E119" i="4" s="1"/>
  <c r="D99" i="4"/>
  <c r="E99" i="4" s="1"/>
  <c r="D98" i="4"/>
  <c r="E98" i="4" s="1"/>
  <c r="D115" i="4"/>
  <c r="E115" i="4" s="1"/>
  <c r="D93" i="4"/>
  <c r="E93" i="4" s="1"/>
  <c r="D142" i="4"/>
  <c r="E142" i="4" s="1"/>
  <c r="D141" i="4"/>
  <c r="E141" i="4" s="1"/>
  <c r="D140" i="4"/>
  <c r="E140" i="4" s="1"/>
  <c r="D138" i="4"/>
  <c r="E138" i="4" s="1"/>
  <c r="D94" i="4"/>
  <c r="E94" i="4" s="1"/>
  <c r="D90" i="4"/>
  <c r="E90" i="4" s="1"/>
  <c r="D88" i="4"/>
  <c r="E88" i="4" s="1"/>
  <c r="D86" i="4"/>
  <c r="E86" i="4" s="1"/>
  <c r="D85" i="4"/>
  <c r="E85" i="4" s="1"/>
  <c r="D84" i="4"/>
  <c r="E84" i="4" s="1"/>
  <c r="D78" i="4"/>
  <c r="E78" i="4" s="1"/>
  <c r="D76" i="4"/>
  <c r="E76" i="4" s="1"/>
  <c r="D75" i="4"/>
  <c r="E75" i="4" s="1"/>
  <c r="D71" i="4"/>
  <c r="E71" i="4" s="1"/>
  <c r="D70" i="4"/>
  <c r="E70" i="4" s="1"/>
  <c r="D69" i="4"/>
  <c r="E69" i="4" s="1"/>
  <c r="E95" i="4" s="1"/>
  <c r="D59" i="4"/>
  <c r="E59" i="4" s="1"/>
  <c r="D159" i="4"/>
  <c r="E159" i="4" s="1"/>
  <c r="D158" i="4"/>
  <c r="E158" i="4" s="1"/>
  <c r="D157" i="4"/>
  <c r="E157" i="4" s="1"/>
  <c r="E161" i="4" s="1"/>
  <c r="D152" i="4"/>
  <c r="E152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E133" i="4" l="1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D119" i="4"/>
  <c r="D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E28" i="4"/>
  <c r="D33" i="4"/>
  <c r="E33" i="4" l="1"/>
  <c r="D34" i="4"/>
  <c r="E34" i="4" l="1"/>
</calcChain>
</file>

<file path=xl/sharedStrings.xml><?xml version="1.0" encoding="utf-8"?>
<sst xmlns="http://schemas.openxmlformats.org/spreadsheetml/2006/main" count="397" uniqueCount="272">
  <si>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</si>
  <si>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</si>
  <si>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</si>
  <si>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</si>
  <si>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</si>
  <si>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</si>
  <si>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</si>
  <si>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</si>
  <si>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</si>
  <si>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</si>
  <si>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</si>
  <si>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</si>
  <si>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</si>
  <si>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</si>
  <si>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</si>
  <si>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</si>
  <si>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</si>
  <si>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</si>
  <si>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</si>
  <si>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</si>
  <si>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</si>
  <si>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</si>
  <si>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</si>
  <si>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</si>
  <si>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</si>
  <si>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</si>
  <si>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</si>
  <si>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</si>
  <si>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</si>
  <si>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</si>
  <si>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</si>
  <si>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</si>
  <si>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</si>
  <si>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</si>
  <si>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</si>
  <si>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</si>
  <si>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</si>
  <si>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</si>
  <si>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</si>
  <si>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</si>
  <si>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</si>
  <si>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</si>
  <si>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</si>
  <si>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</si>
  <si>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</si>
  <si>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</si>
  <si>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</si>
  <si>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</si>
  <si>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</si>
  <si>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</si>
  <si>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</si>
  <si>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</si>
  <si>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</si>
  <si>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</si>
  <si>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</si>
  <si>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</si>
  <si>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</si>
  <si>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</si>
  <si>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</si>
  <si>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</si>
  <si>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</si>
  <si>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</si>
  <si>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</si>
  <si>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</si>
  <si>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</si>
  <si>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</si>
  <si>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</si>
  <si>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</si>
  <si>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</si>
  <si>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</si>
  <si>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</si>
  <si>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</si>
  <si>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</si>
  <si>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</si>
  <si>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</si>
  <si>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</si>
  <si>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</si>
  <si>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</si>
  <si>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</si>
  <si>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</si>
  <si>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</si>
  <si>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</si>
  <si>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</si>
  <si>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</si>
  <si>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</si>
  <si>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</si>
  <si>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</si>
  <si>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</si>
  <si>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</si>
  <si>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</si>
  <si>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</si>
  <si>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</si>
  <si>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</si>
  <si>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</si>
  <si>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</si>
  <si>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</si>
  <si>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</si>
  <si>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</si>
  <si>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</si>
  <si>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</si>
  <si>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</si>
  <si>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</si>
  <si>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</si>
  <si>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</si>
  <si>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</si>
  <si>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</si>
  <si>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</si>
  <si>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</si>
  <si>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</si>
  <si>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</si>
  <si>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</si>
  <si>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</si>
  <si>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</si>
  <si>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</si>
  <si>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</si>
  <si>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</si>
  <si>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</si>
  <si>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</si>
  <si>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</si>
  <si>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</si>
  <si>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</si>
  <si>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</si>
  <si>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</si>
  <si>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</si>
  <si>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</si>
  <si>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</si>
  <si>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</si>
  <si>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</si>
  <si>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</si>
  <si>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</si>
  <si>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</si>
  <si>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</si>
  <si>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</si>
  <si>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</si>
  <si>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</si>
  <si>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</si>
  <si>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</si>
  <si>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</si>
  <si>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</si>
  <si>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</si>
  <si>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</si>
  <si>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</si>
  <si>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</si>
  <si>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</si>
  <si>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</si>
  <si>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</si>
  <si>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</si>
  <si>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</si>
  <si>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</si>
  <si>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</si>
  <si>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</si>
  <si>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</si>
  <si>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</si>
  <si>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</si>
  <si>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</si>
  <si>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</si>
  <si>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</si>
  <si>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</si>
  <si>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</si>
  <si>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</si>
  <si>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</si>
  <si>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</si>
  <si>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</si>
  <si>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</si>
  <si>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</si>
  <si>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</si>
  <si>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</si>
  <si>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</si>
  <si>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</si>
  <si>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</si>
  <si>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</si>
  <si>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</si>
  <si>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</si>
  <si>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</si>
  <si>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</si>
  <si>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</si>
  <si>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</si>
  <si>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</si>
  <si>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</si>
  <si>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</si>
  <si>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</si>
  <si>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</si>
  <si>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</si>
  <si>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</si>
  <si>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</si>
  <si>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</si>
  <si>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</si>
  <si>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</si>
  <si>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</si>
  <si>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</si>
  <si>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</si>
  <si>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</si>
  <si>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</si>
  <si>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</si>
  <si>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</si>
  <si>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</si>
  <si>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</si>
  <si>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</si>
  <si>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</si>
  <si>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</si>
  <si>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</si>
  <si>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</si>
  <si>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</si>
  <si>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</si>
  <si>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</si>
  <si>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</si>
  <si>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</si>
  <si>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</si>
  <si>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</si>
  <si>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</si>
  <si>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</si>
  <si>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</si>
  <si>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</si>
  <si>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</si>
  <si>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</si>
  <si>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</si>
  <si>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</si>
  <si>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</si>
  <si>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</si>
  <si>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</si>
  <si>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</si>
  <si>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</si>
  <si>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</si>
  <si>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</si>
  <si>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</si>
  <si>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</si>
  <si>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</si>
  <si>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</si>
  <si>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</si>
  <si>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</si>
  <si>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</si>
  <si>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</si>
  <si>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</si>
  <si>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</si>
  <si>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</si>
  <si>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</si>
  <si>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</si>
  <si>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</si>
  <si>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</si>
  <si>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</si>
  <si>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</si>
  <si>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</si>
  <si>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</si>
  <si>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</si>
  <si>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</si>
  <si>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</si>
  <si>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</si>
  <si>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</si>
  <si>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00청사 신축공사</t>
    <phoneticPr fontId="2" type="noConversion"/>
  </si>
  <si>
    <t>업무</t>
  </si>
  <si>
    <t>서울</t>
  </si>
  <si>
    <t>운송설비공사,기타공사,방진공사,골재비및운반비,부속동(경비실 등)공사,품질시험비(PS)</t>
    <phoneticPr fontId="2" type="noConversion"/>
  </si>
  <si>
    <t>부대토목공사,말뚝기초공사,옥외코어흙막이공사</t>
    <phoneticPr fontId="2" type="noConversion"/>
  </si>
  <si>
    <t>포장공사,식재기반공사,조경부대공사,수경및관수설비공사</t>
    <phoneticPr fontId="2" type="noConversion"/>
  </si>
  <si>
    <t>방진설치공사</t>
    <phoneticPr fontId="2" type="noConversion"/>
  </si>
  <si>
    <t>전기바닥난방공사</t>
    <phoneticPr fontId="2" type="noConversion"/>
  </si>
  <si>
    <t>공조배관공사,위생배관공사,우수처리시설설치공사,주방카세트시스템설치공사,VAV설치공사,환기유니트설치공사</t>
    <phoneticPr fontId="2" type="noConversion"/>
  </si>
  <si>
    <t>기계 소화가스</t>
    <phoneticPr fontId="2" type="noConversion"/>
  </si>
  <si>
    <t>기계 소화장비</t>
    <phoneticPr fontId="2" type="noConversion"/>
  </si>
  <si>
    <t>기계 스프링쿨러</t>
  </si>
  <si>
    <t>기계 옥내소화배관</t>
  </si>
  <si>
    <t>기계 옥외소화배관공사,기계 펌프실배관공사,기계 제연덕트설치공사,전기 무선통신설비공사</t>
    <phoneticPr fontId="2" type="noConversion"/>
  </si>
  <si>
    <t>전기 유도등</t>
    <phoneticPr fontId="2" type="noConversion"/>
  </si>
  <si>
    <t>전기 자동화재탐지</t>
    <phoneticPr fontId="2" type="noConversion"/>
  </si>
  <si>
    <t>옥외전기공사,전기가설사무소</t>
    <phoneticPr fontId="2" type="noConversion"/>
  </si>
  <si>
    <t>전등설비공사,인테리어전등설비공사</t>
    <phoneticPr fontId="2" type="noConversion"/>
  </si>
  <si>
    <t>통신설비공사,방범설비공사,CCTV설비공사,비상호출설비공사,통신가설사무소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</si>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</sst>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45141</v>
      </c>
      <c r="D7" s="36">
        <f>+C7/3.3058</f>
        <v>13655.091052090265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21970</v>
      </c>
      <c r="E24" s="58">
        <f t="shared" ref="E24:E33" si="0">TRUNC(+D24*3.3058,-1)</f>
        <v>72620</v>
      </c>
    </row>
    <row r="25" spans="1:5" x14ac:dyDescent="0.3">
      <c r="B25" s="2">
        <v>2</v>
      </c>
      <c r="C25" s="35" t="s">
        <v>111</v>
      </c>
      <c r="D25" s="45">
        <f>+D60</f>
        <v>869680</v>
      </c>
      <c r="E25" s="59">
        <f t="shared" si="0"/>
        <v>2874980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362090</v>
      </c>
      <c r="E27" s="59">
        <f t="shared" si="0"/>
        <v>1196990</v>
      </c>
    </row>
    <row r="28" spans="1:5" x14ac:dyDescent="0.3">
      <c r="B28" s="2">
        <v>5</v>
      </c>
      <c r="C28" s="35" t="s">
        <v>97</v>
      </c>
      <c r="D28" s="45">
        <f>+D119</f>
        <v>86710</v>
      </c>
      <c r="E28" s="59">
        <f t="shared" si="0"/>
        <v>286640</v>
      </c>
    </row>
    <row r="29" spans="1:5" x14ac:dyDescent="0.3">
      <c r="B29" s="2">
        <v>6</v>
      </c>
      <c r="C29" s="35" t="s">
        <v>98</v>
      </c>
      <c r="D29" s="45">
        <f>+D133</f>
        <v>80070</v>
      </c>
      <c r="E29" s="59">
        <f t="shared" si="0"/>
        <v>264690</v>
      </c>
    </row>
    <row r="30" spans="1:5" x14ac:dyDescent="0.3">
      <c r="B30" s="2">
        <v>7</v>
      </c>
      <c r="C30" s="35" t="s">
        <v>99</v>
      </c>
      <c r="D30" s="45">
        <f>+D146</f>
        <v>59170</v>
      </c>
      <c r="E30" s="59">
        <f t="shared" si="0"/>
        <v>195600</v>
      </c>
    </row>
    <row r="31" spans="1:5" x14ac:dyDescent="0.3">
      <c r="B31" s="2">
        <v>8</v>
      </c>
      <c r="C31" s="35" t="s">
        <v>100</v>
      </c>
      <c r="D31" s="45">
        <f>+D154</f>
        <v>24260</v>
      </c>
      <c r="E31" s="59">
        <f t="shared" si="0"/>
        <v>80190</v>
      </c>
    </row>
    <row r="32" spans="1:5" x14ac:dyDescent="0.3">
      <c r="B32" s="2">
        <v>9</v>
      </c>
      <c r="C32" s="35" t="s">
        <v>101</v>
      </c>
      <c r="D32" s="45">
        <f>+D161</f>
        <v>51860</v>
      </c>
      <c r="E32" s="59">
        <f t="shared" si="0"/>
        <v>171430</v>
      </c>
    </row>
    <row r="33" spans="1:7" x14ac:dyDescent="0.3">
      <c r="B33" s="2">
        <v>10</v>
      </c>
      <c r="C33" s="35" t="s">
        <v>154</v>
      </c>
      <c r="D33" s="53">
        <f>TRUNC(SUM(D24:D32)*0.275,-1)</f>
        <v>427840</v>
      </c>
      <c r="E33" s="60">
        <f t="shared" si="0"/>
        <v>1414350</v>
      </c>
    </row>
    <row r="34" spans="1:7" x14ac:dyDescent="0.3">
      <c r="C34" s="35" t="s">
        <v>112</v>
      </c>
      <c r="D34" s="44">
        <f>SUM(D24:D33)</f>
        <v>1983650</v>
      </c>
      <c r="E34" s="44">
        <f>SUM(E24:E33)</f>
        <v>6557490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TRUNC(21976,-1)</f>
        <v>21970</v>
      </c>
      <c r="E37" s="61">
        <f>TRUNC(+D37*3.3058,-1)</f>
        <v>72620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267</v>
      </c>
      <c r="E39" s="67" t="s">
        <v>268</v>
      </c>
      <c r="G39" s="68"/>
    </row>
    <row r="40" spans="1:7" x14ac:dyDescent="0.3">
      <c r="A40" s="2">
        <v>1</v>
      </c>
      <c r="C40" s="38" t="s">
        <v>15</v>
      </c>
      <c r="D40" s="40">
        <f>TRUNC(23646,-1)</f>
        <v>23640</v>
      </c>
      <c r="E40" s="62">
        <f t="shared" ref="E40:E59" si="1">TRUNC(+D40*3.3058,-1)</f>
        <v>78140</v>
      </c>
    </row>
    <row r="41" spans="1:7" x14ac:dyDescent="0.3">
      <c r="A41" s="2">
        <v>2</v>
      </c>
      <c r="C41" s="38" t="s">
        <v>13</v>
      </c>
      <c r="D41" s="42">
        <f>TRUNC(86042,-1)</f>
        <v>86040</v>
      </c>
      <c r="E41" s="63">
        <f t="shared" si="1"/>
        <v>284430</v>
      </c>
    </row>
    <row r="42" spans="1:7" x14ac:dyDescent="0.3">
      <c r="A42" s="2">
        <v>3</v>
      </c>
      <c r="C42" s="38" t="s">
        <v>14</v>
      </c>
      <c r="D42" s="42">
        <f>TRUNC(39259,-1)</f>
        <v>39250</v>
      </c>
      <c r="E42" s="63">
        <f t="shared" si="1"/>
        <v>129750</v>
      </c>
    </row>
    <row r="43" spans="1:7" x14ac:dyDescent="0.3">
      <c r="A43" s="2">
        <v>4</v>
      </c>
      <c r="C43" s="38" t="s">
        <v>16</v>
      </c>
      <c r="D43" s="42">
        <f>TRUNC(13287,-1)</f>
        <v>13280</v>
      </c>
      <c r="E43" s="63">
        <f t="shared" si="1"/>
        <v>43900</v>
      </c>
    </row>
    <row r="44" spans="1:7" x14ac:dyDescent="0.3">
      <c r="A44" s="2">
        <v>5</v>
      </c>
      <c r="C44" s="38" t="s">
        <v>17</v>
      </c>
      <c r="D44" s="42">
        <f>TRUNC(12032,-1)</f>
        <v>12030</v>
      </c>
      <c r="E44" s="63">
        <f t="shared" si="1"/>
        <v>39760</v>
      </c>
    </row>
    <row r="45" spans="1:7" x14ac:dyDescent="0.3">
      <c r="A45" s="2">
        <v>6</v>
      </c>
      <c r="C45" s="38" t="s">
        <v>18</v>
      </c>
      <c r="D45" s="42">
        <f>TRUNC(3411,-1)</f>
        <v>3410</v>
      </c>
      <c r="E45" s="63">
        <f t="shared" si="1"/>
        <v>11270</v>
      </c>
    </row>
    <row r="46" spans="1:7" x14ac:dyDescent="0.3">
      <c r="A46" s="2">
        <v>7</v>
      </c>
      <c r="C46" s="38" t="s">
        <v>19</v>
      </c>
      <c r="D46" s="42">
        <f>TRUNC(75429,-1)</f>
        <v>75420</v>
      </c>
      <c r="E46" s="63">
        <f t="shared" si="1"/>
        <v>249320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TRUNC(47200,-1)</f>
        <v>47200</v>
      </c>
      <c r="E48" s="63">
        <f t="shared" si="1"/>
        <v>156030</v>
      </c>
    </row>
    <row r="49" spans="1:7" x14ac:dyDescent="0.3">
      <c r="A49" s="2">
        <v>10</v>
      </c>
      <c r="C49" s="38" t="s">
        <v>22</v>
      </c>
      <c r="D49" s="42">
        <f>TRUNC(31487,-1)</f>
        <v>31480</v>
      </c>
      <c r="E49" s="63">
        <f t="shared" si="1"/>
        <v>104060</v>
      </c>
    </row>
    <row r="50" spans="1:7" x14ac:dyDescent="0.3">
      <c r="A50" s="2">
        <v>11</v>
      </c>
      <c r="C50" s="38" t="s">
        <v>155</v>
      </c>
      <c r="D50" s="42">
        <f>TRUNC(26210,-1)</f>
        <v>26210</v>
      </c>
      <c r="E50" s="63">
        <f t="shared" si="1"/>
        <v>86640</v>
      </c>
    </row>
    <row r="51" spans="1:7" x14ac:dyDescent="0.3">
      <c r="A51" s="2">
        <v>12</v>
      </c>
      <c r="C51" s="38" t="s">
        <v>23</v>
      </c>
      <c r="D51" s="42">
        <f>TRUNC(26254,-1)</f>
        <v>26250</v>
      </c>
      <c r="E51" s="63">
        <f t="shared" si="1"/>
        <v>86770</v>
      </c>
    </row>
    <row r="52" spans="1:7" x14ac:dyDescent="0.3">
      <c r="A52" s="2">
        <v>13</v>
      </c>
      <c r="C52" s="38" t="s">
        <v>24</v>
      </c>
      <c r="D52" s="42">
        <f>TRUNC(11072,-1)</f>
        <v>11070</v>
      </c>
      <c r="E52" s="63">
        <f t="shared" si="1"/>
        <v>36590</v>
      </c>
    </row>
    <row r="53" spans="1:7" x14ac:dyDescent="0.3">
      <c r="A53" s="2">
        <v>14</v>
      </c>
      <c r="C53" s="38" t="s">
        <v>25</v>
      </c>
      <c r="D53" s="42">
        <f>TRUNC(70732,-1)</f>
        <v>70730</v>
      </c>
      <c r="E53" s="63">
        <f t="shared" si="1"/>
        <v>233810</v>
      </c>
    </row>
    <row r="54" spans="1:7" x14ac:dyDescent="0.3">
      <c r="A54" s="2">
        <v>15</v>
      </c>
      <c r="C54" s="38" t="s">
        <v>147</v>
      </c>
      <c r="D54" s="42">
        <f>TRUNC(103682,-1)</f>
        <v>103680</v>
      </c>
      <c r="E54" s="63">
        <f t="shared" si="1"/>
        <v>342740</v>
      </c>
    </row>
    <row r="55" spans="1:7" x14ac:dyDescent="0.3">
      <c r="A55" s="2">
        <v>16</v>
      </c>
      <c r="C55" s="38" t="s">
        <v>144</v>
      </c>
      <c r="D55" s="42">
        <f>TRUNC(327,-1)</f>
        <v>320</v>
      </c>
      <c r="E55" s="63">
        <f t="shared" si="1"/>
        <v>1050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TRUNC(29330+3225+964+2349+5996+3319,-1)</f>
        <v>45180</v>
      </c>
      <c r="E58" s="63">
        <f t="shared" si="1"/>
        <v>149350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TRUNC(254492,-1)</f>
        <v>254490</v>
      </c>
      <c r="E59" s="64">
        <f t="shared" si="1"/>
        <v>841290</v>
      </c>
    </row>
    <row r="60" spans="1:7" x14ac:dyDescent="0.3">
      <c r="A60" s="2">
        <v>21</v>
      </c>
      <c r="C60" s="27" t="s">
        <v>112</v>
      </c>
      <c r="D60" s="39">
        <f>SUM(D40:D59)</f>
        <v>869680</v>
      </c>
      <c r="E60" s="39">
        <f>SUM(E40:E59)</f>
        <v>2874900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TRUNC(24908,-1)</f>
        <v>24900</v>
      </c>
      <c r="E69" s="62">
        <f t="shared" ref="E69:E94" si="2">TRUNC(+D69*3.3058,-1)</f>
        <v>82310</v>
      </c>
    </row>
    <row r="70" spans="1:7" ht="16.5" customHeight="1" x14ac:dyDescent="0.3">
      <c r="A70" s="2">
        <v>2</v>
      </c>
      <c r="C70" s="38" t="s">
        <v>31</v>
      </c>
      <c r="D70" s="42">
        <f>TRUNC(345,-1)</f>
        <v>340</v>
      </c>
      <c r="E70" s="63">
        <f t="shared" si="2"/>
        <v>1120</v>
      </c>
    </row>
    <row r="71" spans="1:7" x14ac:dyDescent="0.3">
      <c r="A71" s="2">
        <v>3</v>
      </c>
      <c r="C71" s="38" t="s">
        <v>32</v>
      </c>
      <c r="D71" s="42">
        <f>TRUNC(23736,-1)</f>
        <v>23730</v>
      </c>
      <c r="E71" s="63">
        <f t="shared" si="2"/>
        <v>78440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TRUNC(1160,-1)</f>
        <v>1160</v>
      </c>
      <c r="E75" s="63">
        <f t="shared" si="2"/>
        <v>3830</v>
      </c>
      <c r="F75" s="2" t="s">
        <v>254</v>
      </c>
    </row>
    <row r="76" spans="1:7" x14ac:dyDescent="0.3">
      <c r="A76" s="2">
        <v>8</v>
      </c>
      <c r="C76" s="38" t="s">
        <v>119</v>
      </c>
      <c r="D76" s="42">
        <f>TRUNC(38745,-1)</f>
        <v>38740</v>
      </c>
      <c r="E76" s="63">
        <f t="shared" si="2"/>
        <v>128060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TRUNC(73021,-1)</f>
        <v>73020</v>
      </c>
      <c r="E78" s="63">
        <f t="shared" si="2"/>
        <v>241380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TRUNC(67,-1)</f>
        <v>60</v>
      </c>
      <c r="E84" s="63">
        <f t="shared" si="2"/>
        <v>190</v>
      </c>
      <c r="F84" s="2" t="s">
        <v>255</v>
      </c>
    </row>
    <row r="85" spans="1:7" x14ac:dyDescent="0.3">
      <c r="A85" s="2">
        <v>17</v>
      </c>
      <c r="C85" s="38" t="s">
        <v>123</v>
      </c>
      <c r="D85" s="42">
        <f>TRUNC(1254,-1)</f>
        <v>1250</v>
      </c>
      <c r="E85" s="63">
        <f t="shared" si="2"/>
        <v>4130</v>
      </c>
    </row>
    <row r="86" spans="1:7" x14ac:dyDescent="0.3">
      <c r="A86" s="2">
        <v>18</v>
      </c>
      <c r="C86" s="38" t="s">
        <v>141</v>
      </c>
      <c r="D86" s="42">
        <f>TRUNC(3326,-1)</f>
        <v>3320</v>
      </c>
      <c r="E86" s="63">
        <f t="shared" si="2"/>
        <v>10970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f>TRUNC(3528,-1)</f>
        <v>3520</v>
      </c>
      <c r="E88" s="63">
        <f t="shared" si="2"/>
        <v>11630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TRUNC(434,-1)</f>
        <v>430</v>
      </c>
      <c r="E90" s="63">
        <f t="shared" si="2"/>
        <v>1420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TRUNC(107568,-1)</f>
        <v>107560</v>
      </c>
      <c r="E93" s="63">
        <f t="shared" si="2"/>
        <v>355570</v>
      </c>
    </row>
    <row r="94" spans="1:7" ht="17.25" thickBot="1" x14ac:dyDescent="0.35">
      <c r="A94" s="2">
        <v>26</v>
      </c>
      <c r="C94" s="38" t="s">
        <v>47</v>
      </c>
      <c r="D94" s="43">
        <f>TRUNC(38556+22745+1277+2314+18990+183,-1)</f>
        <v>84060</v>
      </c>
      <c r="E94" s="64">
        <f t="shared" si="2"/>
        <v>277880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362090</v>
      </c>
      <c r="E95" s="39">
        <f>SUM(E69:E94)</f>
        <v>1196930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TRUNC(10077,-1)</f>
        <v>10070</v>
      </c>
      <c r="E98" s="62">
        <f t="shared" ref="E98:E118" si="3">TRUNC(+D98*3.3058,-1)</f>
        <v>33280</v>
      </c>
    </row>
    <row r="99" spans="1:7" x14ac:dyDescent="0.3">
      <c r="A99" s="2">
        <v>2</v>
      </c>
      <c r="C99" s="38" t="s">
        <v>40</v>
      </c>
      <c r="D99" s="42">
        <f>TRUNC(5464,-1)</f>
        <v>5460</v>
      </c>
      <c r="E99" s="63">
        <f t="shared" si="3"/>
        <v>18040</v>
      </c>
    </row>
    <row r="100" spans="1:7" x14ac:dyDescent="0.3">
      <c r="A100" s="2">
        <v>3</v>
      </c>
      <c r="C100" s="38" t="s">
        <v>41</v>
      </c>
      <c r="D100" s="42">
        <f>TRUNC(29576+9363,-1)</f>
        <v>38930</v>
      </c>
      <c r="E100" s="63">
        <f t="shared" si="3"/>
        <v>128690</v>
      </c>
      <c r="F100" s="2" t="s">
        <v>265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TRUNC(17275,-1)</f>
        <v>17270</v>
      </c>
      <c r="E102" s="63">
        <f t="shared" si="3"/>
        <v>57090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TRUNC(1281,-1)</f>
        <v>1280</v>
      </c>
      <c r="E104" s="63">
        <f t="shared" si="3"/>
        <v>4230</v>
      </c>
    </row>
    <row r="105" spans="1:7" x14ac:dyDescent="0.3">
      <c r="A105" s="2">
        <v>8</v>
      </c>
      <c r="C105" s="38" t="s">
        <v>46</v>
      </c>
      <c r="D105" s="42">
        <f>TRUNC(4057,-1)</f>
        <v>4050</v>
      </c>
      <c r="E105" s="63">
        <f t="shared" si="3"/>
        <v>13380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TRUNC(4897,-1)</f>
        <v>4890</v>
      </c>
      <c r="E115" s="63">
        <f t="shared" si="3"/>
        <v>16160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TRUNC(4535+230,-1)</f>
        <v>4760</v>
      </c>
      <c r="E118" s="64">
        <f t="shared" si="3"/>
        <v>15730</v>
      </c>
      <c r="F118" s="2" t="s">
        <v>264</v>
      </c>
    </row>
    <row r="119" spans="1:7" x14ac:dyDescent="0.3">
      <c r="A119" s="2">
        <v>22</v>
      </c>
      <c r="C119" s="27" t="s">
        <v>112</v>
      </c>
      <c r="D119" s="39">
        <f>SUM(D98:D118)</f>
        <v>86710</v>
      </c>
      <c r="E119" s="39">
        <f>SUM(E98:E118)</f>
        <v>286600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TRUNC(2001,-1)</f>
        <v>2000</v>
      </c>
      <c r="E122" s="62">
        <f t="shared" ref="E122:E132" si="4">TRUNC(+D122*3.3058,-1)</f>
        <v>6610</v>
      </c>
    </row>
    <row r="123" spans="1:7" x14ac:dyDescent="0.3">
      <c r="A123" s="2">
        <v>2</v>
      </c>
      <c r="C123" s="38" t="s">
        <v>124</v>
      </c>
      <c r="D123" s="42">
        <f>TRUNC(2869,-1)</f>
        <v>2860</v>
      </c>
      <c r="E123" s="63">
        <f t="shared" si="4"/>
        <v>9450</v>
      </c>
    </row>
    <row r="124" spans="1:7" x14ac:dyDescent="0.3">
      <c r="A124" s="2">
        <v>3</v>
      </c>
      <c r="C124" s="38" t="s">
        <v>151</v>
      </c>
      <c r="D124" s="42">
        <f>TRUNC(1896,-1)</f>
        <v>1890</v>
      </c>
      <c r="E124" s="63">
        <f t="shared" si="4"/>
        <v>6240</v>
      </c>
    </row>
    <row r="125" spans="1:7" x14ac:dyDescent="0.3">
      <c r="A125" s="2">
        <v>4</v>
      </c>
      <c r="C125" s="38" t="s">
        <v>138</v>
      </c>
      <c r="D125" s="42">
        <f>TRUNC(5000,-1)</f>
        <v>5000</v>
      </c>
      <c r="E125" s="63">
        <f t="shared" si="4"/>
        <v>16520</v>
      </c>
    </row>
    <row r="126" spans="1:7" x14ac:dyDescent="0.3">
      <c r="A126" s="2">
        <v>5</v>
      </c>
      <c r="C126" s="38" t="s">
        <v>53</v>
      </c>
      <c r="D126" s="42">
        <f>TRUNC(2930,-1)</f>
        <v>2930</v>
      </c>
      <c r="E126" s="63">
        <f t="shared" si="4"/>
        <v>9680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TRUNC(3018,-1)</f>
        <v>3010</v>
      </c>
      <c r="E128" s="63">
        <f t="shared" si="4"/>
        <v>9950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TRUNC(34034,-1)</f>
        <v>34030</v>
      </c>
      <c r="E131" s="63">
        <f t="shared" si="4"/>
        <v>112490</v>
      </c>
    </row>
    <row r="132" spans="1:7" ht="18" thickBot="1" x14ac:dyDescent="0.35">
      <c r="A132" s="2">
        <v>11</v>
      </c>
      <c r="C132" s="38" t="s">
        <v>47</v>
      </c>
      <c r="D132" s="43">
        <f>TRUNC(11854+11227+1414+3696+166,-1)</f>
        <v>28350</v>
      </c>
      <c r="E132" s="64">
        <f t="shared" si="4"/>
        <v>93710</v>
      </c>
      <c r="F132" s="54" t="s">
        <v>266</v>
      </c>
    </row>
    <row r="133" spans="1:7" x14ac:dyDescent="0.3">
      <c r="A133" s="2">
        <v>12</v>
      </c>
      <c r="C133" s="27" t="s">
        <v>112</v>
      </c>
      <c r="D133" s="39">
        <f>SUM(D122:D132)</f>
        <v>80070</v>
      </c>
      <c r="E133" s="39">
        <f>SUM(E122:E132)</f>
        <v>264650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TRUNC(298+410+3012+935,-1)</f>
        <v>4650</v>
      </c>
      <c r="E137" s="63">
        <f t="shared" si="5"/>
        <v>15370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f>TRUNC(6016,-1)</f>
        <v>6010</v>
      </c>
      <c r="E138" s="63">
        <f t="shared" si="5"/>
        <v>19860</v>
      </c>
      <c r="F138" s="2" t="s">
        <v>257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TRUNC(889,-1)</f>
        <v>880</v>
      </c>
      <c r="E140" s="63">
        <f t="shared" si="5"/>
        <v>2900</v>
      </c>
      <c r="F140" s="2" t="s">
        <v>258</v>
      </c>
    </row>
    <row r="141" spans="1:7" x14ac:dyDescent="0.3">
      <c r="A141" s="2">
        <v>6</v>
      </c>
      <c r="C141" s="38" t="s">
        <v>59</v>
      </c>
      <c r="D141" s="42">
        <f>TRUNC(25231,-1)</f>
        <v>25230</v>
      </c>
      <c r="E141" s="63">
        <f t="shared" si="5"/>
        <v>83400</v>
      </c>
      <c r="F141" s="2" t="s">
        <v>259</v>
      </c>
    </row>
    <row r="142" spans="1:7" x14ac:dyDescent="0.3">
      <c r="A142" s="2">
        <v>7</v>
      </c>
      <c r="C142" s="38" t="s">
        <v>58</v>
      </c>
      <c r="D142" s="42">
        <f>TRUNC(4484,-1)</f>
        <v>4480</v>
      </c>
      <c r="E142" s="63">
        <f t="shared" si="5"/>
        <v>14800</v>
      </c>
      <c r="F142" s="2" t="s">
        <v>260</v>
      </c>
    </row>
    <row r="143" spans="1:7" x14ac:dyDescent="0.3">
      <c r="A143" s="2">
        <v>8</v>
      </c>
      <c r="C143" s="38" t="s">
        <v>62</v>
      </c>
      <c r="D143" s="42">
        <f>TRUNC(3741,-1)</f>
        <v>3740</v>
      </c>
      <c r="E143" s="63">
        <f t="shared" si="5"/>
        <v>12360</v>
      </c>
      <c r="F143" s="2" t="s">
        <v>262</v>
      </c>
    </row>
    <row r="144" spans="1:7" x14ac:dyDescent="0.3">
      <c r="A144" s="2">
        <v>9</v>
      </c>
      <c r="C144" s="38" t="s">
        <v>63</v>
      </c>
      <c r="D144" s="42">
        <f>TRUNC(14184,-1)</f>
        <v>14180</v>
      </c>
      <c r="E144" s="63">
        <f t="shared" si="5"/>
        <v>46870</v>
      </c>
      <c r="F144" s="2" t="s">
        <v>263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59170</v>
      </c>
      <c r="E146" s="39">
        <f>SUM(E136:E145)</f>
        <v>195560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TRUNC(13956+8728+1581,-1)</f>
        <v>24260</v>
      </c>
      <c r="E152" s="63">
        <f>TRUNC(+D152*3.3058,-1)</f>
        <v>80190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24260</v>
      </c>
      <c r="E154" s="39">
        <f>SUM(E149:E153)</f>
        <v>80190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TRUNC(16812,-1)</f>
        <v>16810</v>
      </c>
      <c r="E157" s="62">
        <f>TRUNC(+D157*3.3058,-1)</f>
        <v>55570</v>
      </c>
    </row>
    <row r="158" spans="1:7" x14ac:dyDescent="0.3">
      <c r="A158" s="2">
        <v>2</v>
      </c>
      <c r="C158" s="38" t="s">
        <v>52</v>
      </c>
      <c r="D158" s="42">
        <f>TRUNC(20163,-1)</f>
        <v>20160</v>
      </c>
      <c r="E158" s="63">
        <f>TRUNC(+D158*3.3058,-1)</f>
        <v>66640</v>
      </c>
    </row>
    <row r="159" spans="1:7" x14ac:dyDescent="0.3">
      <c r="A159" s="2">
        <v>3</v>
      </c>
      <c r="C159" s="38" t="s">
        <v>47</v>
      </c>
      <c r="D159" s="42">
        <f>TRUNC(7460+4163+2251+1022,-1)</f>
        <v>14890</v>
      </c>
      <c r="E159" s="63">
        <f>TRUNC(+D159*3.3058,-1)</f>
        <v>49220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51860</v>
      </c>
      <c r="E161" s="39">
        <f>SUM(E157:E160)</f>
        <v>171430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2020-12-07T09:35:32Z</dcterms:modified>
</cp:coreProperties>
</file>