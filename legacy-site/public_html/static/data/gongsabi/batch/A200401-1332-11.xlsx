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95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E34" i="4" s="1"/>
  <c r="D30" i="4"/>
  <c r="E30" i="4" s="1"/>
  <c r="D26" i="4"/>
  <c r="E26" i="4" s="1"/>
  <c r="D24" i="4"/>
  <c r="E24" i="4" s="1"/>
  <c r="D7" i="4"/>
  <c r="D34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<sst xmlns="http://schemas.openxmlformats.org/spreadsheetml/2006/main" count="384" uniqueCount="262">
  <si>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</si>
  <si>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</si>
  <si>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</si>
  <si>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</si>
  <si>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</si>
  <si>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</si>
  <si>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</si>
  <si>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</si>
  <si>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</si>
  <si>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</si>
  <si>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</si>
  <si>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</si>
  <si>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</si>
  <si>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</si>
  <si>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</si>
  <si>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</si>
  <si>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</si>
  <si>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</si>
  <si>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</si>
  <si>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</si>
  <si>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</si>
  <si>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</si>
  <si>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</si>
  <si>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</si>
  <si>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</si>
  <si>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</si>
  <si>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</si>
  <si>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</si>
  <si>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</si>
  <si>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</si>
  <si>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</si>
  <si>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</si>
  <si>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</si>
  <si>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</si>
  <si>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</si>
  <si>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</si>
  <si>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</si>
  <si>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</si>
  <si>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</si>
  <si>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</si>
  <si>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</si>
  <si>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</si>
  <si>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</si>
  <si>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</si>
  <si>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</si>
  <si>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</si>
  <si>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</si>
  <si>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</si>
  <si>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</si>
  <si>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</si>
  <si>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</si>
  <si>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</si>
  <si>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</si>
  <si>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</si>
  <si>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</si>
  <si>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</si>
  <si>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</si>
  <si>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</si>
  <si>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</si>
  <si>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</si>
  <si>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</si>
  <si>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</si>
  <si>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</si>
  <si>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</si>
  <si>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</si>
  <si>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</si>
  <si>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</si>
  <si>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</si>
  <si>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</si>
  <si>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</si>
  <si>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</si>
  <si>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</si>
  <si>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</si>
  <si>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</si>
  <si>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</si>
  <si>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</si>
  <si>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</si>
  <si>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</si>
  <si>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</si>
  <si>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</si>
  <si>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</si>
  <si>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</si>
  <si>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</si>
  <si>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</si>
  <si>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</si>
  <si>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</si>
  <si>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</si>
  <si>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</si>
  <si>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</si>
  <si>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</si>
  <si>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</si>
  <si>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</si>
  <si>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</si>
  <si>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</si>
  <si>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</si>
  <si>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</si>
  <si>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</si>
  <si>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</si>
  <si>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</si>
  <si>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</si>
  <si>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</si>
  <si>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</si>
  <si>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</si>
  <si>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</si>
  <si>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</si>
  <si>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</si>
  <si>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</si>
  <si>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</si>
  <si>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</si>
  <si>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</si>
  <si>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</si>
  <si>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</si>
  <si>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</si>
  <si>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</si>
  <si>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</si>
  <si>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</si>
  <si>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</si>
  <si>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</si>
  <si>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</si>
  <si>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</si>
  <si>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</si>
  <si>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</si>
  <si>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</si>
  <si>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</si>
  <si>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</si>
  <si>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</si>
  <si>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</si>
  <si>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</si>
  <si>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</si>
  <si>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</si>
  <si>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</si>
  <si>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</si>
  <si>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</si>
  <si>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</si>
  <si>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</si>
  <si>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</si>
  <si>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</si>
  <si>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</si>
  <si>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</si>
  <si>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</si>
  <si>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</si>
  <si>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</si>
  <si>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</si>
  <si>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</si>
  <si>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</si>
  <si>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</si>
  <si>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</si>
  <si>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</si>
  <si>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</si>
  <si>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</si>
  <si>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</si>
  <si>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</si>
  <si>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</si>
  <si>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</si>
  <si>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</si>
  <si>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</si>
  <si>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</si>
  <si>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</si>
  <si>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</si>
  <si>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</si>
  <si>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</si>
  <si>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</si>
  <si>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</si>
  <si>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</si>
  <si>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</si>
  <si>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</si>
  <si>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</si>
  <si>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</si>
  <si>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</si>
  <si>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</si>
  <si>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</si>
  <si>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</si>
  <si>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</si>
  <si>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</si>
  <si>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</si>
  <si>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</si>
  <si>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</si>
  <si>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</si>
  <si>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</si>
  <si>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</si>
  <si>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</si>
  <si>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</si>
  <si>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</si>
  <si>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</si>
  <si>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</si>
  <si>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</si>
  <si>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</si>
  <si>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</si>
  <si>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</si>
  <si>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</si>
  <si>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</si>
  <si>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</si>
  <si>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</si>
  <si>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</si>
  <si>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</si>
  <si>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</si>
  <si>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</si>
  <si>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</si>
  <si>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</si>
  <si>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</si>
  <si>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</si>
  <si>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</si>
  <si>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</si>
  <si>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</si>
  <si>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</si>
  <si>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</si>
  <si>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</si>
  <si>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</si>
  <si>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</si>
  <si>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</si>
  <si>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</si>
  <si>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</si>
  <si>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</si>
  <si>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</si>
  <si>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</si>
  <si>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</si>
  <si>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</si>
  <si>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</si>
  <si>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</si>
  <si>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</si>
  <si>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</si>
  <si>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</si>
  <si>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</si>
  <si>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</si>
  <si>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</si>
  <si>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</si>
  <si>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</si>
  <si>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</si>
  <si>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</si>
  <si>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</si>
  <si>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</si>
  <si>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</si>
  <si>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</si>
  <si>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</si>
  <si>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</si>
  <si>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</si>
  <si>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</si>
  <si>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</si>
  <si>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</si>
  <si>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</si>
  <si>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</si>
  <si>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</si>
  <si>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</si>
  <si>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</si>
  <si>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</si>
  <si>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</si>
  <si>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</si>
  <si>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</si>
  <si>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원/ m2</t>
    <phoneticPr fontId="2" type="noConversion"/>
  </si>
  <si>
    <t>업무</t>
  </si>
  <si>
    <t>마감공사</t>
    <phoneticPr fontId="2" type="noConversion"/>
  </si>
  <si>
    <t>기타설비</t>
  </si>
  <si>
    <t>전등전열설비</t>
    <phoneticPr fontId="2" type="noConversion"/>
  </si>
  <si>
    <t>경기도 파주시 00 우체국</t>
    <phoneticPr fontId="2" type="noConversion"/>
  </si>
  <si>
    <t>원/ m2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</si>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</sst>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5349</v>
      </c>
      <c r="D7" s="36">
        <f>+C7/3.3058</f>
        <v>1618.0652187065157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677000</v>
      </c>
      <c r="E25" s="59">
        <f t="shared" si="0"/>
        <v>2238020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149140</v>
      </c>
      <c r="E27" s="59">
        <f t="shared" si="0"/>
        <v>493020</v>
      </c>
    </row>
    <row r="28" spans="1:5" x14ac:dyDescent="0.3">
      <c r="B28" s="2">
        <v>5</v>
      </c>
      <c r="C28" s="35" t="s">
        <v>97</v>
      </c>
      <c r="D28" s="45">
        <f>+D119</f>
        <v>115810</v>
      </c>
      <c r="E28" s="59">
        <f t="shared" si="0"/>
        <v>382840</v>
      </c>
    </row>
    <row r="29" spans="1:5" x14ac:dyDescent="0.3">
      <c r="B29" s="2">
        <v>6</v>
      </c>
      <c r="C29" s="35" t="s">
        <v>98</v>
      </c>
      <c r="D29" s="45">
        <f>+D133</f>
        <v>56500</v>
      </c>
      <c r="E29" s="59">
        <f t="shared" si="0"/>
        <v>186770</v>
      </c>
    </row>
    <row r="30" spans="1:5" x14ac:dyDescent="0.3">
      <c r="B30" s="2">
        <v>7</v>
      </c>
      <c r="C30" s="35" t="s">
        <v>99</v>
      </c>
      <c r="D30" s="45">
        <f>+D146</f>
        <v>34180</v>
      </c>
      <c r="E30" s="59">
        <f t="shared" si="0"/>
        <v>112990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355460</v>
      </c>
      <c r="E33" s="60">
        <f t="shared" si="0"/>
        <v>1175070</v>
      </c>
    </row>
    <row r="34" spans="1:7" x14ac:dyDescent="0.3">
      <c r="C34" s="35" t="s">
        <v>112</v>
      </c>
      <c r="D34" s="44">
        <f>SUM(D24:D33)</f>
        <v>1388090</v>
      </c>
      <c r="E34" s="44">
        <f>SUM(E24:E33)</f>
        <v>4588710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35950</v>
      </c>
      <c r="E40" s="62">
        <f t="shared" ref="E40:E59" si="1">TRUNC(+D40*3.3058,-1)</f>
        <v>118840</v>
      </c>
    </row>
    <row r="41" spans="1:7" x14ac:dyDescent="0.3">
      <c r="A41" s="2">
        <v>2</v>
      </c>
      <c r="C41" s="38" t="s">
        <v>13</v>
      </c>
      <c r="D41" s="42">
        <v>264170</v>
      </c>
      <c r="E41" s="63">
        <f t="shared" si="1"/>
        <v>873290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376880</v>
      </c>
      <c r="E58" s="63">
        <f t="shared" si="1"/>
        <v>1245880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677000</v>
      </c>
      <c r="E60" s="39">
        <f>SUM(E40:E59)</f>
        <v>2238010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254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254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79660</v>
      </c>
      <c r="E84" s="63">
        <f>TRUNC(+D84*3.3058,-1)</f>
        <v>263340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820</v>
      </c>
      <c r="E90" s="63">
        <f>TRUNC(+D90*3.3058,-1)</f>
        <v>2710</v>
      </c>
    </row>
    <row r="91" spans="1:7" x14ac:dyDescent="0.3">
      <c r="A91" s="2">
        <v>23</v>
      </c>
      <c r="C91" s="38" t="s">
        <v>37</v>
      </c>
      <c r="D91" s="42">
        <v>14090</v>
      </c>
      <c r="E91" s="63">
        <f>TRUNC(+D91*3.3058,-1)</f>
        <v>46570</v>
      </c>
    </row>
    <row r="92" spans="1:7" x14ac:dyDescent="0.3">
      <c r="A92" s="2">
        <v>24</v>
      </c>
      <c r="C92" s="38" t="s">
        <v>38</v>
      </c>
      <c r="D92" s="42">
        <v>43800</v>
      </c>
      <c r="E92" s="63">
        <f>TRUNC(+D92*3.3058,-1)</f>
        <v>144790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10770</v>
      </c>
      <c r="E94" s="64">
        <f>TRUNC(+D94*3.3058,-1)</f>
        <v>35600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149140</v>
      </c>
      <c r="E95" s="39">
        <f>SUM(E69:E94)</f>
        <v>493010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254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29930</v>
      </c>
      <c r="E100" s="63">
        <f t="shared" si="4"/>
        <v>98940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26330</v>
      </c>
      <c r="E116" s="63">
        <f t="shared" si="4"/>
        <v>87040</v>
      </c>
    </row>
    <row r="117" spans="1:7" x14ac:dyDescent="0.3">
      <c r="A117" s="2">
        <v>20</v>
      </c>
      <c r="C117" s="38" t="s">
        <v>148</v>
      </c>
      <c r="D117" s="42">
        <v>55250</v>
      </c>
      <c r="E117" s="63">
        <f t="shared" si="4"/>
        <v>182640</v>
      </c>
    </row>
    <row r="118" spans="1:7" ht="17.25" thickBot="1" x14ac:dyDescent="0.35">
      <c r="A118" s="2">
        <v>21</v>
      </c>
      <c r="C118" s="38" t="s">
        <v>47</v>
      </c>
      <c r="D118" s="43">
        <v>4300</v>
      </c>
      <c r="E118" s="64">
        <f t="shared" si="4"/>
        <v>14210</v>
      </c>
    </row>
    <row r="119" spans="1:7" x14ac:dyDescent="0.3">
      <c r="A119" s="2">
        <v>22</v>
      </c>
      <c r="C119" s="27" t="s">
        <v>112</v>
      </c>
      <c r="D119" s="39">
        <f>SUM(D98:D118)</f>
        <v>115810</v>
      </c>
      <c r="E119" s="39">
        <f>SUM(E98:E118)</f>
        <v>382830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254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7870</v>
      </c>
      <c r="E125" s="63">
        <f t="shared" si="5"/>
        <v>26010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14640</v>
      </c>
      <c r="E130" s="63">
        <f t="shared" si="5"/>
        <v>48390</v>
      </c>
    </row>
    <row r="131" spans="1:7" x14ac:dyDescent="0.3">
      <c r="A131" s="2">
        <v>10</v>
      </c>
      <c r="C131" s="38" t="s">
        <v>148</v>
      </c>
      <c r="D131" s="42">
        <v>30760</v>
      </c>
      <c r="E131" s="63">
        <f t="shared" si="5"/>
        <v>101680</v>
      </c>
    </row>
    <row r="132" spans="1:7" ht="17.25" thickBot="1" x14ac:dyDescent="0.35">
      <c r="A132" s="2">
        <v>11</v>
      </c>
      <c r="C132" s="38" t="s">
        <v>47</v>
      </c>
      <c r="D132" s="43">
        <v>3230</v>
      </c>
      <c r="E132" s="64">
        <f t="shared" si="5"/>
        <v>10670</v>
      </c>
    </row>
    <row r="133" spans="1:7" x14ac:dyDescent="0.3">
      <c r="A133" s="2">
        <v>12</v>
      </c>
      <c r="C133" s="27" t="s">
        <v>112</v>
      </c>
      <c r="D133" s="39">
        <f>SUM(D122:D132)</f>
        <v>56500</v>
      </c>
      <c r="E133" s="39">
        <f>SUM(E122:E132)</f>
        <v>186750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255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34180</v>
      </c>
      <c r="E136" s="62">
        <f t="shared" ref="E136:E145" si="6">TRUNC(+D136*3.3058,-1)</f>
        <v>112990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34180</v>
      </c>
      <c r="E146" s="39">
        <f>SUM(E136:E145)</f>
        <v>112990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255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255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2020-12-07T08:49:48Z</dcterms:modified>
</cp:coreProperties>
</file>