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1" i="4"/>
  <c r="D150" i="4"/>
  <c r="D149" i="4"/>
  <c r="D144" i="4"/>
  <c r="D143" i="4"/>
  <c r="D142" i="4"/>
  <c r="D140" i="4"/>
  <c r="D139" i="4"/>
  <c r="D137" i="4"/>
  <c r="D132" i="4"/>
  <c r="D131" i="4"/>
  <c r="D130" i="4"/>
  <c r="D128" i="4"/>
  <c r="D126" i="4"/>
  <c r="D125" i="4"/>
  <c r="D124" i="4"/>
  <c r="D122" i="4"/>
  <c r="D118" i="4"/>
  <c r="D117" i="4"/>
  <c r="D116" i="4"/>
  <c r="D114" i="4"/>
  <c r="D105" i="4"/>
  <c r="D104" i="4"/>
  <c r="D103" i="4"/>
  <c r="D102" i="4"/>
  <c r="D100" i="4"/>
  <c r="D99" i="4"/>
  <c r="D98" i="4"/>
  <c r="D94" i="4"/>
  <c r="D92" i="4"/>
  <c r="D89" i="4"/>
  <c r="D76" i="4"/>
  <c r="D73" i="4"/>
  <c r="D72" i="4"/>
  <c r="D70" i="4"/>
  <c r="D6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52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<sst xmlns="http://schemas.openxmlformats.org/spreadsheetml/2006/main" count="392" uniqueCount="266">
  <si>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</si>
  <si>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</si>
  <si>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</si>
  <si>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</si>
  <si>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</si>
  <si>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</si>
  <si>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</si>
  <si>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</si>
  <si>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</si>
  <si>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</si>
  <si>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</si>
  <si>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</si>
  <si>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</si>
  <si>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</si>
  <si>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</si>
  <si>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</si>
  <si>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</si>
  <si>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</si>
  <si>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</si>
  <si>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</si>
  <si>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</si>
  <si>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</si>
  <si>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</si>
  <si>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</si>
  <si>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</si>
  <si>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</si>
  <si>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</si>
  <si>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</si>
  <si>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</si>
  <si>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</si>
  <si>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</si>
  <si>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</si>
  <si>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</si>
  <si>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</si>
  <si>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</si>
  <si>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</si>
  <si>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</si>
  <si>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</si>
  <si>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</si>
  <si>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</si>
  <si>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</si>
  <si>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</si>
  <si>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</si>
  <si>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</si>
  <si>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</si>
  <si>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</si>
  <si>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</si>
  <si>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</si>
  <si>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</si>
  <si>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</si>
  <si>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</si>
  <si>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</si>
  <si>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</si>
  <si>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</si>
  <si>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</si>
  <si>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</si>
  <si>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</si>
  <si>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</si>
  <si>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</si>
  <si>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</si>
  <si>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</si>
  <si>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</si>
  <si>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</si>
  <si>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</si>
  <si>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</si>
  <si>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</si>
  <si>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</si>
  <si>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</si>
  <si>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</si>
  <si>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</si>
  <si>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</si>
  <si>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</si>
  <si>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</si>
  <si>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</si>
  <si>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</si>
  <si>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</si>
  <si>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</si>
  <si>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</si>
  <si>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</si>
  <si>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</si>
  <si>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</si>
  <si>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</si>
  <si>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</si>
  <si>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</si>
  <si>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</si>
  <si>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</si>
  <si>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</si>
  <si>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</si>
  <si>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</si>
  <si>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</si>
  <si>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</si>
  <si>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</si>
  <si>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</si>
  <si>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</si>
  <si>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</si>
  <si>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</si>
  <si>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</si>
  <si>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</si>
  <si>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</si>
  <si>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</si>
  <si>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</si>
  <si>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</si>
  <si>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</si>
  <si>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</si>
  <si>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</si>
  <si>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</si>
  <si>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</si>
  <si>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</si>
  <si>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</si>
  <si>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</si>
  <si>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</si>
  <si>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</si>
  <si>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</si>
  <si>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</si>
  <si>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</si>
  <si>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</si>
  <si>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</si>
  <si>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</si>
  <si>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</si>
  <si>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</si>
  <si>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</si>
  <si>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</si>
  <si>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</si>
  <si>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</si>
  <si>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</si>
  <si>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</si>
  <si>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</si>
  <si>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</si>
  <si>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</si>
  <si>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</si>
  <si>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</si>
  <si>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</si>
  <si>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</si>
  <si>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</si>
  <si>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</si>
  <si>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</si>
  <si>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</si>
  <si>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</si>
  <si>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</si>
  <si>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</si>
  <si>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</si>
  <si>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</si>
  <si>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</si>
  <si>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</si>
  <si>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</si>
  <si>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</si>
  <si>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</si>
  <si>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</si>
  <si>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</si>
  <si>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</si>
  <si>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</si>
  <si>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</si>
  <si>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</si>
  <si>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</si>
  <si>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</si>
  <si>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</si>
  <si>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</si>
  <si>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</si>
  <si>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</si>
  <si>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</si>
  <si>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</si>
  <si>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</si>
  <si>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</si>
  <si>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</si>
  <si>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</si>
  <si>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</si>
  <si>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</si>
  <si>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</si>
  <si>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</si>
  <si>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</si>
  <si>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</si>
  <si>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</si>
  <si>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</si>
  <si>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</si>
  <si>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</si>
  <si>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</si>
  <si>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</si>
  <si>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</si>
  <si>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</si>
  <si>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</si>
  <si>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</si>
  <si>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</si>
  <si>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</si>
  <si>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</si>
  <si>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</si>
  <si>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</si>
  <si>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</si>
  <si>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</si>
  <si>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</si>
  <si>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</si>
  <si>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</si>
  <si>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</si>
  <si>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</si>
  <si>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</si>
  <si>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</si>
  <si>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</si>
  <si>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</si>
  <si>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</si>
  <si>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</si>
  <si>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</si>
  <si>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</si>
  <si>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</si>
  <si>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</si>
  <si>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</si>
  <si>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</si>
  <si>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</si>
  <si>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</si>
  <si>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</si>
  <si>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</si>
  <si>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</si>
  <si>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</si>
  <si>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</si>
  <si>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</si>
  <si>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</si>
  <si>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</si>
  <si>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</si>
  <si>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</si>
  <si>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</si>
  <si>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</si>
  <si>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</si>
  <si>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</si>
  <si>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</si>
  <si>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</si>
  <si>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</si>
  <si>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</si>
  <si>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</si>
  <si>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</si>
  <si>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</si>
  <si>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</si>
  <si>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</si>
  <si>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</si>
  <si>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</si>
  <si>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</si>
  <si>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</si>
  <si>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</si>
  <si>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</si>
  <si>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</si>
  <si>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</si>
  <si>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</si>
  <si>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</si>
  <si>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</si>
  <si>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</si>
  <si>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</si>
  <si>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</si>
  <si>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</si>
  <si>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</si>
  <si>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</si>
  <si>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</si>
  <si>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</si>
  <si>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</si>
  <si>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</si>
  <si>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</si>
  <si>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</si>
  <si>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</si>
  <si>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</si>
  <si>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</si>
  <si>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</si>
  <si>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>전주솔내초등학교 신축공사</t>
    <phoneticPr fontId="2" type="noConversion"/>
  </si>
  <si>
    <t>전라도</t>
  </si>
  <si>
    <t>난방배관공사,바닥난방공사</t>
    <phoneticPr fontId="2" type="noConversion"/>
  </si>
  <si>
    <t>CCTV설비공사, 기타공사</t>
    <phoneticPr fontId="2" type="noConversion"/>
  </si>
  <si>
    <t>상수도공사, 운반비,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</si>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</sst>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12714.96</v>
      </c>
      <c r="D7" s="36">
        <f>+C7/3.3058</f>
        <v>3846.2580918385866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1001330</v>
      </c>
      <c r="E25" s="59">
        <f t="shared" si="0"/>
        <v>3310190</v>
      </c>
    </row>
    <row r="26" spans="1:5" x14ac:dyDescent="0.3">
      <c r="B26" s="2">
        <v>3</v>
      </c>
      <c r="C26" s="35" t="s">
        <v>95</v>
      </c>
      <c r="D26" s="45">
        <f>+D66</f>
        <v>3120</v>
      </c>
      <c r="E26" s="59">
        <f t="shared" si="0"/>
        <v>10310</v>
      </c>
    </row>
    <row r="27" spans="1:5" x14ac:dyDescent="0.3">
      <c r="B27" s="2">
        <v>4</v>
      </c>
      <c r="C27" s="35" t="s">
        <v>96</v>
      </c>
      <c r="D27" s="45">
        <f>+D95</f>
        <v>103400</v>
      </c>
      <c r="E27" s="59">
        <f t="shared" si="0"/>
        <v>341810</v>
      </c>
    </row>
    <row r="28" spans="1:5" x14ac:dyDescent="0.3">
      <c r="B28" s="2">
        <v>5</v>
      </c>
      <c r="C28" s="35" t="s">
        <v>97</v>
      </c>
      <c r="D28" s="45">
        <f>+D119</f>
        <v>136050</v>
      </c>
      <c r="E28" s="59">
        <f t="shared" si="0"/>
        <v>449750</v>
      </c>
    </row>
    <row r="29" spans="1:5" x14ac:dyDescent="0.3">
      <c r="B29" s="2">
        <v>6</v>
      </c>
      <c r="C29" s="35" t="s">
        <v>98</v>
      </c>
      <c r="D29" s="45">
        <f>+D133</f>
        <v>88820</v>
      </c>
      <c r="E29" s="59">
        <f t="shared" si="0"/>
        <v>293620</v>
      </c>
    </row>
    <row r="30" spans="1:5" x14ac:dyDescent="0.3">
      <c r="B30" s="2">
        <v>7</v>
      </c>
      <c r="C30" s="35" t="s">
        <v>99</v>
      </c>
      <c r="D30" s="45">
        <f>+D146</f>
        <v>38480</v>
      </c>
      <c r="E30" s="59">
        <f t="shared" si="0"/>
        <v>127200</v>
      </c>
    </row>
    <row r="31" spans="1:5" x14ac:dyDescent="0.3">
      <c r="B31" s="2">
        <v>8</v>
      </c>
      <c r="C31" s="35" t="s">
        <v>100</v>
      </c>
      <c r="D31" s="45">
        <f>+D154</f>
        <v>34350</v>
      </c>
      <c r="E31" s="59">
        <f t="shared" si="0"/>
        <v>113550</v>
      </c>
    </row>
    <row r="32" spans="1:5" x14ac:dyDescent="0.3">
      <c r="B32" s="2">
        <v>9</v>
      </c>
      <c r="C32" s="35" t="s">
        <v>101</v>
      </c>
      <c r="D32" s="45">
        <f>+D161</f>
        <v>32530</v>
      </c>
      <c r="E32" s="59">
        <f t="shared" si="0"/>
        <v>107530</v>
      </c>
    </row>
    <row r="33" spans="1:7" x14ac:dyDescent="0.3">
      <c r="B33" s="2">
        <v>10</v>
      </c>
      <c r="C33" s="35" t="s">
        <v>155</v>
      </c>
      <c r="D33" s="53">
        <f>TRUNC(SUM(D24:D32)*0.275,-1)</f>
        <v>395470</v>
      </c>
      <c r="E33" s="60">
        <f t="shared" si="0"/>
        <v>1307340</v>
      </c>
    </row>
    <row r="34" spans="1:7" x14ac:dyDescent="0.3">
      <c r="C34" s="35" t="s">
        <v>112</v>
      </c>
      <c r="D34" s="44">
        <f>SUM(D24:D33)</f>
        <v>1833550</v>
      </c>
      <c r="E34" s="44">
        <f>SUM(E24:E33)</f>
        <v>6061300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TRUNC(45014,-1)</f>
        <v>45010</v>
      </c>
      <c r="E40" s="62">
        <f t="shared" ref="E40:E59" si="1">TRUNC(+D40*3.3058,-1)</f>
        <v>148790</v>
      </c>
    </row>
    <row r="41" spans="1:7" x14ac:dyDescent="0.3">
      <c r="A41" s="2">
        <v>2</v>
      </c>
      <c r="C41" s="38" t="s">
        <v>13</v>
      </c>
      <c r="D41" s="42">
        <f>TRUNC(155309,-1)</f>
        <v>155300</v>
      </c>
      <c r="E41" s="63">
        <f t="shared" si="1"/>
        <v>513390</v>
      </c>
    </row>
    <row r="42" spans="1:7" x14ac:dyDescent="0.3">
      <c r="A42" s="2">
        <v>3</v>
      </c>
      <c r="C42" s="38" t="s">
        <v>14</v>
      </c>
      <c r="D42" s="42">
        <f>TRUNC(13617,-1)</f>
        <v>13610</v>
      </c>
      <c r="E42" s="63">
        <f t="shared" si="1"/>
        <v>44990</v>
      </c>
    </row>
    <row r="43" spans="1:7" x14ac:dyDescent="0.3">
      <c r="A43" s="2">
        <v>4</v>
      </c>
      <c r="C43" s="38" t="s">
        <v>16</v>
      </c>
      <c r="D43" s="42">
        <f>TRUNC(44009,-1)</f>
        <v>44000</v>
      </c>
      <c r="E43" s="63">
        <f t="shared" si="1"/>
        <v>145450</v>
      </c>
    </row>
    <row r="44" spans="1:7" x14ac:dyDescent="0.3">
      <c r="A44" s="2">
        <v>5</v>
      </c>
      <c r="C44" s="38" t="s">
        <v>17</v>
      </c>
      <c r="D44" s="42">
        <f>TRUNC(9323,-1)</f>
        <v>9320</v>
      </c>
      <c r="E44" s="63">
        <f t="shared" si="1"/>
        <v>30810</v>
      </c>
    </row>
    <row r="45" spans="1:7" x14ac:dyDescent="0.3">
      <c r="A45" s="2">
        <v>6</v>
      </c>
      <c r="C45" s="38" t="s">
        <v>18</v>
      </c>
      <c r="D45" s="42">
        <f>TRUNC(7301,-1)</f>
        <v>7300</v>
      </c>
      <c r="E45" s="63">
        <f t="shared" si="1"/>
        <v>24130</v>
      </c>
    </row>
    <row r="46" spans="1:7" x14ac:dyDescent="0.3">
      <c r="A46" s="2">
        <v>7</v>
      </c>
      <c r="C46" s="38" t="s">
        <v>19</v>
      </c>
      <c r="D46" s="42">
        <f>TRUNC(18509,-1)</f>
        <v>18500</v>
      </c>
      <c r="E46" s="63">
        <f t="shared" si="1"/>
        <v>61150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TRUNC(28541,-1)</f>
        <v>28540</v>
      </c>
      <c r="E48" s="63">
        <f t="shared" si="1"/>
        <v>94340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TRUNC(23382,-1)</f>
        <v>23380</v>
      </c>
      <c r="E49" s="63">
        <f t="shared" si="1"/>
        <v>77280</v>
      </c>
    </row>
    <row r="50" spans="1:7" x14ac:dyDescent="0.3">
      <c r="A50" s="2">
        <v>11</v>
      </c>
      <c r="C50" s="38" t="s">
        <v>156</v>
      </c>
      <c r="D50" s="42">
        <f>TRUNC(44874,-1)</f>
        <v>44870</v>
      </c>
      <c r="E50" s="63">
        <f t="shared" si="1"/>
        <v>148330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TRUNC(15911,-1)</f>
        <v>15910</v>
      </c>
      <c r="E52" s="63">
        <f t="shared" si="1"/>
        <v>52590</v>
      </c>
    </row>
    <row r="53" spans="1:7" x14ac:dyDescent="0.3">
      <c r="A53" s="2">
        <v>14</v>
      </c>
      <c r="C53" s="38" t="s">
        <v>25</v>
      </c>
      <c r="D53" s="42">
        <f>TRUNC(132731,-1)</f>
        <v>132730</v>
      </c>
      <c r="E53" s="63">
        <f t="shared" si="1"/>
        <v>438770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TRUNC(22045+10613-429+409+35085,-1)</f>
        <v>67720</v>
      </c>
      <c r="E58" s="63">
        <f t="shared" si="1"/>
        <v>223860</v>
      </c>
      <c r="F58" s="2" t="s">
        <v>252</v>
      </c>
    </row>
    <row r="59" spans="1:7" ht="17.25" thickBot="1" x14ac:dyDescent="0.35">
      <c r="A59" s="2">
        <v>20</v>
      </c>
      <c r="C59" s="38" t="s">
        <v>149</v>
      </c>
      <c r="D59" s="43">
        <v>395140</v>
      </c>
      <c r="E59" s="64">
        <f t="shared" si="1"/>
        <v>1306250</v>
      </c>
    </row>
    <row r="60" spans="1:7" x14ac:dyDescent="0.3">
      <c r="A60" s="2">
        <v>21</v>
      </c>
      <c r="C60" s="27" t="s">
        <v>112</v>
      </c>
      <c r="D60" s="39">
        <f>SUM(D40:D59)</f>
        <v>1001330</v>
      </c>
      <c r="E60" s="39">
        <f>SUM(E40:E59)</f>
        <v>3310130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v>3120</v>
      </c>
      <c r="E63" s="62">
        <f>TRUNC(+D63*3.3058,-1)</f>
        <v>10310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3120</v>
      </c>
      <c r="E66" s="65">
        <f>SUM(E63:E65)</f>
        <v>10310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TRUNC(8235,-1)</f>
        <v>8230</v>
      </c>
      <c r="E69" s="62">
        <f t="shared" ref="E69:E94" si="2">TRUNC(+D69*3.3058,-1)</f>
        <v>27200</v>
      </c>
    </row>
    <row r="70" spans="1:7" ht="16.5" customHeight="1" x14ac:dyDescent="0.3">
      <c r="A70" s="2">
        <v>2</v>
      </c>
      <c r="C70" s="38" t="s">
        <v>31</v>
      </c>
      <c r="D70" s="42">
        <f>TRUNC(1196,-1)</f>
        <v>1190</v>
      </c>
      <c r="E70" s="63">
        <f t="shared" si="2"/>
        <v>3930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TRUNC(3789,-1)</f>
        <v>3780</v>
      </c>
      <c r="E72" s="63">
        <f t="shared" si="2"/>
        <v>12490</v>
      </c>
    </row>
    <row r="73" spans="1:7" x14ac:dyDescent="0.3">
      <c r="A73" s="2">
        <v>5</v>
      </c>
      <c r="C73" s="38" t="s">
        <v>34</v>
      </c>
      <c r="D73" s="42">
        <f>TRUNC(18556,-1)</f>
        <v>18550</v>
      </c>
      <c r="E73" s="63">
        <f t="shared" si="2"/>
        <v>61320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TRUNC(47992,-1)</f>
        <v>47990</v>
      </c>
      <c r="E76" s="63">
        <f t="shared" si="2"/>
        <v>158640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TRUNC(4107,-1)</f>
        <v>4100</v>
      </c>
      <c r="E89" s="63">
        <f t="shared" si="2"/>
        <v>13550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4720</v>
      </c>
      <c r="E91" s="63">
        <f t="shared" si="2"/>
        <v>15600</v>
      </c>
    </row>
    <row r="92" spans="1:7" x14ac:dyDescent="0.3">
      <c r="A92" s="2">
        <v>24</v>
      </c>
      <c r="C92" s="38" t="s">
        <v>38</v>
      </c>
      <c r="D92" s="42">
        <f>TRUNC(8523,-1)</f>
        <v>8520</v>
      </c>
      <c r="E92" s="63">
        <f t="shared" si="2"/>
        <v>28160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TRUNC(3742+2579,-1)</f>
        <v>6320</v>
      </c>
      <c r="E94" s="64">
        <f t="shared" si="2"/>
        <v>20890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103400</v>
      </c>
      <c r="E95" s="39">
        <f>SUM(E69:E94)</f>
        <v>341780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TRUNC(9168,-1)</f>
        <v>9160</v>
      </c>
      <c r="E98" s="62">
        <f t="shared" ref="E98:E118" si="3">TRUNC(+D98*3.3058,-1)</f>
        <v>30280</v>
      </c>
    </row>
    <row r="99" spans="1:7" x14ac:dyDescent="0.3">
      <c r="A99" s="2">
        <v>2</v>
      </c>
      <c r="C99" s="38" t="s">
        <v>40</v>
      </c>
      <c r="D99" s="42">
        <f>TRUNC(4846,-1)</f>
        <v>4840</v>
      </c>
      <c r="E99" s="63">
        <f t="shared" si="3"/>
        <v>16000</v>
      </c>
    </row>
    <row r="100" spans="1:7" x14ac:dyDescent="0.3">
      <c r="A100" s="2">
        <v>3</v>
      </c>
      <c r="C100" s="38" t="s">
        <v>41</v>
      </c>
      <c r="D100" s="42">
        <f>TRUNC(28766,-1)</f>
        <v>28760</v>
      </c>
      <c r="E100" s="63">
        <f t="shared" si="3"/>
        <v>95070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TRUNC(11741,-1)</f>
        <v>11740</v>
      </c>
      <c r="E102" s="63">
        <f t="shared" si="3"/>
        <v>38810</v>
      </c>
    </row>
    <row r="103" spans="1:7" x14ac:dyDescent="0.3">
      <c r="A103" s="2">
        <v>6</v>
      </c>
      <c r="C103" s="38" t="s">
        <v>44</v>
      </c>
      <c r="D103" s="42">
        <f>TRUNC(6782,-1)</f>
        <v>6780</v>
      </c>
      <c r="E103" s="63">
        <f t="shared" si="3"/>
        <v>22410</v>
      </c>
    </row>
    <row r="104" spans="1:7" x14ac:dyDescent="0.3">
      <c r="A104" s="2">
        <v>7</v>
      </c>
      <c r="C104" s="38" t="s">
        <v>45</v>
      </c>
      <c r="D104" s="42">
        <f>TRUNC(4302,-1)</f>
        <v>4300</v>
      </c>
      <c r="E104" s="63">
        <f t="shared" si="3"/>
        <v>14210</v>
      </c>
    </row>
    <row r="105" spans="1:7" x14ac:dyDescent="0.3">
      <c r="A105" s="2">
        <v>8</v>
      </c>
      <c r="C105" s="38" t="s">
        <v>46</v>
      </c>
      <c r="D105" s="42">
        <f>TRUNC(5763,-1)</f>
        <v>5760</v>
      </c>
      <c r="E105" s="63">
        <f t="shared" si="3"/>
        <v>19040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TRUNC(1764,-1)</f>
        <v>1760</v>
      </c>
      <c r="E114" s="63">
        <f t="shared" si="3"/>
        <v>5810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TRUNC(3523,-1)</f>
        <v>3520</v>
      </c>
      <c r="E116" s="63">
        <f t="shared" si="3"/>
        <v>11630</v>
      </c>
      <c r="F116" s="2" t="s">
        <v>254</v>
      </c>
    </row>
    <row r="117" spans="1:7" x14ac:dyDescent="0.3">
      <c r="A117" s="2">
        <v>20</v>
      </c>
      <c r="C117" s="38" t="s">
        <v>149</v>
      </c>
      <c r="D117" s="42">
        <f>TRUNC(58374,-1)</f>
        <v>58370</v>
      </c>
      <c r="E117" s="63">
        <f t="shared" si="3"/>
        <v>192950</v>
      </c>
    </row>
    <row r="118" spans="1:7" ht="17.25" thickBot="1" x14ac:dyDescent="0.35">
      <c r="A118" s="2">
        <v>21</v>
      </c>
      <c r="C118" s="38" t="s">
        <v>47</v>
      </c>
      <c r="D118" s="43">
        <f>TRUNC(1068,-1)</f>
        <v>1060</v>
      </c>
      <c r="E118" s="64">
        <f t="shared" si="3"/>
        <v>3500</v>
      </c>
    </row>
    <row r="119" spans="1:7" x14ac:dyDescent="0.3">
      <c r="A119" s="2">
        <v>22</v>
      </c>
      <c r="C119" s="27" t="s">
        <v>112</v>
      </c>
      <c r="D119" s="39">
        <f>SUM(D98:D118)</f>
        <v>136050</v>
      </c>
      <c r="E119" s="39">
        <f>SUM(E98:E118)</f>
        <v>449710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TRUNC(4051,-1)</f>
        <v>4050</v>
      </c>
      <c r="E122" s="62">
        <f t="shared" ref="E122:E132" si="4">TRUNC(+D122*3.3058,-1)</f>
        <v>13380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TRUNC(1286,-1)</f>
        <v>1280</v>
      </c>
      <c r="E124" s="63">
        <f t="shared" si="4"/>
        <v>4230</v>
      </c>
    </row>
    <row r="125" spans="1:7" x14ac:dyDescent="0.3">
      <c r="A125" s="2">
        <v>4</v>
      </c>
      <c r="C125" s="38" t="s">
        <v>138</v>
      </c>
      <c r="D125" s="42">
        <f>TRUNC(8829,-1)</f>
        <v>8820</v>
      </c>
      <c r="E125" s="63">
        <f t="shared" si="4"/>
        <v>29150</v>
      </c>
    </row>
    <row r="126" spans="1:7" x14ac:dyDescent="0.3">
      <c r="A126" s="2">
        <v>5</v>
      </c>
      <c r="C126" s="38" t="s">
        <v>53</v>
      </c>
      <c r="D126" s="42">
        <f>TRUNC(1065,-1)</f>
        <v>1060</v>
      </c>
      <c r="E126" s="63">
        <f t="shared" si="4"/>
        <v>3500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TRUNC(7475,-1)</f>
        <v>7470</v>
      </c>
      <c r="E128" s="63">
        <f t="shared" si="4"/>
        <v>24690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TRUNC(17229,-1)</f>
        <v>17220</v>
      </c>
      <c r="E130" s="63">
        <f t="shared" si="4"/>
        <v>56920</v>
      </c>
    </row>
    <row r="131" spans="1:7" x14ac:dyDescent="0.3">
      <c r="A131" s="2">
        <v>10</v>
      </c>
      <c r="C131" s="38" t="s">
        <v>149</v>
      </c>
      <c r="D131" s="42">
        <f>TRUNC(47428,-1)</f>
        <v>47420</v>
      </c>
      <c r="E131" s="63">
        <f t="shared" si="4"/>
        <v>156760</v>
      </c>
    </row>
    <row r="132" spans="1:7" ht="18" thickBot="1" x14ac:dyDescent="0.35">
      <c r="A132" s="2">
        <v>11</v>
      </c>
      <c r="C132" s="38" t="s">
        <v>47</v>
      </c>
      <c r="D132" s="43">
        <f>TRUNC(1375+130,-1)</f>
        <v>1500</v>
      </c>
      <c r="E132" s="64">
        <f t="shared" si="4"/>
        <v>4950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88820</v>
      </c>
      <c r="E133" s="39">
        <f>SUM(E122:E132)</f>
        <v>293580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TRUNC(804,-1)</f>
        <v>800</v>
      </c>
      <c r="E137" s="63">
        <f t="shared" si="5"/>
        <v>2640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TRUNC(1784,-1)</f>
        <v>1780</v>
      </c>
      <c r="E139" s="63">
        <f t="shared" si="5"/>
        <v>5880</v>
      </c>
    </row>
    <row r="140" spans="1:7" x14ac:dyDescent="0.3">
      <c r="A140" s="2">
        <v>5</v>
      </c>
      <c r="C140" s="38" t="s">
        <v>57</v>
      </c>
      <c r="D140" s="42">
        <f>TRUNC(2327,-1)</f>
        <v>2320</v>
      </c>
      <c r="E140" s="63">
        <f t="shared" si="5"/>
        <v>7660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TRUNC(18146,-1)</f>
        <v>18140</v>
      </c>
      <c r="E142" s="63">
        <f t="shared" si="5"/>
        <v>59960</v>
      </c>
    </row>
    <row r="143" spans="1:7" x14ac:dyDescent="0.3">
      <c r="A143" s="2">
        <v>8</v>
      </c>
      <c r="C143" s="38" t="s">
        <v>62</v>
      </c>
      <c r="D143" s="42">
        <f>TRUNC(3452,-1)</f>
        <v>3450</v>
      </c>
      <c r="E143" s="63">
        <f t="shared" si="5"/>
        <v>11400</v>
      </c>
    </row>
    <row r="144" spans="1:7" x14ac:dyDescent="0.3">
      <c r="A144" s="2">
        <v>9</v>
      </c>
      <c r="C144" s="38" t="s">
        <v>63</v>
      </c>
      <c r="D144" s="42">
        <f>TRUNC(11999,-1)</f>
        <v>11990</v>
      </c>
      <c r="E144" s="63">
        <f t="shared" si="5"/>
        <v>39630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38480</v>
      </c>
      <c r="E146" s="39">
        <f>SUM(E136:E145)</f>
        <v>127170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TRUNC(8248+1579,-1)</f>
        <v>9820</v>
      </c>
      <c r="E149" s="62">
        <f>TRUNC(+D149*3.3058,-1)</f>
        <v>32460</v>
      </c>
    </row>
    <row r="150" spans="1:7" x14ac:dyDescent="0.3">
      <c r="A150" s="2">
        <v>2</v>
      </c>
      <c r="C150" s="38" t="s">
        <v>49</v>
      </c>
      <c r="D150" s="42">
        <f>TRUNC(12535,-1)</f>
        <v>12530</v>
      </c>
      <c r="E150" s="63">
        <f>TRUNC(+D150*3.3058,-1)</f>
        <v>41420</v>
      </c>
    </row>
    <row r="151" spans="1:7" x14ac:dyDescent="0.3">
      <c r="A151" s="2">
        <v>3</v>
      </c>
      <c r="C151" s="38" t="s">
        <v>50</v>
      </c>
      <c r="D151" s="42">
        <f>TRUNC(5904,-1)</f>
        <v>5900</v>
      </c>
      <c r="E151" s="63">
        <f>TRUNC(+D151*3.3058,-1)</f>
        <v>19500</v>
      </c>
    </row>
    <row r="152" spans="1:7" x14ac:dyDescent="0.3">
      <c r="A152" s="2">
        <v>4</v>
      </c>
      <c r="C152" s="38" t="s">
        <v>47</v>
      </c>
      <c r="D152" s="42">
        <f>3075+21+3004</f>
        <v>6100</v>
      </c>
      <c r="E152" s="63">
        <f>TRUNC(+D152*3.3058,-1)</f>
        <v>20160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34350</v>
      </c>
      <c r="E154" s="39">
        <f>SUM(E149:E153)</f>
        <v>113540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TRUNC(16113,-1)</f>
        <v>16110</v>
      </c>
      <c r="E157" s="62">
        <f>TRUNC(+D157*3.3058,-1)</f>
        <v>53250</v>
      </c>
    </row>
    <row r="158" spans="1:7" x14ac:dyDescent="0.3">
      <c r="A158" s="2">
        <v>2</v>
      </c>
      <c r="C158" s="38" t="s">
        <v>52</v>
      </c>
      <c r="D158" s="42">
        <f>TRUNC(12221,-1)</f>
        <v>12220</v>
      </c>
      <c r="E158" s="63">
        <f>TRUNC(+D158*3.3058,-1)</f>
        <v>40390</v>
      </c>
    </row>
    <row r="159" spans="1:7" x14ac:dyDescent="0.3">
      <c r="A159" s="2">
        <v>3</v>
      </c>
      <c r="C159" s="38" t="s">
        <v>47</v>
      </c>
      <c r="D159" s="42">
        <v>4200</v>
      </c>
      <c r="E159" s="63">
        <f>TRUNC(+D159*3.3058,-1)</f>
        <v>13880</v>
      </c>
      <c r="F159" s="2" t="s">
        <v>262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32530</v>
      </c>
      <c r="E161" s="39">
        <f>SUM(E157:E160)</f>
        <v>107520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2020-12-08T01:31:18Z</dcterms:modified>
</cp:coreProperties>
</file>