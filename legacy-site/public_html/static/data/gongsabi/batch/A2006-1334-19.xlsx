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5" i="4"/>
  <c r="E144" i="4"/>
  <c r="E143" i="4"/>
  <c r="E142" i="4"/>
  <c r="E141" i="4"/>
  <c r="E140" i="4"/>
  <c r="E139" i="4"/>
  <c r="E138" i="4"/>
  <c r="E129" i="4"/>
  <c r="E127" i="4"/>
  <c r="E123" i="4"/>
  <c r="E116" i="4"/>
  <c r="E113" i="4"/>
  <c r="E112" i="4"/>
  <c r="E111" i="4"/>
  <c r="E110" i="4"/>
  <c r="E109" i="4"/>
  <c r="E108" i="4"/>
  <c r="E107" i="4"/>
  <c r="E106" i="4"/>
  <c r="E103" i="4"/>
  <c r="E101" i="4"/>
  <c r="E92" i="4"/>
  <c r="E91" i="4"/>
  <c r="E89" i="4"/>
  <c r="E88" i="4"/>
  <c r="E87" i="4"/>
  <c r="E86" i="4"/>
  <c r="E85" i="4"/>
  <c r="E83" i="4"/>
  <c r="E82" i="4"/>
  <c r="E80" i="4"/>
  <c r="E79" i="4"/>
  <c r="E77" i="4"/>
  <c r="E76" i="4"/>
  <c r="E74" i="4"/>
  <c r="E73" i="4"/>
  <c r="E64" i="4"/>
  <c r="E57" i="4"/>
  <c r="E56" i="4"/>
  <c r="D159" i="4" l="1"/>
  <c r="E159" i="4" s="1"/>
  <c r="D158" i="4"/>
  <c r="E158" i="4" s="1"/>
  <c r="D157" i="4"/>
  <c r="E157" i="4" s="1"/>
  <c r="E161" i="4" s="1"/>
  <c r="D152" i="4"/>
  <c r="E152" i="4" s="1"/>
  <c r="D150" i="4"/>
  <c r="E150" i="4" s="1"/>
  <c r="D149" i="4"/>
  <c r="E149" i="4" s="1"/>
  <c r="D137" i="4"/>
  <c r="E137" i="4" s="1"/>
  <c r="D136" i="4"/>
  <c r="E136" i="4" s="1"/>
  <c r="D132" i="4"/>
  <c r="E132" i="4" s="1"/>
  <c r="D131" i="4"/>
  <c r="E131" i="4" s="1"/>
  <c r="D130" i="4"/>
  <c r="E130" i="4" s="1"/>
  <c r="D128" i="4"/>
  <c r="E128" i="4" s="1"/>
  <c r="D126" i="4"/>
  <c r="E126" i="4" s="1"/>
  <c r="D125" i="4"/>
  <c r="E125" i="4" s="1"/>
  <c r="D124" i="4"/>
  <c r="E124" i="4" s="1"/>
  <c r="D122" i="4"/>
  <c r="E122" i="4" s="1"/>
  <c r="D118" i="4"/>
  <c r="E118" i="4" s="1"/>
  <c r="D117" i="4"/>
  <c r="E117" i="4" s="1"/>
  <c r="D115" i="4"/>
  <c r="E115" i="4" s="1"/>
  <c r="D114" i="4"/>
  <c r="E114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94" i="4"/>
  <c r="E94" i="4" s="1"/>
  <c r="D93" i="4"/>
  <c r="E93" i="4" s="1"/>
  <c r="D90" i="4"/>
  <c r="E90" i="4" s="1"/>
  <c r="D84" i="4"/>
  <c r="E84" i="4" s="1"/>
  <c r="D81" i="4"/>
  <c r="E81" i="4" s="1"/>
  <c r="D78" i="4"/>
  <c r="E78" i="4" s="1"/>
  <c r="D75" i="4"/>
  <c r="E75" i="4" s="1"/>
  <c r="D72" i="4"/>
  <c r="E72" i="4" s="1"/>
  <c r="D71" i="4"/>
  <c r="E71" i="4" s="1"/>
  <c r="D70" i="4"/>
  <c r="E70" i="4" s="1"/>
  <c r="D69" i="4"/>
  <c r="E69" i="4" s="1"/>
  <c r="D65" i="4"/>
  <c r="E65" i="4" s="1"/>
  <c r="D63" i="4"/>
  <c r="E63" i="4" s="1"/>
  <c r="E66" i="4" s="1"/>
  <c r="D59" i="4"/>
  <c r="E59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61" i="4"/>
  <c r="D146" i="4"/>
  <c r="D30" i="4" s="1"/>
  <c r="E30" i="4" s="1"/>
  <c r="D119" i="4"/>
  <c r="D28" i="4" s="1"/>
  <c r="E28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66" i="4" l="1"/>
  <c r="D26" i="4" s="1"/>
  <c r="E26" i="4" s="1"/>
  <c r="E60" i="4"/>
  <c r="E95" i="4"/>
  <c r="E119" i="4"/>
  <c r="D95" i="4"/>
  <c r="D27" i="4" s="1"/>
  <c r="E27" i="4" s="1"/>
  <c r="D154" i="4"/>
  <c r="D31" i="4" s="1"/>
  <c r="E31" i="4" s="1"/>
  <c r="E146" i="4"/>
  <c r="D60" i="4"/>
  <c r="D25" i="4" s="1"/>
  <c r="E25" i="4" s="1"/>
  <c r="D133" i="4"/>
  <c r="D29" i="4" s="1"/>
  <c r="E29" i="4" s="1"/>
  <c r="E133" i="4"/>
  <c r="E154" i="4"/>
  <c r="D33" i="4" l="1"/>
  <c r="E33" i="4" s="1"/>
  <c r="E34" i="4" s="1"/>
  <c r="D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<sst xmlns="http://schemas.openxmlformats.org/spreadsheetml/2006/main" count="394" uniqueCount="268">
  <si>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</si>
  <si>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</si>
  <si>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</si>
  <si>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</si>
  <si>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</si>
  <si>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</si>
  <si>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</si>
  <si>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</si>
  <si>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</si>
  <si>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</si>
  <si>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</si>
  <si>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</si>
  <si>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</si>
  <si>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</si>
  <si>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</si>
  <si>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</si>
  <si>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</si>
  <si>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</si>
  <si>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</si>
  <si>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</si>
  <si>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</si>
  <si>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</si>
  <si>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</si>
  <si>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</si>
  <si>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</si>
  <si>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</si>
  <si>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</si>
  <si>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</si>
  <si>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</si>
  <si>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</si>
  <si>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</si>
  <si>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</si>
  <si>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</si>
  <si>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</si>
  <si>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</si>
  <si>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</si>
  <si>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</si>
  <si>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</si>
  <si>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</si>
  <si>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</si>
  <si>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</si>
  <si>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</si>
  <si>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</si>
  <si>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</si>
  <si>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</si>
  <si>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</si>
  <si>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</si>
  <si>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</si>
  <si>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</si>
  <si>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</si>
  <si>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</si>
  <si>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</si>
  <si>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</si>
  <si>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</si>
  <si>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</si>
  <si>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</si>
  <si>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</si>
  <si>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</si>
  <si>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</si>
  <si>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</si>
  <si>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</si>
  <si>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</si>
  <si>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</si>
  <si>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</si>
  <si>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</si>
  <si>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</si>
  <si>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</si>
  <si>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</si>
  <si>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</si>
  <si>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</si>
  <si>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</si>
  <si>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</si>
  <si>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</si>
  <si>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</si>
  <si>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</si>
  <si>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</si>
  <si>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</si>
  <si>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</si>
  <si>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</si>
  <si>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</si>
  <si>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</si>
  <si>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</si>
  <si>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</si>
  <si>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</si>
  <si>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</si>
  <si>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</si>
  <si>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</si>
  <si>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</si>
  <si>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</si>
  <si>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</si>
  <si>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</si>
  <si>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</si>
  <si>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</si>
  <si>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</si>
  <si>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</si>
  <si>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</si>
  <si>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</si>
  <si>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</si>
  <si>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</si>
  <si>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</si>
  <si>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</si>
  <si>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</si>
  <si>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</si>
  <si>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</si>
  <si>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</si>
  <si>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</si>
  <si>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</si>
  <si>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</si>
  <si>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</si>
  <si>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</si>
  <si>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</si>
  <si>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</si>
  <si>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</si>
  <si>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</si>
  <si>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</si>
  <si>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</si>
  <si>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</si>
  <si>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</si>
  <si>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</si>
  <si>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</si>
  <si>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</si>
  <si>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</si>
  <si>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</si>
  <si>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</si>
  <si>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</si>
  <si>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</si>
  <si>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</si>
  <si>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</si>
  <si>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</si>
  <si>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</si>
  <si>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</si>
  <si>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</si>
  <si>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</si>
  <si>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</si>
  <si>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</si>
  <si>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</si>
  <si>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</si>
  <si>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</si>
  <si>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</si>
  <si>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</si>
  <si>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</si>
  <si>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</si>
  <si>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</si>
  <si>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</si>
  <si>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</si>
  <si>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</si>
  <si>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</si>
  <si>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</si>
  <si>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</si>
  <si>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</si>
  <si>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</si>
  <si>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</si>
  <si>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</si>
  <si>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</si>
  <si>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</si>
  <si>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</si>
  <si>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</si>
  <si>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</si>
  <si>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</si>
  <si>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</si>
  <si>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</si>
  <si>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</si>
  <si>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</si>
  <si>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</si>
  <si>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</si>
  <si>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</si>
  <si>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</si>
  <si>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</si>
  <si>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</si>
  <si>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</si>
  <si>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</si>
  <si>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</si>
  <si>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</si>
  <si>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</si>
  <si>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</si>
  <si>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</si>
  <si>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</si>
  <si>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</si>
  <si>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</si>
  <si>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</si>
  <si>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</si>
  <si>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</si>
  <si>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</si>
  <si>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</si>
  <si>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</si>
  <si>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</si>
  <si>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</si>
  <si>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</si>
  <si>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</si>
  <si>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</si>
  <si>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</si>
  <si>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</si>
  <si>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</si>
  <si>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</si>
  <si>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</si>
  <si>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</si>
  <si>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</si>
  <si>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</si>
  <si>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</si>
  <si>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</si>
  <si>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</si>
  <si>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</si>
  <si>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</si>
  <si>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</si>
  <si>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</si>
  <si>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</si>
  <si>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</si>
  <si>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</si>
  <si>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</si>
  <si>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</si>
  <si>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</si>
  <si>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</si>
  <si>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</si>
  <si>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</si>
  <si>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</si>
  <si>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</si>
  <si>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</si>
  <si>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</si>
  <si>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</si>
  <si>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</si>
  <si>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</si>
  <si>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</si>
  <si>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</si>
  <si>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</si>
  <si>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</si>
  <si>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</si>
  <si>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</si>
  <si>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</si>
  <si>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</si>
  <si>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</si>
  <si>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</si>
  <si>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</si>
  <si>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</si>
  <si>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</si>
  <si>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</si>
  <si>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업무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</si>
  <si>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</si>
  <si>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</si>
  <si>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</si>
  <si>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</si>
  <si>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</si>
  <si>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</si>
  <si>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</si>
  <si>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</si>
  <si>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</si>
  <si>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</si>
  <si>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</si>
  <si>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</si>
  <si>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</si>
  <si>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00우체국 청사 건립공사</t>
  </si>
  <si>
    <t>부산시</t>
  </si>
  <si>
    <t>옥외보안등</t>
  </si>
  <si>
    <t>CCTV설비공사,가설창고설비공사</t>
  </si>
  <si>
    <t>포장공사,운반공사</t>
  </si>
  <si>
    <t>ROD 그리우팅,드레인메트배수공,운반비,사급자재비</t>
    <phoneticPr fontId="2" type="noConversion"/>
  </si>
  <si>
    <t>지정공사,기타공사,잡공사,철고공사(우체국),철거공사(보건소),운반빛골재비,작업부산물</t>
    <phoneticPr fontId="2" type="noConversion"/>
  </si>
  <si>
    <t>C I P공사,흙막이강재공사</t>
    <phoneticPr fontId="2" type="noConversion"/>
  </si>
  <si>
    <t>주차관제설비공사,가설창고</t>
    <phoneticPr fontId="2" type="noConversion"/>
  </si>
  <si>
    <t>공조배관공사,위생배관공사,HEAT TRACING SISTEM,냉동냉장실설치공사</t>
    <phoneticPr fontId="2" type="noConversion"/>
  </si>
  <si>
    <t>전기 소방</t>
    <phoneticPr fontId="2" type="noConversion"/>
  </si>
  <si>
    <t>도급자설치</t>
    <phoneticPr fontId="2" type="noConversion"/>
  </si>
  <si>
    <t>관급자설치</t>
    <phoneticPr fontId="2" type="noConversion"/>
  </si>
  <si>
    <t>도급자설치. 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</si>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</sst>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235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6132</v>
      </c>
      <c r="D7" s="36">
        <f>+C7/3.3058</f>
        <v>1854.9216528525621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11020</v>
      </c>
      <c r="E24" s="58">
        <f t="shared" ref="E24:E33" si="0">TRUNC(+D24*3.3058,-1)</f>
        <v>36420</v>
      </c>
    </row>
    <row r="25" spans="1:5" x14ac:dyDescent="0.3">
      <c r="B25" s="2">
        <v>2</v>
      </c>
      <c r="C25" s="35" t="s">
        <v>111</v>
      </c>
      <c r="D25" s="45">
        <f>+D60</f>
        <v>553670</v>
      </c>
      <c r="E25" s="59">
        <f t="shared" si="0"/>
        <v>1830320</v>
      </c>
    </row>
    <row r="26" spans="1:5" x14ac:dyDescent="0.3">
      <c r="B26" s="2">
        <v>3</v>
      </c>
      <c r="C26" s="35" t="s">
        <v>95</v>
      </c>
      <c r="D26" s="45">
        <f>+D66</f>
        <v>59400</v>
      </c>
      <c r="E26" s="59">
        <f t="shared" si="0"/>
        <v>196360</v>
      </c>
    </row>
    <row r="27" spans="1:5" x14ac:dyDescent="0.3">
      <c r="B27" s="2">
        <v>4</v>
      </c>
      <c r="C27" s="35" t="s">
        <v>96</v>
      </c>
      <c r="D27" s="45">
        <f>+D95</f>
        <v>181070</v>
      </c>
      <c r="E27" s="59">
        <f t="shared" si="0"/>
        <v>598580</v>
      </c>
    </row>
    <row r="28" spans="1:5" x14ac:dyDescent="0.3">
      <c r="B28" s="2">
        <v>5</v>
      </c>
      <c r="C28" s="35" t="s">
        <v>97</v>
      </c>
      <c r="D28" s="45">
        <f>+D119</f>
        <v>117710</v>
      </c>
      <c r="E28" s="59">
        <f t="shared" si="0"/>
        <v>389120</v>
      </c>
    </row>
    <row r="29" spans="1:5" x14ac:dyDescent="0.3">
      <c r="B29" s="2">
        <v>6</v>
      </c>
      <c r="C29" s="35" t="s">
        <v>98</v>
      </c>
      <c r="D29" s="45">
        <f>+D133</f>
        <v>50230</v>
      </c>
      <c r="E29" s="59">
        <f t="shared" si="0"/>
        <v>166050</v>
      </c>
    </row>
    <row r="30" spans="1:5" x14ac:dyDescent="0.3">
      <c r="B30" s="2">
        <v>7</v>
      </c>
      <c r="C30" s="35" t="s">
        <v>99</v>
      </c>
      <c r="D30" s="45">
        <f>+D146</f>
        <v>37530</v>
      </c>
      <c r="E30" s="59">
        <f t="shared" si="0"/>
        <v>124060</v>
      </c>
    </row>
    <row r="31" spans="1:5" x14ac:dyDescent="0.3">
      <c r="B31" s="2">
        <v>8</v>
      </c>
      <c r="C31" s="35" t="s">
        <v>100</v>
      </c>
      <c r="D31" s="45">
        <f>+D154</f>
        <v>33000</v>
      </c>
      <c r="E31" s="59">
        <f t="shared" si="0"/>
        <v>109090</v>
      </c>
    </row>
    <row r="32" spans="1:5" x14ac:dyDescent="0.3">
      <c r="B32" s="2">
        <v>9</v>
      </c>
      <c r="C32" s="35" t="s">
        <v>101</v>
      </c>
      <c r="D32" s="45">
        <f>+D161</f>
        <v>16990</v>
      </c>
      <c r="E32" s="59">
        <f t="shared" si="0"/>
        <v>56160</v>
      </c>
    </row>
    <row r="33" spans="1:7" x14ac:dyDescent="0.3">
      <c r="B33" s="2">
        <v>10</v>
      </c>
      <c r="C33" s="35" t="s">
        <v>154</v>
      </c>
      <c r="D33" s="53">
        <f>TRUNC(SUM(D24:D32)*0.275,-1)</f>
        <v>291670</v>
      </c>
      <c r="E33" s="60">
        <f t="shared" si="0"/>
        <v>964200</v>
      </c>
    </row>
    <row r="34" spans="1:7" x14ac:dyDescent="0.3">
      <c r="C34" s="35" t="s">
        <v>112</v>
      </c>
      <c r="D34" s="44">
        <f>SUM(D24:D33)</f>
        <v>1352290</v>
      </c>
      <c r="E34" s="44">
        <f>SUM(E24:E33)</f>
        <v>4470360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TRUNC(11025.0395493494,-1)</f>
        <v>11020</v>
      </c>
      <c r="E37" s="61">
        <f>TRUNC(+D37*3.3058,-1)</f>
        <v>36420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TRUNC(29731.213977474,-1)</f>
        <v>29730</v>
      </c>
      <c r="E40" s="62">
        <f t="shared" ref="E40:E59" si="1">TRUNC(+D40*3.3058,-1)</f>
        <v>98280</v>
      </c>
    </row>
    <row r="41" spans="1:7" x14ac:dyDescent="0.3">
      <c r="A41" s="2">
        <v>2</v>
      </c>
      <c r="C41" s="38" t="s">
        <v>13</v>
      </c>
      <c r="D41" s="42">
        <f>TRUNC(105998.08956256,-1)</f>
        <v>105990</v>
      </c>
      <c r="E41" s="63">
        <f t="shared" si="1"/>
        <v>350380</v>
      </c>
    </row>
    <row r="42" spans="1:7" x14ac:dyDescent="0.3">
      <c r="A42" s="2">
        <v>3</v>
      </c>
      <c r="C42" s="38" t="s">
        <v>14</v>
      </c>
      <c r="D42" s="42">
        <f>TRUNC(2617.9868810323,-1)</f>
        <v>2610</v>
      </c>
      <c r="E42" s="63">
        <f t="shared" si="1"/>
        <v>8620</v>
      </c>
    </row>
    <row r="43" spans="1:7" x14ac:dyDescent="0.3">
      <c r="A43" s="2">
        <v>4</v>
      </c>
      <c r="C43" s="38" t="s">
        <v>16</v>
      </c>
      <c r="D43" s="42">
        <f>TRUNC(9920.79333548612,-1)</f>
        <v>9920</v>
      </c>
      <c r="E43" s="63">
        <f t="shared" si="1"/>
        <v>32790</v>
      </c>
    </row>
    <row r="44" spans="1:7" x14ac:dyDescent="0.3">
      <c r="A44" s="2">
        <v>5</v>
      </c>
      <c r="C44" s="38" t="s">
        <v>17</v>
      </c>
      <c r="D44" s="42">
        <f>TRUNC(28408.7311916341,-1)</f>
        <v>28400</v>
      </c>
      <c r="E44" s="63">
        <f t="shared" si="1"/>
        <v>93880</v>
      </c>
    </row>
    <row r="45" spans="1:7" x14ac:dyDescent="0.3">
      <c r="A45" s="2">
        <v>6</v>
      </c>
      <c r="C45" s="38" t="s">
        <v>18</v>
      </c>
      <c r="D45" s="42">
        <f>TRUNC(4410.9227964081,-1)</f>
        <v>4410</v>
      </c>
      <c r="E45" s="63">
        <f t="shared" si="1"/>
        <v>14570</v>
      </c>
    </row>
    <row r="46" spans="1:7" x14ac:dyDescent="0.3">
      <c r="A46" s="2">
        <v>7</v>
      </c>
      <c r="C46" s="38" t="s">
        <v>19</v>
      </c>
      <c r="D46" s="42">
        <f>TRUNC(33480.0230935583,-1)</f>
        <v>33480</v>
      </c>
      <c r="E46" s="63">
        <f t="shared" si="1"/>
        <v>110670</v>
      </c>
    </row>
    <row r="47" spans="1:7" x14ac:dyDescent="0.3">
      <c r="A47" s="2">
        <v>8</v>
      </c>
      <c r="C47" s="38" t="s">
        <v>20</v>
      </c>
      <c r="D47" s="42">
        <f>TRUNC(45.8400607999896,-1)</f>
        <v>40</v>
      </c>
      <c r="E47" s="63">
        <f t="shared" si="1"/>
        <v>130</v>
      </c>
    </row>
    <row r="48" spans="1:7" x14ac:dyDescent="0.3">
      <c r="A48" s="2">
        <v>9</v>
      </c>
      <c r="C48" s="38" t="s">
        <v>21</v>
      </c>
      <c r="D48" s="42">
        <f>TRUNC(61665.7427612459,-1)</f>
        <v>61660</v>
      </c>
      <c r="E48" s="63">
        <f t="shared" si="1"/>
        <v>203830</v>
      </c>
    </row>
    <row r="49" spans="1:7" x14ac:dyDescent="0.3">
      <c r="A49" s="2">
        <v>10</v>
      </c>
      <c r="C49" s="38" t="s">
        <v>22</v>
      </c>
      <c r="D49" s="42">
        <f>TRUNC(22691.8978468845,-1)</f>
        <v>22690</v>
      </c>
      <c r="E49" s="63">
        <f t="shared" si="1"/>
        <v>75000</v>
      </c>
    </row>
    <row r="50" spans="1:7" x14ac:dyDescent="0.3">
      <c r="A50" s="2">
        <v>11</v>
      </c>
      <c r="C50" s="38" t="s">
        <v>155</v>
      </c>
      <c r="D50" s="42">
        <f>TRUNC(26386.8797275743,-1)</f>
        <v>26380</v>
      </c>
      <c r="E50" s="63">
        <f t="shared" si="1"/>
        <v>87200</v>
      </c>
    </row>
    <row r="51" spans="1:7" x14ac:dyDescent="0.3">
      <c r="A51" s="2">
        <v>12</v>
      </c>
      <c r="C51" s="38" t="s">
        <v>23</v>
      </c>
      <c r="D51" s="42">
        <f>TRUNC(8132.82432912887,-1)</f>
        <v>8130</v>
      </c>
      <c r="E51" s="63">
        <f t="shared" si="1"/>
        <v>26870</v>
      </c>
    </row>
    <row r="52" spans="1:7" x14ac:dyDescent="0.3">
      <c r="A52" s="2">
        <v>13</v>
      </c>
      <c r="C52" s="38" t="s">
        <v>24</v>
      </c>
      <c r="D52" s="42">
        <f>TRUNC(7278.57681054475,-1)</f>
        <v>7270</v>
      </c>
      <c r="E52" s="63">
        <f t="shared" si="1"/>
        <v>24030</v>
      </c>
    </row>
    <row r="53" spans="1:7" x14ac:dyDescent="0.3">
      <c r="A53" s="2">
        <v>14</v>
      </c>
      <c r="C53" s="38" t="s">
        <v>25</v>
      </c>
      <c r="D53" s="42">
        <f>TRUNC(28441.066739731,-1)</f>
        <v>28440</v>
      </c>
      <c r="E53" s="63">
        <f t="shared" si="1"/>
        <v>94010</v>
      </c>
    </row>
    <row r="54" spans="1:7" x14ac:dyDescent="0.3">
      <c r="A54" s="2">
        <v>15</v>
      </c>
      <c r="C54" s="38" t="s">
        <v>147</v>
      </c>
      <c r="D54" s="42">
        <f>TRUNC(19124.8100815777,-1)</f>
        <v>19120</v>
      </c>
      <c r="E54" s="63">
        <f t="shared" si="1"/>
        <v>63200</v>
      </c>
    </row>
    <row r="55" spans="1:7" x14ac:dyDescent="0.3">
      <c r="A55" s="2">
        <v>16</v>
      </c>
      <c r="C55" s="38" t="s">
        <v>144</v>
      </c>
      <c r="D55" s="42">
        <f>TRUNC(1235.05099827451,-1)</f>
        <v>1230</v>
      </c>
      <c r="E55" s="63">
        <f t="shared" si="1"/>
        <v>4060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TRUNC(571.766820297542+949.040214757045+9105.20290039435+14565.4958428333+4686.34495513391+8934.38428594261-349.506978625411,-1)</f>
        <v>38460</v>
      </c>
      <c r="E58" s="63">
        <f t="shared" si="1"/>
        <v>127140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TRUNC(125712.622195258,-1)</f>
        <v>125710</v>
      </c>
      <c r="E59" s="64">
        <f t="shared" si="1"/>
        <v>415570</v>
      </c>
      <c r="F59" s="2" t="s">
        <v>260</v>
      </c>
    </row>
    <row r="60" spans="1:7" x14ac:dyDescent="0.3">
      <c r="A60" s="2">
        <v>21</v>
      </c>
      <c r="C60" s="27" t="s">
        <v>112</v>
      </c>
      <c r="D60" s="39">
        <f>SUM(D40:D59)</f>
        <v>553670</v>
      </c>
      <c r="E60" s="39">
        <f>SUM(E40:E59)</f>
        <v>1830230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TRUNC(11338.0989891676,-1)</f>
        <v>11330</v>
      </c>
      <c r="E63" s="62">
        <f>TRUNC(+D63*3.3058,-1)</f>
        <v>37450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TRUNC(34131.0138659204+13947.3411420874,-1)</f>
        <v>48070</v>
      </c>
      <c r="E65" s="64">
        <f>TRUNC(+D65*3.3058,-1)</f>
        <v>158900</v>
      </c>
      <c r="F65" s="2" t="s">
        <v>256</v>
      </c>
    </row>
    <row r="66" spans="1:7" x14ac:dyDescent="0.3">
      <c r="A66" s="2">
        <v>4</v>
      </c>
      <c r="C66" s="27" t="s">
        <v>112</v>
      </c>
      <c r="D66" s="39">
        <f>SUM(D63:D65)</f>
        <v>59400</v>
      </c>
      <c r="E66" s="65">
        <f>SUM(E63:E65)</f>
        <v>196350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TRUNC(25781.2898143708,-1)</f>
        <v>25780</v>
      </c>
      <c r="E69" s="62">
        <f>TRUNC(+D69*3.3058,-1)</f>
        <v>85220</v>
      </c>
    </row>
    <row r="70" spans="1:7" ht="16.5" customHeight="1" x14ac:dyDescent="0.3">
      <c r="A70" s="2">
        <v>2</v>
      </c>
      <c r="C70" s="38" t="s">
        <v>31</v>
      </c>
      <c r="D70" s="42">
        <f>TRUNC(621.948502669785,-1)</f>
        <v>620</v>
      </c>
      <c r="E70" s="63">
        <f>TRUNC(+D70*3.3058,-1)</f>
        <v>2040</v>
      </c>
    </row>
    <row r="71" spans="1:7" x14ac:dyDescent="0.3">
      <c r="A71" s="2">
        <v>3</v>
      </c>
      <c r="C71" s="38" t="s">
        <v>32</v>
      </c>
      <c r="D71" s="42">
        <f>TRUNC(22676.8741498929,-1)</f>
        <v>22670</v>
      </c>
      <c r="E71" s="63">
        <f t="shared" ref="E71:E73" si="2">TRUNC(+D71*3.3058,-1)</f>
        <v>74940</v>
      </c>
    </row>
    <row r="72" spans="1:7" x14ac:dyDescent="0.3">
      <c r="A72" s="2">
        <v>4</v>
      </c>
      <c r="C72" s="38" t="s">
        <v>33</v>
      </c>
      <c r="D72" s="42">
        <f>TRUNC(5923.24245952919,-1)</f>
        <v>5920</v>
      </c>
      <c r="E72" s="63">
        <f t="shared" si="2"/>
        <v>19570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TRUNC(1834.79788243813,-1)</f>
        <v>1830</v>
      </c>
      <c r="E75" s="63">
        <f>TRUNC(+D75*3.3058,-1)</f>
        <v>6040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TRUNC(26515.8143578001,-1)</f>
        <v>26510</v>
      </c>
      <c r="E78" s="63">
        <f t="shared" si="3"/>
        <v>87630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TRUNC(10166.0868813585,-1)</f>
        <v>10160</v>
      </c>
      <c r="E81" s="63">
        <f t="shared" si="3"/>
        <v>33580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TRUNC(12085.2401827914,-1)</f>
        <v>12080</v>
      </c>
      <c r="E84" s="63">
        <f>TRUNC(+D84*3.3058,-1)</f>
        <v>39930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f>TRUNC(1315.01342231529,-1)</f>
        <v>1310</v>
      </c>
      <c r="E90" s="63">
        <f>TRUNC(+D90*3.3058,-1)</f>
        <v>4330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TRUNC(34084.8525176219,-1)</f>
        <v>34080</v>
      </c>
      <c r="E93" s="63">
        <f>TRUNC(+D93*3.3058,-1)</f>
        <v>112660</v>
      </c>
      <c r="F93" s="2" t="s">
        <v>261</v>
      </c>
    </row>
    <row r="94" spans="1:7" ht="17.25" thickBot="1" x14ac:dyDescent="0.35">
      <c r="A94" s="2">
        <v>26</v>
      </c>
      <c r="C94" s="38" t="s">
        <v>47</v>
      </c>
      <c r="D94" s="43">
        <f>TRUNC(15406.3040847547+20061.4109250797+909.873474699833+3734.45751339785,-1)</f>
        <v>40110</v>
      </c>
      <c r="E94" s="64">
        <f>TRUNC(+D94*3.3058,-1)</f>
        <v>132590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181070</v>
      </c>
      <c r="E95" s="39">
        <f>SUM(E69:E94)</f>
        <v>598530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TRUNC(9445.81152003236,-1)</f>
        <v>9440</v>
      </c>
      <c r="E98" s="62">
        <f t="shared" ref="E98:E118" si="4">TRUNC(+D98*3.3058,-1)</f>
        <v>31200</v>
      </c>
    </row>
    <row r="99" spans="1:7" x14ac:dyDescent="0.3">
      <c r="A99" s="2">
        <v>2</v>
      </c>
      <c r="C99" s="38" t="s">
        <v>40</v>
      </c>
      <c r="D99" s="42">
        <f>TRUNC(4500.56380247832,-1)</f>
        <v>4500</v>
      </c>
      <c r="E99" s="63">
        <f t="shared" si="4"/>
        <v>14870</v>
      </c>
    </row>
    <row r="100" spans="1:7" x14ac:dyDescent="0.3">
      <c r="A100" s="2">
        <v>3</v>
      </c>
      <c r="C100" s="38" t="s">
        <v>41</v>
      </c>
      <c r="D100" s="42">
        <f>TRUNC(21806.163827268,-1)</f>
        <v>21800</v>
      </c>
      <c r="E100" s="63">
        <f t="shared" si="4"/>
        <v>72060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TRUNC(5765.95836635908,-1)</f>
        <v>5760</v>
      </c>
      <c r="E102" s="63">
        <f t="shared" si="4"/>
        <v>19040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TRUNC(1138.19814794882,-1)</f>
        <v>1130</v>
      </c>
      <c r="E104" s="63">
        <f t="shared" si="4"/>
        <v>3730</v>
      </c>
    </row>
    <row r="105" spans="1:7" x14ac:dyDescent="0.3">
      <c r="A105" s="2">
        <v>8</v>
      </c>
      <c r="C105" s="38" t="s">
        <v>46</v>
      </c>
      <c r="D105" s="42">
        <f>TRUNC(1867.17436615032,-1)</f>
        <v>1860</v>
      </c>
      <c r="E105" s="63">
        <f t="shared" si="4"/>
        <v>6140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TRUNC(858.642307529218,-1)</f>
        <v>850</v>
      </c>
      <c r="E114" s="63">
        <f t="shared" si="4"/>
        <v>2800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f>TRUNC(3695.0673399026,-1)</f>
        <v>3690</v>
      </c>
      <c r="E115" s="63">
        <f t="shared" si="4"/>
        <v>12190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TRUNC(14710.7270882872+53574.2826481918,-1)</f>
        <v>68280</v>
      </c>
      <c r="E117" s="63">
        <f t="shared" si="4"/>
        <v>225720</v>
      </c>
      <c r="F117" s="2" t="s">
        <v>262</v>
      </c>
    </row>
    <row r="118" spans="1:7" ht="17.25" thickBot="1" x14ac:dyDescent="0.35">
      <c r="A118" s="2">
        <v>21</v>
      </c>
      <c r="C118" s="38" t="s">
        <v>47</v>
      </c>
      <c r="D118" s="43">
        <f>TRUNC(264.944924472974+144.44645588902,-1)</f>
        <v>400</v>
      </c>
      <c r="E118" s="64">
        <f t="shared" si="4"/>
        <v>1320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117710</v>
      </c>
      <c r="E119" s="39">
        <f>SUM(E98:E118)</f>
        <v>389070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TRUNC(1361.95140567358,-1)</f>
        <v>1360</v>
      </c>
      <c r="E122" s="62">
        <f t="shared" ref="E122:E132" si="5">TRUNC(+D122*3.3058,-1)</f>
        <v>4490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f>TRUNC(588.534765916778,-1)</f>
        <v>580</v>
      </c>
      <c r="E124" s="63">
        <f t="shared" si="5"/>
        <v>1910</v>
      </c>
    </row>
    <row r="125" spans="1:7" x14ac:dyDescent="0.3">
      <c r="A125" s="2">
        <v>4</v>
      </c>
      <c r="C125" s="38" t="s">
        <v>138</v>
      </c>
      <c r="D125" s="42">
        <f>TRUNC(9002.40900387828,-1)</f>
        <v>9000</v>
      </c>
      <c r="E125" s="63">
        <f t="shared" si="5"/>
        <v>29750</v>
      </c>
    </row>
    <row r="126" spans="1:7" x14ac:dyDescent="0.3">
      <c r="A126" s="2">
        <v>5</v>
      </c>
      <c r="C126" s="38" t="s">
        <v>53</v>
      </c>
      <c r="D126" s="42">
        <f>TRUNC(658.529449179494,-1)</f>
        <v>650</v>
      </c>
      <c r="E126" s="63">
        <f t="shared" si="5"/>
        <v>2140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TRUNC(948.193450953914,-1)</f>
        <v>940</v>
      </c>
      <c r="E128" s="63">
        <f t="shared" si="5"/>
        <v>3100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TRUNC(14409.4887451521,-1)</f>
        <v>14400</v>
      </c>
      <c r="E130" s="63">
        <f t="shared" si="5"/>
        <v>47600</v>
      </c>
    </row>
    <row r="131" spans="1:7" x14ac:dyDescent="0.3">
      <c r="A131" s="2">
        <v>10</v>
      </c>
      <c r="C131" s="38" t="s">
        <v>148</v>
      </c>
      <c r="D131" s="42">
        <f>TRUNC(19713.5159290101,-1)</f>
        <v>19710</v>
      </c>
      <c r="E131" s="63">
        <f t="shared" si="5"/>
        <v>65150</v>
      </c>
      <c r="F131" s="2" t="s">
        <v>261</v>
      </c>
    </row>
    <row r="132" spans="1:7" ht="18" thickBot="1" x14ac:dyDescent="0.35">
      <c r="A132" s="2">
        <v>11</v>
      </c>
      <c r="C132" s="38" t="s">
        <v>47</v>
      </c>
      <c r="D132" s="43">
        <f>TRUNC(3498.4483607814+97.8540604542385,-1)</f>
        <v>3590</v>
      </c>
      <c r="E132" s="64">
        <f t="shared" si="5"/>
        <v>11860</v>
      </c>
      <c r="F132" s="54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50230</v>
      </c>
      <c r="E133" s="39">
        <f>SUM(E122:E132)</f>
        <v>166000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TRUNC(30169.1837992818,-1)</f>
        <v>30160</v>
      </c>
      <c r="E136" s="62">
        <f t="shared" ref="E136:E145" si="6">TRUNC(+D136*3.3058,-1)</f>
        <v>99700</v>
      </c>
    </row>
    <row r="137" spans="1:7" x14ac:dyDescent="0.3">
      <c r="A137" s="2">
        <v>2</v>
      </c>
      <c r="C137" s="38" t="s">
        <v>47</v>
      </c>
      <c r="D137" s="42">
        <f>TRUNC(7375.4210170951,-1)</f>
        <v>7370</v>
      </c>
      <c r="E137" s="63">
        <f t="shared" si="6"/>
        <v>24360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37530</v>
      </c>
      <c r="E146" s="39">
        <f>SUM(E136:E145)</f>
        <v>124060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TRUNC(2340.08738367599+1104.57223097472,-1)</f>
        <v>3440</v>
      </c>
      <c r="E149" s="62">
        <f>TRUNC(+D149*3.3058,-1)</f>
        <v>11370</v>
      </c>
    </row>
    <row r="150" spans="1:7" x14ac:dyDescent="0.3">
      <c r="A150" s="2">
        <v>2</v>
      </c>
      <c r="C150" s="38" t="s">
        <v>49</v>
      </c>
      <c r="D150" s="42">
        <f>TRUNC(2908.52292557546,-1)</f>
        <v>2900</v>
      </c>
      <c r="E150" s="63">
        <f>TRUNC(+D150*3.3058,-1)</f>
        <v>9580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TRUNC(13292.850456163+1299.8276137635+411.696006575793+11665.318890074,-1)</f>
        <v>26660</v>
      </c>
      <c r="E152" s="63">
        <f>TRUNC(+D152*3.3058,-1)</f>
        <v>88130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33000</v>
      </c>
      <c r="E154" s="39">
        <f>SUM(E149:E153)</f>
        <v>109080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TRUNC(8154.67954426102,-1)</f>
        <v>8150</v>
      </c>
      <c r="E157" s="62">
        <f>TRUNC(+D157*3.3058,-1)</f>
        <v>26940</v>
      </c>
    </row>
    <row r="158" spans="1:7" x14ac:dyDescent="0.3">
      <c r="A158" s="2">
        <v>2</v>
      </c>
      <c r="C158" s="38" t="s">
        <v>52</v>
      </c>
      <c r="D158" s="42">
        <f>TRUNC(2391.65060229174,-1)</f>
        <v>2390</v>
      </c>
      <c r="E158" s="63">
        <f>TRUNC(+D158*3.3058,-1)</f>
        <v>7900</v>
      </c>
    </row>
    <row r="159" spans="1:7" x14ac:dyDescent="0.3">
      <c r="A159" s="2">
        <v>3</v>
      </c>
      <c r="C159" s="38" t="s">
        <v>47</v>
      </c>
      <c r="D159" s="42">
        <f>TRUNC(6415.88236637213+42.1033404114437,-1)</f>
        <v>6450</v>
      </c>
      <c r="E159" s="63">
        <f>TRUNC(+D159*3.3058,-1)</f>
        <v>21320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16990</v>
      </c>
      <c r="E161" s="39">
        <f>SUM(E157:E160)</f>
        <v>56160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2020-12-07T09:09:11Z</dcterms:modified>
</cp:coreProperties>
</file>