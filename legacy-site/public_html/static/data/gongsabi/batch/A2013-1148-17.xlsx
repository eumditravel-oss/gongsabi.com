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2" i="4"/>
  <c r="E141" i="4"/>
  <c r="E140" i="4"/>
  <c r="E139" i="4"/>
  <c r="E138" i="4"/>
  <c r="E136" i="4"/>
  <c r="E129" i="4"/>
  <c r="E127" i="4"/>
  <c r="E124" i="4"/>
  <c r="E123" i="4"/>
  <c r="E122" i="4"/>
  <c r="E116" i="4"/>
  <c r="E115" i="4"/>
  <c r="E114" i="4"/>
  <c r="E113" i="4"/>
  <c r="E112" i="4"/>
  <c r="E111" i="4"/>
  <c r="E110" i="4"/>
  <c r="E109" i="4"/>
  <c r="E107" i="4"/>
  <c r="E106" i="4"/>
  <c r="E103" i="4"/>
  <c r="E102" i="4"/>
  <c r="E101" i="4"/>
  <c r="E100" i="4"/>
  <c r="E99" i="4"/>
  <c r="E91" i="4"/>
  <c r="E90" i="4"/>
  <c r="E88" i="4"/>
  <c r="E87" i="4"/>
  <c r="E86" i="4"/>
  <c r="E84" i="4"/>
  <c r="E83" i="4"/>
  <c r="E82" i="4"/>
  <c r="E80" i="4"/>
  <c r="E79" i="4"/>
  <c r="E78" i="4"/>
  <c r="E77" i="4"/>
  <c r="E76" i="4"/>
  <c r="E75" i="4"/>
  <c r="E74" i="4"/>
  <c r="E73" i="4"/>
  <c r="E72" i="4"/>
  <c r="E71" i="4"/>
  <c r="E70" i="4"/>
  <c r="E66" i="4"/>
  <c r="E65" i="4"/>
  <c r="E64" i="4"/>
  <c r="E63" i="4"/>
  <c r="E57" i="4"/>
  <c r="E56" i="4"/>
  <c r="E161" i="4" l="1"/>
  <c r="D131" i="4"/>
  <c r="E131" i="4" s="1"/>
  <c r="D132" i="4"/>
  <c r="E132" i="4" s="1"/>
  <c r="D130" i="4"/>
  <c r="E130" i="4" s="1"/>
  <c r="D128" i="4"/>
  <c r="E128" i="4" s="1"/>
  <c r="E133" i="4" s="1"/>
  <c r="D126" i="4"/>
  <c r="E126" i="4" s="1"/>
  <c r="D125" i="4"/>
  <c r="E125" i="4" s="1"/>
  <c r="D117" i="4"/>
  <c r="E117" i="4" s="1"/>
  <c r="D144" i="4"/>
  <c r="E144" i="4" s="1"/>
  <c r="D143" i="4"/>
  <c r="E143" i="4" s="1"/>
  <c r="D137" i="4"/>
  <c r="E137" i="4" s="1"/>
  <c r="D118" i="4"/>
  <c r="E118" i="4" s="1"/>
  <c r="D108" i="4"/>
  <c r="E108" i="4" s="1"/>
  <c r="D105" i="4"/>
  <c r="E105" i="4" s="1"/>
  <c r="D104" i="4"/>
  <c r="E104" i="4" s="1"/>
  <c r="D98" i="4"/>
  <c r="E98" i="4" s="1"/>
  <c r="D94" i="4"/>
  <c r="E94" i="4" s="1"/>
  <c r="D93" i="4"/>
  <c r="E93" i="4" s="1"/>
  <c r="D92" i="4"/>
  <c r="E92" i="4" s="1"/>
  <c r="D89" i="4"/>
  <c r="E89" i="4" s="1"/>
  <c r="D85" i="4"/>
  <c r="E85" i="4" s="1"/>
  <c r="D81" i="4"/>
  <c r="E81" i="4" s="1"/>
  <c r="D69" i="4"/>
  <c r="E69" i="4" s="1"/>
  <c r="D59" i="4"/>
  <c r="E59" i="4" s="1"/>
  <c r="D159" i="4"/>
  <c r="E159" i="4" s="1"/>
  <c r="D152" i="4"/>
  <c r="E152" i="4" s="1"/>
  <c r="E154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60" i="4" l="1"/>
  <c r="E119" i="4"/>
  <c r="E60" i="4"/>
  <c r="E95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5" i="4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<sst xmlns="http://schemas.openxmlformats.org/spreadsheetml/2006/main" count="391" uniqueCount="266">
  <si>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</si>
  <si>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</si>
  <si>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</si>
  <si>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</si>
  <si>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</si>
  <si>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</si>
  <si>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</si>
  <si>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</si>
  <si>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</si>
  <si>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</si>
  <si>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</si>
  <si>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</si>
  <si>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</si>
  <si>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</si>
  <si>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</si>
  <si>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</si>
  <si>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</si>
  <si>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</si>
  <si>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</si>
  <si>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</si>
  <si>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</si>
  <si>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</si>
  <si>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</si>
  <si>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</si>
  <si>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</si>
  <si>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</si>
  <si>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</si>
  <si>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</si>
  <si>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</si>
  <si>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</si>
  <si>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</si>
  <si>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</si>
  <si>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</si>
  <si>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</si>
  <si>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</si>
  <si>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</si>
  <si>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</si>
  <si>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</si>
  <si>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</si>
  <si>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</si>
  <si>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</si>
  <si>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</si>
  <si>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</si>
  <si>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</si>
  <si>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</si>
  <si>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</si>
  <si>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</si>
  <si>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</si>
  <si>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</si>
  <si>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</si>
  <si>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</si>
  <si>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</si>
  <si>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</si>
  <si>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</si>
  <si>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</si>
  <si>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</si>
  <si>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</si>
  <si>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</si>
  <si>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</si>
  <si>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</si>
  <si>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</si>
  <si>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</si>
  <si>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</si>
  <si>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</si>
  <si>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</si>
  <si>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</si>
  <si>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</si>
  <si>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</si>
  <si>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</si>
  <si>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</si>
  <si>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</si>
  <si>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</si>
  <si>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</si>
  <si>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</si>
  <si>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</si>
  <si>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</si>
  <si>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</si>
  <si>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</si>
  <si>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</si>
  <si>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</si>
  <si>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</si>
  <si>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</si>
  <si>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</si>
  <si>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</si>
  <si>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</si>
  <si>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</si>
  <si>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</si>
  <si>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</si>
  <si>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</si>
  <si>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</si>
  <si>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</si>
  <si>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</si>
  <si>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</si>
  <si>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</si>
  <si>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</si>
  <si>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</si>
  <si>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</si>
  <si>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</si>
  <si>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</si>
  <si>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</si>
  <si>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</si>
  <si>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</si>
  <si>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</si>
  <si>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</si>
  <si>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</si>
  <si>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</si>
  <si>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</si>
  <si>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</si>
  <si>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</si>
  <si>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</si>
  <si>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</si>
  <si>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</si>
  <si>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</si>
  <si>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</si>
  <si>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</si>
  <si>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</si>
  <si>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</si>
  <si>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</si>
  <si>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</si>
  <si>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</si>
  <si>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</si>
  <si>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</si>
  <si>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</si>
  <si>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</si>
  <si>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</si>
  <si>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</si>
  <si>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</si>
  <si>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</si>
  <si>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</si>
  <si>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</si>
  <si>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</si>
  <si>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</si>
  <si>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</si>
  <si>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</si>
  <si>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</si>
  <si>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</si>
  <si>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</si>
  <si>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</si>
  <si>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</si>
  <si>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</si>
  <si>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</si>
  <si>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</si>
  <si>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</si>
  <si>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</si>
  <si>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</si>
  <si>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</si>
  <si>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</si>
  <si>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</si>
  <si>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</si>
  <si>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</si>
  <si>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</si>
  <si>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</si>
  <si>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</si>
  <si>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</si>
  <si>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</si>
  <si>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</si>
  <si>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</si>
  <si>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</si>
  <si>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</si>
  <si>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</si>
  <si>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</si>
  <si>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</si>
  <si>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</si>
  <si>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</si>
  <si>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</si>
  <si>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</si>
  <si>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</si>
  <si>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</si>
  <si>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</si>
  <si>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</si>
  <si>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</si>
  <si>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</si>
  <si>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</si>
  <si>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</si>
  <si>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</si>
  <si>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</si>
  <si>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</si>
  <si>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</si>
  <si>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</si>
  <si>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</si>
  <si>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</si>
  <si>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</si>
  <si>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</si>
  <si>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</si>
  <si>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</si>
  <si>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</si>
  <si>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</si>
  <si>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</si>
  <si>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</si>
  <si>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</si>
  <si>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</si>
  <si>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</si>
  <si>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</si>
  <si>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</si>
  <si>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</si>
  <si>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</si>
  <si>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</si>
  <si>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</si>
  <si>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</si>
  <si>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</si>
  <si>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</si>
  <si>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</si>
  <si>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</si>
  <si>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</si>
  <si>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</si>
  <si>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</si>
  <si>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</si>
  <si>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</si>
  <si>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</si>
  <si>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</si>
  <si>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</si>
  <si>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</si>
  <si>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</si>
  <si>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</si>
  <si>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</si>
  <si>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</si>
  <si>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</si>
  <si>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</si>
  <si>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</si>
  <si>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</si>
  <si>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</si>
  <si>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</si>
  <si>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</si>
  <si>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</si>
  <si>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</si>
  <si>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</si>
  <si>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</si>
  <si>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</si>
  <si>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</si>
  <si>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</si>
  <si>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</si>
  <si>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</si>
  <si>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</si>
  <si>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</si>
  <si>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</si>
  <si>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</si>
  <si>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</si>
  <si>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</si>
  <si>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</si>
  <si>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</si>
  <si>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</si>
  <si>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</si>
  <si>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</si>
  <si>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</si>
  <si>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</si>
  <si>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</si>
  <si>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</si>
  <si>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</si>
  <si>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00유초등학교 신축공사</t>
    <phoneticPr fontId="2" type="noConversion"/>
  </si>
  <si>
    <t>교육연구</t>
  </si>
  <si>
    <t>세종시</t>
  </si>
  <si>
    <t>토및지정공사,기타공사,골재대,운반비,작업부산물</t>
    <phoneticPr fontId="2" type="noConversion"/>
  </si>
  <si>
    <t>토목공사</t>
  </si>
  <si>
    <t>조경공사</t>
  </si>
  <si>
    <t>위생,오배수,급배수배관공사</t>
    <phoneticPr fontId="2" type="noConversion"/>
  </si>
  <si>
    <t>전력간선 및 분전반공사</t>
    <phoneticPr fontId="2" type="noConversion"/>
  </si>
  <si>
    <t>난방설비공사</t>
    <phoneticPr fontId="2" type="noConversion"/>
  </si>
  <si>
    <t>전등,전열,수 배전반설비공사, 전열교환기전원공사,다목적강당조명공사,태양광설비간선공사,시각경보설비공사</t>
    <phoneticPr fontId="2" type="noConversion"/>
  </si>
  <si>
    <t>기계 소화배관공사, 전기 소방설비공사, 전기 방화샷타 및 방화문설비공사</t>
    <phoneticPr fontId="2" type="noConversion"/>
  </si>
  <si>
    <t>옥외CCTV공사,옥내간선설비공사,구내전송선로설비공사,구내CCTV설비공사</t>
    <phoneticPr fontId="2" type="noConversion"/>
  </si>
  <si>
    <t>배기덕트공사,가스메타기함설치공사,쓰레기자동집하시설설치공사,가스히트펌프냉난방기설치공사,관정시설설치공사,냉난방및공기순환장치부대공사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</si>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</sst>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10611</v>
      </c>
      <c r="D7" s="36">
        <f>+C7/3.3058</f>
        <v>3209.8130558412486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1810</v>
      </c>
      <c r="E24" s="58">
        <f t="shared" ref="E24:E33" si="0">TRUNC(+D24*3.3058,-1)</f>
        <v>5980</v>
      </c>
    </row>
    <row r="25" spans="1:5" x14ac:dyDescent="0.3">
      <c r="B25" s="2">
        <v>2</v>
      </c>
      <c r="C25" s="35" t="s">
        <v>111</v>
      </c>
      <c r="D25" s="45">
        <f>+D60</f>
        <v>1527480</v>
      </c>
      <c r="E25" s="59">
        <f t="shared" si="0"/>
        <v>5049540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354940</v>
      </c>
      <c r="E27" s="59">
        <f t="shared" si="0"/>
        <v>1173360</v>
      </c>
    </row>
    <row r="28" spans="1:5" x14ac:dyDescent="0.3">
      <c r="B28" s="2">
        <v>5</v>
      </c>
      <c r="C28" s="35" t="s">
        <v>97</v>
      </c>
      <c r="D28" s="45">
        <f>+D119</f>
        <v>206400</v>
      </c>
      <c r="E28" s="59">
        <f t="shared" si="0"/>
        <v>682310</v>
      </c>
    </row>
    <row r="29" spans="1:5" x14ac:dyDescent="0.3">
      <c r="B29" s="2">
        <v>6</v>
      </c>
      <c r="C29" s="35" t="s">
        <v>98</v>
      </c>
      <c r="D29" s="45">
        <f>+D133</f>
        <v>86500</v>
      </c>
      <c r="E29" s="59">
        <f t="shared" si="0"/>
        <v>285950</v>
      </c>
    </row>
    <row r="30" spans="1:5" x14ac:dyDescent="0.3">
      <c r="B30" s="2">
        <v>7</v>
      </c>
      <c r="C30" s="35" t="s">
        <v>99</v>
      </c>
      <c r="D30" s="45">
        <f>+D146</f>
        <v>36950</v>
      </c>
      <c r="E30" s="59">
        <f t="shared" si="0"/>
        <v>122140</v>
      </c>
    </row>
    <row r="31" spans="1:5" x14ac:dyDescent="0.3">
      <c r="B31" s="2">
        <v>8</v>
      </c>
      <c r="C31" s="35" t="s">
        <v>100</v>
      </c>
      <c r="D31" s="45">
        <f>+D154</f>
        <v>50400</v>
      </c>
      <c r="E31" s="59">
        <f t="shared" si="0"/>
        <v>166610</v>
      </c>
    </row>
    <row r="32" spans="1:5" x14ac:dyDescent="0.3">
      <c r="B32" s="2">
        <v>9</v>
      </c>
      <c r="C32" s="35" t="s">
        <v>101</v>
      </c>
      <c r="D32" s="45">
        <f>+D161</f>
        <v>35840</v>
      </c>
      <c r="E32" s="59">
        <f t="shared" si="0"/>
        <v>118470</v>
      </c>
    </row>
    <row r="33" spans="1:7" x14ac:dyDescent="0.3">
      <c r="B33" s="2">
        <v>10</v>
      </c>
      <c r="C33" s="35" t="s">
        <v>154</v>
      </c>
      <c r="D33" s="53">
        <f>TRUNC(SUM(D24:D32)*0.275,-1)</f>
        <v>632580</v>
      </c>
      <c r="E33" s="60">
        <f t="shared" si="0"/>
        <v>2091180</v>
      </c>
    </row>
    <row r="34" spans="1:7" x14ac:dyDescent="0.3">
      <c r="C34" s="35" t="s">
        <v>112</v>
      </c>
      <c r="D34" s="44">
        <f>SUM(D24:D33)</f>
        <v>2932900</v>
      </c>
      <c r="E34" s="44">
        <f>SUM(E24:E33)</f>
        <v>9695540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TRUNC(1814,-1)</f>
        <v>1810</v>
      </c>
      <c r="E37" s="61">
        <f>TRUNC(+D37*3.3058,-1)</f>
        <v>5980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TRUNC(28326,-1)</f>
        <v>28320</v>
      </c>
      <c r="E40" s="62">
        <f t="shared" ref="E40:E59" si="1">TRUNC(+D40*3.3058,-1)</f>
        <v>93620</v>
      </c>
    </row>
    <row r="41" spans="1:7" x14ac:dyDescent="0.3">
      <c r="A41" s="2">
        <v>2</v>
      </c>
      <c r="C41" s="38" t="s">
        <v>13</v>
      </c>
      <c r="D41" s="42">
        <f>TRUNC(110411,-1)</f>
        <v>110410</v>
      </c>
      <c r="E41" s="63">
        <f t="shared" si="1"/>
        <v>364990</v>
      </c>
    </row>
    <row r="42" spans="1:7" x14ac:dyDescent="0.3">
      <c r="A42" s="2">
        <v>3</v>
      </c>
      <c r="C42" s="38" t="s">
        <v>14</v>
      </c>
      <c r="D42" s="42">
        <f>TRUNC(7518,-1)</f>
        <v>7510</v>
      </c>
      <c r="E42" s="63">
        <f t="shared" si="1"/>
        <v>24820</v>
      </c>
    </row>
    <row r="43" spans="1:7" x14ac:dyDescent="0.3">
      <c r="A43" s="2">
        <v>4</v>
      </c>
      <c r="C43" s="38" t="s">
        <v>16</v>
      </c>
      <c r="D43" s="42">
        <f>TRUNC(28418,-1)</f>
        <v>28410</v>
      </c>
      <c r="E43" s="63">
        <f t="shared" si="1"/>
        <v>93910</v>
      </c>
    </row>
    <row r="44" spans="1:7" x14ac:dyDescent="0.3">
      <c r="A44" s="2">
        <v>5</v>
      </c>
      <c r="C44" s="38" t="s">
        <v>17</v>
      </c>
      <c r="D44" s="42">
        <f>TRUNC(25437,-1)</f>
        <v>25430</v>
      </c>
      <c r="E44" s="63">
        <f t="shared" si="1"/>
        <v>84060</v>
      </c>
    </row>
    <row r="45" spans="1:7" x14ac:dyDescent="0.3">
      <c r="A45" s="2">
        <v>6</v>
      </c>
      <c r="C45" s="38" t="s">
        <v>18</v>
      </c>
      <c r="D45" s="42">
        <f>TRUNC(7412,-1)</f>
        <v>7410</v>
      </c>
      <c r="E45" s="63">
        <f t="shared" si="1"/>
        <v>24490</v>
      </c>
    </row>
    <row r="46" spans="1:7" x14ac:dyDescent="0.3">
      <c r="A46" s="2">
        <v>7</v>
      </c>
      <c r="C46" s="38" t="s">
        <v>19</v>
      </c>
      <c r="D46" s="42">
        <f>TRUNC(33103,-1)</f>
        <v>33100</v>
      </c>
      <c r="E46" s="63">
        <f t="shared" si="1"/>
        <v>109420</v>
      </c>
    </row>
    <row r="47" spans="1:7" x14ac:dyDescent="0.3">
      <c r="A47" s="2">
        <v>8</v>
      </c>
      <c r="C47" s="38" t="s">
        <v>20</v>
      </c>
      <c r="D47" s="42">
        <f>TRUNC(18102,-1)</f>
        <v>18100</v>
      </c>
      <c r="E47" s="63">
        <f t="shared" si="1"/>
        <v>59830</v>
      </c>
    </row>
    <row r="48" spans="1:7" x14ac:dyDescent="0.3">
      <c r="A48" s="2">
        <v>9</v>
      </c>
      <c r="C48" s="38" t="s">
        <v>21</v>
      </c>
      <c r="D48" s="42">
        <f>TRUNC(69378,-1)</f>
        <v>69370</v>
      </c>
      <c r="E48" s="63">
        <f t="shared" si="1"/>
        <v>229320</v>
      </c>
    </row>
    <row r="49" spans="1:7" x14ac:dyDescent="0.3">
      <c r="A49" s="2">
        <v>10</v>
      </c>
      <c r="C49" s="38" t="s">
        <v>22</v>
      </c>
      <c r="D49" s="42">
        <f>TRUNC(23739,-1)</f>
        <v>23730</v>
      </c>
      <c r="E49" s="63">
        <f t="shared" si="1"/>
        <v>78440</v>
      </c>
    </row>
    <row r="50" spans="1:7" x14ac:dyDescent="0.3">
      <c r="A50" s="2">
        <v>11</v>
      </c>
      <c r="C50" s="38" t="s">
        <v>155</v>
      </c>
      <c r="D50" s="42">
        <f>TRUNC(49119,-1)</f>
        <v>49110</v>
      </c>
      <c r="E50" s="63">
        <f t="shared" si="1"/>
        <v>162340</v>
      </c>
    </row>
    <row r="51" spans="1:7" x14ac:dyDescent="0.3">
      <c r="A51" s="2">
        <v>12</v>
      </c>
      <c r="C51" s="38" t="s">
        <v>23</v>
      </c>
      <c r="D51" s="42">
        <f>TRUNC(21507,-1)</f>
        <v>21500</v>
      </c>
      <c r="E51" s="63">
        <f t="shared" si="1"/>
        <v>71070</v>
      </c>
    </row>
    <row r="52" spans="1:7" x14ac:dyDescent="0.3">
      <c r="A52" s="2">
        <v>13</v>
      </c>
      <c r="C52" s="38" t="s">
        <v>24</v>
      </c>
      <c r="D52" s="42">
        <f>TRUNC(4743,-1)</f>
        <v>4740</v>
      </c>
      <c r="E52" s="63">
        <f t="shared" si="1"/>
        <v>15660</v>
      </c>
    </row>
    <row r="53" spans="1:7" x14ac:dyDescent="0.3">
      <c r="A53" s="2">
        <v>14</v>
      </c>
      <c r="C53" s="38" t="s">
        <v>25</v>
      </c>
      <c r="D53" s="42">
        <f>TRUNC(72510,-1)</f>
        <v>72510</v>
      </c>
      <c r="E53" s="63">
        <f t="shared" si="1"/>
        <v>239700</v>
      </c>
    </row>
    <row r="54" spans="1:7" x14ac:dyDescent="0.3">
      <c r="A54" s="2">
        <v>15</v>
      </c>
      <c r="C54" s="38" t="s">
        <v>147</v>
      </c>
      <c r="D54" s="42">
        <f>TRUNC(6611,-1)</f>
        <v>6610</v>
      </c>
      <c r="E54" s="63">
        <f t="shared" si="1"/>
        <v>21850</v>
      </c>
    </row>
    <row r="55" spans="1:7" x14ac:dyDescent="0.3">
      <c r="A55" s="2">
        <v>16</v>
      </c>
      <c r="C55" s="38" t="s">
        <v>144</v>
      </c>
      <c r="D55" s="42">
        <f>TRUNC(13136,-1)</f>
        <v>13130</v>
      </c>
      <c r="E55" s="63">
        <f t="shared" si="1"/>
        <v>43400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TRUNC(33482+4693+7377+2029-1042,-1)</f>
        <v>46530</v>
      </c>
      <c r="E58" s="63">
        <f t="shared" si="1"/>
        <v>153810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TRUNC(961560,-1)</f>
        <v>961560</v>
      </c>
      <c r="E59" s="64">
        <f t="shared" si="1"/>
        <v>3178720</v>
      </c>
    </row>
    <row r="60" spans="1:7" x14ac:dyDescent="0.3">
      <c r="A60" s="2">
        <v>21</v>
      </c>
      <c r="C60" s="27" t="s">
        <v>112</v>
      </c>
      <c r="D60" s="39">
        <f>SUM(D40:D59)</f>
        <v>1527480</v>
      </c>
      <c r="E60" s="39">
        <f>SUM(E40:E59)</f>
        <v>5049450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TRUNC(9316,-1)</f>
        <v>9310</v>
      </c>
      <c r="E69" s="62">
        <f t="shared" ref="E69:E94" si="2">TRUNC(+D69*3.3058,-1)</f>
        <v>30770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TRUNC(4109,-1)</f>
        <v>4100</v>
      </c>
      <c r="E81" s="63">
        <f t="shared" si="2"/>
        <v>13550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TRUNC(356,-1)</f>
        <v>350</v>
      </c>
      <c r="E85" s="63">
        <f t="shared" si="2"/>
        <v>1150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TRUNC(35068,-1)</f>
        <v>35060</v>
      </c>
      <c r="E89" s="63">
        <f t="shared" si="2"/>
        <v>115900</v>
      </c>
      <c r="F89" s="2" t="s">
        <v>254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TRUNC(12221,-1)</f>
        <v>12220</v>
      </c>
      <c r="E92" s="63">
        <f t="shared" si="2"/>
        <v>40390</v>
      </c>
    </row>
    <row r="93" spans="1:7" x14ac:dyDescent="0.3">
      <c r="A93" s="2">
        <v>25</v>
      </c>
      <c r="C93" s="38" t="s">
        <v>148</v>
      </c>
      <c r="D93" s="42">
        <f>TRUNC(220422,-1)</f>
        <v>220420</v>
      </c>
      <c r="E93" s="63">
        <f t="shared" si="2"/>
        <v>728660</v>
      </c>
    </row>
    <row r="94" spans="1:7" ht="17.25" thickBot="1" x14ac:dyDescent="0.35">
      <c r="A94" s="2">
        <v>26</v>
      </c>
      <c r="C94" s="38" t="s">
        <v>47</v>
      </c>
      <c r="D94" s="43">
        <f>TRUNC(3225+1007+11643+55091+1763+754,-1)</f>
        <v>73480</v>
      </c>
      <c r="E94" s="64">
        <f t="shared" si="2"/>
        <v>242910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354940</v>
      </c>
      <c r="E95" s="39">
        <f>SUM(E69:E94)</f>
        <v>1173330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TRUNC(14363,-1)</f>
        <v>14360</v>
      </c>
      <c r="E98" s="62">
        <f t="shared" ref="E98:E118" si="3">TRUNC(+D98*3.3058,-1)</f>
        <v>47470</v>
      </c>
      <c r="F98" s="2" t="s">
        <v>255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TRUNC(1925,-1)</f>
        <v>1920</v>
      </c>
      <c r="E104" s="63">
        <f t="shared" si="3"/>
        <v>6340</v>
      </c>
    </row>
    <row r="105" spans="1:7" x14ac:dyDescent="0.3">
      <c r="A105" s="2">
        <v>8</v>
      </c>
      <c r="C105" s="38" t="s">
        <v>46</v>
      </c>
      <c r="D105" s="42">
        <f>TRUNC(7281,-1)</f>
        <v>7280</v>
      </c>
      <c r="E105" s="63">
        <f t="shared" si="3"/>
        <v>24060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TRUNC(2022,-1)</f>
        <v>2020</v>
      </c>
      <c r="E108" s="63">
        <f t="shared" si="3"/>
        <v>6670</v>
      </c>
      <c r="F108" s="2" t="s">
        <v>256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TRUNC(135733,-1)</f>
        <v>135730</v>
      </c>
      <c r="E117" s="63">
        <f t="shared" si="3"/>
        <v>448690</v>
      </c>
    </row>
    <row r="118" spans="1:7" ht="17.25" thickBot="1" x14ac:dyDescent="0.35">
      <c r="A118" s="2">
        <v>21</v>
      </c>
      <c r="C118" s="38" t="s">
        <v>47</v>
      </c>
      <c r="D118" s="43">
        <f>TRUNC(41479+1287+415+1404+507,-1)</f>
        <v>45090</v>
      </c>
      <c r="E118" s="64">
        <f t="shared" si="3"/>
        <v>149050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206400</v>
      </c>
      <c r="E119" s="39">
        <f>SUM(E98:E118)</f>
        <v>682280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TRUNC(4929,-1)</f>
        <v>4920</v>
      </c>
      <c r="E125" s="63">
        <f t="shared" si="4"/>
        <v>16260</v>
      </c>
    </row>
    <row r="126" spans="1:7" x14ac:dyDescent="0.3">
      <c r="A126" s="2">
        <v>5</v>
      </c>
      <c r="C126" s="38" t="s">
        <v>53</v>
      </c>
      <c r="D126" s="42">
        <f>TRUNC(2824,-1)</f>
        <v>2820</v>
      </c>
      <c r="E126" s="63">
        <f t="shared" si="4"/>
        <v>9320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TRUNC(3935,-1)</f>
        <v>3930</v>
      </c>
      <c r="E128" s="63">
        <f t="shared" si="4"/>
        <v>12990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TRUNC(9172,-1)</f>
        <v>9170</v>
      </c>
      <c r="E130" s="63">
        <f t="shared" si="4"/>
        <v>30310</v>
      </c>
    </row>
    <row r="131" spans="1:7" x14ac:dyDescent="0.3">
      <c r="A131" s="2">
        <v>10</v>
      </c>
      <c r="C131" s="38" t="s">
        <v>148</v>
      </c>
      <c r="D131" s="42">
        <f>TRUNC(53546,-1)</f>
        <v>53540</v>
      </c>
      <c r="E131" s="63">
        <f t="shared" si="4"/>
        <v>176990</v>
      </c>
    </row>
    <row r="132" spans="1:7" ht="18" thickBot="1" x14ac:dyDescent="0.35">
      <c r="A132" s="2">
        <v>11</v>
      </c>
      <c r="C132" s="38" t="s">
        <v>47</v>
      </c>
      <c r="D132" s="43">
        <f>TRUNC(1526+5870+1819+2913,-1)</f>
        <v>12120</v>
      </c>
      <c r="E132" s="64">
        <f t="shared" si="4"/>
        <v>40060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86500</v>
      </c>
      <c r="E133" s="39">
        <f>SUM(E122:E132)</f>
        <v>285930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TRUNC(21594+6190+1381,-1)</f>
        <v>29160</v>
      </c>
      <c r="E137" s="63">
        <f t="shared" si="5"/>
        <v>96390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TRUNC(2124,-1)</f>
        <v>2120</v>
      </c>
      <c r="E143" s="63">
        <f t="shared" si="5"/>
        <v>7000</v>
      </c>
    </row>
    <row r="144" spans="1:7" x14ac:dyDescent="0.3">
      <c r="A144" s="2">
        <v>9</v>
      </c>
      <c r="C144" s="38" t="s">
        <v>63</v>
      </c>
      <c r="D144" s="42">
        <f>TRUNC(5678,-1)</f>
        <v>5670</v>
      </c>
      <c r="E144" s="63">
        <f t="shared" si="5"/>
        <v>18740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36950</v>
      </c>
      <c r="E146" s="39">
        <f>SUM(E136:E145)</f>
        <v>122130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TRUNC(50404,-1)</f>
        <v>50400</v>
      </c>
      <c r="E152" s="63">
        <f>TRUNC(+D152*3.3058,-1)</f>
        <v>166610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50400</v>
      </c>
      <c r="E154" s="39">
        <f>SUM(E149:E153)</f>
        <v>166610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TRUNC(35841,-1)</f>
        <v>35840</v>
      </c>
      <c r="E159" s="63">
        <f>TRUNC(+D159*3.3058,-1)</f>
        <v>118470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35840</v>
      </c>
      <c r="E161" s="39">
        <f>SUM(E157:E160)</f>
        <v>118470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2020-12-07T09:34:41Z</dcterms:modified>
</cp:coreProperties>
</file>