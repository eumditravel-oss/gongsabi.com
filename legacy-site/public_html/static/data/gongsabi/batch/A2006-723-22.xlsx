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29" i="4"/>
  <c r="E127" i="4"/>
  <c r="E126" i="4"/>
  <c r="E124" i="4"/>
  <c r="E123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90" i="4"/>
  <c r="E89" i="4"/>
  <c r="E88" i="4"/>
  <c r="E87" i="4"/>
  <c r="E85" i="4"/>
  <c r="E84" i="4"/>
  <c r="E83" i="4"/>
  <c r="E82" i="4"/>
  <c r="E81" i="4"/>
  <c r="E80" i="4"/>
  <c r="E77" i="4"/>
  <c r="E76" i="4"/>
  <c r="E74" i="4"/>
  <c r="E71" i="4"/>
  <c r="E70" i="4"/>
  <c r="E65" i="4"/>
  <c r="E64" i="4"/>
  <c r="E63" i="4"/>
  <c r="E57" i="4"/>
  <c r="E56" i="4"/>
  <c r="E54" i="4"/>
  <c r="E47" i="4"/>
  <c r="E46" i="4"/>
  <c r="E66" i="4" l="1"/>
  <c r="E161" i="4"/>
  <c r="E154" i="4"/>
  <c r="D137" i="4"/>
  <c r="E137" i="4" s="1"/>
  <c r="D136" i="4"/>
  <c r="E136" i="4" s="1"/>
  <c r="E146" i="4" s="1"/>
  <c r="D132" i="4"/>
  <c r="E132" i="4" s="1"/>
  <c r="D131" i="4"/>
  <c r="E131" i="4" s="1"/>
  <c r="D130" i="4"/>
  <c r="E130" i="4" s="1"/>
  <c r="D128" i="4"/>
  <c r="E128" i="4" s="1"/>
  <c r="D125" i="4"/>
  <c r="E125" i="4" s="1"/>
  <c r="D122" i="4"/>
  <c r="E122" i="4" s="1"/>
  <c r="E133" i="4" s="1"/>
  <c r="D118" i="4"/>
  <c r="E118" i="4" s="1"/>
  <c r="D117" i="4"/>
  <c r="E117" i="4" s="1"/>
  <c r="D115" i="4"/>
  <c r="E115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86" i="4"/>
  <c r="E86" i="4" s="1"/>
  <c r="D79" i="4"/>
  <c r="E79" i="4" s="1"/>
  <c r="D78" i="4"/>
  <c r="E78" i="4" s="1"/>
  <c r="D75" i="4"/>
  <c r="E75" i="4" s="1"/>
  <c r="D73" i="4"/>
  <c r="E73" i="4" s="1"/>
  <c r="D72" i="4"/>
  <c r="E72" i="4" s="1"/>
  <c r="D69" i="4"/>
  <c r="E69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61" i="4"/>
  <c r="D154" i="4"/>
  <c r="D31" i="4" s="1"/>
  <c r="E31" i="4" s="1"/>
  <c r="D146" i="4"/>
  <c r="D95" i="4"/>
  <c r="D27" i="4" s="1"/>
  <c r="E27" i="4" s="1"/>
  <c r="D66" i="4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60" i="4" l="1"/>
  <c r="E119" i="4"/>
  <c r="D24" i="4"/>
  <c r="D119" i="4"/>
  <c r="D28" i="4" s="1"/>
  <c r="E28" i="4" s="1"/>
  <c r="D60" i="4"/>
  <c r="D25" i="4" s="1"/>
  <c r="E25" i="4" s="1"/>
  <c r="D133" i="4"/>
  <c r="D29" i="4" s="1"/>
  <c r="E29" i="4" s="1"/>
  <c r="E95" i="4"/>
  <c r="E24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<sst xmlns="http://schemas.openxmlformats.org/spreadsheetml/2006/main" count="394" uniqueCount="269">
  <si>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</si>
  <si>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</si>
  <si>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</si>
  <si>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</si>
  <si>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</si>
  <si>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</si>
  <si>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</si>
  <si>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</si>
  <si>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</si>
  <si>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</si>
  <si>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</si>
  <si>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</si>
  <si>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</si>
  <si>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</si>
  <si>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</si>
  <si>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</si>
  <si>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</si>
  <si>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</si>
  <si>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</si>
  <si>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</si>
  <si>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</si>
  <si>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</si>
  <si>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</si>
  <si>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</si>
  <si>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</si>
  <si>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</si>
  <si>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</si>
  <si>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</si>
  <si>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</si>
  <si>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</si>
  <si>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</si>
  <si>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</si>
  <si>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</si>
  <si>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</si>
  <si>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</si>
  <si>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</si>
  <si>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</si>
  <si>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</si>
  <si>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</si>
  <si>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</si>
  <si>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</si>
  <si>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</si>
  <si>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</si>
  <si>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</si>
  <si>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</si>
  <si>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</si>
  <si>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</si>
  <si>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</si>
  <si>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</si>
  <si>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</si>
  <si>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</si>
  <si>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</si>
  <si>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</si>
  <si>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</si>
  <si>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</si>
  <si>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</si>
  <si>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</si>
  <si>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</si>
  <si>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</si>
  <si>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</si>
  <si>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</si>
  <si>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</si>
  <si>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</si>
  <si>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</si>
  <si>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</si>
  <si>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</si>
  <si>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</si>
  <si>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</si>
  <si>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</si>
  <si>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</si>
  <si>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</si>
  <si>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</si>
  <si>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</si>
  <si>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</si>
  <si>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</si>
  <si>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</si>
  <si>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</si>
  <si>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</si>
  <si>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</si>
  <si>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</si>
  <si>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</si>
  <si>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</si>
  <si>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</si>
  <si>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</si>
  <si>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</si>
  <si>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</si>
  <si>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</si>
  <si>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</si>
  <si>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</si>
  <si>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</si>
  <si>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</si>
  <si>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</si>
  <si>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</si>
  <si>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</si>
  <si>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</si>
  <si>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</si>
  <si>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</si>
  <si>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</si>
  <si>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</si>
  <si>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</si>
  <si>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</si>
  <si>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</si>
  <si>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</si>
  <si>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</si>
  <si>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</si>
  <si>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</si>
  <si>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</si>
  <si>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</si>
  <si>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</si>
  <si>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</si>
  <si>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</si>
  <si>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</si>
  <si>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</si>
  <si>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</si>
  <si>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</si>
  <si>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</si>
  <si>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</si>
  <si>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</si>
  <si>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</si>
  <si>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</si>
  <si>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</si>
  <si>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</si>
  <si>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</si>
  <si>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</si>
  <si>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</si>
  <si>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</si>
  <si>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</si>
  <si>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</si>
  <si>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</si>
  <si>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</si>
  <si>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</si>
  <si>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</si>
  <si>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</si>
  <si>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</si>
  <si>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</si>
  <si>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</si>
  <si>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</si>
  <si>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</si>
  <si>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</si>
  <si>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</si>
  <si>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</si>
  <si>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</si>
  <si>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</si>
  <si>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</si>
  <si>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</si>
  <si>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</si>
  <si>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</si>
  <si>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</si>
  <si>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</si>
  <si>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</si>
  <si>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</si>
  <si>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</si>
  <si>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</si>
  <si>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</si>
  <si>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</si>
  <si>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</si>
  <si>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</si>
  <si>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</si>
  <si>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</si>
  <si>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</si>
  <si>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</si>
  <si>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</si>
  <si>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</si>
  <si>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</si>
  <si>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</si>
  <si>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</si>
  <si>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</si>
  <si>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</si>
  <si>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</si>
  <si>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</si>
  <si>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</si>
  <si>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</si>
  <si>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</si>
  <si>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</si>
  <si>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</si>
  <si>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</si>
  <si>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</si>
  <si>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</si>
  <si>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</si>
  <si>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</si>
  <si>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</si>
  <si>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</si>
  <si>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</si>
  <si>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</si>
  <si>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</si>
  <si>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</si>
  <si>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</si>
  <si>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</si>
  <si>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</si>
  <si>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</si>
  <si>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</si>
  <si>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</si>
  <si>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</si>
  <si>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</si>
  <si>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</si>
  <si>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</si>
  <si>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</si>
  <si>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</si>
  <si>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</si>
  <si>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</si>
  <si>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</si>
  <si>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</si>
  <si>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</si>
  <si>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</si>
  <si>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</si>
  <si>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</si>
  <si>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</si>
  <si>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</si>
  <si>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</si>
  <si>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</si>
  <si>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</si>
  <si>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</si>
  <si>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</si>
  <si>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</si>
  <si>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</si>
  <si>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</si>
  <si>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</si>
  <si>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</si>
  <si>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</si>
  <si>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</si>
  <si>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</si>
  <si>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</si>
  <si>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</si>
  <si>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</si>
  <si>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</si>
  <si>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</si>
  <si>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</si>
  <si>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</si>
  <si>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</si>
  <si>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</si>
  <si>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</si>
  <si>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</si>
  <si>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</si>
  <si>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</si>
  <si>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</si>
  <si>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</si>
  <si>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</si>
  <si>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</si>
  <si>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</si>
  <si>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</si>
  <si>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</si>
  <si>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</si>
  <si>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</si>
  <si>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</si>
  <si>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</si>
  <si>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</si>
  <si>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</si>
  <si>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</si>
  <si>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</si>
  <si>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00박물관 건립공사</t>
  </si>
  <si>
    <t>인천시</t>
  </si>
  <si>
    <t>타일및석공사</t>
  </si>
  <si>
    <t>잡공사, 품질관리비, 골재비, 운반비, 작업설부산물, 폐기물처리비</t>
    <phoneticPr fontId="2" type="noConversion"/>
  </si>
  <si>
    <t>옥외급수공사</t>
  </si>
  <si>
    <t>기계실공사, 난방배관공사, 위생배관공사</t>
    <phoneticPr fontId="2" type="noConversion"/>
  </si>
  <si>
    <t>가스배관,연도공사</t>
  </si>
  <si>
    <t>관급자설치관급</t>
  </si>
  <si>
    <t>피뢰침설비공사</t>
  </si>
  <si>
    <t>옥외 경관조명공사, 인테리어 전기공사</t>
    <phoneticPr fontId="2" type="noConversion"/>
  </si>
  <si>
    <t>전기소방</t>
    <phoneticPr fontId="2" type="noConversion"/>
  </si>
  <si>
    <t>CCTV 설비공사</t>
  </si>
  <si>
    <t>도급자설치</t>
    <phoneticPr fontId="2" type="noConversion"/>
  </si>
  <si>
    <t>도급자, 관급자설치관급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</si>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</sst>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4127</v>
      </c>
      <c r="D7" s="36">
        <f>+C7/3.3058</f>
        <v>1248.4118821465304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7600</v>
      </c>
      <c r="E24" s="58">
        <f t="shared" ref="E24:E33" si="0">TRUNC(+D24*3.3058,-1)</f>
        <v>25120</v>
      </c>
    </row>
    <row r="25" spans="1:5" x14ac:dyDescent="0.3">
      <c r="B25" s="2">
        <v>2</v>
      </c>
      <c r="C25" s="35" t="s">
        <v>111</v>
      </c>
      <c r="D25" s="45">
        <f>+D60</f>
        <v>741940</v>
      </c>
      <c r="E25" s="59">
        <f t="shared" si="0"/>
        <v>2452700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251720</v>
      </c>
      <c r="E27" s="59">
        <f t="shared" si="0"/>
        <v>832130</v>
      </c>
    </row>
    <row r="28" spans="1:5" x14ac:dyDescent="0.3">
      <c r="B28" s="2">
        <v>5</v>
      </c>
      <c r="C28" s="35" t="s">
        <v>97</v>
      </c>
      <c r="D28" s="45">
        <f>+D119</f>
        <v>224940</v>
      </c>
      <c r="E28" s="59">
        <f t="shared" si="0"/>
        <v>743600</v>
      </c>
    </row>
    <row r="29" spans="1:5" x14ac:dyDescent="0.3">
      <c r="B29" s="2">
        <v>6</v>
      </c>
      <c r="C29" s="35" t="s">
        <v>98</v>
      </c>
      <c r="D29" s="45">
        <f>+D133</f>
        <v>36440</v>
      </c>
      <c r="E29" s="59">
        <f t="shared" si="0"/>
        <v>120460</v>
      </c>
    </row>
    <row r="30" spans="1:5" x14ac:dyDescent="0.3">
      <c r="B30" s="2">
        <v>7</v>
      </c>
      <c r="C30" s="35" t="s">
        <v>99</v>
      </c>
      <c r="D30" s="45">
        <f>+D146</f>
        <v>86660</v>
      </c>
      <c r="E30" s="59">
        <f t="shared" si="0"/>
        <v>286480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371050</v>
      </c>
      <c r="E33" s="60">
        <f t="shared" si="0"/>
        <v>1226610</v>
      </c>
    </row>
    <row r="34" spans="1:7" x14ac:dyDescent="0.3">
      <c r="C34" s="35" t="s">
        <v>112</v>
      </c>
      <c r="D34" s="44">
        <f>SUM(D24:D33)</f>
        <v>1720350</v>
      </c>
      <c r="E34" s="44">
        <f>SUM(E24:E33)</f>
        <v>5687100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TRUNC(7608.44342137146,-1)</f>
        <v>7600</v>
      </c>
      <c r="E37" s="61">
        <f>TRUNC(+D37*3.3058,-1)</f>
        <v>25120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TRUNC(33645.1495032711,-1)</f>
        <v>33640</v>
      </c>
      <c r="E40" s="62">
        <f t="shared" ref="E40:E59" si="1">TRUNC(+D40*3.3058,-1)</f>
        <v>111200</v>
      </c>
    </row>
    <row r="41" spans="1:7" x14ac:dyDescent="0.3">
      <c r="A41" s="2">
        <v>2</v>
      </c>
      <c r="C41" s="38" t="s">
        <v>13</v>
      </c>
      <c r="D41" s="42">
        <f>TRUNC(194900.34480252,-1)</f>
        <v>194900</v>
      </c>
      <c r="E41" s="63">
        <f t="shared" si="1"/>
        <v>644300</v>
      </c>
    </row>
    <row r="42" spans="1:7" x14ac:dyDescent="0.3">
      <c r="A42" s="2">
        <v>3</v>
      </c>
      <c r="C42" s="38" t="s">
        <v>14</v>
      </c>
      <c r="D42" s="42">
        <f>TRUNC(2967.36515628786,-1)</f>
        <v>2960</v>
      </c>
      <c r="E42" s="63">
        <f t="shared" si="1"/>
        <v>9780</v>
      </c>
    </row>
    <row r="43" spans="1:7" x14ac:dyDescent="0.3">
      <c r="A43" s="2">
        <v>4</v>
      </c>
      <c r="C43" s="38" t="s">
        <v>16</v>
      </c>
      <c r="D43" s="42">
        <f>TRUNC(19717.9086503513,-1)</f>
        <v>19710</v>
      </c>
      <c r="E43" s="63">
        <f t="shared" si="1"/>
        <v>65150</v>
      </c>
    </row>
    <row r="44" spans="1:7" x14ac:dyDescent="0.3">
      <c r="A44" s="2">
        <v>5</v>
      </c>
      <c r="C44" s="38" t="s">
        <v>17</v>
      </c>
      <c r="D44" s="42">
        <f>TRUNC(36296.5212018415,-1)</f>
        <v>36290</v>
      </c>
      <c r="E44" s="63">
        <f t="shared" si="1"/>
        <v>119960</v>
      </c>
    </row>
    <row r="45" spans="1:7" x14ac:dyDescent="0.3">
      <c r="A45" s="2">
        <v>6</v>
      </c>
      <c r="C45" s="38" t="s">
        <v>18</v>
      </c>
      <c r="D45" s="42">
        <f>TRUNC(24244.6600436152,-1)</f>
        <v>24240</v>
      </c>
      <c r="E45" s="63">
        <f t="shared" si="1"/>
        <v>80130</v>
      </c>
      <c r="F45" s="2" t="s">
        <v>251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TRUNC(84554.6295129634,-1)</f>
        <v>84550</v>
      </c>
      <c r="E48" s="63">
        <f t="shared" si="1"/>
        <v>279500</v>
      </c>
    </row>
    <row r="49" spans="1:7" x14ac:dyDescent="0.3">
      <c r="A49" s="2">
        <v>10</v>
      </c>
      <c r="C49" s="38" t="s">
        <v>22</v>
      </c>
      <c r="D49" s="42">
        <f>TRUNC(21204.3675793555,-11)</f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f>TRUNC(59381.2219529924,-1)</f>
        <v>59380</v>
      </c>
      <c r="E50" s="63">
        <f t="shared" si="1"/>
        <v>196290</v>
      </c>
    </row>
    <row r="51" spans="1:7" x14ac:dyDescent="0.3">
      <c r="A51" s="2">
        <v>12</v>
      </c>
      <c r="C51" s="38" t="s">
        <v>23</v>
      </c>
      <c r="D51" s="42">
        <f>TRUNC(9115.29512963412,-1)</f>
        <v>9110</v>
      </c>
      <c r="E51" s="63">
        <f t="shared" si="1"/>
        <v>30110</v>
      </c>
    </row>
    <row r="52" spans="1:7" x14ac:dyDescent="0.3">
      <c r="A52" s="2">
        <v>13</v>
      </c>
      <c r="C52" s="38" t="s">
        <v>24</v>
      </c>
      <c r="D52" s="42">
        <f>TRUNC(7142.45190210807,-1)</f>
        <v>7140</v>
      </c>
      <c r="E52" s="63">
        <f t="shared" si="1"/>
        <v>23600</v>
      </c>
    </row>
    <row r="53" spans="1:7" x14ac:dyDescent="0.3">
      <c r="A53" s="2">
        <v>14</v>
      </c>
      <c r="C53" s="38" t="s">
        <v>25</v>
      </c>
      <c r="D53" s="42">
        <f>TRUNC(65004.170826266,-1)</f>
        <v>65000</v>
      </c>
      <c r="E53" s="63">
        <f t="shared" si="1"/>
        <v>214870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TRUNC(638.710443421371,-1)</f>
        <v>630</v>
      </c>
      <c r="E55" s="63">
        <f t="shared" si="1"/>
        <v>2080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TRUNC(28024.0385267749+1247.12866488975+2991.76157014781+2282.03513448025-834.465713593409+1994.49963653986,-1)</f>
        <v>35700</v>
      </c>
      <c r="E58" s="63">
        <f t="shared" si="1"/>
        <v>118010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TRUNC(168692.512721105,-1)</f>
        <v>168690</v>
      </c>
      <c r="E59" s="64">
        <f t="shared" si="1"/>
        <v>557650</v>
      </c>
      <c r="F59" s="2" t="s">
        <v>261</v>
      </c>
    </row>
    <row r="60" spans="1:7" x14ac:dyDescent="0.3">
      <c r="A60" s="2">
        <v>21</v>
      </c>
      <c r="C60" s="27" t="s">
        <v>112</v>
      </c>
      <c r="D60" s="39">
        <f>SUM(D40:D59)</f>
        <v>741940</v>
      </c>
      <c r="E60" s="39">
        <f>SUM(E40:E59)</f>
        <v>2452630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TRUNC(15106.9549309426,-1)</f>
        <v>15100</v>
      </c>
      <c r="E69" s="62">
        <f>TRUNC(+D69*3.3058,-1)</f>
        <v>49910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f>TRUNC(7655.00266537436,-1)</f>
        <v>7650</v>
      </c>
      <c r="E72" s="63">
        <f t="shared" si="2"/>
        <v>25280</v>
      </c>
      <c r="F72" s="2" t="s">
        <v>255</v>
      </c>
    </row>
    <row r="73" spans="1:7" x14ac:dyDescent="0.3">
      <c r="A73" s="2">
        <v>5</v>
      </c>
      <c r="C73" s="38" t="s">
        <v>34</v>
      </c>
      <c r="D73" s="42">
        <f>TRUNC(1797.09207656894,-1)</f>
        <v>1790</v>
      </c>
      <c r="E73" s="63">
        <f t="shared" si="2"/>
        <v>5910</v>
      </c>
      <c r="F73" s="2" t="s">
        <v>253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TRUNC(2880.44584443906,-1)</f>
        <v>2880</v>
      </c>
      <c r="E75" s="63">
        <f>TRUNC(+D75*3.3058,-1)</f>
        <v>9520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TRUNC(43609.5030288345,-1)</f>
        <v>43600</v>
      </c>
      <c r="E78" s="63">
        <f t="shared" si="3"/>
        <v>144130</v>
      </c>
    </row>
    <row r="79" spans="1:7" x14ac:dyDescent="0.3">
      <c r="A79" s="2">
        <v>11</v>
      </c>
      <c r="C79" s="38" t="s">
        <v>133</v>
      </c>
      <c r="D79" s="42">
        <f>TRUNC(8140.1754300945,-1)</f>
        <v>8140</v>
      </c>
      <c r="E79" s="63">
        <f t="shared" si="3"/>
        <v>26900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f>TRUNC(29659.2440029077,-1)</f>
        <v>29650</v>
      </c>
      <c r="E86" s="63">
        <f t="shared" si="3"/>
        <v>98010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TRUNC(91701.4780712382,-1)</f>
        <v>91700</v>
      </c>
      <c r="E93" s="63">
        <f>TRUNC(+D93*3.3058,-1)</f>
        <v>303140</v>
      </c>
      <c r="F93" s="2" t="s">
        <v>256</v>
      </c>
    </row>
    <row r="94" spans="1:7" ht="17.25" thickBot="1" x14ac:dyDescent="0.35">
      <c r="A94" s="2">
        <v>26</v>
      </c>
      <c r="C94" s="38" t="s">
        <v>47</v>
      </c>
      <c r="D94" s="43">
        <f>TRUNC(15684.369033196+5880.51441725224+29654.2139568694,-1)</f>
        <v>51210</v>
      </c>
      <c r="E94" s="64">
        <f>TRUNC(+D94*3.3058,-1)</f>
        <v>169290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251720</v>
      </c>
      <c r="E95" s="39">
        <f>SUM(E69:E94)</f>
        <v>832090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TRUNC(10148.1160649382,-1)</f>
        <v>10140</v>
      </c>
      <c r="E98" s="62">
        <f t="shared" ref="E98:E118" si="4">TRUNC(+D98*3.3058,-1)</f>
        <v>33520</v>
      </c>
    </row>
    <row r="99" spans="1:7" x14ac:dyDescent="0.3">
      <c r="A99" s="2">
        <v>2</v>
      </c>
      <c r="C99" s="38" t="s">
        <v>40</v>
      </c>
      <c r="D99" s="42">
        <f>TRUNC(7589.2561182457,-1)</f>
        <v>7580</v>
      </c>
      <c r="E99" s="63">
        <f t="shared" si="4"/>
        <v>25050</v>
      </c>
    </row>
    <row r="100" spans="1:7" x14ac:dyDescent="0.3">
      <c r="A100" s="2">
        <v>3</v>
      </c>
      <c r="C100" s="38" t="s">
        <v>41</v>
      </c>
      <c r="D100" s="42">
        <f>TRUNC(13418.3772716259,-1)</f>
        <v>13410</v>
      </c>
      <c r="E100" s="63">
        <f t="shared" si="4"/>
        <v>44330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TRUNC(2864.59995153865,-1)</f>
        <v>2860</v>
      </c>
      <c r="E102" s="63">
        <f t="shared" si="4"/>
        <v>9450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TRUNC(1360.11897261934,-1)</f>
        <v>1360</v>
      </c>
      <c r="E104" s="63">
        <f t="shared" si="4"/>
        <v>4490</v>
      </c>
      <c r="F104" s="2" t="s">
        <v>257</v>
      </c>
    </row>
    <row r="105" spans="1:7" x14ac:dyDescent="0.3">
      <c r="A105" s="2">
        <v>8</v>
      </c>
      <c r="C105" s="38" t="s">
        <v>46</v>
      </c>
      <c r="D105" s="42">
        <f>TRUNC(3494.34310637267,-1)</f>
        <v>3490</v>
      </c>
      <c r="E105" s="63">
        <f t="shared" si="4"/>
        <v>11530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TRUNC(14226.9941846378,-1)</f>
        <v>14220</v>
      </c>
      <c r="E115" s="63">
        <f t="shared" si="4"/>
        <v>47000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TRUNC(79411.1945723286+74397.8677005088,-1)</f>
        <v>153800</v>
      </c>
      <c r="E117" s="63">
        <f t="shared" si="4"/>
        <v>508430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f>TRUNC(9098.96195783861+8990.54397867701,-1)</f>
        <v>18080</v>
      </c>
      <c r="E118" s="64">
        <f t="shared" si="4"/>
        <v>59760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224940</v>
      </c>
      <c r="E119" s="39">
        <f>SUM(E98:E118)</f>
        <v>743560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TRUNC(1952.57305548825,-1)</f>
        <v>1950</v>
      </c>
      <c r="E122" s="62">
        <f t="shared" ref="E122:E132" si="5">TRUNC(+D122*3.3058,-1)</f>
        <v>6440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TRUNC(5516.04652289799,-1)</f>
        <v>5510</v>
      </c>
      <c r="E125" s="63">
        <f t="shared" si="5"/>
        <v>18210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TRUNC(1157.40634843712,-1)</f>
        <v>1150</v>
      </c>
      <c r="E128" s="63">
        <f t="shared" si="5"/>
        <v>3800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TRUNC(8111.50133268718,-1)</f>
        <v>8110</v>
      </c>
      <c r="E130" s="63">
        <f t="shared" si="5"/>
        <v>26810</v>
      </c>
    </row>
    <row r="131" spans="1:7" x14ac:dyDescent="0.3">
      <c r="A131" s="2">
        <v>10</v>
      </c>
      <c r="C131" s="38" t="s">
        <v>148</v>
      </c>
      <c r="D131" s="42">
        <f>TRUNC(17952.5078749697,-1)</f>
        <v>17950</v>
      </c>
      <c r="E131" s="63">
        <f t="shared" si="5"/>
        <v>59330</v>
      </c>
      <c r="F131" s="2" t="s">
        <v>263</v>
      </c>
    </row>
    <row r="132" spans="1:7" ht="18" thickBot="1" x14ac:dyDescent="0.35">
      <c r="A132" s="2">
        <v>11</v>
      </c>
      <c r="C132" s="38" t="s">
        <v>47</v>
      </c>
      <c r="D132" s="43">
        <f>TRUNC(1774.18803004604,-1)</f>
        <v>1770</v>
      </c>
      <c r="E132" s="64">
        <f t="shared" si="5"/>
        <v>5850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36440</v>
      </c>
      <c r="E133" s="39">
        <f>SUM(E122:E132)</f>
        <v>120440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TRUNC(75142.6217591471,-1)</f>
        <v>75140</v>
      </c>
      <c r="E136" s="62">
        <f t="shared" ref="E136:E145" si="6">TRUNC(+D136*3.3058,-1)</f>
        <v>248390</v>
      </c>
    </row>
    <row r="137" spans="1:7" x14ac:dyDescent="0.3">
      <c r="A137" s="2">
        <v>2</v>
      </c>
      <c r="C137" s="38" t="s">
        <v>47</v>
      </c>
      <c r="D137" s="42">
        <f>TRUNC(11525.7770777805,-1)</f>
        <v>11520</v>
      </c>
      <c r="E137" s="63">
        <f t="shared" si="6"/>
        <v>38080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86660</v>
      </c>
      <c r="E146" s="39">
        <f>SUM(E136:E145)</f>
        <v>286470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2020-12-07T09:06:26Z</dcterms:modified>
</cp:coreProperties>
</file>