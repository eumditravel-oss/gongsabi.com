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1" i="4"/>
  <c r="D150" i="4"/>
  <c r="D149" i="4"/>
  <c r="D144" i="4"/>
  <c r="D143" i="4"/>
  <c r="D142" i="4"/>
  <c r="D141" i="4"/>
  <c r="D139" i="4"/>
  <c r="D137" i="4"/>
  <c r="D132" i="4"/>
  <c r="D131" i="4"/>
  <c r="D130" i="4"/>
  <c r="D126" i="4"/>
  <c r="D125" i="4"/>
  <c r="D124" i="4"/>
  <c r="D122" i="4"/>
  <c r="D117" i="4"/>
  <c r="D104" i="4"/>
  <c r="D103" i="4"/>
  <c r="D102" i="4"/>
  <c r="D101" i="4"/>
  <c r="D98" i="4"/>
  <c r="D94" i="4"/>
  <c r="D93" i="4"/>
  <c r="D92" i="4"/>
  <c r="D72" i="4"/>
  <c r="D71" i="4"/>
  <c r="D70" i="4"/>
  <c r="D69" i="4"/>
  <c r="D65" i="4"/>
  <c r="D63" i="4"/>
  <c r="D59" i="4"/>
  <c r="D58" i="4"/>
  <c r="D53" i="4"/>
  <c r="D52" i="4"/>
  <c r="D49" i="4"/>
  <c r="D48" i="4"/>
  <c r="D46" i="4"/>
  <c r="D45" i="4"/>
  <c r="D44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<sst xmlns="http://schemas.openxmlformats.org/spreadsheetml/2006/main" count="392" uniqueCount="266">
  <si>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</si>
  <si>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</si>
  <si>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</si>
  <si>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</si>
  <si>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</si>
  <si>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</si>
  <si>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</si>
  <si>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</si>
  <si>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</si>
  <si>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</si>
  <si>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</si>
  <si>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</si>
  <si>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</si>
  <si>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</si>
  <si>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</si>
  <si>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</si>
  <si>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</si>
  <si>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</si>
  <si>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</si>
  <si>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</si>
  <si>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</si>
  <si>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</si>
  <si>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</si>
  <si>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</si>
  <si>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</si>
  <si>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</si>
  <si>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</si>
  <si>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</si>
  <si>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</si>
  <si>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</si>
  <si>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</si>
  <si>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</si>
  <si>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</si>
  <si>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</si>
  <si>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</si>
  <si>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</si>
  <si>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</si>
  <si>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</si>
  <si>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</si>
  <si>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</si>
  <si>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</si>
  <si>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</si>
  <si>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</si>
  <si>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</si>
  <si>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</si>
  <si>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</si>
  <si>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</si>
  <si>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</si>
  <si>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</si>
  <si>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</si>
  <si>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</si>
  <si>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</si>
  <si>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</si>
  <si>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</si>
  <si>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</si>
  <si>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</si>
  <si>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</si>
  <si>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</si>
  <si>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</si>
  <si>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</si>
  <si>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</si>
  <si>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</si>
  <si>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</si>
  <si>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</si>
  <si>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</si>
  <si>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</si>
  <si>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</si>
  <si>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</si>
  <si>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</si>
  <si>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</si>
  <si>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</si>
  <si>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</si>
  <si>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</si>
  <si>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</si>
  <si>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</si>
  <si>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</si>
  <si>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</si>
  <si>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</si>
  <si>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</si>
  <si>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</si>
  <si>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</si>
  <si>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</si>
  <si>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</si>
  <si>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</si>
  <si>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</si>
  <si>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</si>
  <si>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</si>
  <si>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</si>
  <si>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</si>
  <si>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</si>
  <si>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</si>
  <si>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</si>
  <si>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</si>
  <si>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</si>
  <si>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</si>
  <si>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</si>
  <si>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</si>
  <si>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</si>
  <si>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</si>
  <si>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</si>
  <si>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</si>
  <si>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</si>
  <si>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</si>
  <si>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</si>
  <si>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</si>
  <si>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</si>
  <si>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</si>
  <si>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</si>
  <si>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</si>
  <si>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</si>
  <si>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</si>
  <si>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</si>
  <si>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</si>
  <si>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</si>
  <si>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</si>
  <si>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</si>
  <si>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</si>
  <si>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</si>
  <si>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</si>
  <si>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</si>
  <si>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</si>
  <si>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</si>
  <si>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</si>
  <si>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</si>
  <si>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</si>
  <si>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</si>
  <si>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</si>
  <si>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</si>
  <si>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</si>
  <si>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</si>
  <si>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</si>
  <si>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</si>
  <si>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</si>
  <si>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</si>
  <si>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</si>
  <si>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</si>
  <si>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</si>
  <si>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</si>
  <si>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</si>
  <si>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</si>
  <si>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</si>
  <si>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</si>
  <si>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</si>
  <si>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</si>
  <si>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</si>
  <si>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</si>
  <si>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</si>
  <si>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</si>
  <si>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</si>
  <si>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</si>
  <si>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</si>
  <si>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</si>
  <si>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</si>
  <si>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</si>
  <si>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</si>
  <si>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</si>
  <si>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</si>
  <si>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</si>
  <si>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</si>
  <si>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</si>
  <si>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</si>
  <si>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</si>
  <si>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</si>
  <si>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</si>
  <si>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</si>
  <si>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</si>
  <si>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</si>
  <si>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</si>
  <si>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</si>
  <si>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</si>
  <si>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</si>
  <si>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</si>
  <si>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</si>
  <si>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</si>
  <si>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</si>
  <si>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</si>
  <si>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</si>
  <si>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</si>
  <si>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</si>
  <si>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</si>
  <si>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</si>
  <si>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</si>
  <si>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</si>
  <si>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</si>
  <si>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</si>
  <si>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</si>
  <si>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</si>
  <si>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</si>
  <si>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</si>
  <si>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</si>
  <si>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</si>
  <si>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</si>
  <si>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</si>
  <si>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</si>
  <si>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</si>
  <si>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</si>
  <si>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</si>
  <si>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</si>
  <si>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</si>
  <si>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</si>
  <si>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</si>
  <si>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</si>
  <si>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</si>
  <si>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</si>
  <si>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</si>
  <si>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</si>
  <si>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</si>
  <si>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</si>
  <si>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</si>
  <si>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</si>
  <si>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</si>
  <si>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</si>
  <si>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</si>
  <si>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</si>
  <si>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</si>
  <si>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</si>
  <si>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</si>
  <si>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</si>
  <si>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</si>
  <si>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</si>
  <si>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</si>
  <si>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</si>
  <si>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</si>
  <si>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</si>
  <si>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</si>
  <si>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</si>
  <si>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</si>
  <si>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</si>
  <si>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</si>
  <si>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</si>
  <si>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</si>
  <si>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</si>
  <si>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</si>
  <si>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</si>
  <si>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</si>
  <si>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</si>
  <si>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</si>
  <si>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</si>
  <si>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</si>
  <si>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</si>
  <si>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</si>
  <si>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</si>
  <si>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</si>
  <si>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</si>
  <si>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</si>
  <si>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</si>
  <si>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</si>
  <si>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</si>
  <si>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</si>
  <si>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</si>
  <si>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지붕및홈통공사 포함</t>
    <phoneticPr fontId="2" type="noConversion"/>
  </si>
  <si>
    <t>목공사및수장공사(인테리어공사 포함)</t>
    <phoneticPr fontId="2" type="noConversion"/>
  </si>
  <si>
    <t>기초공사, 골재비및운반비, 품질시험비, 기타공사</t>
    <phoneticPr fontId="2" type="noConversion"/>
  </si>
  <si>
    <t>CATV 및 TV 설비공사</t>
    <phoneticPr fontId="2" type="noConversion"/>
  </si>
  <si>
    <t>포장공사</t>
    <phoneticPr fontId="2" type="noConversion"/>
  </si>
  <si>
    <t>창호및유리공사</t>
    <phoneticPr fontId="2" type="noConversion"/>
  </si>
  <si>
    <t>용소초등학교 교사 신축공사</t>
    <phoneticPr fontId="2" type="noConversion"/>
  </si>
  <si>
    <t>경상도</t>
  </si>
  <si>
    <t>공조배관공사, 난방배관공사,기타공사</t>
    <phoneticPr fontId="2" type="noConversion"/>
  </si>
  <si>
    <t>전기인입 및 수변전 설비공사</t>
    <phoneticPr fontId="2" type="noConversion"/>
  </si>
  <si>
    <t>CCTV설비공사, 주차관제설비공사</t>
    <phoneticPr fontId="2" type="noConversion"/>
  </si>
  <si>
    <t>제연덕트설치공사, 무선통신보조설비공사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</si>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</sst>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15550.27</v>
      </c>
      <c r="D7" s="36">
        <f>+C7/3.3058</f>
        <v>4703.9355072902172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830130</v>
      </c>
      <c r="E25" s="59">
        <f t="shared" si="0"/>
        <v>2744240</v>
      </c>
    </row>
    <row r="26" spans="1:5" x14ac:dyDescent="0.3">
      <c r="B26" s="2">
        <v>3</v>
      </c>
      <c r="C26" s="35" t="s">
        <v>95</v>
      </c>
      <c r="D26" s="45">
        <f>+D66</f>
        <v>86650</v>
      </c>
      <c r="E26" s="59">
        <f t="shared" si="0"/>
        <v>286440</v>
      </c>
    </row>
    <row r="27" spans="1:5" x14ac:dyDescent="0.3">
      <c r="B27" s="2">
        <v>4</v>
      </c>
      <c r="C27" s="35" t="s">
        <v>96</v>
      </c>
      <c r="D27" s="45">
        <f>+D95</f>
        <v>128900</v>
      </c>
      <c r="E27" s="59">
        <f t="shared" si="0"/>
        <v>426110</v>
      </c>
    </row>
    <row r="28" spans="1:5" x14ac:dyDescent="0.3">
      <c r="B28" s="2">
        <v>5</v>
      </c>
      <c r="C28" s="35" t="s">
        <v>97</v>
      </c>
      <c r="D28" s="45">
        <f>+D119</f>
        <v>152810</v>
      </c>
      <c r="E28" s="59">
        <f t="shared" si="0"/>
        <v>505150</v>
      </c>
    </row>
    <row r="29" spans="1:5" x14ac:dyDescent="0.3">
      <c r="B29" s="2">
        <v>6</v>
      </c>
      <c r="C29" s="35" t="s">
        <v>98</v>
      </c>
      <c r="D29" s="45">
        <f>+D133</f>
        <v>54950</v>
      </c>
      <c r="E29" s="59">
        <f t="shared" si="0"/>
        <v>181650</v>
      </c>
    </row>
    <row r="30" spans="1:5" x14ac:dyDescent="0.3">
      <c r="B30" s="2">
        <v>7</v>
      </c>
      <c r="C30" s="35" t="s">
        <v>99</v>
      </c>
      <c r="D30" s="45">
        <f>+D146</f>
        <v>65160</v>
      </c>
      <c r="E30" s="59">
        <f t="shared" si="0"/>
        <v>215400</v>
      </c>
    </row>
    <row r="31" spans="1:5" x14ac:dyDescent="0.3">
      <c r="B31" s="2">
        <v>8</v>
      </c>
      <c r="C31" s="35" t="s">
        <v>100</v>
      </c>
      <c r="D31" s="45">
        <f>+D154</f>
        <v>156500</v>
      </c>
      <c r="E31" s="59">
        <f t="shared" si="0"/>
        <v>517350</v>
      </c>
    </row>
    <row r="32" spans="1:5" x14ac:dyDescent="0.3">
      <c r="B32" s="2">
        <v>9</v>
      </c>
      <c r="C32" s="35" t="s">
        <v>101</v>
      </c>
      <c r="D32" s="45">
        <f>+D161</f>
        <v>18820</v>
      </c>
      <c r="E32" s="59">
        <f t="shared" si="0"/>
        <v>62210</v>
      </c>
    </row>
    <row r="33" spans="1:7" x14ac:dyDescent="0.3">
      <c r="B33" s="2">
        <v>10</v>
      </c>
      <c r="C33" s="35" t="s">
        <v>155</v>
      </c>
      <c r="D33" s="53">
        <f>TRUNC(SUM(D24:D32)*0.275,-1)</f>
        <v>410820</v>
      </c>
      <c r="E33" s="60">
        <f t="shared" si="0"/>
        <v>1358080</v>
      </c>
    </row>
    <row r="34" spans="1:7" x14ac:dyDescent="0.3">
      <c r="C34" s="35" t="s">
        <v>112</v>
      </c>
      <c r="D34" s="44">
        <f>SUM(D24:D33)</f>
        <v>1904740</v>
      </c>
      <c r="E34" s="44">
        <f>SUM(E24:E33)</f>
        <v>6296630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TRUNC(58691,-1)</f>
        <v>58690</v>
      </c>
      <c r="E40" s="62">
        <f t="shared" ref="E40:E59" si="1">TRUNC(+D40*3.3058,-1)</f>
        <v>194010</v>
      </c>
    </row>
    <row r="41" spans="1:7" x14ac:dyDescent="0.3">
      <c r="A41" s="2">
        <v>2</v>
      </c>
      <c r="C41" s="38" t="s">
        <v>13</v>
      </c>
      <c r="D41" s="42">
        <f>TRUNC(158315,-1)</f>
        <v>158310</v>
      </c>
      <c r="E41" s="63">
        <f t="shared" si="1"/>
        <v>523340</v>
      </c>
    </row>
    <row r="42" spans="1:7" x14ac:dyDescent="0.3">
      <c r="A42" s="2">
        <v>3</v>
      </c>
      <c r="C42" s="38" t="s">
        <v>14</v>
      </c>
      <c r="D42" s="42">
        <f>TRUNC(10204,-1)</f>
        <v>10200</v>
      </c>
      <c r="E42" s="63">
        <f t="shared" si="1"/>
        <v>33710</v>
      </c>
    </row>
    <row r="43" spans="1:7" x14ac:dyDescent="0.3">
      <c r="A43" s="2">
        <v>4</v>
      </c>
      <c r="C43" s="38" t="s">
        <v>16</v>
      </c>
      <c r="D43" s="42">
        <v>22650</v>
      </c>
      <c r="E43" s="63">
        <f t="shared" si="1"/>
        <v>74870</v>
      </c>
    </row>
    <row r="44" spans="1:7" x14ac:dyDescent="0.3">
      <c r="A44" s="2">
        <v>5</v>
      </c>
      <c r="C44" s="38" t="s">
        <v>17</v>
      </c>
      <c r="D44" s="42">
        <f>TRUNC(29462,-1)</f>
        <v>29460</v>
      </c>
      <c r="E44" s="63">
        <f t="shared" si="1"/>
        <v>97380</v>
      </c>
    </row>
    <row r="45" spans="1:7" x14ac:dyDescent="0.3">
      <c r="A45" s="2">
        <v>6</v>
      </c>
      <c r="C45" s="38" t="s">
        <v>18</v>
      </c>
      <c r="D45" s="42">
        <f>TRUNC(7611,-1)</f>
        <v>7610</v>
      </c>
      <c r="E45" s="63">
        <f t="shared" si="1"/>
        <v>25150</v>
      </c>
    </row>
    <row r="46" spans="1:7" x14ac:dyDescent="0.3">
      <c r="A46" s="2">
        <v>7</v>
      </c>
      <c r="C46" s="38" t="s">
        <v>19</v>
      </c>
      <c r="D46" s="42">
        <f>TRUNC(28225,-1)</f>
        <v>28220</v>
      </c>
      <c r="E46" s="63">
        <f t="shared" si="1"/>
        <v>93280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TRUNC(36832,-1)</f>
        <v>36830</v>
      </c>
      <c r="E48" s="63">
        <f t="shared" si="1"/>
        <v>121750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TRUNC(18781,-1)</f>
        <v>18780</v>
      </c>
      <c r="E49" s="63">
        <f t="shared" si="1"/>
        <v>62080</v>
      </c>
    </row>
    <row r="50" spans="1:7" x14ac:dyDescent="0.3">
      <c r="A50" s="2">
        <v>11</v>
      </c>
      <c r="C50" s="38" t="s">
        <v>156</v>
      </c>
      <c r="D50" s="42">
        <v>31690</v>
      </c>
      <c r="E50" s="63">
        <f t="shared" si="1"/>
        <v>104760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TRUNC(17935,-1)</f>
        <v>17930</v>
      </c>
      <c r="E52" s="63">
        <f t="shared" si="1"/>
        <v>59270</v>
      </c>
    </row>
    <row r="53" spans="1:7" x14ac:dyDescent="0.3">
      <c r="A53" s="2">
        <v>14</v>
      </c>
      <c r="C53" s="38" t="s">
        <v>25</v>
      </c>
      <c r="D53" s="42">
        <f>TRUNC(94319,-1)</f>
        <v>94310</v>
      </c>
      <c r="E53" s="63">
        <f t="shared" si="1"/>
        <v>311760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TRUNC(42561+9186+346+14758,-1)</f>
        <v>66850</v>
      </c>
      <c r="E58" s="63">
        <f t="shared" si="1"/>
        <v>220990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TRUNC(248607,-1)</f>
        <v>248600</v>
      </c>
      <c r="E59" s="64">
        <f t="shared" si="1"/>
        <v>821820</v>
      </c>
    </row>
    <row r="60" spans="1:7" x14ac:dyDescent="0.3">
      <c r="A60" s="2">
        <v>21</v>
      </c>
      <c r="C60" s="27" t="s">
        <v>112</v>
      </c>
      <c r="D60" s="39">
        <f>SUM(D40:D59)</f>
        <v>830130</v>
      </c>
      <c r="E60" s="39">
        <f>SUM(E40:E59)</f>
        <v>2744170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TRUNC(50139,-1)</f>
        <v>50130</v>
      </c>
      <c r="E63" s="62">
        <f>TRUNC(+D63*3.3058,-1)</f>
        <v>165710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TRUNC(36523,-1)</f>
        <v>36520</v>
      </c>
      <c r="E65" s="64">
        <f>TRUNC(+D65*3.3058,-1)</f>
        <v>120720</v>
      </c>
    </row>
    <row r="66" spans="1:7" x14ac:dyDescent="0.3">
      <c r="A66" s="2">
        <v>4</v>
      </c>
      <c r="C66" s="27" t="s">
        <v>112</v>
      </c>
      <c r="D66" s="39">
        <f>SUM(D63:D65)</f>
        <v>86650</v>
      </c>
      <c r="E66" s="65">
        <f>SUM(E63:E65)</f>
        <v>286430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TRUNC(4565,-1)</f>
        <v>4560</v>
      </c>
      <c r="E69" s="62">
        <f t="shared" ref="E69:E94" si="2">TRUNC(+D69*3.3058,-1)</f>
        <v>15070</v>
      </c>
    </row>
    <row r="70" spans="1:7" ht="16.5" customHeight="1" x14ac:dyDescent="0.3">
      <c r="A70" s="2">
        <v>2</v>
      </c>
      <c r="C70" s="38" t="s">
        <v>31</v>
      </c>
      <c r="D70" s="42">
        <f>TRUNC(9217,-1)</f>
        <v>9210</v>
      </c>
      <c r="E70" s="63">
        <f t="shared" si="2"/>
        <v>30440</v>
      </c>
    </row>
    <row r="71" spans="1:7" x14ac:dyDescent="0.3">
      <c r="A71" s="2">
        <v>3</v>
      </c>
      <c r="C71" s="38" t="s">
        <v>32</v>
      </c>
      <c r="D71" s="42">
        <f>TRUNC(2562,-1)</f>
        <v>2560</v>
      </c>
      <c r="E71" s="63">
        <f t="shared" si="2"/>
        <v>8460</v>
      </c>
    </row>
    <row r="72" spans="1:7" x14ac:dyDescent="0.3">
      <c r="A72" s="2">
        <v>4</v>
      </c>
      <c r="C72" s="38" t="s">
        <v>33</v>
      </c>
      <c r="D72" s="42">
        <f>TRUNC(4558,-1)</f>
        <v>4550</v>
      </c>
      <c r="E72" s="63">
        <f t="shared" si="2"/>
        <v>15040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10520</v>
      </c>
      <c r="E89" s="63">
        <f t="shared" si="2"/>
        <v>34770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TRUNC(8143,-1)</f>
        <v>8140</v>
      </c>
      <c r="E92" s="63">
        <f t="shared" si="2"/>
        <v>26900</v>
      </c>
    </row>
    <row r="93" spans="1:7" x14ac:dyDescent="0.3">
      <c r="A93" s="2">
        <v>25</v>
      </c>
      <c r="C93" s="38" t="s">
        <v>149</v>
      </c>
      <c r="D93" s="42">
        <f>TRUNC(83013,-1)</f>
        <v>83010</v>
      </c>
      <c r="E93" s="63">
        <f t="shared" si="2"/>
        <v>274410</v>
      </c>
    </row>
    <row r="94" spans="1:7" ht="17.25" thickBot="1" x14ac:dyDescent="0.35">
      <c r="A94" s="2">
        <v>26</v>
      </c>
      <c r="C94" s="38" t="s">
        <v>47</v>
      </c>
      <c r="D94" s="43">
        <f>TRUNC(1566+2866+1920,-1)</f>
        <v>6350</v>
      </c>
      <c r="E94" s="64">
        <f t="shared" si="2"/>
        <v>20990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128900</v>
      </c>
      <c r="E95" s="39">
        <f>SUM(E69:E94)</f>
        <v>426080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TRUNC(26805,-1)</f>
        <v>26800</v>
      </c>
      <c r="E98" s="62">
        <f t="shared" ref="E98:E118" si="3">TRUNC(+D98*3.3058,-1)</f>
        <v>88590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v>27670</v>
      </c>
      <c r="E100" s="63">
        <f t="shared" si="3"/>
        <v>91470</v>
      </c>
    </row>
    <row r="101" spans="1:7" x14ac:dyDescent="0.3">
      <c r="A101" s="2">
        <v>4</v>
      </c>
      <c r="C101" s="38" t="s">
        <v>42</v>
      </c>
      <c r="D101" s="42">
        <f>TRUNC(1589,-1)</f>
        <v>1580</v>
      </c>
      <c r="E101" s="63">
        <f t="shared" si="3"/>
        <v>5220</v>
      </c>
    </row>
    <row r="102" spans="1:7" x14ac:dyDescent="0.3">
      <c r="A102" s="2">
        <v>5</v>
      </c>
      <c r="C102" s="38" t="s">
        <v>43</v>
      </c>
      <c r="D102" s="42">
        <f>TRUNC(13433,-1)</f>
        <v>13430</v>
      </c>
      <c r="E102" s="63">
        <f t="shared" si="3"/>
        <v>44390</v>
      </c>
    </row>
    <row r="103" spans="1:7" x14ac:dyDescent="0.3">
      <c r="A103" s="2">
        <v>6</v>
      </c>
      <c r="C103" s="38" t="s">
        <v>44</v>
      </c>
      <c r="D103" s="42">
        <f>TRUNC(1311,-1)</f>
        <v>1310</v>
      </c>
      <c r="E103" s="63">
        <f t="shared" si="3"/>
        <v>4330</v>
      </c>
    </row>
    <row r="104" spans="1:7" x14ac:dyDescent="0.3">
      <c r="A104" s="2">
        <v>7</v>
      </c>
      <c r="C104" s="38" t="s">
        <v>45</v>
      </c>
      <c r="D104" s="42">
        <f>TRUNC(3273,-1)</f>
        <v>3270</v>
      </c>
      <c r="E104" s="63">
        <f t="shared" si="3"/>
        <v>10800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2530</v>
      </c>
      <c r="E116" s="63">
        <f t="shared" si="3"/>
        <v>8360</v>
      </c>
      <c r="F116" s="2" t="s">
        <v>259</v>
      </c>
    </row>
    <row r="117" spans="1:7" x14ac:dyDescent="0.3">
      <c r="A117" s="2">
        <v>20</v>
      </c>
      <c r="C117" s="38" t="s">
        <v>149</v>
      </c>
      <c r="D117" s="42">
        <f>TRUNC(76228,-1)</f>
        <v>76220</v>
      </c>
      <c r="E117" s="63">
        <f t="shared" si="3"/>
        <v>251960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152810</v>
      </c>
      <c r="E119" s="39">
        <f>SUM(E98:E118)</f>
        <v>505120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TRUNC(3591,-1)</f>
        <v>3590</v>
      </c>
      <c r="E122" s="62">
        <f t="shared" ref="E122:E132" si="4">TRUNC(+D122*3.3058,-1)</f>
        <v>11860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TRUNC(663,-1)</f>
        <v>660</v>
      </c>
      <c r="E124" s="63">
        <f t="shared" si="4"/>
        <v>2180</v>
      </c>
    </row>
    <row r="125" spans="1:7" x14ac:dyDescent="0.3">
      <c r="A125" s="2">
        <v>4</v>
      </c>
      <c r="C125" s="38" t="s">
        <v>138</v>
      </c>
      <c r="D125" s="42">
        <f>TRUNC(6598,-1)</f>
        <v>6590</v>
      </c>
      <c r="E125" s="63">
        <f t="shared" si="4"/>
        <v>21780</v>
      </c>
    </row>
    <row r="126" spans="1:7" x14ac:dyDescent="0.3">
      <c r="A126" s="2">
        <v>5</v>
      </c>
      <c r="C126" s="38" t="s">
        <v>53</v>
      </c>
      <c r="D126" s="42">
        <f>TRUNC(833,-1)</f>
        <v>830</v>
      </c>
      <c r="E126" s="63">
        <f t="shared" si="4"/>
        <v>2740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6190</v>
      </c>
      <c r="E128" s="63">
        <f t="shared" si="4"/>
        <v>20460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TRUNC(7985,-1)</f>
        <v>7980</v>
      </c>
      <c r="E130" s="63">
        <f t="shared" si="4"/>
        <v>26380</v>
      </c>
    </row>
    <row r="131" spans="1:7" x14ac:dyDescent="0.3">
      <c r="A131" s="2">
        <v>10</v>
      </c>
      <c r="C131" s="38" t="s">
        <v>149</v>
      </c>
      <c r="D131" s="42">
        <f>TRUNC(26026,-1)</f>
        <v>26020</v>
      </c>
      <c r="E131" s="63">
        <f t="shared" si="4"/>
        <v>86010</v>
      </c>
    </row>
    <row r="132" spans="1:7" ht="18" thickBot="1" x14ac:dyDescent="0.35">
      <c r="A132" s="2">
        <v>11</v>
      </c>
      <c r="C132" s="38" t="s">
        <v>47</v>
      </c>
      <c r="D132" s="43">
        <f>TRUNC(2565+533,-1)</f>
        <v>3090</v>
      </c>
      <c r="E132" s="64">
        <f t="shared" si="4"/>
        <v>10210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54950</v>
      </c>
      <c r="E133" s="39">
        <f>SUM(E122:E132)</f>
        <v>181620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TRUNC(4118+3145,-1)</f>
        <v>7260</v>
      </c>
      <c r="E137" s="63">
        <f t="shared" si="5"/>
        <v>24000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TRUNC(3306,-1)</f>
        <v>3300</v>
      </c>
      <c r="E139" s="63">
        <f t="shared" si="5"/>
        <v>10900</v>
      </c>
    </row>
    <row r="140" spans="1:7" x14ac:dyDescent="0.3">
      <c r="A140" s="2">
        <v>5</v>
      </c>
      <c r="C140" s="38" t="s">
        <v>57</v>
      </c>
      <c r="D140" s="42">
        <v>4810</v>
      </c>
      <c r="E140" s="63">
        <f t="shared" si="5"/>
        <v>15900</v>
      </c>
    </row>
    <row r="141" spans="1:7" x14ac:dyDescent="0.3">
      <c r="A141" s="2">
        <v>6</v>
      </c>
      <c r="C141" s="38" t="s">
        <v>59</v>
      </c>
      <c r="D141" s="42">
        <f>TRUNC(21718,-1)</f>
        <v>21710</v>
      </c>
      <c r="E141" s="63">
        <f t="shared" si="5"/>
        <v>71760</v>
      </c>
    </row>
    <row r="142" spans="1:7" x14ac:dyDescent="0.3">
      <c r="A142" s="2">
        <v>7</v>
      </c>
      <c r="C142" s="38" t="s">
        <v>58</v>
      </c>
      <c r="D142" s="42">
        <f>TRUNC(15198,-1)</f>
        <v>15190</v>
      </c>
      <c r="E142" s="63">
        <f t="shared" si="5"/>
        <v>50210</v>
      </c>
    </row>
    <row r="143" spans="1:7" x14ac:dyDescent="0.3">
      <c r="A143" s="2">
        <v>8</v>
      </c>
      <c r="C143" s="38" t="s">
        <v>62</v>
      </c>
      <c r="D143" s="42">
        <f>TRUNC(5551,-1)</f>
        <v>5550</v>
      </c>
      <c r="E143" s="63">
        <f t="shared" si="5"/>
        <v>18340</v>
      </c>
    </row>
    <row r="144" spans="1:7" x14ac:dyDescent="0.3">
      <c r="A144" s="2">
        <v>9</v>
      </c>
      <c r="C144" s="38" t="s">
        <v>63</v>
      </c>
      <c r="D144" s="42">
        <f>TRUNC(7346,-1)</f>
        <v>7340</v>
      </c>
      <c r="E144" s="63">
        <f t="shared" si="5"/>
        <v>24260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65160</v>
      </c>
      <c r="E146" s="39">
        <f>SUM(E136:E145)</f>
        <v>215370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TRUNC(8673+748,-1)</f>
        <v>9420</v>
      </c>
      <c r="E149" s="62">
        <f>TRUNC(+D149*3.3058,-1)</f>
        <v>31140</v>
      </c>
    </row>
    <row r="150" spans="1:7" x14ac:dyDescent="0.3">
      <c r="A150" s="2">
        <v>2</v>
      </c>
      <c r="C150" s="38" t="s">
        <v>49</v>
      </c>
      <c r="D150" s="42">
        <f>TRUNC(7941,-1)</f>
        <v>7940</v>
      </c>
      <c r="E150" s="63">
        <f>TRUNC(+D150*3.3058,-1)</f>
        <v>26240</v>
      </c>
    </row>
    <row r="151" spans="1:7" x14ac:dyDescent="0.3">
      <c r="A151" s="2">
        <v>3</v>
      </c>
      <c r="C151" s="38" t="s">
        <v>50</v>
      </c>
      <c r="D151" s="42">
        <f>TRUNC(93215,-1)</f>
        <v>93210</v>
      </c>
      <c r="E151" s="63">
        <f>TRUNC(+D151*3.3058,-1)</f>
        <v>308130</v>
      </c>
    </row>
    <row r="152" spans="1:7" x14ac:dyDescent="0.3">
      <c r="A152" s="2">
        <v>4</v>
      </c>
      <c r="C152" s="38" t="s">
        <v>47</v>
      </c>
      <c r="D152" s="42">
        <f>TRUNC(208+5801,-1)</f>
        <v>6000</v>
      </c>
      <c r="E152" s="63">
        <f>TRUNC(+D152*3.3058,-1)</f>
        <v>19830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TRUNC(39932,-1)</f>
        <v>39930</v>
      </c>
      <c r="E153" s="64">
        <f>TRUNC(+D153*3.3058,-1)</f>
        <v>132000</v>
      </c>
    </row>
    <row r="154" spans="1:7" x14ac:dyDescent="0.3">
      <c r="A154" s="2">
        <v>6</v>
      </c>
      <c r="C154" s="27" t="s">
        <v>112</v>
      </c>
      <c r="D154" s="39">
        <f>SUM(D149:D153)</f>
        <v>156500</v>
      </c>
      <c r="E154" s="39">
        <f>SUM(E149:E153)</f>
        <v>517340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TRUNC(12833,-1)</f>
        <v>12830</v>
      </c>
      <c r="E157" s="62">
        <f>TRUNC(+D157*3.3058,-1)</f>
        <v>42410</v>
      </c>
    </row>
    <row r="158" spans="1:7" x14ac:dyDescent="0.3">
      <c r="A158" s="2">
        <v>2</v>
      </c>
      <c r="C158" s="38" t="s">
        <v>52</v>
      </c>
      <c r="D158" s="42">
        <f>TRUNC(711,-1)</f>
        <v>710</v>
      </c>
      <c r="E158" s="63">
        <f>TRUNC(+D158*3.3058,-1)</f>
        <v>2340</v>
      </c>
    </row>
    <row r="159" spans="1:7" x14ac:dyDescent="0.3">
      <c r="A159" s="2">
        <v>3</v>
      </c>
      <c r="C159" s="38" t="s">
        <v>47</v>
      </c>
      <c r="D159" s="42">
        <f>TRUNC(2311,-1)</f>
        <v>2310</v>
      </c>
      <c r="E159" s="63">
        <f>TRUNC(+D159*3.3058,-1)</f>
        <v>7630</v>
      </c>
      <c r="F159" s="2" t="s">
        <v>254</v>
      </c>
    </row>
    <row r="160" spans="1:7" ht="17.25" thickBot="1" x14ac:dyDescent="0.35">
      <c r="A160" s="2">
        <v>4</v>
      </c>
      <c r="C160" s="38" t="s">
        <v>149</v>
      </c>
      <c r="D160" s="43">
        <f>TRUNC(2976,-1)</f>
        <v>2970</v>
      </c>
      <c r="E160" s="64">
        <f>TRUNC(+D160*3.3058,-1)</f>
        <v>9810</v>
      </c>
    </row>
    <row r="161" spans="1:5" x14ac:dyDescent="0.3">
      <c r="A161" s="2">
        <v>5</v>
      </c>
      <c r="C161" s="27" t="s">
        <v>112</v>
      </c>
      <c r="D161" s="39">
        <f>SUM(D157:D160)</f>
        <v>18820</v>
      </c>
      <c r="E161" s="39">
        <f>SUM(E157:E160)</f>
        <v>62190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2020-12-08T04:47:38Z</dcterms:modified>
</cp:coreProperties>
</file>