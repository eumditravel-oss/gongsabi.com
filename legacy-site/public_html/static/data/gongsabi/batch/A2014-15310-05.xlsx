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79" i="4"/>
  <c r="D94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4" i="4"/>
  <c r="E117" i="4"/>
  <c r="E116" i="4"/>
  <c r="E114" i="4"/>
  <c r="E113" i="4"/>
  <c r="E112" i="4"/>
  <c r="E111" i="4"/>
  <c r="E110" i="4"/>
  <c r="E109" i="4"/>
  <c r="E107" i="4"/>
  <c r="E106" i="4"/>
  <c r="E105" i="4"/>
  <c r="E103" i="4"/>
  <c r="E101" i="4"/>
  <c r="E94" i="4"/>
  <c r="E93" i="4"/>
  <c r="E92" i="4"/>
  <c r="E91" i="4"/>
  <c r="E90" i="4"/>
  <c r="E89" i="4"/>
  <c r="E88" i="4"/>
  <c r="E87" i="4"/>
  <c r="E85" i="4"/>
  <c r="E83" i="4"/>
  <c r="E82" i="4"/>
  <c r="E80" i="4"/>
  <c r="E79" i="4"/>
  <c r="E78" i="4"/>
  <c r="E77" i="4"/>
  <c r="E76" i="4"/>
  <c r="E75" i="4"/>
  <c r="E74" i="4"/>
  <c r="E73" i="4"/>
  <c r="E72" i="4"/>
  <c r="E65" i="4"/>
  <c r="E64" i="4"/>
  <c r="E63" i="4"/>
  <c r="E66" i="4" s="1"/>
  <c r="E59" i="4"/>
  <c r="E57" i="4"/>
  <c r="E56" i="4"/>
  <c r="E54" i="4"/>
  <c r="E37" i="4"/>
  <c r="E146" i="4" l="1"/>
  <c r="D132" i="4"/>
  <c r="E132" i="4" s="1"/>
  <c r="D126" i="4"/>
  <c r="E126" i="4" s="1"/>
  <c r="D125" i="4"/>
  <c r="E125" i="4" s="1"/>
  <c r="D123" i="4"/>
  <c r="E123" i="4" s="1"/>
  <c r="D122" i="4"/>
  <c r="E122" i="4" s="1"/>
  <c r="D118" i="4"/>
  <c r="E118" i="4" s="1"/>
  <c r="D115" i="4"/>
  <c r="E115" i="4" s="1"/>
  <c r="D108" i="4"/>
  <c r="E108" i="4" s="1"/>
  <c r="D104" i="4"/>
  <c r="E104" i="4" s="1"/>
  <c r="D102" i="4"/>
  <c r="E102" i="4" s="1"/>
  <c r="D100" i="4"/>
  <c r="E100" i="4" s="1"/>
  <c r="D99" i="4"/>
  <c r="E99" i="4" s="1"/>
  <c r="E119" i="4" s="1"/>
  <c r="D98" i="4"/>
  <c r="E98" i="4" s="1"/>
  <c r="D86" i="4"/>
  <c r="E86" i="4" s="1"/>
  <c r="D84" i="4"/>
  <c r="E84" i="4" s="1"/>
  <c r="D81" i="4"/>
  <c r="E81" i="4" s="1"/>
  <c r="D71" i="4"/>
  <c r="E71" i="4" s="1"/>
  <c r="D70" i="4"/>
  <c r="E70" i="4" s="1"/>
  <c r="D69" i="4"/>
  <c r="E69" i="4" s="1"/>
  <c r="E95" i="4" s="1"/>
  <c r="D152" i="4"/>
  <c r="E152" i="4" s="1"/>
  <c r="E154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E133" i="4" l="1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D34" i="4"/>
  <c r="E34" i="4" l="1"/>
</calcChain>
</file>

<file path=xl/sharedStrings.xml><?xml version="1.0" encoding="utf-8"?>
<sst xmlns="http://schemas.openxmlformats.org/spreadsheetml/2006/main" count="390" uniqueCount="266">
  <si>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</si>
  <si>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</si>
  <si>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</si>
  <si>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</si>
  <si>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</si>
  <si>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</si>
  <si>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</si>
  <si>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</si>
  <si>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</si>
  <si>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</si>
  <si>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</si>
  <si>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</si>
  <si>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</si>
  <si>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</si>
  <si>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</si>
  <si>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</si>
  <si>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</si>
  <si>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</si>
  <si>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</si>
  <si>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</si>
  <si>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</si>
  <si>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</si>
  <si>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</si>
  <si>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</si>
  <si>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</si>
  <si>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</si>
  <si>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</si>
  <si>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</si>
  <si>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</si>
  <si>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</si>
  <si>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</si>
  <si>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</si>
  <si>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</si>
  <si>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</si>
  <si>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</si>
  <si>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</si>
  <si>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</si>
  <si>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</si>
  <si>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</si>
  <si>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</si>
  <si>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</si>
  <si>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</si>
  <si>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</si>
  <si>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</si>
  <si>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</si>
  <si>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</si>
  <si>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</si>
  <si>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</si>
  <si>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</si>
  <si>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</si>
  <si>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</si>
  <si>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</si>
  <si>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</si>
  <si>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</si>
  <si>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</si>
  <si>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</si>
  <si>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</si>
  <si>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</si>
  <si>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</si>
  <si>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</si>
  <si>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</si>
  <si>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</si>
  <si>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</si>
  <si>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</si>
  <si>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</si>
  <si>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</si>
  <si>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</si>
  <si>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</si>
  <si>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</si>
  <si>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</si>
  <si>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</si>
  <si>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</si>
  <si>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</si>
  <si>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</si>
  <si>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</si>
  <si>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</si>
  <si>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</si>
  <si>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</si>
  <si>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</si>
  <si>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</si>
  <si>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</si>
  <si>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</si>
  <si>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</si>
  <si>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</si>
  <si>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</si>
  <si>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</si>
  <si>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</si>
  <si>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</si>
  <si>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</si>
  <si>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</si>
  <si>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</si>
  <si>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</si>
  <si>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</si>
  <si>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</si>
  <si>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</si>
  <si>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</si>
  <si>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</si>
  <si>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</si>
  <si>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</si>
  <si>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</si>
  <si>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</si>
  <si>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</si>
  <si>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</si>
  <si>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</si>
  <si>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</si>
  <si>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</si>
  <si>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</si>
  <si>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</si>
  <si>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</si>
  <si>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</si>
  <si>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</si>
  <si>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</si>
  <si>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</si>
  <si>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</si>
  <si>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</si>
  <si>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</si>
  <si>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</si>
  <si>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</si>
  <si>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</si>
  <si>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</si>
  <si>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</si>
  <si>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</si>
  <si>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</si>
  <si>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</si>
  <si>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</si>
  <si>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</si>
  <si>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</si>
  <si>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</si>
  <si>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</si>
  <si>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</si>
  <si>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</si>
  <si>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</si>
  <si>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</si>
  <si>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</si>
  <si>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</si>
  <si>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</si>
  <si>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</si>
  <si>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</si>
  <si>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</si>
  <si>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</si>
  <si>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</si>
  <si>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</si>
  <si>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</si>
  <si>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</si>
  <si>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</si>
  <si>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</si>
  <si>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</si>
  <si>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</si>
  <si>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</si>
  <si>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</si>
  <si>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</si>
  <si>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</si>
  <si>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</si>
  <si>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</si>
  <si>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</si>
  <si>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</si>
  <si>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</si>
  <si>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</si>
  <si>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</si>
  <si>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</si>
  <si>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</si>
  <si>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</si>
  <si>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</si>
  <si>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</si>
  <si>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</si>
  <si>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</si>
  <si>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</si>
  <si>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</si>
  <si>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</si>
  <si>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</si>
  <si>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</si>
  <si>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</si>
  <si>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</si>
  <si>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</si>
  <si>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</si>
  <si>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</si>
  <si>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</si>
  <si>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</si>
  <si>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</si>
  <si>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</si>
  <si>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</si>
  <si>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</si>
  <si>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</si>
  <si>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</si>
  <si>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</si>
  <si>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</si>
  <si>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</si>
  <si>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</si>
  <si>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</si>
  <si>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</si>
  <si>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</si>
  <si>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</si>
  <si>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</si>
  <si>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</si>
  <si>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</si>
  <si>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</si>
  <si>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</si>
  <si>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</si>
  <si>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</si>
  <si>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</si>
  <si>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</si>
  <si>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</si>
  <si>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</si>
  <si>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</si>
  <si>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</si>
  <si>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</si>
  <si>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</si>
  <si>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</si>
  <si>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</si>
  <si>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</si>
  <si>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</si>
  <si>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</si>
  <si>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</si>
  <si>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</si>
  <si>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</si>
  <si>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</si>
  <si>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</si>
  <si>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</si>
  <si>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</si>
  <si>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</si>
  <si>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</si>
  <si>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</si>
  <si>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</si>
  <si>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</si>
  <si>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</si>
  <si>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</si>
  <si>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</si>
  <si>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</si>
  <si>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</si>
  <si>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</si>
  <si>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</si>
  <si>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</si>
  <si>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</si>
  <si>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</si>
  <si>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</si>
  <si>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</si>
  <si>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</si>
  <si>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</si>
  <si>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</si>
  <si>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</si>
  <si>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</si>
  <si>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</si>
  <si>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</si>
  <si>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</si>
  <si>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</si>
  <si>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</si>
  <si>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</si>
  <si>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0000공장 신축공사</t>
    <phoneticPr fontId="2" type="noConversion"/>
  </si>
  <si>
    <t>공장</t>
  </si>
  <si>
    <t>강원도</t>
  </si>
  <si>
    <t>토및지정공사,판넬공사,골재비,운반비</t>
    <phoneticPr fontId="2" type="noConversion"/>
  </si>
  <si>
    <t>부대토목공사(흙막이공사포함)</t>
    <phoneticPr fontId="2" type="noConversion"/>
  </si>
  <si>
    <t>전기바닥난방공사</t>
    <phoneticPr fontId="2" type="noConversion"/>
  </si>
  <si>
    <t>옥외전기설비공사,가설사무소</t>
    <phoneticPr fontId="2" type="noConversion"/>
  </si>
  <si>
    <t>CCTV설비공사,가설사무실</t>
    <phoneticPr fontId="2" type="noConversion"/>
  </si>
  <si>
    <t>원 /평</t>
    <phoneticPr fontId="2" type="noConversion"/>
  </si>
  <si>
    <t>원 /평</t>
    <phoneticPr fontId="2" type="noConversion"/>
  </si>
  <si>
    <t>위생배관공사,PAC에어컨설치공사,천장형원적외선복사난방</t>
    <phoneticPr fontId="2" type="noConversion"/>
  </si>
  <si>
    <t>환기덕트설치공사</t>
    <phoneticPr fontId="2" type="noConversion"/>
  </si>
  <si>
    <t>전기 소방공사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</si>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</sst>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6406</v>
      </c>
      <c r="D7" s="36">
        <f>+C7/3.3058</f>
        <v>1937.8062798717406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410460</v>
      </c>
      <c r="E25" s="59">
        <f t="shared" si="0"/>
        <v>1356890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50690</v>
      </c>
      <c r="E27" s="59">
        <f t="shared" si="0"/>
        <v>167570</v>
      </c>
    </row>
    <row r="28" spans="1:5" x14ac:dyDescent="0.3">
      <c r="B28" s="2">
        <v>5</v>
      </c>
      <c r="C28" s="35" t="s">
        <v>97</v>
      </c>
      <c r="D28" s="45">
        <f>+D119</f>
        <v>58540</v>
      </c>
      <c r="E28" s="59">
        <f t="shared" si="0"/>
        <v>193520</v>
      </c>
    </row>
    <row r="29" spans="1:5" x14ac:dyDescent="0.3">
      <c r="B29" s="2">
        <v>6</v>
      </c>
      <c r="C29" s="35" t="s">
        <v>98</v>
      </c>
      <c r="D29" s="45">
        <f>+D133</f>
        <v>28270</v>
      </c>
      <c r="E29" s="59">
        <f t="shared" si="0"/>
        <v>93450</v>
      </c>
    </row>
    <row r="30" spans="1:5" x14ac:dyDescent="0.3">
      <c r="B30" s="2">
        <v>7</v>
      </c>
      <c r="C30" s="35" t="s">
        <v>99</v>
      </c>
      <c r="D30" s="45">
        <f>+D146</f>
        <v>27360</v>
      </c>
      <c r="E30" s="59">
        <f t="shared" si="0"/>
        <v>90440</v>
      </c>
    </row>
    <row r="31" spans="1:5" x14ac:dyDescent="0.3">
      <c r="B31" s="2">
        <v>8</v>
      </c>
      <c r="C31" s="35" t="s">
        <v>100</v>
      </c>
      <c r="D31" s="45">
        <f>+D154</f>
        <v>87030</v>
      </c>
      <c r="E31" s="59">
        <f t="shared" si="0"/>
        <v>287700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182140</v>
      </c>
      <c r="E33" s="60">
        <f t="shared" si="0"/>
        <v>602110</v>
      </c>
    </row>
    <row r="34" spans="1:7" x14ac:dyDescent="0.3">
      <c r="C34" s="35" t="s">
        <v>112</v>
      </c>
      <c r="D34" s="44">
        <f>SUM(D24:D33)</f>
        <v>844490</v>
      </c>
      <c r="E34" s="44">
        <f>SUM(E24:E33)</f>
        <v>2791680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256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TRUNC(26202,-1)</f>
        <v>26200</v>
      </c>
      <c r="E40" s="62">
        <f t="shared" ref="E40:E59" si="1">TRUNC(+D40*3.3058,-1)</f>
        <v>86610</v>
      </c>
    </row>
    <row r="41" spans="1:7" x14ac:dyDescent="0.3">
      <c r="A41" s="2">
        <v>2</v>
      </c>
      <c r="C41" s="38" t="s">
        <v>13</v>
      </c>
      <c r="D41" s="42">
        <f>TRUNC(63898,-1)</f>
        <v>63890</v>
      </c>
      <c r="E41" s="63">
        <f t="shared" si="1"/>
        <v>211200</v>
      </c>
    </row>
    <row r="42" spans="1:7" x14ac:dyDescent="0.3">
      <c r="A42" s="2">
        <v>3</v>
      </c>
      <c r="C42" s="38" t="s">
        <v>14</v>
      </c>
      <c r="D42" s="42">
        <f>TRUNC(96431,-1)</f>
        <v>96430</v>
      </c>
      <c r="E42" s="63">
        <f t="shared" si="1"/>
        <v>318770</v>
      </c>
    </row>
    <row r="43" spans="1:7" x14ac:dyDescent="0.3">
      <c r="A43" s="2">
        <v>4</v>
      </c>
      <c r="C43" s="38" t="s">
        <v>16</v>
      </c>
      <c r="D43" s="42">
        <f>TRUNC(11774,-1)</f>
        <v>11770</v>
      </c>
      <c r="E43" s="63">
        <f t="shared" si="1"/>
        <v>38900</v>
      </c>
    </row>
    <row r="44" spans="1:7" x14ac:dyDescent="0.3">
      <c r="A44" s="2">
        <v>5</v>
      </c>
      <c r="C44" s="38" t="s">
        <v>17</v>
      </c>
      <c r="D44" s="42">
        <f>TRUNC(21599,-1)</f>
        <v>21590</v>
      </c>
      <c r="E44" s="63">
        <f t="shared" si="1"/>
        <v>71370</v>
      </c>
    </row>
    <row r="45" spans="1:7" x14ac:dyDescent="0.3">
      <c r="A45" s="2">
        <v>6</v>
      </c>
      <c r="C45" s="38" t="s">
        <v>18</v>
      </c>
      <c r="D45" s="42">
        <f>TRUNC(4466,-1)</f>
        <v>4460</v>
      </c>
      <c r="E45" s="63">
        <f t="shared" si="1"/>
        <v>14740</v>
      </c>
    </row>
    <row r="46" spans="1:7" x14ac:dyDescent="0.3">
      <c r="A46" s="2">
        <v>7</v>
      </c>
      <c r="C46" s="38" t="s">
        <v>19</v>
      </c>
      <c r="D46" s="42">
        <f>TRUNC(1805,-1)</f>
        <v>1800</v>
      </c>
      <c r="E46" s="63">
        <f t="shared" si="1"/>
        <v>5950</v>
      </c>
    </row>
    <row r="47" spans="1:7" x14ac:dyDescent="0.3">
      <c r="A47" s="2">
        <v>8</v>
      </c>
      <c r="C47" s="38" t="s">
        <v>20</v>
      </c>
      <c r="D47" s="42">
        <f>TRUNC(429,-1)</f>
        <v>420</v>
      </c>
      <c r="E47" s="63">
        <f t="shared" si="1"/>
        <v>1380</v>
      </c>
    </row>
    <row r="48" spans="1:7" x14ac:dyDescent="0.3">
      <c r="A48" s="2">
        <v>9</v>
      </c>
      <c r="C48" s="38" t="s">
        <v>21</v>
      </c>
      <c r="D48" s="42">
        <f>TRUNC(15891,-1)</f>
        <v>15890</v>
      </c>
      <c r="E48" s="63">
        <f t="shared" si="1"/>
        <v>52520</v>
      </c>
    </row>
    <row r="49" spans="1:7" x14ac:dyDescent="0.3">
      <c r="A49" s="2">
        <v>10</v>
      </c>
      <c r="C49" s="38" t="s">
        <v>22</v>
      </c>
      <c r="D49" s="42">
        <f>TRUNC(8621,-1)</f>
        <v>8620</v>
      </c>
      <c r="E49" s="63">
        <f t="shared" si="1"/>
        <v>28490</v>
      </c>
    </row>
    <row r="50" spans="1:7" x14ac:dyDescent="0.3">
      <c r="A50" s="2">
        <v>11</v>
      </c>
      <c r="C50" s="38" t="s">
        <v>154</v>
      </c>
      <c r="D50" s="42">
        <f>TRUNC(17518,-1)</f>
        <v>17510</v>
      </c>
      <c r="E50" s="63">
        <f t="shared" si="1"/>
        <v>57880</v>
      </c>
    </row>
    <row r="51" spans="1:7" x14ac:dyDescent="0.3">
      <c r="A51" s="2">
        <v>12</v>
      </c>
      <c r="C51" s="38" t="s">
        <v>23</v>
      </c>
      <c r="D51" s="42">
        <f>TRUNC(3677,-1)</f>
        <v>3670</v>
      </c>
      <c r="E51" s="63">
        <f t="shared" si="1"/>
        <v>12130</v>
      </c>
    </row>
    <row r="52" spans="1:7" x14ac:dyDescent="0.3">
      <c r="A52" s="2">
        <v>13</v>
      </c>
      <c r="C52" s="38" t="s">
        <v>24</v>
      </c>
      <c r="D52" s="42">
        <f>TRUNC(32302,-1)</f>
        <v>32300</v>
      </c>
      <c r="E52" s="63">
        <f t="shared" si="1"/>
        <v>106770</v>
      </c>
    </row>
    <row r="53" spans="1:7" x14ac:dyDescent="0.3">
      <c r="A53" s="2">
        <v>14</v>
      </c>
      <c r="C53" s="38" t="s">
        <v>25</v>
      </c>
      <c r="D53" s="42">
        <f>TRUNC(15463,-1)</f>
        <v>15460</v>
      </c>
      <c r="E53" s="63">
        <f t="shared" si="1"/>
        <v>51100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TRUNC(11576,-1)</f>
        <v>11570</v>
      </c>
      <c r="E55" s="63">
        <f t="shared" si="1"/>
        <v>38240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TRUNC(429+74813+2440+1206,-1)</f>
        <v>78880</v>
      </c>
      <c r="E58" s="63">
        <f t="shared" si="1"/>
        <v>260760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410460</v>
      </c>
      <c r="E60" s="39">
        <f>SUM(E40:E59)</f>
        <v>1356810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256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256</v>
      </c>
      <c r="G68" s="55"/>
    </row>
    <row r="69" spans="1:7" x14ac:dyDescent="0.3">
      <c r="A69" s="2">
        <v>1</v>
      </c>
      <c r="C69" s="38" t="s">
        <v>30</v>
      </c>
      <c r="D69" s="40">
        <f>TRUNC(8783,-1)</f>
        <v>8780</v>
      </c>
      <c r="E69" s="62">
        <f t="shared" ref="E69:E94" si="2">TRUNC(+D69*3.3058,-1)</f>
        <v>29020</v>
      </c>
    </row>
    <row r="70" spans="1:7" ht="16.5" customHeight="1" x14ac:dyDescent="0.3">
      <c r="A70" s="2">
        <v>2</v>
      </c>
      <c r="C70" s="38" t="s">
        <v>31</v>
      </c>
      <c r="D70" s="42">
        <f>TRUNC(115,-1)</f>
        <v>110</v>
      </c>
      <c r="E70" s="63">
        <f t="shared" si="2"/>
        <v>360</v>
      </c>
    </row>
    <row r="71" spans="1:7" x14ac:dyDescent="0.3">
      <c r="A71" s="2">
        <v>3</v>
      </c>
      <c r="C71" s="38" t="s">
        <v>32</v>
      </c>
      <c r="D71" s="42">
        <f>TRUNC(2663,-1)</f>
        <v>2660</v>
      </c>
      <c r="E71" s="63">
        <f t="shared" si="2"/>
        <v>8790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TRUNC(5778,-1)</f>
        <v>5770</v>
      </c>
      <c r="E79" s="63">
        <f t="shared" si="2"/>
        <v>19070</v>
      </c>
      <c r="F79" s="2" t="s">
        <v>258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TRUNC(4843,-1)</f>
        <v>4840</v>
      </c>
      <c r="E81" s="63">
        <f t="shared" si="2"/>
        <v>16000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TRUNC(127,-1)</f>
        <v>120</v>
      </c>
      <c r="E84" s="63">
        <f t="shared" si="2"/>
        <v>390</v>
      </c>
      <c r="F84" s="2" t="s">
        <v>252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f>TRUNC(1357,-1)</f>
        <v>1350</v>
      </c>
      <c r="E86" s="63">
        <f t="shared" si="2"/>
        <v>4460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TRUNC(25725+611+728,-1)</f>
        <v>27060</v>
      </c>
      <c r="E94" s="64">
        <f t="shared" si="2"/>
        <v>89450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50690</v>
      </c>
      <c r="E95" s="39">
        <f>SUM(E69:E94)</f>
        <v>167540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256</v>
      </c>
      <c r="G97" s="55"/>
    </row>
    <row r="98" spans="1:7" x14ac:dyDescent="0.3">
      <c r="A98" s="2">
        <v>1</v>
      </c>
      <c r="C98" s="38" t="s">
        <v>39</v>
      </c>
      <c r="D98" s="40">
        <f>TRUNC(26305,-1)</f>
        <v>26300</v>
      </c>
      <c r="E98" s="62">
        <f t="shared" ref="E98:E118" si="3">TRUNC(+D98*3.3058,-1)</f>
        <v>86940</v>
      </c>
    </row>
    <row r="99" spans="1:7" x14ac:dyDescent="0.3">
      <c r="A99" s="2">
        <v>2</v>
      </c>
      <c r="C99" s="38" t="s">
        <v>40</v>
      </c>
      <c r="D99" s="42">
        <f>TRUNC(4092,-1)</f>
        <v>4090</v>
      </c>
      <c r="E99" s="63">
        <f t="shared" si="3"/>
        <v>13520</v>
      </c>
    </row>
    <row r="100" spans="1:7" x14ac:dyDescent="0.3">
      <c r="A100" s="2">
        <v>3</v>
      </c>
      <c r="C100" s="38" t="s">
        <v>41</v>
      </c>
      <c r="D100" s="42">
        <f>TRUNC(9092,-1)</f>
        <v>9090</v>
      </c>
      <c r="E100" s="63">
        <f t="shared" si="3"/>
        <v>30040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TRUNC(2465,-1)</f>
        <v>2460</v>
      </c>
      <c r="E102" s="63">
        <f t="shared" si="3"/>
        <v>8130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TRUNC(4715,-1)</f>
        <v>4710</v>
      </c>
      <c r="E104" s="63">
        <f t="shared" si="3"/>
        <v>15570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TRUNC(961,-1)</f>
        <v>960</v>
      </c>
      <c r="E108" s="63">
        <f t="shared" si="3"/>
        <v>3170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TRUNC(2900,-1)</f>
        <v>2900</v>
      </c>
      <c r="E115" s="63">
        <f t="shared" si="3"/>
        <v>9580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TRUNC(7897+137,-1)</f>
        <v>8030</v>
      </c>
      <c r="E118" s="64">
        <f t="shared" si="3"/>
        <v>26540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58540</v>
      </c>
      <c r="E119" s="39">
        <f>SUM(E98:E118)</f>
        <v>193490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256</v>
      </c>
      <c r="G121" s="55"/>
    </row>
    <row r="122" spans="1:7" x14ac:dyDescent="0.3">
      <c r="A122" s="2">
        <v>1</v>
      </c>
      <c r="C122" s="38" t="s">
        <v>55</v>
      </c>
      <c r="D122" s="40">
        <f>TRUNC(2359,-1)</f>
        <v>2350</v>
      </c>
      <c r="E122" s="62">
        <f t="shared" ref="E122:E132" si="4">TRUNC(+D122*3.3058,-1)</f>
        <v>7760</v>
      </c>
    </row>
    <row r="123" spans="1:7" x14ac:dyDescent="0.3">
      <c r="A123" s="2">
        <v>2</v>
      </c>
      <c r="C123" s="38" t="s">
        <v>124</v>
      </c>
      <c r="D123" s="42">
        <f>TRUNC(15575,-1)</f>
        <v>15570</v>
      </c>
      <c r="E123" s="63">
        <f t="shared" si="4"/>
        <v>51470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TRUNC(3164,-1)</f>
        <v>3160</v>
      </c>
      <c r="E125" s="63">
        <f t="shared" si="4"/>
        <v>10440</v>
      </c>
    </row>
    <row r="126" spans="1:7" x14ac:dyDescent="0.3">
      <c r="A126" s="2">
        <v>5</v>
      </c>
      <c r="C126" s="38" t="s">
        <v>53</v>
      </c>
      <c r="D126" s="42">
        <f>TRUNC(2859,-1)</f>
        <v>2850</v>
      </c>
      <c r="E126" s="63">
        <f t="shared" si="4"/>
        <v>9420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TRUNC(4202+138,-1)</f>
        <v>4340</v>
      </c>
      <c r="E132" s="64">
        <f t="shared" si="4"/>
        <v>14340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28270</v>
      </c>
      <c r="E133" s="39">
        <f>SUM(E122:E132)</f>
        <v>93430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256</v>
      </c>
      <c r="G135" s="55"/>
    </row>
    <row r="136" spans="1:7" x14ac:dyDescent="0.3">
      <c r="A136" s="2">
        <v>1</v>
      </c>
      <c r="C136" s="38" t="s">
        <v>131</v>
      </c>
      <c r="D136" s="40">
        <f>TRUNC(13305,-1)</f>
        <v>13300</v>
      </c>
      <c r="E136" s="62">
        <f t="shared" ref="E136:E145" si="5">TRUNC(+D136*3.3058,-1)</f>
        <v>43960</v>
      </c>
      <c r="F136" s="2" t="s">
        <v>260</v>
      </c>
    </row>
    <row r="137" spans="1:7" x14ac:dyDescent="0.3">
      <c r="A137" s="2">
        <v>2</v>
      </c>
      <c r="C137" s="38" t="s">
        <v>47</v>
      </c>
      <c r="D137" s="42">
        <f>TRUNC(14068,-1)</f>
        <v>14060</v>
      </c>
      <c r="E137" s="63">
        <f t="shared" si="5"/>
        <v>46470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27360</v>
      </c>
      <c r="E146" s="39">
        <f>SUM(E136:E145)</f>
        <v>90430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256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TRUNC(87039,-1)</f>
        <v>87030</v>
      </c>
      <c r="E152" s="63">
        <f>TRUNC(+D152*3.3058,-1)</f>
        <v>287700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87030</v>
      </c>
      <c r="E154" s="39">
        <f>SUM(E149:E153)</f>
        <v>287700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256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2020-12-07T09:53:30Z</dcterms:modified>
</cp:coreProperties>
</file>