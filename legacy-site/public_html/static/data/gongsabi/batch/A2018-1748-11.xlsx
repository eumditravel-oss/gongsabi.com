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8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60" i="4" l="1"/>
  <c r="D159" i="4"/>
  <c r="D158" i="4"/>
  <c r="D145" i="4"/>
  <c r="D144" i="4"/>
  <c r="D143" i="4"/>
  <c r="D142" i="4"/>
  <c r="D141" i="4"/>
  <c r="D140" i="4"/>
  <c r="D139" i="4"/>
  <c r="D132" i="4"/>
  <c r="D131" i="4"/>
  <c r="D130" i="4"/>
  <c r="D127" i="4"/>
  <c r="D126" i="4"/>
  <c r="D125" i="4"/>
  <c r="D118" i="4"/>
  <c r="D117" i="4"/>
  <c r="D116" i="4"/>
  <c r="D114" i="4"/>
  <c r="D104" i="4"/>
  <c r="D103" i="4"/>
  <c r="D102" i="4"/>
  <c r="D101" i="4"/>
  <c r="D100" i="4"/>
  <c r="D99" i="4"/>
  <c r="D98" i="4"/>
  <c r="D94" i="4"/>
  <c r="D93" i="4"/>
  <c r="D92" i="4"/>
  <c r="D91" i="4"/>
  <c r="D89" i="4"/>
  <c r="D76" i="4"/>
  <c r="D75" i="4"/>
  <c r="D73" i="4"/>
  <c r="D71" i="4"/>
  <c r="D70" i="4"/>
  <c r="D69" i="4"/>
  <c r="D63" i="4"/>
  <c r="D59" i="4"/>
  <c r="D58" i="4"/>
  <c r="D53" i="4"/>
  <c r="D52" i="4"/>
  <c r="D50" i="4"/>
  <c r="D49" i="4"/>
  <c r="D48" i="4"/>
  <c r="D46" i="4"/>
  <c r="D45" i="4"/>
  <c r="D44" i="4"/>
  <c r="D43" i="4"/>
  <c r="D42" i="4"/>
  <c r="D41" i="4"/>
  <c r="D40" i="4"/>
  <c r="D152" i="4"/>
  <c r="D149" i="4"/>
  <c r="D137" i="4"/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66" i="4" l="1"/>
  <c r="E161" i="4"/>
  <c r="E154" i="4"/>
  <c r="E146" i="4"/>
  <c r="E133" i="4"/>
  <c r="E119" i="4"/>
  <c r="E95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<sst xmlns="http://schemas.openxmlformats.org/spreadsheetml/2006/main" count="393" uniqueCount="268">
  <si>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</si>
  <si>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</si>
  <si>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</si>
  <si>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</si>
  <si>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</si>
  <si>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</si>
  <si>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</si>
  <si>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</si>
  <si>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</si>
  <si>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</si>
  <si>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</si>
  <si>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</si>
  <si>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</si>
  <si>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</si>
  <si>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</si>
  <si>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</si>
  <si>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</si>
  <si>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</si>
  <si>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</si>
  <si>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</si>
  <si>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</si>
  <si>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</si>
  <si>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</si>
  <si>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</si>
  <si>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</si>
  <si>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</si>
  <si>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</si>
  <si>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</si>
  <si>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</si>
  <si>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</si>
  <si>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</si>
  <si>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</si>
  <si>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</si>
  <si>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</si>
  <si>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</si>
  <si>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</si>
  <si>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</si>
  <si>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</si>
  <si>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</si>
  <si>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</si>
  <si>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</si>
  <si>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</si>
  <si>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</si>
  <si>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</si>
  <si>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</si>
  <si>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</si>
  <si>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</si>
  <si>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</si>
  <si>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</si>
  <si>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</si>
  <si>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</si>
  <si>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</si>
  <si>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</si>
  <si>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</si>
  <si>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</si>
  <si>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</si>
  <si>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</si>
  <si>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</si>
  <si>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</si>
  <si>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</si>
  <si>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</si>
  <si>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</si>
  <si>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</si>
  <si>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</si>
  <si>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</si>
  <si>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</si>
  <si>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</si>
  <si>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</si>
  <si>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</si>
  <si>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</si>
  <si>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</si>
  <si>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</si>
  <si>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</si>
  <si>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</si>
  <si>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</si>
  <si>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</si>
  <si>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</si>
  <si>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</si>
  <si>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</si>
  <si>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</si>
  <si>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</si>
  <si>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</si>
  <si>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</si>
  <si>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</si>
  <si>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</si>
  <si>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</si>
  <si>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</si>
  <si>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</si>
  <si>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</si>
  <si>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</si>
  <si>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</si>
  <si>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</si>
  <si>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</si>
  <si>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</si>
  <si>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</si>
  <si>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</si>
  <si>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</si>
  <si>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</si>
  <si>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</si>
  <si>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</si>
  <si>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</si>
  <si>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</si>
  <si>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</si>
  <si>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</si>
  <si>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</si>
  <si>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</si>
  <si>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</si>
  <si>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</si>
  <si>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</si>
  <si>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</si>
  <si>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</si>
  <si>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</si>
  <si>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</si>
  <si>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</si>
  <si>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</si>
  <si>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</si>
  <si>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</si>
  <si>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</si>
  <si>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</si>
  <si>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</si>
  <si>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</si>
  <si>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</si>
  <si>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</si>
  <si>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</si>
  <si>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</si>
  <si>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</si>
  <si>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</si>
  <si>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</si>
  <si>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</si>
  <si>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</si>
  <si>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</si>
  <si>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</si>
  <si>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</si>
  <si>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</si>
  <si>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</si>
  <si>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</si>
  <si>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</si>
  <si>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</si>
  <si>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</si>
  <si>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</si>
  <si>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</si>
  <si>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</si>
  <si>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</si>
  <si>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</si>
  <si>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</si>
  <si>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</si>
  <si>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</si>
  <si>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</si>
  <si>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</si>
  <si>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</si>
  <si>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</si>
  <si>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</si>
  <si>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</si>
  <si>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</si>
  <si>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</si>
  <si>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</si>
  <si>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</si>
  <si>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</si>
  <si>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</si>
  <si>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</si>
  <si>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</si>
  <si>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</si>
  <si>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</si>
  <si>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</si>
  <si>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</si>
  <si>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</si>
  <si>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</si>
  <si>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</si>
  <si>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</si>
  <si>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</si>
  <si>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</si>
  <si>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</si>
  <si>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</si>
  <si>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</si>
  <si>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</si>
  <si>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</si>
  <si>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</si>
  <si>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</si>
  <si>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</si>
  <si>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</si>
  <si>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</si>
  <si>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</si>
  <si>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</si>
  <si>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</si>
  <si>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</si>
  <si>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</si>
  <si>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</si>
  <si>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</si>
  <si>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</si>
  <si>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</si>
  <si>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</si>
  <si>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</si>
  <si>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</si>
  <si>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</si>
  <si>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</si>
  <si>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</si>
  <si>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</si>
  <si>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</si>
  <si>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</si>
  <si>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</si>
  <si>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</si>
  <si>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</si>
  <si>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</si>
  <si>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</si>
  <si>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</si>
  <si>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</si>
  <si>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</si>
  <si>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</si>
  <si>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</si>
  <si>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</si>
  <si>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</si>
  <si>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</si>
  <si>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</si>
  <si>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</si>
  <si>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</si>
  <si>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</si>
  <si>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</si>
  <si>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</si>
  <si>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</si>
  <si>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</si>
  <si>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</si>
  <si>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</si>
  <si>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</si>
  <si>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</si>
  <si>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</si>
  <si>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</si>
  <si>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</si>
  <si>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</si>
  <si>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</si>
  <si>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</si>
  <si>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</si>
  <si>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</si>
  <si>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</si>
  <si>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</si>
  <si>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</si>
  <si>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</si>
  <si>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</si>
  <si>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</si>
  <si>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</si>
  <si>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</si>
  <si>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</si>
  <si>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</si>
  <si>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</si>
  <si>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</si>
  <si>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</si>
  <si>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</si>
  <si>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</si>
  <si>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</si>
  <si>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기타</t>
  </si>
  <si>
    <t>세종아트센터 건립공사(건축)</t>
    <phoneticPr fontId="2" type="noConversion"/>
  </si>
  <si>
    <t>세종시</t>
  </si>
  <si>
    <t>지붕및홈통공사 포함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</si>
  <si>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</si>
  <si>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</si>
  <si>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기초공사, 골재비및운반비, 작업부산물, 품질시험비, 기타공사</t>
    <phoneticPr fontId="2" type="noConversion"/>
  </si>
  <si>
    <t>공조배관공사, 난방배관공사, 우수처리시설공사, 기타공사</t>
    <phoneticPr fontId="2" type="noConversion"/>
  </si>
  <si>
    <t>전기인입 및 수변전 설비공사</t>
    <phoneticPr fontId="2" type="noConversion"/>
  </si>
  <si>
    <t>옥외보안등설비공사</t>
    <phoneticPr fontId="2" type="noConversion"/>
  </si>
  <si>
    <t xml:space="preserve">CATV 및 TV 설비공사 </t>
    <phoneticPr fontId="2" type="noConversion"/>
  </si>
  <si>
    <t>CCTV설비공사, 주차관제설비공사, 기타공사</t>
    <phoneticPr fontId="2" type="noConversion"/>
  </si>
  <si>
    <t>옥외소화배관공사, 펌프실배관공사, 제연덕트설치공사, 무선통신보조설비공사, 기타공사</t>
    <phoneticPr fontId="2" type="noConversion"/>
  </si>
  <si>
    <t>상수도공사, 사급자재비, 운반비, 기타공사</t>
    <phoneticPr fontId="2" type="noConversion"/>
  </si>
  <si>
    <t>포장공사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</si>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</sst>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265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249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248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16186.35</v>
      </c>
      <c r="D7" s="36">
        <f>+C7/3.3058</f>
        <v>4896.3488414302137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208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266</v>
      </c>
    </row>
    <row r="19" spans="1:5" x14ac:dyDescent="0.3">
      <c r="A19" s="2">
        <v>9</v>
      </c>
      <c r="B19" s="2" t="s">
        <v>267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1551110</v>
      </c>
      <c r="E25" s="59">
        <f t="shared" si="0"/>
        <v>5127650</v>
      </c>
    </row>
    <row r="26" spans="1:5" x14ac:dyDescent="0.3">
      <c r="B26" s="2">
        <v>3</v>
      </c>
      <c r="C26" s="35" t="s">
        <v>95</v>
      </c>
      <c r="D26" s="45">
        <f>+D66</f>
        <v>59090</v>
      </c>
      <c r="E26" s="59">
        <f t="shared" si="0"/>
        <v>195330</v>
      </c>
    </row>
    <row r="27" spans="1:5" x14ac:dyDescent="0.3">
      <c r="B27" s="2">
        <v>4</v>
      </c>
      <c r="C27" s="35" t="s">
        <v>96</v>
      </c>
      <c r="D27" s="45">
        <f>+D95</f>
        <v>945060</v>
      </c>
      <c r="E27" s="59">
        <f t="shared" si="0"/>
        <v>3124170</v>
      </c>
    </row>
    <row r="28" spans="1:5" x14ac:dyDescent="0.3">
      <c r="B28" s="2">
        <v>5</v>
      </c>
      <c r="C28" s="35" t="s">
        <v>97</v>
      </c>
      <c r="D28" s="45">
        <f>+D119</f>
        <v>431270</v>
      </c>
      <c r="E28" s="59">
        <f t="shared" si="0"/>
        <v>1425690</v>
      </c>
    </row>
    <row r="29" spans="1:5" x14ac:dyDescent="0.3">
      <c r="B29" s="2">
        <v>6</v>
      </c>
      <c r="C29" s="35" t="s">
        <v>98</v>
      </c>
      <c r="D29" s="45">
        <f>+D133</f>
        <v>137240</v>
      </c>
      <c r="E29" s="59">
        <f t="shared" si="0"/>
        <v>453680</v>
      </c>
    </row>
    <row r="30" spans="1:5" x14ac:dyDescent="0.3">
      <c r="B30" s="2">
        <v>7</v>
      </c>
      <c r="C30" s="35" t="s">
        <v>99</v>
      </c>
      <c r="D30" s="45">
        <f>+D146</f>
        <v>166820</v>
      </c>
      <c r="E30" s="59">
        <f t="shared" si="0"/>
        <v>551470</v>
      </c>
    </row>
    <row r="31" spans="1:5" x14ac:dyDescent="0.3">
      <c r="B31" s="2">
        <v>8</v>
      </c>
      <c r="C31" s="35" t="s">
        <v>100</v>
      </c>
      <c r="D31" s="45">
        <f>+D154</f>
        <v>35976</v>
      </c>
      <c r="E31" s="59">
        <f t="shared" si="0"/>
        <v>118920</v>
      </c>
    </row>
    <row r="32" spans="1:5" x14ac:dyDescent="0.3">
      <c r="B32" s="2">
        <v>9</v>
      </c>
      <c r="C32" s="35" t="s">
        <v>101</v>
      </c>
      <c r="D32" s="45">
        <f>+D161</f>
        <v>119554</v>
      </c>
      <c r="E32" s="59">
        <f t="shared" si="0"/>
        <v>395220</v>
      </c>
    </row>
    <row r="33" spans="1:7" x14ac:dyDescent="0.3">
      <c r="B33" s="2">
        <v>10</v>
      </c>
      <c r="C33" s="35" t="s">
        <v>154</v>
      </c>
      <c r="D33" s="53">
        <f>TRUNC(SUM(D24:D32)*0.275,-1)</f>
        <v>947680</v>
      </c>
      <c r="E33" s="60">
        <f t="shared" si="0"/>
        <v>3132840</v>
      </c>
    </row>
    <row r="34" spans="1:7" x14ac:dyDescent="0.3">
      <c r="C34" s="35" t="s">
        <v>112</v>
      </c>
      <c r="D34" s="44">
        <f>SUM(D24:D33)</f>
        <v>4393800</v>
      </c>
      <c r="E34" s="44">
        <f>SUM(E24:E33)</f>
        <v>14524970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242</v>
      </c>
      <c r="D39" s="67" t="s">
        <v>263</v>
      </c>
      <c r="E39" s="67" t="s">
        <v>264</v>
      </c>
      <c r="G39" s="68"/>
    </row>
    <row r="40" spans="1:7" x14ac:dyDescent="0.3">
      <c r="A40" s="2">
        <v>1</v>
      </c>
      <c r="C40" s="38" t="s">
        <v>15</v>
      </c>
      <c r="D40" s="40">
        <f>TRUNC(103473,-1)</f>
        <v>103470</v>
      </c>
      <c r="E40" s="62">
        <f t="shared" ref="E40:E59" si="1">TRUNC(+D40*3.3058,-1)</f>
        <v>342050</v>
      </c>
    </row>
    <row r="41" spans="1:7" x14ac:dyDescent="0.3">
      <c r="A41" s="2">
        <v>2</v>
      </c>
      <c r="C41" s="38" t="s">
        <v>13</v>
      </c>
      <c r="D41" s="42">
        <f>TRUNC(272112,-1)</f>
        <v>272110</v>
      </c>
      <c r="E41" s="63">
        <f t="shared" si="1"/>
        <v>899540</v>
      </c>
    </row>
    <row r="42" spans="1:7" x14ac:dyDescent="0.3">
      <c r="A42" s="2">
        <v>3</v>
      </c>
      <c r="C42" s="38" t="s">
        <v>14</v>
      </c>
      <c r="D42" s="42">
        <f>TRUNC(209335,-1)</f>
        <v>209330</v>
      </c>
      <c r="E42" s="63">
        <f t="shared" si="1"/>
        <v>692000</v>
      </c>
    </row>
    <row r="43" spans="1:7" x14ac:dyDescent="0.3">
      <c r="A43" s="2">
        <v>4</v>
      </c>
      <c r="C43" s="38" t="s">
        <v>16</v>
      </c>
      <c r="D43" s="42">
        <f>TRUNC(30102,-1)</f>
        <v>30100</v>
      </c>
      <c r="E43" s="63">
        <f t="shared" si="1"/>
        <v>99500</v>
      </c>
    </row>
    <row r="44" spans="1:7" x14ac:dyDescent="0.3">
      <c r="A44" s="2">
        <v>5</v>
      </c>
      <c r="C44" s="38" t="s">
        <v>17</v>
      </c>
      <c r="D44" s="42">
        <f>TRUNC(41034,-1)</f>
        <v>41030</v>
      </c>
      <c r="E44" s="63">
        <f t="shared" si="1"/>
        <v>135630</v>
      </c>
    </row>
    <row r="45" spans="1:7" x14ac:dyDescent="0.3">
      <c r="A45" s="2">
        <v>6</v>
      </c>
      <c r="C45" s="38" t="s">
        <v>18</v>
      </c>
      <c r="D45" s="42">
        <f>TRUNC(1128,-1)</f>
        <v>1120</v>
      </c>
      <c r="E45" s="63">
        <f t="shared" si="1"/>
        <v>3700</v>
      </c>
    </row>
    <row r="46" spans="1:7" x14ac:dyDescent="0.3">
      <c r="A46" s="2">
        <v>7</v>
      </c>
      <c r="C46" s="38" t="s">
        <v>19</v>
      </c>
      <c r="D46" s="42">
        <f>TRUNC(52209,-1)</f>
        <v>52200</v>
      </c>
      <c r="E46" s="63">
        <f t="shared" si="1"/>
        <v>172560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TRUNC(33992,-1)</f>
        <v>33990</v>
      </c>
      <c r="E48" s="63">
        <f t="shared" si="1"/>
        <v>112360</v>
      </c>
      <c r="F48" s="2" t="s">
        <v>251</v>
      </c>
    </row>
    <row r="49" spans="1:7" x14ac:dyDescent="0.3">
      <c r="A49" s="2">
        <v>10</v>
      </c>
      <c r="C49" s="38" t="s">
        <v>22</v>
      </c>
      <c r="D49" s="42">
        <f>TRUNC(12869,-1)</f>
        <v>12860</v>
      </c>
      <c r="E49" s="63">
        <f t="shared" si="1"/>
        <v>42510</v>
      </c>
    </row>
    <row r="50" spans="1:7" x14ac:dyDescent="0.3">
      <c r="A50" s="2">
        <v>11</v>
      </c>
      <c r="C50" s="38" t="s">
        <v>155</v>
      </c>
      <c r="D50" s="42">
        <f>TRUNC(86191,-1)</f>
        <v>86190</v>
      </c>
      <c r="E50" s="63">
        <f t="shared" si="1"/>
        <v>284920</v>
      </c>
      <c r="F50" s="2" t="s">
        <v>252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TRUNC(8551,-1)</f>
        <v>8550</v>
      </c>
      <c r="E52" s="63">
        <f t="shared" si="1"/>
        <v>28260</v>
      </c>
    </row>
    <row r="53" spans="1:7" x14ac:dyDescent="0.3">
      <c r="A53" s="2">
        <v>14</v>
      </c>
      <c r="C53" s="38" t="s">
        <v>25</v>
      </c>
      <c r="D53" s="42">
        <f>TRUNC(189438,-1)</f>
        <v>189430</v>
      </c>
      <c r="E53" s="63">
        <f t="shared" si="1"/>
        <v>626210</v>
      </c>
      <c r="F53" s="2" t="s">
        <v>253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TRUNC(69036+6579-3260+2138+109241,-1)</f>
        <v>183730</v>
      </c>
      <c r="E58" s="63">
        <f t="shared" si="1"/>
        <v>607370</v>
      </c>
      <c r="F58" s="2" t="s">
        <v>254</v>
      </c>
    </row>
    <row r="59" spans="1:7" ht="17.25" thickBot="1" x14ac:dyDescent="0.35">
      <c r="A59" s="2">
        <v>20</v>
      </c>
      <c r="C59" s="38" t="s">
        <v>148</v>
      </c>
      <c r="D59" s="43">
        <f>TRUNC(327006,-1)</f>
        <v>327000</v>
      </c>
      <c r="E59" s="64">
        <f t="shared" si="1"/>
        <v>1080990</v>
      </c>
    </row>
    <row r="60" spans="1:7" x14ac:dyDescent="0.3">
      <c r="A60" s="2">
        <v>21</v>
      </c>
      <c r="C60" s="27" t="s">
        <v>112</v>
      </c>
      <c r="D60" s="39">
        <f>SUM(D40:D59)</f>
        <v>1551110</v>
      </c>
      <c r="E60" s="39">
        <f>SUM(E40:E59)</f>
        <v>5127600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TRUNC(59093,-1)</f>
        <v>59090</v>
      </c>
      <c r="E63" s="62">
        <f>TRUNC(+D63*3.3058,-1)</f>
        <v>195330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59090</v>
      </c>
      <c r="E66" s="65">
        <f>SUM(E63:E65)</f>
        <v>195330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TRUNC(11888,-1)</f>
        <v>11880</v>
      </c>
      <c r="E69" s="62">
        <f t="shared" ref="E69:E94" si="2">TRUNC(+D69*3.3058,-1)</f>
        <v>39270</v>
      </c>
    </row>
    <row r="70" spans="1:7" ht="16.5" customHeight="1" x14ac:dyDescent="0.3">
      <c r="A70" s="2">
        <v>2</v>
      </c>
      <c r="C70" s="38" t="s">
        <v>31</v>
      </c>
      <c r="D70" s="42">
        <f>TRUNC(3025,-1)</f>
        <v>3020</v>
      </c>
      <c r="E70" s="63">
        <f t="shared" si="2"/>
        <v>9980</v>
      </c>
    </row>
    <row r="71" spans="1:7" x14ac:dyDescent="0.3">
      <c r="A71" s="2">
        <v>3</v>
      </c>
      <c r="C71" s="38" t="s">
        <v>32</v>
      </c>
      <c r="D71" s="42">
        <f>TRUNC(17409,-1)</f>
        <v>17400</v>
      </c>
      <c r="E71" s="63">
        <f t="shared" si="2"/>
        <v>57520</v>
      </c>
    </row>
    <row r="72" spans="1:7" x14ac:dyDescent="0.3">
      <c r="A72" s="2">
        <v>4</v>
      </c>
      <c r="C72" s="38" t="s">
        <v>33</v>
      </c>
      <c r="D72" s="42">
        <v>0</v>
      </c>
      <c r="E72" s="63">
        <f t="shared" si="2"/>
        <v>0</v>
      </c>
    </row>
    <row r="73" spans="1:7" x14ac:dyDescent="0.3">
      <c r="A73" s="2">
        <v>5</v>
      </c>
      <c r="C73" s="38" t="s">
        <v>34</v>
      </c>
      <c r="D73" s="42">
        <f>TRUNC(11906,-1)</f>
        <v>11900</v>
      </c>
      <c r="E73" s="63">
        <f t="shared" si="2"/>
        <v>39330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f>TRUNC(15026,-1)</f>
        <v>15020</v>
      </c>
      <c r="E75" s="63">
        <f t="shared" si="2"/>
        <v>49650</v>
      </c>
    </row>
    <row r="76" spans="1:7" x14ac:dyDescent="0.3">
      <c r="A76" s="2">
        <v>8</v>
      </c>
      <c r="C76" s="38" t="s">
        <v>119</v>
      </c>
      <c r="D76" s="42">
        <f>TRUNC(58322,-1)</f>
        <v>58320</v>
      </c>
      <c r="E76" s="63">
        <f t="shared" si="2"/>
        <v>192790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TRUNC(13006,-1)</f>
        <v>13000</v>
      </c>
      <c r="E89" s="63">
        <f t="shared" si="2"/>
        <v>42970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TRUNC(79378,-1)</f>
        <v>79370</v>
      </c>
      <c r="E91" s="63">
        <f t="shared" si="2"/>
        <v>262380</v>
      </c>
    </row>
    <row r="92" spans="1:7" x14ac:dyDescent="0.3">
      <c r="A92" s="2">
        <v>24</v>
      </c>
      <c r="C92" s="38" t="s">
        <v>38</v>
      </c>
      <c r="D92" s="42">
        <f>TRUNC(344,-1)</f>
        <v>340</v>
      </c>
      <c r="E92" s="63">
        <f t="shared" si="2"/>
        <v>1120</v>
      </c>
    </row>
    <row r="93" spans="1:7" x14ac:dyDescent="0.3">
      <c r="A93" s="2">
        <v>25</v>
      </c>
      <c r="C93" s="38" t="s">
        <v>148</v>
      </c>
      <c r="D93" s="42">
        <f>TRUNC(656869,-1)</f>
        <v>656860</v>
      </c>
      <c r="E93" s="63">
        <f t="shared" si="2"/>
        <v>2171440</v>
      </c>
    </row>
    <row r="94" spans="1:7" ht="17.25" thickBot="1" x14ac:dyDescent="0.35">
      <c r="A94" s="2">
        <v>26</v>
      </c>
      <c r="C94" s="38" t="s">
        <v>47</v>
      </c>
      <c r="D94" s="43">
        <f>TRUNC(37627+10595+1300+28434,-1)</f>
        <v>77950</v>
      </c>
      <c r="E94" s="64">
        <f t="shared" si="2"/>
        <v>257680</v>
      </c>
      <c r="F94" s="2" t="s">
        <v>255</v>
      </c>
    </row>
    <row r="95" spans="1:7" x14ac:dyDescent="0.3">
      <c r="A95" s="2">
        <v>27</v>
      </c>
      <c r="C95" s="27" t="s">
        <v>112</v>
      </c>
      <c r="D95" s="39">
        <f>SUM(D69:D94)</f>
        <v>945060</v>
      </c>
      <c r="E95" s="39">
        <f>SUM(E69:E94)</f>
        <v>3124130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TRUNC(54406,-1)</f>
        <v>54400</v>
      </c>
      <c r="E98" s="62">
        <f t="shared" ref="E98:E118" si="3">TRUNC(+D98*3.3058,-1)</f>
        <v>179830</v>
      </c>
    </row>
    <row r="99" spans="1:7" x14ac:dyDescent="0.3">
      <c r="A99" s="2">
        <v>2</v>
      </c>
      <c r="C99" s="38" t="s">
        <v>40</v>
      </c>
      <c r="D99" s="42">
        <f>TRUNC(10119,-1)</f>
        <v>10110</v>
      </c>
      <c r="E99" s="63">
        <f t="shared" si="3"/>
        <v>33420</v>
      </c>
    </row>
    <row r="100" spans="1:7" x14ac:dyDescent="0.3">
      <c r="A100" s="2">
        <v>3</v>
      </c>
      <c r="C100" s="38" t="s">
        <v>41</v>
      </c>
      <c r="D100" s="42">
        <f>TRUNC(33939,-1)</f>
        <v>33930</v>
      </c>
      <c r="E100" s="63">
        <f t="shared" si="3"/>
        <v>112160</v>
      </c>
    </row>
    <row r="101" spans="1:7" x14ac:dyDescent="0.3">
      <c r="A101" s="2">
        <v>4</v>
      </c>
      <c r="C101" s="38" t="s">
        <v>42</v>
      </c>
      <c r="D101" s="42">
        <f>TRUNC(19568,-1)</f>
        <v>19560</v>
      </c>
      <c r="E101" s="63">
        <f t="shared" si="3"/>
        <v>64660</v>
      </c>
    </row>
    <row r="102" spans="1:7" x14ac:dyDescent="0.3">
      <c r="A102" s="2">
        <v>5</v>
      </c>
      <c r="C102" s="38" t="s">
        <v>43</v>
      </c>
      <c r="D102" s="42">
        <f>TRUNC(13904,-1)</f>
        <v>13900</v>
      </c>
      <c r="E102" s="63">
        <f t="shared" si="3"/>
        <v>45950</v>
      </c>
    </row>
    <row r="103" spans="1:7" x14ac:dyDescent="0.3">
      <c r="A103" s="2">
        <v>6</v>
      </c>
      <c r="C103" s="38" t="s">
        <v>44</v>
      </c>
      <c r="D103" s="42">
        <f>TRUNC(3472,-1)</f>
        <v>3470</v>
      </c>
      <c r="E103" s="63">
        <f t="shared" si="3"/>
        <v>11470</v>
      </c>
    </row>
    <row r="104" spans="1:7" x14ac:dyDescent="0.3">
      <c r="A104" s="2">
        <v>7</v>
      </c>
      <c r="C104" s="38" t="s">
        <v>45</v>
      </c>
      <c r="D104" s="42">
        <f>TRUNC(3583,-1)</f>
        <v>3580</v>
      </c>
      <c r="E104" s="63">
        <f t="shared" si="3"/>
        <v>11830</v>
      </c>
    </row>
    <row r="105" spans="1:7" x14ac:dyDescent="0.3">
      <c r="A105" s="2">
        <v>8</v>
      </c>
      <c r="C105" s="38" t="s">
        <v>46</v>
      </c>
      <c r="D105" s="42">
        <v>0</v>
      </c>
      <c r="E105" s="63">
        <f t="shared" si="3"/>
        <v>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TRUNC(2074,-1)</f>
        <v>2070</v>
      </c>
      <c r="E114" s="63">
        <f t="shared" si="3"/>
        <v>6840</v>
      </c>
      <c r="F114" s="2" t="s">
        <v>257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TRUNC(2684,-1)</f>
        <v>2680</v>
      </c>
      <c r="E116" s="63">
        <f t="shared" si="3"/>
        <v>8850</v>
      </c>
      <c r="F116" s="2" t="s">
        <v>256</v>
      </c>
    </row>
    <row r="117" spans="1:7" x14ac:dyDescent="0.3">
      <c r="A117" s="2">
        <v>20</v>
      </c>
      <c r="C117" s="38" t="s">
        <v>148</v>
      </c>
      <c r="D117" s="42">
        <f>TRUNC(284345,-1)</f>
        <v>284340</v>
      </c>
      <c r="E117" s="63">
        <f t="shared" si="3"/>
        <v>939970</v>
      </c>
    </row>
    <row r="118" spans="1:7" ht="17.25" thickBot="1" x14ac:dyDescent="0.35">
      <c r="A118" s="2">
        <v>21</v>
      </c>
      <c r="C118" s="38" t="s">
        <v>47</v>
      </c>
      <c r="D118" s="43">
        <f>TRUNC(3234,-1)</f>
        <v>3230</v>
      </c>
      <c r="E118" s="64">
        <f t="shared" si="3"/>
        <v>10670</v>
      </c>
    </row>
    <row r="119" spans="1:7" x14ac:dyDescent="0.3">
      <c r="A119" s="2">
        <v>22</v>
      </c>
      <c r="C119" s="27" t="s">
        <v>112</v>
      </c>
      <c r="D119" s="39">
        <f>SUM(D98:D118)</f>
        <v>431270</v>
      </c>
      <c r="E119" s="39">
        <f>SUM(E98:E118)</f>
        <v>1425650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v>3860</v>
      </c>
      <c r="E122" s="62">
        <f t="shared" ref="E122:E132" si="4">TRUNC(+D122*3.3058,-1)</f>
        <v>12760</v>
      </c>
      <c r="F122" s="2" t="s">
        <v>258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v>0</v>
      </c>
      <c r="E124" s="63">
        <f t="shared" si="4"/>
        <v>0</v>
      </c>
    </row>
    <row r="125" spans="1:7" x14ac:dyDescent="0.3">
      <c r="A125" s="2">
        <v>4</v>
      </c>
      <c r="C125" s="38" t="s">
        <v>138</v>
      </c>
      <c r="D125" s="42">
        <f>TRUNC(6795,-1)</f>
        <v>6790</v>
      </c>
      <c r="E125" s="63">
        <f t="shared" si="4"/>
        <v>22440</v>
      </c>
    </row>
    <row r="126" spans="1:7" x14ac:dyDescent="0.3">
      <c r="A126" s="2">
        <v>5</v>
      </c>
      <c r="C126" s="38" t="s">
        <v>53</v>
      </c>
      <c r="D126" s="42">
        <f>TRUNC(1851,-1)</f>
        <v>1850</v>
      </c>
      <c r="E126" s="63">
        <f t="shared" si="4"/>
        <v>6110</v>
      </c>
    </row>
    <row r="127" spans="1:7" x14ac:dyDescent="0.3">
      <c r="A127" s="2">
        <v>6</v>
      </c>
      <c r="C127" s="38" t="s">
        <v>56</v>
      </c>
      <c r="D127" s="42">
        <f>TRUNC(1142,-1)</f>
        <v>1140</v>
      </c>
      <c r="E127" s="63">
        <f t="shared" si="4"/>
        <v>3760</v>
      </c>
    </row>
    <row r="128" spans="1:7" x14ac:dyDescent="0.3">
      <c r="A128" s="2">
        <v>7</v>
      </c>
      <c r="C128" s="38" t="s">
        <v>46</v>
      </c>
      <c r="D128" s="42">
        <v>0</v>
      </c>
      <c r="E128" s="63">
        <f t="shared" si="4"/>
        <v>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TRUNC(22224,-1)</f>
        <v>22220</v>
      </c>
      <c r="E130" s="63">
        <f t="shared" si="4"/>
        <v>73450</v>
      </c>
    </row>
    <row r="131" spans="1:7" x14ac:dyDescent="0.3">
      <c r="A131" s="2">
        <v>10</v>
      </c>
      <c r="C131" s="38" t="s">
        <v>148</v>
      </c>
      <c r="D131" s="42">
        <f>TRUNC(93097,-1)</f>
        <v>93090</v>
      </c>
      <c r="E131" s="63">
        <f t="shared" si="4"/>
        <v>307730</v>
      </c>
    </row>
    <row r="132" spans="1:7" ht="18" thickBot="1" x14ac:dyDescent="0.35">
      <c r="A132" s="2">
        <v>11</v>
      </c>
      <c r="C132" s="38" t="s">
        <v>47</v>
      </c>
      <c r="D132" s="43">
        <f>TRUNC(6547+1381+370,-1)</f>
        <v>8290</v>
      </c>
      <c r="E132" s="64">
        <f t="shared" si="4"/>
        <v>27400</v>
      </c>
      <c r="F132" s="54" t="s">
        <v>259</v>
      </c>
    </row>
    <row r="133" spans="1:7" x14ac:dyDescent="0.3">
      <c r="A133" s="2">
        <v>12</v>
      </c>
      <c r="C133" s="27" t="s">
        <v>112</v>
      </c>
      <c r="D133" s="39">
        <f>SUM(D122:D132)</f>
        <v>137240</v>
      </c>
      <c r="E133" s="39">
        <f>SUM(E122:E132)</f>
        <v>453650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99+4421+21911+5092+5627</f>
        <v>37150</v>
      </c>
      <c r="E137" s="63">
        <f t="shared" si="5"/>
        <v>122810</v>
      </c>
      <c r="F137" s="2" t="s">
        <v>260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f>TRUNC(7336,-1)</f>
        <v>7330</v>
      </c>
      <c r="E139" s="63">
        <f t="shared" si="5"/>
        <v>24230</v>
      </c>
    </row>
    <row r="140" spans="1:7" x14ac:dyDescent="0.3">
      <c r="A140" s="2">
        <v>5</v>
      </c>
      <c r="C140" s="38" t="s">
        <v>57</v>
      </c>
      <c r="D140" s="42">
        <f>TRUNC(1169,-1)</f>
        <v>1160</v>
      </c>
      <c r="E140" s="63">
        <f t="shared" si="5"/>
        <v>3830</v>
      </c>
    </row>
    <row r="141" spans="1:7" x14ac:dyDescent="0.3">
      <c r="A141" s="2">
        <v>6</v>
      </c>
      <c r="C141" s="38" t="s">
        <v>59</v>
      </c>
      <c r="D141" s="42">
        <f>TRUNC(50772,-1)</f>
        <v>50770</v>
      </c>
      <c r="E141" s="63">
        <f t="shared" si="5"/>
        <v>167830</v>
      </c>
    </row>
    <row r="142" spans="1:7" x14ac:dyDescent="0.3">
      <c r="A142" s="2">
        <v>7</v>
      </c>
      <c r="C142" s="38" t="s">
        <v>58</v>
      </c>
      <c r="D142" s="42">
        <f>TRUNC(9124,-1)</f>
        <v>9120</v>
      </c>
      <c r="E142" s="63">
        <f t="shared" si="5"/>
        <v>30140</v>
      </c>
    </row>
    <row r="143" spans="1:7" x14ac:dyDescent="0.3">
      <c r="A143" s="2">
        <v>8</v>
      </c>
      <c r="C143" s="38" t="s">
        <v>62</v>
      </c>
      <c r="D143" s="42">
        <f>TRUNC(7152,-1)</f>
        <v>7150</v>
      </c>
      <c r="E143" s="63">
        <f t="shared" si="5"/>
        <v>23630</v>
      </c>
    </row>
    <row r="144" spans="1:7" x14ac:dyDescent="0.3">
      <c r="A144" s="2">
        <v>9</v>
      </c>
      <c r="C144" s="38" t="s">
        <v>63</v>
      </c>
      <c r="D144" s="42">
        <f>TRUNC(21897,-1)</f>
        <v>21890</v>
      </c>
      <c r="E144" s="63">
        <f t="shared" si="5"/>
        <v>72360</v>
      </c>
    </row>
    <row r="145" spans="1:7" ht="17.25" thickBot="1" x14ac:dyDescent="0.35">
      <c r="A145" s="2">
        <v>10</v>
      </c>
      <c r="C145" s="38" t="s">
        <v>148</v>
      </c>
      <c r="D145" s="43">
        <f>TRUNC(32254,-1)</f>
        <v>32250</v>
      </c>
      <c r="E145" s="64">
        <f t="shared" si="5"/>
        <v>106610</v>
      </c>
    </row>
    <row r="146" spans="1:7" x14ac:dyDescent="0.3">
      <c r="A146" s="2">
        <v>11</v>
      </c>
      <c r="C146" s="27" t="s">
        <v>112</v>
      </c>
      <c r="D146" s="39">
        <f>SUM(D136:D145)</f>
        <v>166820</v>
      </c>
      <c r="E146" s="39">
        <f>SUM(E136:E145)</f>
        <v>551440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12091+1879</f>
        <v>13970</v>
      </c>
      <c r="E149" s="62">
        <f>TRUNC(+D149*3.3058,-1)</f>
        <v>46180</v>
      </c>
    </row>
    <row r="150" spans="1:7" x14ac:dyDescent="0.3">
      <c r="A150" s="2">
        <v>2</v>
      </c>
      <c r="C150" s="38" t="s">
        <v>49</v>
      </c>
      <c r="D150" s="42">
        <v>9435</v>
      </c>
      <c r="E150" s="63">
        <f>TRUNC(+D150*3.3058,-1)</f>
        <v>31190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252+2721+350+3352</f>
        <v>6675</v>
      </c>
      <c r="E152" s="63">
        <f>TRUNC(+D152*3.3058,-1)</f>
        <v>22060</v>
      </c>
      <c r="F152" s="2" t="s">
        <v>261</v>
      </c>
    </row>
    <row r="153" spans="1:7" ht="17.25" thickBot="1" x14ac:dyDescent="0.35">
      <c r="A153" s="2">
        <v>5</v>
      </c>
      <c r="C153" s="38" t="s">
        <v>148</v>
      </c>
      <c r="D153" s="43">
        <v>5896</v>
      </c>
      <c r="E153" s="64">
        <f>TRUNC(+D153*3.3058,-1)</f>
        <v>19490</v>
      </c>
    </row>
    <row r="154" spans="1:7" x14ac:dyDescent="0.3">
      <c r="A154" s="2">
        <v>6</v>
      </c>
      <c r="C154" s="27" t="s">
        <v>112</v>
      </c>
      <c r="D154" s="39">
        <f>SUM(D149:D153)</f>
        <v>35976</v>
      </c>
      <c r="E154" s="39">
        <f>SUM(E149:E153)</f>
        <v>118920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v>65044</v>
      </c>
      <c r="E157" s="62">
        <f>TRUNC(+D157*3.3058,-1)</f>
        <v>215020</v>
      </c>
    </row>
    <row r="158" spans="1:7" x14ac:dyDescent="0.3">
      <c r="A158" s="2">
        <v>2</v>
      </c>
      <c r="C158" s="38" t="s">
        <v>52</v>
      </c>
      <c r="D158" s="42">
        <f>TRUNC(21235,-1)</f>
        <v>21230</v>
      </c>
      <c r="E158" s="63">
        <f>TRUNC(+D158*3.3058,-1)</f>
        <v>70180</v>
      </c>
    </row>
    <row r="159" spans="1:7" x14ac:dyDescent="0.3">
      <c r="A159" s="2">
        <v>3</v>
      </c>
      <c r="C159" s="38" t="s">
        <v>47</v>
      </c>
      <c r="D159" s="42">
        <f>TRUNC(11065,-1)</f>
        <v>11060</v>
      </c>
      <c r="E159" s="63">
        <f>TRUNC(+D159*3.3058,-1)</f>
        <v>36560</v>
      </c>
      <c r="F159" s="2" t="s">
        <v>262</v>
      </c>
    </row>
    <row r="160" spans="1:7" ht="17.25" thickBot="1" x14ac:dyDescent="0.35">
      <c r="A160" s="2">
        <v>4</v>
      </c>
      <c r="C160" s="38" t="s">
        <v>148</v>
      </c>
      <c r="D160" s="43">
        <f>TRUNC(22221,-1)</f>
        <v>22220</v>
      </c>
      <c r="E160" s="64">
        <f>TRUNC(+D160*3.3058,-1)</f>
        <v>73450</v>
      </c>
    </row>
    <row r="161" spans="1:5" x14ac:dyDescent="0.3">
      <c r="A161" s="2">
        <v>5</v>
      </c>
      <c r="C161" s="27" t="s">
        <v>112</v>
      </c>
      <c r="D161" s="39">
        <f>SUM(D157:D160)</f>
        <v>119554</v>
      </c>
      <c r="E161" s="39">
        <f>SUM(E157:E160)</f>
        <v>395210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disablePrompts="1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2020-12-08T02:34:54Z</dcterms:modified>
</cp:coreProperties>
</file>