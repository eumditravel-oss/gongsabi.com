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2" i="4" l="1"/>
  <c r="D150" i="4"/>
  <c r="D149" i="4"/>
  <c r="D143" i="4"/>
  <c r="D142" i="4"/>
  <c r="D140" i="4"/>
  <c r="D137" i="4"/>
  <c r="D132" i="4"/>
  <c r="D131" i="4"/>
  <c r="D130" i="4"/>
  <c r="D128" i="4"/>
  <c r="D127" i="4"/>
  <c r="D125" i="4"/>
  <c r="D122" i="4"/>
  <c r="D117" i="4"/>
  <c r="D105" i="4"/>
  <c r="D104" i="4"/>
  <c r="D103" i="4"/>
  <c r="D102" i="4"/>
  <c r="D101" i="4"/>
  <c r="D100" i="4"/>
  <c r="D99" i="4"/>
  <c r="D98" i="4"/>
  <c r="D94" i="4"/>
  <c r="D92" i="4"/>
  <c r="D91" i="4"/>
  <c r="D90" i="4"/>
  <c r="D89" i="4"/>
  <c r="D73" i="4"/>
  <c r="D72" i="4"/>
  <c r="D71" i="4"/>
  <c r="D69" i="4"/>
  <c r="D63" i="4"/>
  <c r="D59" i="4"/>
  <c r="D53" i="4"/>
  <c r="D52" i="4"/>
  <c r="D50" i="4"/>
  <c r="D49" i="4"/>
  <c r="D48" i="4"/>
  <c r="D46" i="4"/>
  <c r="D45" i="4"/>
  <c r="D44" i="4"/>
  <c r="D43" i="4"/>
  <c r="D41" i="4"/>
  <c r="D40" i="4"/>
  <c r="D58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<sst xmlns="http://schemas.openxmlformats.org/spreadsheetml/2006/main" count="396" uniqueCount="267">
  <si>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</si>
  <si>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</si>
  <si>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</si>
  <si>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</si>
  <si>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</si>
  <si>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</si>
  <si>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</si>
  <si>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</si>
  <si>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</si>
  <si>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</si>
  <si>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</si>
  <si>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</si>
  <si>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</si>
  <si>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</si>
  <si>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</si>
  <si>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</si>
  <si>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</si>
  <si>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</si>
  <si>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</si>
  <si>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</si>
  <si>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</si>
  <si>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</si>
  <si>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</si>
  <si>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</si>
  <si>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</si>
  <si>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</si>
  <si>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</si>
  <si>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</si>
  <si>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</si>
  <si>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</si>
  <si>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</si>
  <si>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</si>
  <si>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</si>
  <si>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</si>
  <si>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</si>
  <si>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</si>
  <si>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</si>
  <si>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</si>
  <si>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</si>
  <si>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</si>
  <si>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</si>
  <si>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</si>
  <si>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</si>
  <si>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</si>
  <si>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</si>
  <si>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</si>
  <si>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</si>
  <si>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</si>
  <si>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</si>
  <si>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</si>
  <si>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</si>
  <si>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</si>
  <si>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</si>
  <si>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</si>
  <si>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</si>
  <si>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</si>
  <si>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</si>
  <si>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</si>
  <si>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</si>
  <si>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</si>
  <si>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</si>
  <si>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</si>
  <si>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</si>
  <si>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</si>
  <si>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</si>
  <si>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</si>
  <si>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</si>
  <si>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</si>
  <si>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</si>
  <si>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</si>
  <si>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</si>
  <si>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</si>
  <si>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</si>
  <si>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</si>
  <si>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</si>
  <si>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</si>
  <si>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</si>
  <si>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</si>
  <si>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</si>
  <si>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</si>
  <si>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</si>
  <si>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</si>
  <si>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</si>
  <si>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</si>
  <si>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</si>
  <si>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</si>
  <si>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</si>
  <si>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</si>
  <si>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</si>
  <si>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</si>
  <si>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</si>
  <si>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</si>
  <si>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</si>
  <si>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</si>
  <si>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</si>
  <si>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</si>
  <si>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</si>
  <si>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</si>
  <si>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</si>
  <si>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</si>
  <si>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</si>
  <si>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</si>
  <si>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</si>
  <si>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</si>
  <si>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</si>
  <si>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</si>
  <si>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</si>
  <si>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</si>
  <si>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</si>
  <si>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</si>
  <si>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</si>
  <si>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</si>
  <si>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</si>
  <si>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</si>
  <si>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</si>
  <si>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</si>
  <si>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</si>
  <si>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</si>
  <si>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</si>
  <si>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</si>
  <si>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</si>
  <si>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</si>
  <si>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</si>
  <si>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</si>
  <si>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</si>
  <si>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</si>
  <si>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</si>
  <si>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</si>
  <si>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</si>
  <si>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</si>
  <si>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</si>
  <si>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</si>
  <si>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</si>
  <si>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</si>
  <si>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</si>
  <si>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</si>
  <si>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</si>
  <si>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</si>
  <si>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</si>
  <si>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</si>
  <si>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</si>
  <si>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</si>
  <si>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</si>
  <si>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</si>
  <si>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</si>
  <si>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</si>
  <si>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</si>
  <si>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</si>
  <si>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</si>
  <si>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</si>
  <si>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</si>
  <si>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</si>
  <si>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</si>
  <si>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</si>
  <si>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</si>
  <si>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</si>
  <si>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</si>
  <si>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</si>
  <si>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</si>
  <si>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</si>
  <si>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</si>
  <si>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</si>
  <si>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</si>
  <si>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</si>
  <si>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</si>
  <si>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</si>
  <si>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</si>
  <si>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</si>
  <si>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</si>
  <si>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</si>
  <si>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</si>
  <si>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</si>
  <si>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</si>
  <si>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</si>
  <si>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</si>
  <si>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</si>
  <si>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</si>
  <si>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</si>
  <si>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</si>
  <si>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</si>
  <si>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</si>
  <si>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</si>
  <si>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</si>
  <si>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</si>
  <si>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</si>
  <si>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</si>
  <si>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</si>
  <si>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</si>
  <si>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</si>
  <si>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</si>
  <si>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</si>
  <si>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</si>
  <si>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</si>
  <si>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</si>
  <si>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</si>
  <si>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</si>
  <si>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</si>
  <si>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</si>
  <si>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</si>
  <si>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</si>
  <si>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</si>
  <si>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</si>
  <si>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</si>
  <si>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</si>
  <si>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</si>
  <si>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</si>
  <si>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</si>
  <si>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</si>
  <si>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</si>
  <si>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</si>
  <si>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</si>
  <si>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</si>
  <si>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</si>
  <si>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</si>
  <si>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</si>
  <si>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</si>
  <si>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</si>
  <si>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</si>
  <si>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</si>
  <si>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</si>
  <si>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</si>
  <si>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</si>
  <si>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</si>
  <si>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</si>
  <si>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</si>
  <si>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</si>
  <si>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</si>
  <si>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</si>
  <si>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</si>
  <si>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</si>
  <si>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</si>
  <si>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</si>
  <si>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</si>
  <si>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</si>
  <si>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</si>
  <si>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</si>
  <si>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</si>
  <si>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</si>
  <si>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</si>
  <si>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</si>
  <si>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</si>
  <si>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</si>
  <si>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</si>
  <si>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</si>
  <si>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</si>
  <si>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</si>
  <si>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</si>
  <si>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</si>
  <si>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</si>
  <si>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</si>
  <si>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</si>
  <si>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옥외보안등설비공사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</si>
  <si>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</si>
  <si>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</si>
  <si>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기타공사</t>
    <phoneticPr fontId="2" type="noConversion"/>
  </si>
  <si>
    <t>토목 사급자재비, 운반비, 기타공사</t>
    <phoneticPr fontId="2" type="noConversion"/>
  </si>
  <si>
    <t>전기인입 및 수변전 설비공사</t>
    <phoneticPr fontId="2" type="noConversion"/>
  </si>
  <si>
    <t>강릉교도소 수용동 증축공사</t>
    <phoneticPr fontId="2" type="noConversion"/>
  </si>
  <si>
    <t>기타</t>
  </si>
  <si>
    <t>강원도</t>
  </si>
  <si>
    <t>기초공사,폐기물처리비, 골재비및운반비, 기타공사</t>
    <phoneticPr fontId="2" type="noConversion"/>
  </si>
  <si>
    <t>난방배관공사,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</si>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</sst>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1885.23</v>
      </c>
      <c r="D7" s="36">
        <f>+C7/3.3058</f>
        <v>570.27950874221062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235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7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916340</v>
      </c>
      <c r="E25" s="58">
        <f t="shared" si="0"/>
        <v>3029230</v>
      </c>
    </row>
    <row r="26" spans="1:5" x14ac:dyDescent="0.3">
      <c r="B26" s="2">
        <v>3</v>
      </c>
      <c r="C26" s="35" t="s">
        <v>95</v>
      </c>
      <c r="D26" s="45">
        <f>+D66</f>
        <v>11530</v>
      </c>
      <c r="E26" s="58">
        <f t="shared" si="0"/>
        <v>38110</v>
      </c>
    </row>
    <row r="27" spans="1:5" x14ac:dyDescent="0.3">
      <c r="B27" s="2">
        <v>4</v>
      </c>
      <c r="C27" s="35" t="s">
        <v>96</v>
      </c>
      <c r="D27" s="45">
        <f>+D95</f>
        <v>195810</v>
      </c>
      <c r="E27" s="58">
        <f t="shared" si="0"/>
        <v>647300</v>
      </c>
    </row>
    <row r="28" spans="1:5" x14ac:dyDescent="0.3">
      <c r="B28" s="2">
        <v>5</v>
      </c>
      <c r="C28" s="35" t="s">
        <v>97</v>
      </c>
      <c r="D28" s="45">
        <f>+D119</f>
        <v>216740</v>
      </c>
      <c r="E28" s="58">
        <f t="shared" si="0"/>
        <v>716490</v>
      </c>
    </row>
    <row r="29" spans="1:5" x14ac:dyDescent="0.3">
      <c r="B29" s="2">
        <v>6</v>
      </c>
      <c r="C29" s="35" t="s">
        <v>98</v>
      </c>
      <c r="D29" s="45">
        <f>+D133</f>
        <v>203130</v>
      </c>
      <c r="E29" s="58">
        <f t="shared" si="0"/>
        <v>671500</v>
      </c>
    </row>
    <row r="30" spans="1:5" x14ac:dyDescent="0.3">
      <c r="B30" s="2">
        <v>7</v>
      </c>
      <c r="C30" s="35" t="s">
        <v>99</v>
      </c>
      <c r="D30" s="45">
        <f>+D146</f>
        <v>58460</v>
      </c>
      <c r="E30" s="58">
        <f t="shared" si="0"/>
        <v>193250</v>
      </c>
    </row>
    <row r="31" spans="1:5" x14ac:dyDescent="0.3">
      <c r="B31" s="2">
        <v>8</v>
      </c>
      <c r="C31" s="35" t="s">
        <v>100</v>
      </c>
      <c r="D31" s="45">
        <f>+D154</f>
        <v>27740</v>
      </c>
      <c r="E31" s="58">
        <f t="shared" si="0"/>
        <v>91700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8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448180</v>
      </c>
      <c r="E33" s="59">
        <f t="shared" si="0"/>
        <v>1481590</v>
      </c>
    </row>
    <row r="34" spans="1:7" x14ac:dyDescent="0.3">
      <c r="C34" s="35" t="s">
        <v>112</v>
      </c>
      <c r="D34" s="44">
        <f>SUM(D24:D33)</f>
        <v>2077930</v>
      </c>
      <c r="E34" s="44">
        <f>SUM(E24:E33)</f>
        <v>6869170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238</v>
      </c>
      <c r="D36" s="56" t="s">
        <v>234</v>
      </c>
      <c r="E36" s="56" t="s">
        <v>235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0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242</v>
      </c>
      <c r="D39" s="66" t="s">
        <v>262</v>
      </c>
      <c r="E39" s="66" t="s">
        <v>263</v>
      </c>
      <c r="G39" s="67"/>
    </row>
    <row r="40" spans="1:7" x14ac:dyDescent="0.3">
      <c r="A40" s="2">
        <v>1</v>
      </c>
      <c r="C40" s="38" t="s">
        <v>15</v>
      </c>
      <c r="D40" s="40">
        <f>TRUNC(49668,-1)</f>
        <v>49660</v>
      </c>
      <c r="E40" s="61">
        <f t="shared" ref="E40:E59" si="1">TRUNC(+D40*3.3058,-1)</f>
        <v>164160</v>
      </c>
    </row>
    <row r="41" spans="1:7" x14ac:dyDescent="0.3">
      <c r="A41" s="2">
        <v>2</v>
      </c>
      <c r="C41" s="38" t="s">
        <v>13</v>
      </c>
      <c r="D41" s="42">
        <f>TRUNC(239527,-1)</f>
        <v>239520</v>
      </c>
      <c r="E41" s="62">
        <f t="shared" si="1"/>
        <v>791800</v>
      </c>
    </row>
    <row r="42" spans="1:7" x14ac:dyDescent="0.3">
      <c r="A42" s="2">
        <v>3</v>
      </c>
      <c r="C42" s="38" t="s">
        <v>14</v>
      </c>
      <c r="D42" s="42">
        <v>0</v>
      </c>
      <c r="E42" s="62">
        <f t="shared" si="1"/>
        <v>0</v>
      </c>
    </row>
    <row r="43" spans="1:7" x14ac:dyDescent="0.3">
      <c r="A43" s="2">
        <v>4</v>
      </c>
      <c r="C43" s="38" t="s">
        <v>16</v>
      </c>
      <c r="D43" s="42">
        <f>TRUNC(49483,-1)</f>
        <v>49480</v>
      </c>
      <c r="E43" s="62">
        <f t="shared" si="1"/>
        <v>163570</v>
      </c>
    </row>
    <row r="44" spans="1:7" x14ac:dyDescent="0.3">
      <c r="A44" s="2">
        <v>5</v>
      </c>
      <c r="C44" s="38" t="s">
        <v>17</v>
      </c>
      <c r="D44" s="42">
        <f>TRUNC(38077,-1)</f>
        <v>38070</v>
      </c>
      <c r="E44" s="62">
        <f t="shared" si="1"/>
        <v>125850</v>
      </c>
    </row>
    <row r="45" spans="1:7" x14ac:dyDescent="0.3">
      <c r="A45" s="2">
        <v>6</v>
      </c>
      <c r="C45" s="38" t="s">
        <v>18</v>
      </c>
      <c r="D45" s="42">
        <f>TRUNC(10791,-1)</f>
        <v>10790</v>
      </c>
      <c r="E45" s="62">
        <f t="shared" si="1"/>
        <v>35660</v>
      </c>
    </row>
    <row r="46" spans="1:7" x14ac:dyDescent="0.3">
      <c r="A46" s="2">
        <v>7</v>
      </c>
      <c r="C46" s="38" t="s">
        <v>19</v>
      </c>
      <c r="D46" s="42">
        <f>TRUNC(21321,-1)</f>
        <v>21320</v>
      </c>
      <c r="E46" s="62">
        <f t="shared" si="1"/>
        <v>70470</v>
      </c>
    </row>
    <row r="47" spans="1:7" x14ac:dyDescent="0.3">
      <c r="A47" s="2">
        <v>8</v>
      </c>
      <c r="C47" s="38" t="s">
        <v>20</v>
      </c>
      <c r="D47" s="42">
        <v>0</v>
      </c>
      <c r="E47" s="62">
        <f t="shared" si="1"/>
        <v>0</v>
      </c>
    </row>
    <row r="48" spans="1:7" x14ac:dyDescent="0.3">
      <c r="A48" s="2">
        <v>9</v>
      </c>
      <c r="C48" s="38" t="s">
        <v>21</v>
      </c>
      <c r="D48" s="42">
        <f>TRUNC(27317,-1)</f>
        <v>27310</v>
      </c>
      <c r="E48" s="62">
        <f t="shared" si="1"/>
        <v>90280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TRUNC(25151,-1)</f>
        <v>25150</v>
      </c>
      <c r="E49" s="62">
        <f t="shared" si="1"/>
        <v>83140</v>
      </c>
    </row>
    <row r="50" spans="1:7" x14ac:dyDescent="0.3">
      <c r="A50" s="2">
        <v>11</v>
      </c>
      <c r="C50" s="38" t="s">
        <v>154</v>
      </c>
      <c r="D50" s="42">
        <f>TRUNC(77333,-1)</f>
        <v>77330</v>
      </c>
      <c r="E50" s="62">
        <f t="shared" si="1"/>
        <v>255630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2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TRUNC(26076,-1)</f>
        <v>26070</v>
      </c>
      <c r="E52" s="62">
        <f t="shared" si="1"/>
        <v>86180</v>
      </c>
    </row>
    <row r="53" spans="1:7" x14ac:dyDescent="0.3">
      <c r="A53" s="2">
        <v>14</v>
      </c>
      <c r="C53" s="38" t="s">
        <v>25</v>
      </c>
      <c r="D53" s="42">
        <f>TRUNC(47517,-1)</f>
        <v>47510</v>
      </c>
      <c r="E53" s="62">
        <f t="shared" si="1"/>
        <v>157050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2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2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2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2">
        <f t="shared" si="1"/>
        <v>0</v>
      </c>
    </row>
    <row r="58" spans="1:7" x14ac:dyDescent="0.3">
      <c r="A58" s="2">
        <v>19</v>
      </c>
      <c r="C58" s="38" t="s">
        <v>26</v>
      </c>
      <c r="D58" s="42">
        <f>32989+2082+9123+8166</f>
        <v>52360</v>
      </c>
      <c r="E58" s="62">
        <f t="shared" si="1"/>
        <v>173090</v>
      </c>
      <c r="F58" s="2" t="s">
        <v>260</v>
      </c>
    </row>
    <row r="59" spans="1:7" ht="17.25" thickBot="1" x14ac:dyDescent="0.35">
      <c r="A59" s="2">
        <v>20</v>
      </c>
      <c r="C59" s="38" t="s">
        <v>148</v>
      </c>
      <c r="D59" s="43">
        <f>TRUNC(251773,-1)</f>
        <v>251770</v>
      </c>
      <c r="E59" s="63">
        <f t="shared" si="1"/>
        <v>832300</v>
      </c>
    </row>
    <row r="60" spans="1:7" x14ac:dyDescent="0.3">
      <c r="A60" s="2">
        <v>21</v>
      </c>
      <c r="C60" s="27" t="s">
        <v>112</v>
      </c>
      <c r="D60" s="39">
        <f>SUM(D40:D59)</f>
        <v>916340</v>
      </c>
      <c r="E60" s="39">
        <f>SUM(E40:E59)</f>
        <v>3029180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239</v>
      </c>
      <c r="C62" s="55" t="s">
        <v>240</v>
      </c>
      <c r="D62" s="56" t="s">
        <v>237</v>
      </c>
      <c r="E62" s="56" t="s">
        <v>235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TRUNC(11532,-1)</f>
        <v>11530</v>
      </c>
      <c r="E63" s="61">
        <f>TRUNC(+D63*3.3058,-1)</f>
        <v>38110</v>
      </c>
    </row>
    <row r="64" spans="1:7" x14ac:dyDescent="0.3">
      <c r="A64" s="2">
        <v>2</v>
      </c>
      <c r="C64" s="38" t="s">
        <v>29</v>
      </c>
      <c r="D64" s="42">
        <v>0</v>
      </c>
      <c r="E64" s="62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3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11530</v>
      </c>
      <c r="E66" s="64">
        <f>SUM(E63:E65)</f>
        <v>38110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241</v>
      </c>
      <c r="C68" s="55" t="s">
        <v>242</v>
      </c>
      <c r="D68" s="56" t="s">
        <v>234</v>
      </c>
      <c r="E68" s="56" t="s">
        <v>235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TRUNC(10803,-1)</f>
        <v>10800</v>
      </c>
      <c r="E69" s="61">
        <f t="shared" ref="E69:E94" si="2">TRUNC(+D69*3.3058,-1)</f>
        <v>35700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2">
        <f t="shared" si="2"/>
        <v>0</v>
      </c>
    </row>
    <row r="71" spans="1:7" x14ac:dyDescent="0.3">
      <c r="A71" s="2">
        <v>3</v>
      </c>
      <c r="C71" s="38" t="s">
        <v>32</v>
      </c>
      <c r="D71" s="42">
        <f>TRUNC(18755,-1)</f>
        <v>18750</v>
      </c>
      <c r="E71" s="62">
        <f t="shared" si="2"/>
        <v>61980</v>
      </c>
    </row>
    <row r="72" spans="1:7" x14ac:dyDescent="0.3">
      <c r="A72" s="2">
        <v>4</v>
      </c>
      <c r="C72" s="38" t="s">
        <v>33</v>
      </c>
      <c r="D72" s="42">
        <f>TRUNC(12955,-1)</f>
        <v>12950</v>
      </c>
      <c r="E72" s="62">
        <f t="shared" si="2"/>
        <v>42810</v>
      </c>
    </row>
    <row r="73" spans="1:7" x14ac:dyDescent="0.3">
      <c r="A73" s="2">
        <v>5</v>
      </c>
      <c r="C73" s="38" t="s">
        <v>34</v>
      </c>
      <c r="D73" s="42">
        <f>TRUNC(22986,-1)</f>
        <v>22980</v>
      </c>
      <c r="E73" s="62">
        <f t="shared" si="2"/>
        <v>75960</v>
      </c>
    </row>
    <row r="74" spans="1:7" x14ac:dyDescent="0.3">
      <c r="A74" s="2">
        <v>6</v>
      </c>
      <c r="C74" s="38" t="s">
        <v>175</v>
      </c>
      <c r="D74" s="42">
        <v>0</v>
      </c>
      <c r="E74" s="62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2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2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2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2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2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2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2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2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2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2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2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2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2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2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TRUNC(15235,-1)</f>
        <v>15230</v>
      </c>
      <c r="E89" s="62">
        <f t="shared" si="2"/>
        <v>50340</v>
      </c>
    </row>
    <row r="90" spans="1:7" x14ac:dyDescent="0.3">
      <c r="A90" s="2">
        <v>22</v>
      </c>
      <c r="C90" s="38" t="s">
        <v>36</v>
      </c>
      <c r="D90" s="42">
        <f>TRUNC(776,-1)</f>
        <v>770</v>
      </c>
      <c r="E90" s="62">
        <f t="shared" si="2"/>
        <v>2540</v>
      </c>
    </row>
    <row r="91" spans="1:7" x14ac:dyDescent="0.3">
      <c r="A91" s="2">
        <v>23</v>
      </c>
      <c r="C91" s="38" t="s">
        <v>37</v>
      </c>
      <c r="D91" s="42">
        <f>TRUNC(861,-1)</f>
        <v>860</v>
      </c>
      <c r="E91" s="62">
        <f t="shared" si="2"/>
        <v>2840</v>
      </c>
    </row>
    <row r="92" spans="1:7" x14ac:dyDescent="0.3">
      <c r="A92" s="2">
        <v>24</v>
      </c>
      <c r="C92" s="38" t="s">
        <v>38</v>
      </c>
      <c r="D92" s="42">
        <f>TRUNC(13561,-1)</f>
        <v>13560</v>
      </c>
      <c r="E92" s="62">
        <f t="shared" si="2"/>
        <v>44820</v>
      </c>
    </row>
    <row r="93" spans="1:7" x14ac:dyDescent="0.3">
      <c r="A93" s="2">
        <v>25</v>
      </c>
      <c r="C93" s="38" t="s">
        <v>148</v>
      </c>
      <c r="D93" s="42">
        <v>54870</v>
      </c>
      <c r="E93" s="62">
        <f t="shared" si="2"/>
        <v>181380</v>
      </c>
    </row>
    <row r="94" spans="1:7" ht="17.25" thickBot="1" x14ac:dyDescent="0.35">
      <c r="A94" s="2">
        <v>26</v>
      </c>
      <c r="C94" s="38" t="s">
        <v>47</v>
      </c>
      <c r="D94" s="43">
        <f>TRUNC(41717+3324,-1)</f>
        <v>45040</v>
      </c>
      <c r="E94" s="63">
        <f t="shared" si="2"/>
        <v>148890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195810</v>
      </c>
      <c r="E95" s="39">
        <f>SUM(E69:E94)</f>
        <v>647260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243</v>
      </c>
      <c r="C97" s="55" t="s">
        <v>242</v>
      </c>
      <c r="D97" s="56" t="s">
        <v>234</v>
      </c>
      <c r="E97" s="56" t="s">
        <v>235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TRUNC(31637,-1)</f>
        <v>31630</v>
      </c>
      <c r="E98" s="61">
        <f t="shared" ref="E98:E118" si="3">TRUNC(+D98*3.3058,-1)</f>
        <v>104560</v>
      </c>
    </row>
    <row r="99" spans="1:7" x14ac:dyDescent="0.3">
      <c r="A99" s="2">
        <v>2</v>
      </c>
      <c r="C99" s="38" t="s">
        <v>40</v>
      </c>
      <c r="D99" s="42">
        <f>TRUNC(6273,-1)</f>
        <v>6270</v>
      </c>
      <c r="E99" s="62">
        <f t="shared" si="3"/>
        <v>20720</v>
      </c>
    </row>
    <row r="100" spans="1:7" x14ac:dyDescent="0.3">
      <c r="A100" s="2">
        <v>3</v>
      </c>
      <c r="C100" s="38" t="s">
        <v>41</v>
      </c>
      <c r="D100" s="42">
        <f>TRUNC(35328,-1)</f>
        <v>35320</v>
      </c>
      <c r="E100" s="62">
        <f t="shared" si="3"/>
        <v>116760</v>
      </c>
    </row>
    <row r="101" spans="1:7" x14ac:dyDescent="0.3">
      <c r="A101" s="2">
        <v>4</v>
      </c>
      <c r="C101" s="38" t="s">
        <v>42</v>
      </c>
      <c r="D101" s="42">
        <f>TRUNC(8711,-1)</f>
        <v>8710</v>
      </c>
      <c r="E101" s="62">
        <f t="shared" si="3"/>
        <v>28790</v>
      </c>
    </row>
    <row r="102" spans="1:7" x14ac:dyDescent="0.3">
      <c r="A102" s="2">
        <v>5</v>
      </c>
      <c r="C102" s="38" t="s">
        <v>43</v>
      </c>
      <c r="D102" s="42">
        <f>TRUNC(12244,-1)</f>
        <v>12240</v>
      </c>
      <c r="E102" s="62">
        <f t="shared" si="3"/>
        <v>40460</v>
      </c>
    </row>
    <row r="103" spans="1:7" x14ac:dyDescent="0.3">
      <c r="A103" s="2">
        <v>6</v>
      </c>
      <c r="C103" s="38" t="s">
        <v>44</v>
      </c>
      <c r="D103" s="42">
        <f>TRUNC(1232,-1)</f>
        <v>1230</v>
      </c>
      <c r="E103" s="62">
        <f t="shared" si="3"/>
        <v>4060</v>
      </c>
    </row>
    <row r="104" spans="1:7" x14ac:dyDescent="0.3">
      <c r="A104" s="2">
        <v>7</v>
      </c>
      <c r="C104" s="38" t="s">
        <v>45</v>
      </c>
      <c r="D104" s="42">
        <f>TRUNC(4323,-1)</f>
        <v>4320</v>
      </c>
      <c r="E104" s="62">
        <f t="shared" si="3"/>
        <v>14280</v>
      </c>
    </row>
    <row r="105" spans="1:7" x14ac:dyDescent="0.3">
      <c r="A105" s="2">
        <v>8</v>
      </c>
      <c r="C105" s="38" t="s">
        <v>46</v>
      </c>
      <c r="D105" s="42">
        <f>TRUNC(5858,-1)</f>
        <v>5850</v>
      </c>
      <c r="E105" s="62">
        <f t="shared" si="3"/>
        <v>19330</v>
      </c>
    </row>
    <row r="106" spans="1:7" x14ac:dyDescent="0.3">
      <c r="A106" s="2">
        <v>9</v>
      </c>
      <c r="C106" s="38" t="s">
        <v>135</v>
      </c>
      <c r="D106" s="42">
        <v>0</v>
      </c>
      <c r="E106" s="62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2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2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2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2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2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2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2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2">
        <f t="shared" si="3"/>
        <v>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2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2">
        <f t="shared" si="3"/>
        <v>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TRUNC(109406,-1)</f>
        <v>109400</v>
      </c>
      <c r="E117" s="62">
        <f t="shared" si="3"/>
        <v>361650</v>
      </c>
    </row>
    <row r="118" spans="1:7" ht="17.25" thickBot="1" x14ac:dyDescent="0.35">
      <c r="A118" s="2">
        <v>21</v>
      </c>
      <c r="C118" s="38" t="s">
        <v>47</v>
      </c>
      <c r="D118" s="43">
        <v>1770</v>
      </c>
      <c r="E118" s="63">
        <f t="shared" si="3"/>
        <v>5850</v>
      </c>
    </row>
    <row r="119" spans="1:7" x14ac:dyDescent="0.3">
      <c r="A119" s="2">
        <v>22</v>
      </c>
      <c r="C119" s="27" t="s">
        <v>112</v>
      </c>
      <c r="D119" s="39">
        <f>SUM(D98:D118)</f>
        <v>216740</v>
      </c>
      <c r="E119" s="39">
        <f>SUM(E98:E118)</f>
        <v>716460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244</v>
      </c>
      <c r="C121" s="55" t="s">
        <v>242</v>
      </c>
      <c r="D121" s="56" t="s">
        <v>234</v>
      </c>
      <c r="E121" s="56" t="s">
        <v>235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TRUNC(8145,-1)</f>
        <v>8140</v>
      </c>
      <c r="E122" s="61">
        <f t="shared" ref="E122:E132" si="4">TRUNC(+D122*3.3058,-1)</f>
        <v>26900</v>
      </c>
      <c r="F122" s="2" t="s">
        <v>252</v>
      </c>
    </row>
    <row r="123" spans="1:7" x14ac:dyDescent="0.3">
      <c r="A123" s="2">
        <v>2</v>
      </c>
      <c r="C123" s="38" t="s">
        <v>124</v>
      </c>
      <c r="D123" s="42">
        <v>0</v>
      </c>
      <c r="E123" s="62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2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TRUNC(9191,-1)</f>
        <v>9190</v>
      </c>
      <c r="E125" s="62">
        <f t="shared" si="4"/>
        <v>30380</v>
      </c>
    </row>
    <row r="126" spans="1:7" x14ac:dyDescent="0.3">
      <c r="A126" s="2">
        <v>5</v>
      </c>
      <c r="C126" s="38" t="s">
        <v>53</v>
      </c>
      <c r="D126" s="42">
        <v>0</v>
      </c>
      <c r="E126" s="62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TRUNC(41503,-1)</f>
        <v>41500</v>
      </c>
      <c r="E127" s="62">
        <f t="shared" si="4"/>
        <v>137190</v>
      </c>
    </row>
    <row r="128" spans="1:7" x14ac:dyDescent="0.3">
      <c r="A128" s="2">
        <v>7</v>
      </c>
      <c r="C128" s="38" t="s">
        <v>46</v>
      </c>
      <c r="D128" s="42">
        <f>TRUNC(8597,-1)</f>
        <v>8590</v>
      </c>
      <c r="E128" s="62">
        <f t="shared" si="4"/>
        <v>28390</v>
      </c>
    </row>
    <row r="129" spans="1:7" x14ac:dyDescent="0.3">
      <c r="A129" s="2">
        <v>8</v>
      </c>
      <c r="C129" s="38" t="s">
        <v>126</v>
      </c>
      <c r="D129" s="42">
        <v>0</v>
      </c>
      <c r="E129" s="62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TRUNC(4399,-1)</f>
        <v>4390</v>
      </c>
      <c r="E130" s="62">
        <f t="shared" si="4"/>
        <v>14510</v>
      </c>
    </row>
    <row r="131" spans="1:7" x14ac:dyDescent="0.3">
      <c r="A131" s="2">
        <v>10</v>
      </c>
      <c r="C131" s="38" t="s">
        <v>148</v>
      </c>
      <c r="D131" s="42">
        <f>TRUNC(75089,-1)</f>
        <v>75080</v>
      </c>
      <c r="E131" s="62">
        <f t="shared" si="4"/>
        <v>248190</v>
      </c>
    </row>
    <row r="132" spans="1:7" ht="17.25" thickBot="1" x14ac:dyDescent="0.35">
      <c r="A132" s="2">
        <v>11</v>
      </c>
      <c r="C132" s="38" t="s">
        <v>47</v>
      </c>
      <c r="D132" s="43">
        <f>TRUNC(4905+51342,-1)</f>
        <v>56240</v>
      </c>
      <c r="E132" s="63">
        <f t="shared" si="4"/>
        <v>185910</v>
      </c>
      <c r="F132" s="2" t="s">
        <v>253</v>
      </c>
    </row>
    <row r="133" spans="1:7" x14ac:dyDescent="0.3">
      <c r="A133" s="2">
        <v>12</v>
      </c>
      <c r="C133" s="27" t="s">
        <v>112</v>
      </c>
      <c r="D133" s="39">
        <f>SUM(D122:D132)</f>
        <v>203130</v>
      </c>
      <c r="E133" s="39">
        <f>SUM(E122:E132)</f>
        <v>671470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245</v>
      </c>
      <c r="C135" s="55" t="s">
        <v>242</v>
      </c>
      <c r="D135" s="56" t="s">
        <v>234</v>
      </c>
      <c r="E135" s="56" t="s">
        <v>235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1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TRUNC(485,-1)</f>
        <v>480</v>
      </c>
      <c r="E137" s="62">
        <f t="shared" si="5"/>
        <v>1580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2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2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TRUNC(6461,-1)</f>
        <v>6460</v>
      </c>
      <c r="E140" s="62">
        <f t="shared" si="5"/>
        <v>21350</v>
      </c>
    </row>
    <row r="141" spans="1:7" x14ac:dyDescent="0.3">
      <c r="A141" s="2">
        <v>6</v>
      </c>
      <c r="C141" s="38" t="s">
        <v>59</v>
      </c>
      <c r="D141" s="42">
        <v>0</v>
      </c>
      <c r="E141" s="62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TRUNC(27028,-1)</f>
        <v>27020</v>
      </c>
      <c r="E142" s="62">
        <f t="shared" si="5"/>
        <v>89320</v>
      </c>
    </row>
    <row r="143" spans="1:7" x14ac:dyDescent="0.3">
      <c r="A143" s="2">
        <v>8</v>
      </c>
      <c r="C143" s="38" t="s">
        <v>62</v>
      </c>
      <c r="D143" s="42">
        <f>TRUNC(4398,-1)</f>
        <v>4390</v>
      </c>
      <c r="E143" s="62">
        <f t="shared" si="5"/>
        <v>14510</v>
      </c>
    </row>
    <row r="144" spans="1:7" x14ac:dyDescent="0.3">
      <c r="A144" s="2">
        <v>9</v>
      </c>
      <c r="C144" s="38" t="s">
        <v>63</v>
      </c>
      <c r="D144" s="42">
        <v>20110</v>
      </c>
      <c r="E144" s="62">
        <f t="shared" si="5"/>
        <v>66470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3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58460</v>
      </c>
      <c r="E146" s="39">
        <f>SUM(E136:E145)</f>
        <v>193230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246</v>
      </c>
      <c r="C148" s="55" t="s">
        <v>242</v>
      </c>
      <c r="D148" s="56" t="s">
        <v>234</v>
      </c>
      <c r="E148" s="56" t="s">
        <v>235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TRUNC(1180+7098,-1)</f>
        <v>8270</v>
      </c>
      <c r="E149" s="61">
        <f>TRUNC(+D149*3.3058,-1)</f>
        <v>27330</v>
      </c>
      <c r="F149" s="2" t="s">
        <v>231</v>
      </c>
    </row>
    <row r="150" spans="1:7" x14ac:dyDescent="0.3">
      <c r="A150" s="2">
        <v>2</v>
      </c>
      <c r="C150" s="38" t="s">
        <v>49</v>
      </c>
      <c r="D150" s="42">
        <f>TRUNC(6457,-1)</f>
        <v>6450</v>
      </c>
      <c r="E150" s="62">
        <f>TRUNC(+D150*3.3058,-1)</f>
        <v>21320</v>
      </c>
      <c r="F150" s="2" t="s">
        <v>231</v>
      </c>
    </row>
    <row r="151" spans="1:7" x14ac:dyDescent="0.3">
      <c r="A151" s="2">
        <v>3</v>
      </c>
      <c r="C151" s="38" t="s">
        <v>50</v>
      </c>
      <c r="D151" s="42">
        <v>12030</v>
      </c>
      <c r="E151" s="62">
        <f>TRUNC(+D151*3.3058,-1)</f>
        <v>39760</v>
      </c>
      <c r="F151" s="2" t="s">
        <v>231</v>
      </c>
    </row>
    <row r="152" spans="1:7" x14ac:dyDescent="0.3">
      <c r="A152" s="2">
        <v>4</v>
      </c>
      <c r="C152" s="38" t="s">
        <v>47</v>
      </c>
      <c r="D152" s="42">
        <f>TRUNC(-141+292+845,-1)</f>
        <v>990</v>
      </c>
      <c r="E152" s="62">
        <f>TRUNC(+D152*3.3058,-1)</f>
        <v>3270</v>
      </c>
      <c r="F152" s="2" t="s">
        <v>255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3">
        <f>TRUNC(+D153*3.3058,-1)</f>
        <v>0</v>
      </c>
      <c r="F153" s="2" t="s">
        <v>231</v>
      </c>
    </row>
    <row r="154" spans="1:7" x14ac:dyDescent="0.3">
      <c r="A154" s="2">
        <v>6</v>
      </c>
      <c r="C154" s="27" t="s">
        <v>112</v>
      </c>
      <c r="D154" s="39">
        <f>SUM(D149:D153)</f>
        <v>27740</v>
      </c>
      <c r="E154" s="39">
        <f>SUM(E149:E153)</f>
        <v>91680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247</v>
      </c>
      <c r="C156" s="55" t="s">
        <v>242</v>
      </c>
      <c r="D156" s="56" t="s">
        <v>234</v>
      </c>
      <c r="E156" s="56" t="s">
        <v>235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1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2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2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3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2020-12-07T10:20:02Z</dcterms:modified>
</cp:coreProperties>
</file>