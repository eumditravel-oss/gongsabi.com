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3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6" i="4" l="1"/>
  <c r="D137" i="4"/>
  <c r="E160" i="4" l="1"/>
  <c r="E158" i="4"/>
  <c r="E157" i="4"/>
  <c r="E153" i="4"/>
  <c r="E151" i="4"/>
  <c r="E150" i="4"/>
  <c r="E149" i="4"/>
  <c r="E145" i="4"/>
  <c r="E142" i="4"/>
  <c r="E141" i="4"/>
  <c r="E140" i="4"/>
  <c r="E139" i="4"/>
  <c r="E138" i="4"/>
  <c r="E137" i="4"/>
  <c r="E136" i="4"/>
  <c r="E130" i="4"/>
  <c r="E129" i="4"/>
  <c r="E126" i="4"/>
  <c r="E123" i="4"/>
  <c r="E113" i="4"/>
  <c r="E112" i="4"/>
  <c r="E111" i="4"/>
  <c r="E110" i="4"/>
  <c r="E109" i="4"/>
  <c r="E108" i="4"/>
  <c r="E107" i="4"/>
  <c r="E106" i="4"/>
  <c r="E103" i="4"/>
  <c r="E92" i="4"/>
  <c r="E91" i="4"/>
  <c r="E89" i="4"/>
  <c r="E88" i="4"/>
  <c r="E87" i="4"/>
  <c r="E86" i="4"/>
  <c r="E84" i="4"/>
  <c r="E83" i="4"/>
  <c r="E82" i="4"/>
  <c r="E81" i="4"/>
  <c r="E80" i="4"/>
  <c r="E79" i="4"/>
  <c r="E77" i="4"/>
  <c r="E76" i="4"/>
  <c r="E74" i="4"/>
  <c r="E73" i="4"/>
  <c r="E65" i="4"/>
  <c r="E64" i="4"/>
  <c r="E63" i="4"/>
  <c r="E66" i="4" s="1"/>
  <c r="E57" i="4"/>
  <c r="E56" i="4"/>
  <c r="E54" i="4"/>
  <c r="D59" i="4" l="1"/>
  <c r="E59" i="4" s="1"/>
  <c r="D93" i="4"/>
  <c r="E93" i="4" s="1"/>
  <c r="D117" i="4"/>
  <c r="E117" i="4" s="1"/>
  <c r="D131" i="4"/>
  <c r="E131" i="4" s="1"/>
  <c r="D125" i="4"/>
  <c r="E125" i="4" s="1"/>
  <c r="D128" i="4"/>
  <c r="E128" i="4" s="1"/>
  <c r="D127" i="4"/>
  <c r="E127" i="4" s="1"/>
  <c r="D124" i="4"/>
  <c r="E124" i="4" s="1"/>
  <c r="D122" i="4"/>
  <c r="E122" i="4" s="1"/>
  <c r="D132" i="4"/>
  <c r="E132" i="4" s="1"/>
  <c r="D144" i="4"/>
  <c r="E144" i="4" s="1"/>
  <c r="D143" i="4"/>
  <c r="E143" i="4" s="1"/>
  <c r="E146" i="4" s="1"/>
  <c r="D118" i="4"/>
  <c r="E118" i="4" s="1"/>
  <c r="D114" i="4"/>
  <c r="E114" i="4" s="1"/>
  <c r="D105" i="4"/>
  <c r="E105" i="4" s="1"/>
  <c r="D104" i="4"/>
  <c r="E104" i="4" s="1"/>
  <c r="D102" i="4"/>
  <c r="E102" i="4" s="1"/>
  <c r="D100" i="4"/>
  <c r="E100" i="4" s="1"/>
  <c r="D99" i="4"/>
  <c r="E99" i="4" s="1"/>
  <c r="D101" i="4"/>
  <c r="E101" i="4" s="1"/>
  <c r="D98" i="4"/>
  <c r="E98" i="4" s="1"/>
  <c r="D115" i="4"/>
  <c r="E115" i="4" s="1"/>
  <c r="D116" i="4"/>
  <c r="E116" i="4" s="1"/>
  <c r="D90" i="4"/>
  <c r="E90" i="4" s="1"/>
  <c r="D75" i="4"/>
  <c r="E75" i="4" s="1"/>
  <c r="D85" i="4"/>
  <c r="E85" i="4" s="1"/>
  <c r="D72" i="4"/>
  <c r="E72" i="4" s="1"/>
  <c r="D78" i="4"/>
  <c r="E78" i="4" s="1"/>
  <c r="D71" i="4"/>
  <c r="E71" i="4" s="1"/>
  <c r="D70" i="4"/>
  <c r="E70" i="4" s="1"/>
  <c r="D69" i="4"/>
  <c r="E69" i="4" s="1"/>
  <c r="D94" i="4"/>
  <c r="E94" i="4" s="1"/>
  <c r="D58" i="4"/>
  <c r="E58" i="4" s="1"/>
  <c r="D55" i="4"/>
  <c r="E55" i="4" s="1"/>
  <c r="D50" i="4"/>
  <c r="E50" i="4" s="1"/>
  <c r="D159" i="4"/>
  <c r="E159" i="4" s="1"/>
  <c r="E161" i="4" s="1"/>
  <c r="D152" i="4"/>
  <c r="E152" i="4" s="1"/>
  <c r="E154" i="4" s="1"/>
  <c r="D53" i="4"/>
  <c r="E53" i="4" s="1"/>
  <c r="D52" i="4"/>
  <c r="E52" i="4" s="1"/>
  <c r="D51" i="4"/>
  <c r="E51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E133" i="4" l="1"/>
  <c r="E95" i="4"/>
  <c r="E119" i="4"/>
  <c r="E60" i="4"/>
  <c r="D37" i="4"/>
  <c r="E37" i="4" s="1"/>
  <c r="D161" i="4" l="1"/>
  <c r="D32" i="4" s="1"/>
  <c r="E32" i="4" s="1"/>
  <c r="D154" i="4"/>
  <c r="D31" i="4" s="1"/>
  <c r="E31" i="4" s="1"/>
  <c r="D146" i="4"/>
  <c r="D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30" i="4" l="1"/>
  <c r="D33" i="4"/>
  <c r="E33" i="4" l="1"/>
  <c r="E34" i="4" s="1"/>
  <c r="D34" i="4"/>
</calcChain>
</file>

<file path=xl/sharedStrings.xml><?xml version="1.0" encoding="utf-8"?>
<sst xmlns="http://schemas.openxmlformats.org/spreadsheetml/2006/main" count="396" uniqueCount="271">
  <si>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</si>
  <si>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</si>
  <si>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</si>
  <si>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</si>
  <si>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</si>
  <si>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</si>
  <si>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</si>
  <si>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</si>
  <si>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</si>
  <si>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</si>
  <si>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</si>
  <si>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</si>
  <si>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</si>
  <si>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</si>
  <si>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</si>
  <si>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</si>
  <si>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</si>
  <si>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</si>
  <si>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</si>
  <si>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</si>
  <si>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</si>
  <si>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</si>
  <si>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</si>
  <si>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</si>
  <si>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</si>
  <si>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</si>
  <si>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</si>
  <si>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</si>
  <si>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</si>
  <si>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</si>
  <si>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</si>
  <si>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</si>
  <si>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</si>
  <si>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</si>
  <si>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</si>
  <si>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</si>
  <si>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</si>
  <si>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</si>
  <si>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</si>
  <si>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</si>
  <si>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</si>
  <si>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</si>
  <si>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</si>
  <si>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</si>
  <si>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</si>
  <si>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</si>
  <si>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</si>
  <si>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</si>
  <si>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</si>
  <si>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</si>
  <si>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</si>
  <si>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</si>
  <si>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</si>
  <si>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</si>
  <si>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</si>
  <si>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</si>
  <si>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</si>
  <si>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</si>
  <si>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</si>
  <si>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</si>
  <si>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</si>
  <si>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</si>
  <si>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</si>
  <si>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</si>
  <si>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</si>
  <si>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</si>
  <si>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</si>
  <si>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</si>
  <si>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</si>
  <si>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</si>
  <si>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</si>
  <si>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</si>
  <si>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</si>
  <si>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</si>
  <si>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</si>
  <si>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</si>
  <si>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</si>
  <si>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</si>
  <si>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</si>
  <si>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</si>
  <si>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</si>
  <si>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</si>
  <si>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</si>
  <si>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</si>
  <si>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</si>
  <si>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</si>
  <si>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</si>
  <si>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</si>
  <si>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</si>
  <si>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</si>
  <si>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</si>
  <si>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</si>
  <si>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</si>
  <si>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</si>
  <si>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</si>
  <si>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</si>
  <si>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</si>
  <si>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</si>
  <si>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</si>
  <si>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</si>
  <si>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</si>
  <si>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</si>
  <si>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</si>
  <si>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</si>
  <si>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</si>
  <si>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</si>
  <si>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</si>
  <si>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</si>
  <si>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</si>
  <si>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</si>
  <si>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</si>
  <si>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</si>
  <si>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</si>
  <si>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</si>
  <si>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</si>
  <si>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</si>
  <si>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</si>
  <si>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</si>
  <si>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</si>
  <si>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</si>
  <si>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</si>
  <si>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</si>
  <si>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</si>
  <si>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</si>
  <si>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</si>
  <si>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</si>
  <si>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</si>
  <si>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</si>
  <si>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</si>
  <si>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</si>
  <si>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</si>
  <si>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</si>
  <si>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</si>
  <si>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</si>
  <si>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</si>
  <si>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</si>
  <si>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</si>
  <si>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</si>
  <si>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</si>
  <si>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</si>
  <si>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</si>
  <si>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</si>
  <si>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</si>
  <si>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</si>
  <si>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</si>
  <si>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</si>
  <si>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</si>
  <si>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</si>
  <si>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</si>
  <si>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</si>
  <si>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</si>
  <si>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</si>
  <si>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</si>
  <si>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</si>
  <si>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</si>
  <si>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</si>
  <si>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</si>
  <si>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</si>
  <si>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</si>
  <si>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</si>
  <si>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</si>
  <si>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</si>
  <si>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</si>
  <si>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</si>
  <si>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</si>
  <si>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</si>
  <si>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</si>
  <si>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</si>
  <si>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</si>
  <si>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</si>
  <si>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</si>
  <si>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</si>
  <si>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</si>
  <si>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</si>
  <si>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</si>
  <si>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</si>
  <si>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</si>
  <si>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</si>
  <si>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</si>
  <si>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</si>
  <si>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</si>
  <si>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</si>
  <si>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</si>
  <si>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</si>
  <si>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</si>
  <si>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</si>
  <si>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</si>
  <si>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</si>
  <si>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</si>
  <si>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</si>
  <si>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</si>
  <si>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</si>
  <si>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</si>
  <si>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</si>
  <si>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</si>
  <si>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</si>
  <si>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</si>
  <si>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</si>
  <si>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</si>
  <si>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</si>
  <si>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</si>
  <si>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</si>
  <si>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</si>
  <si>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</si>
  <si>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</si>
  <si>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</si>
  <si>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</si>
  <si>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</si>
  <si>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</si>
  <si>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</si>
  <si>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</si>
  <si>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</si>
  <si>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</si>
  <si>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</si>
  <si>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</si>
  <si>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</si>
  <si>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</si>
  <si>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</si>
  <si>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</si>
  <si>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</si>
  <si>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</si>
  <si>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</si>
  <si>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</si>
  <si>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</si>
  <si>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</si>
  <si>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</si>
  <si>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</si>
  <si>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</si>
  <si>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</si>
  <si>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</si>
  <si>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</si>
  <si>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</si>
  <si>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</si>
  <si>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</si>
  <si>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</si>
  <si>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</si>
  <si>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</si>
  <si>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</si>
  <si>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</si>
  <si>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</si>
  <si>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</si>
  <si>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</si>
  <si>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</si>
  <si>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</si>
  <si>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</si>
  <si>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</si>
  <si>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</si>
  <si>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</si>
  <si>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00본부 청사 신축공사</t>
    <phoneticPr fontId="2" type="noConversion"/>
  </si>
  <si>
    <t>업무</t>
  </si>
  <si>
    <t>경상도</t>
  </si>
  <si>
    <t>부대토목공사</t>
    <phoneticPr fontId="2" type="noConversion"/>
  </si>
  <si>
    <t>조경공사</t>
    <phoneticPr fontId="2" type="noConversion"/>
  </si>
  <si>
    <t>창호공사,창호부속철물공사</t>
    <phoneticPr fontId="2" type="noConversion"/>
  </si>
  <si>
    <t>홈통공사</t>
    <phoneticPr fontId="2" type="noConversion"/>
  </si>
  <si>
    <t>품질시험비,지정공사,롤스크린공사,클린패널설치공사,패널공사,온실설치공사,망실설치공사,기타공사,부대시설물공사,골재및운반비,미확정설계공종(P.S)</t>
    <phoneticPr fontId="2" type="noConversion"/>
  </si>
  <si>
    <t>옥외전력인입공사</t>
    <phoneticPr fontId="2" type="noConversion"/>
  </si>
  <si>
    <t>전력제어설비공사,조명제어설비공사</t>
    <phoneticPr fontId="2" type="noConversion"/>
  </si>
  <si>
    <t>옥외보안등설비공사</t>
    <phoneticPr fontId="2" type="noConversion"/>
  </si>
  <si>
    <t>온실설비공사,가설사무소</t>
  </si>
  <si>
    <t>전기 유도등설비공사</t>
    <phoneticPr fontId="2" type="noConversion"/>
  </si>
  <si>
    <t>전기 자동화재탐지설비공사</t>
    <phoneticPr fontId="2" type="noConversion"/>
  </si>
  <si>
    <t>정보통신설비공사,CCTV설비공사,비상호출설비공사,주차관제설비공사</t>
    <phoneticPr fontId="2" type="noConversion"/>
  </si>
  <si>
    <t>옥외가스배관공사,공조배관공사,위생배관공사,우수처리시설공사,주방기구후드설치공사,폐수처리시설공사,차량소득기,초절전온수난방공사,VAVSYSTEM공사,HPV설비공사,연구온실동,격리재배온실동,망실동,차폐실험동실험대,공동구배관공사,폐수멸균시스템공사</t>
    <phoneticPr fontId="2" type="noConversion"/>
  </si>
  <si>
    <t>전기 옥외소방설비공사</t>
    <phoneticPr fontId="2" type="noConversion"/>
  </si>
  <si>
    <t>기계 소화설비공사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</si>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</sst>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268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38964</v>
      </c>
      <c r="D7" s="36">
        <f>+C7/3.3058</f>
        <v>11786.556960493677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199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269</v>
      </c>
    </row>
    <row r="19" spans="1:5" x14ac:dyDescent="0.3">
      <c r="A19" s="2">
        <v>9</v>
      </c>
      <c r="B19" s="2" t="s">
        <v>270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12320</v>
      </c>
      <c r="E24" s="58">
        <f t="shared" ref="E24:E33" si="0">TRUNC(+D24*3.3058,-1)</f>
        <v>40720</v>
      </c>
    </row>
    <row r="25" spans="1:5" x14ac:dyDescent="0.3">
      <c r="B25" s="2">
        <v>2</v>
      </c>
      <c r="C25" s="35" t="s">
        <v>111</v>
      </c>
      <c r="D25" s="45">
        <f>+D60</f>
        <v>782870</v>
      </c>
      <c r="E25" s="59">
        <f t="shared" si="0"/>
        <v>2588010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750880</v>
      </c>
      <c r="E27" s="59">
        <f t="shared" si="0"/>
        <v>2482250</v>
      </c>
    </row>
    <row r="28" spans="1:5" x14ac:dyDescent="0.3">
      <c r="B28" s="2">
        <v>5</v>
      </c>
      <c r="C28" s="35" t="s">
        <v>97</v>
      </c>
      <c r="D28" s="45">
        <f>+D119</f>
        <v>316420</v>
      </c>
      <c r="E28" s="59">
        <f t="shared" si="0"/>
        <v>1046020</v>
      </c>
    </row>
    <row r="29" spans="1:5" x14ac:dyDescent="0.3">
      <c r="B29" s="2">
        <v>6</v>
      </c>
      <c r="C29" s="35" t="s">
        <v>98</v>
      </c>
      <c r="D29" s="45">
        <f>+D133</f>
        <v>112680</v>
      </c>
      <c r="E29" s="59">
        <f t="shared" si="0"/>
        <v>372490</v>
      </c>
    </row>
    <row r="30" spans="1:5" x14ac:dyDescent="0.3">
      <c r="B30" s="2">
        <v>7</v>
      </c>
      <c r="C30" s="35" t="s">
        <v>99</v>
      </c>
      <c r="D30" s="45">
        <f>+D146</f>
        <v>40330</v>
      </c>
      <c r="E30" s="59">
        <f t="shared" si="0"/>
        <v>133320</v>
      </c>
    </row>
    <row r="31" spans="1:5" x14ac:dyDescent="0.3">
      <c r="B31" s="2">
        <v>8</v>
      </c>
      <c r="C31" s="35" t="s">
        <v>100</v>
      </c>
      <c r="D31" s="45">
        <f>+D154</f>
        <v>98740</v>
      </c>
      <c r="E31" s="59">
        <f t="shared" si="0"/>
        <v>326410</v>
      </c>
    </row>
    <row r="32" spans="1:5" x14ac:dyDescent="0.3">
      <c r="B32" s="2">
        <v>9</v>
      </c>
      <c r="C32" s="35" t="s">
        <v>101</v>
      </c>
      <c r="D32" s="45">
        <f>+D161</f>
        <v>55470</v>
      </c>
      <c r="E32" s="59">
        <f t="shared" si="0"/>
        <v>183370</v>
      </c>
    </row>
    <row r="33" spans="1:7" x14ac:dyDescent="0.3">
      <c r="B33" s="2">
        <v>10</v>
      </c>
      <c r="C33" s="35" t="s">
        <v>154</v>
      </c>
      <c r="D33" s="53">
        <f>TRUNC(SUM(D24:D32)*0.275,-1)</f>
        <v>596670</v>
      </c>
      <c r="E33" s="60">
        <f t="shared" si="0"/>
        <v>1972470</v>
      </c>
    </row>
    <row r="34" spans="1:7" x14ac:dyDescent="0.3">
      <c r="C34" s="35" t="s">
        <v>112</v>
      </c>
      <c r="D34" s="44">
        <f>SUM(D24:D33)</f>
        <v>2766380</v>
      </c>
      <c r="E34" s="44">
        <f>SUM(E24:E33)</f>
        <v>9145060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f>TRUNC(12327,-1)</f>
        <v>12320</v>
      </c>
      <c r="E37" s="61">
        <f>TRUNC(+D37*3.3058,-1)</f>
        <v>40720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266</v>
      </c>
      <c r="E39" s="67" t="s">
        <v>267</v>
      </c>
      <c r="G39" s="68"/>
    </row>
    <row r="40" spans="1:7" x14ac:dyDescent="0.3">
      <c r="A40" s="2">
        <v>1</v>
      </c>
      <c r="C40" s="38" t="s">
        <v>15</v>
      </c>
      <c r="D40" s="40">
        <f>TRUNC(47977,-1)</f>
        <v>47970</v>
      </c>
      <c r="E40" s="62">
        <f t="shared" ref="E40:E59" si="1">TRUNC(+D40*3.3058,-1)</f>
        <v>158570</v>
      </c>
    </row>
    <row r="41" spans="1:7" x14ac:dyDescent="0.3">
      <c r="A41" s="2">
        <v>2</v>
      </c>
      <c r="C41" s="38" t="s">
        <v>13</v>
      </c>
      <c r="D41" s="42">
        <f>TRUNC(99789,-1)</f>
        <v>99780</v>
      </c>
      <c r="E41" s="63">
        <f t="shared" si="1"/>
        <v>329850</v>
      </c>
    </row>
    <row r="42" spans="1:7" x14ac:dyDescent="0.3">
      <c r="A42" s="2">
        <v>3</v>
      </c>
      <c r="C42" s="38" t="s">
        <v>14</v>
      </c>
      <c r="D42" s="42">
        <f>TRUNC(6484,-1)</f>
        <v>6480</v>
      </c>
      <c r="E42" s="63">
        <f t="shared" si="1"/>
        <v>21420</v>
      </c>
    </row>
    <row r="43" spans="1:7" x14ac:dyDescent="0.3">
      <c r="A43" s="2">
        <v>4</v>
      </c>
      <c r="C43" s="38" t="s">
        <v>16</v>
      </c>
      <c r="D43" s="42">
        <f>TRUNC(7459,-1)</f>
        <v>7450</v>
      </c>
      <c r="E43" s="63">
        <f t="shared" si="1"/>
        <v>24620</v>
      </c>
    </row>
    <row r="44" spans="1:7" x14ac:dyDescent="0.3">
      <c r="A44" s="2">
        <v>5</v>
      </c>
      <c r="C44" s="38" t="s">
        <v>17</v>
      </c>
      <c r="D44" s="42">
        <f>TRUNC(26437,-1)</f>
        <v>26430</v>
      </c>
      <c r="E44" s="63">
        <f t="shared" si="1"/>
        <v>87370</v>
      </c>
    </row>
    <row r="45" spans="1:7" x14ac:dyDescent="0.3">
      <c r="A45" s="2">
        <v>6</v>
      </c>
      <c r="C45" s="38" t="s">
        <v>18</v>
      </c>
      <c r="D45" s="42">
        <f>TRUNC(3734,-1)</f>
        <v>3730</v>
      </c>
      <c r="E45" s="63">
        <f t="shared" si="1"/>
        <v>12330</v>
      </c>
    </row>
    <row r="46" spans="1:7" x14ac:dyDescent="0.3">
      <c r="A46" s="2">
        <v>7</v>
      </c>
      <c r="C46" s="38" t="s">
        <v>19</v>
      </c>
      <c r="D46" s="42">
        <f>TRUNC(25682,-1)</f>
        <v>25680</v>
      </c>
      <c r="E46" s="63">
        <f t="shared" si="1"/>
        <v>84890</v>
      </c>
    </row>
    <row r="47" spans="1:7" x14ac:dyDescent="0.3">
      <c r="A47" s="2">
        <v>8</v>
      </c>
      <c r="C47" s="38" t="s">
        <v>20</v>
      </c>
      <c r="D47" s="42">
        <f>TRUNC(3351,-1)</f>
        <v>3350</v>
      </c>
      <c r="E47" s="63">
        <f t="shared" si="1"/>
        <v>11070</v>
      </c>
    </row>
    <row r="48" spans="1:7" x14ac:dyDescent="0.3">
      <c r="A48" s="2">
        <v>9</v>
      </c>
      <c r="C48" s="38" t="s">
        <v>21</v>
      </c>
      <c r="D48" s="42">
        <f>TRUNC(49907,-1)</f>
        <v>49900</v>
      </c>
      <c r="E48" s="63">
        <f t="shared" si="1"/>
        <v>164950</v>
      </c>
    </row>
    <row r="49" spans="1:7" x14ac:dyDescent="0.3">
      <c r="A49" s="2">
        <v>10</v>
      </c>
      <c r="C49" s="38" t="s">
        <v>22</v>
      </c>
      <c r="D49" s="42">
        <f>TRUNC(16374,-1)</f>
        <v>16370</v>
      </c>
      <c r="E49" s="63">
        <f t="shared" si="1"/>
        <v>54110</v>
      </c>
    </row>
    <row r="50" spans="1:7" x14ac:dyDescent="0.3">
      <c r="A50" s="2">
        <v>11</v>
      </c>
      <c r="C50" s="38" t="s">
        <v>155</v>
      </c>
      <c r="D50" s="42">
        <f>TRUNC(18496+12956,-1)</f>
        <v>31450</v>
      </c>
      <c r="E50" s="63">
        <f t="shared" si="1"/>
        <v>103960</v>
      </c>
      <c r="F50" s="2" t="s">
        <v>253</v>
      </c>
    </row>
    <row r="51" spans="1:7" x14ac:dyDescent="0.3">
      <c r="A51" s="2">
        <v>12</v>
      </c>
      <c r="C51" s="38" t="s">
        <v>23</v>
      </c>
      <c r="D51" s="42">
        <f>TRUNC(11378,-1)</f>
        <v>11370</v>
      </c>
      <c r="E51" s="63">
        <f t="shared" si="1"/>
        <v>37580</v>
      </c>
    </row>
    <row r="52" spans="1:7" x14ac:dyDescent="0.3">
      <c r="A52" s="2">
        <v>13</v>
      </c>
      <c r="C52" s="38" t="s">
        <v>24</v>
      </c>
      <c r="D52" s="42">
        <f>TRUNC(18562,-1)</f>
        <v>18560</v>
      </c>
      <c r="E52" s="63">
        <f t="shared" si="1"/>
        <v>61350</v>
      </c>
    </row>
    <row r="53" spans="1:7" x14ac:dyDescent="0.3">
      <c r="A53" s="2">
        <v>14</v>
      </c>
      <c r="C53" s="38" t="s">
        <v>25</v>
      </c>
      <c r="D53" s="42">
        <f>TRUNC(19499,-1)</f>
        <v>19490</v>
      </c>
      <c r="E53" s="63">
        <f t="shared" si="1"/>
        <v>64430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TRUNC(1232,-1)</f>
        <v>1230</v>
      </c>
      <c r="E55" s="63">
        <f t="shared" si="1"/>
        <v>4060</v>
      </c>
      <c r="F55" s="2" t="s">
        <v>254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TRUNC(1181+1693+3812+24216+2166+24685+22707+1803+1673+3734+16373,-1)</f>
        <v>104040</v>
      </c>
      <c r="E58" s="63">
        <f t="shared" si="1"/>
        <v>343930</v>
      </c>
      <c r="F58" s="2" t="s">
        <v>255</v>
      </c>
    </row>
    <row r="59" spans="1:7" ht="17.25" thickBot="1" x14ac:dyDescent="0.35">
      <c r="A59" s="2">
        <v>20</v>
      </c>
      <c r="C59" s="38" t="s">
        <v>148</v>
      </c>
      <c r="D59" s="43">
        <f>TRUNC(309596,-1)</f>
        <v>309590</v>
      </c>
      <c r="E59" s="64">
        <f t="shared" si="1"/>
        <v>1023440</v>
      </c>
    </row>
    <row r="60" spans="1:7" x14ac:dyDescent="0.3">
      <c r="A60" s="2">
        <v>21</v>
      </c>
      <c r="C60" s="27" t="s">
        <v>112</v>
      </c>
      <c r="D60" s="39">
        <f>SUM(D40:D59)</f>
        <v>782870</v>
      </c>
      <c r="E60" s="39">
        <f>SUM(E40:E59)</f>
        <v>2587930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TRUNC(84956,-1)</f>
        <v>84950</v>
      </c>
      <c r="E69" s="62">
        <f t="shared" ref="E69:E94" si="2">TRUNC(+D69*3.3058,-1)</f>
        <v>280820</v>
      </c>
    </row>
    <row r="70" spans="1:7" ht="16.5" customHeight="1" x14ac:dyDescent="0.3">
      <c r="A70" s="2">
        <v>2</v>
      </c>
      <c r="C70" s="38" t="s">
        <v>31</v>
      </c>
      <c r="D70" s="42">
        <f>TRUNC(579,-1)</f>
        <v>570</v>
      </c>
      <c r="E70" s="63">
        <f t="shared" si="2"/>
        <v>1880</v>
      </c>
    </row>
    <row r="71" spans="1:7" x14ac:dyDescent="0.3">
      <c r="A71" s="2">
        <v>3</v>
      </c>
      <c r="C71" s="38" t="s">
        <v>32</v>
      </c>
      <c r="D71" s="42">
        <f>TRUNC(44775,-1)</f>
        <v>44770</v>
      </c>
      <c r="E71" s="63">
        <f t="shared" si="2"/>
        <v>148000</v>
      </c>
    </row>
    <row r="72" spans="1:7" x14ac:dyDescent="0.3">
      <c r="A72" s="2">
        <v>4</v>
      </c>
      <c r="C72" s="38" t="s">
        <v>33</v>
      </c>
      <c r="D72" s="42">
        <f>TRUNC(1707,-1)</f>
        <v>1700</v>
      </c>
      <c r="E72" s="63">
        <f t="shared" si="2"/>
        <v>5610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TRUNC(3845,-1)</f>
        <v>3840</v>
      </c>
      <c r="E75" s="63">
        <f t="shared" si="2"/>
        <v>12690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f>TRUNC(61382,-1)</f>
        <v>61380</v>
      </c>
      <c r="E78" s="63">
        <f t="shared" si="2"/>
        <v>202910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f>TRUNC(108,-1)</f>
        <v>100</v>
      </c>
      <c r="E85" s="63">
        <f t="shared" si="2"/>
        <v>330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f>TRUNC(1039,-1)</f>
        <v>1030</v>
      </c>
      <c r="E90" s="63">
        <f t="shared" si="2"/>
        <v>3400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f>TRUNC(403037,-1)</f>
        <v>403030</v>
      </c>
      <c r="E93" s="63">
        <f t="shared" si="2"/>
        <v>1332330</v>
      </c>
    </row>
    <row r="94" spans="1:7" ht="17.25" thickBot="1" x14ac:dyDescent="0.35">
      <c r="A94" s="2">
        <v>26</v>
      </c>
      <c r="C94" s="38" t="s">
        <v>47</v>
      </c>
      <c r="D94" s="43">
        <f>TRUNC(1798+39695+26721+1393+2990+38489+1282+165+3134+3218+1802+1127+100+4023+9347+14233,-1)</f>
        <v>149510</v>
      </c>
      <c r="E94" s="64">
        <f t="shared" si="2"/>
        <v>494250</v>
      </c>
      <c r="F94" s="2" t="s">
        <v>263</v>
      </c>
    </row>
    <row r="95" spans="1:7" x14ac:dyDescent="0.3">
      <c r="A95" s="2">
        <v>27</v>
      </c>
      <c r="C95" s="27" t="s">
        <v>112</v>
      </c>
      <c r="D95" s="39">
        <f>SUM(D69:D94)</f>
        <v>750880</v>
      </c>
      <c r="E95" s="39">
        <f>SUM(E69:E94)</f>
        <v>2482220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TRUNC(52681,-1)</f>
        <v>52680</v>
      </c>
      <c r="E98" s="62">
        <f t="shared" ref="E98:E118" si="3">TRUNC(+D98*3.3058,-1)</f>
        <v>174140</v>
      </c>
    </row>
    <row r="99" spans="1:7" x14ac:dyDescent="0.3">
      <c r="A99" s="2">
        <v>2</v>
      </c>
      <c r="C99" s="38" t="s">
        <v>40</v>
      </c>
      <c r="D99" s="42">
        <f>TRUNC(15401,-1)</f>
        <v>15400</v>
      </c>
      <c r="E99" s="63">
        <f t="shared" si="3"/>
        <v>50900</v>
      </c>
    </row>
    <row r="100" spans="1:7" x14ac:dyDescent="0.3">
      <c r="A100" s="2">
        <v>3</v>
      </c>
      <c r="C100" s="38" t="s">
        <v>41</v>
      </c>
      <c r="D100" s="42">
        <f>TRUNC(31114,-1)</f>
        <v>31110</v>
      </c>
      <c r="E100" s="63">
        <f t="shared" si="3"/>
        <v>102840</v>
      </c>
    </row>
    <row r="101" spans="1:7" x14ac:dyDescent="0.3">
      <c r="A101" s="2">
        <v>4</v>
      </c>
      <c r="C101" s="38" t="s">
        <v>42</v>
      </c>
      <c r="D101" s="42">
        <f>TRUNC(1818+944,-1)</f>
        <v>2760</v>
      </c>
      <c r="E101" s="63">
        <f t="shared" si="3"/>
        <v>9120</v>
      </c>
      <c r="F101" s="2" t="s">
        <v>257</v>
      </c>
    </row>
    <row r="102" spans="1:7" x14ac:dyDescent="0.3">
      <c r="A102" s="2">
        <v>5</v>
      </c>
      <c r="C102" s="38" t="s">
        <v>43</v>
      </c>
      <c r="D102" s="42">
        <f>TRUNC(17170,-1)</f>
        <v>17170</v>
      </c>
      <c r="E102" s="63">
        <f t="shared" si="3"/>
        <v>56760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TRUNC(4838,-1)</f>
        <v>4830</v>
      </c>
      <c r="E104" s="63">
        <f t="shared" si="3"/>
        <v>15960</v>
      </c>
    </row>
    <row r="105" spans="1:7" x14ac:dyDescent="0.3">
      <c r="A105" s="2">
        <v>8</v>
      </c>
      <c r="C105" s="38" t="s">
        <v>46</v>
      </c>
      <c r="D105" s="42">
        <f>TRUNC(12632,-1)</f>
        <v>12630</v>
      </c>
      <c r="E105" s="63">
        <f t="shared" si="3"/>
        <v>41750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TRUNC(12632,-1)</f>
        <v>12630</v>
      </c>
      <c r="E114" s="63">
        <f t="shared" si="3"/>
        <v>41750</v>
      </c>
      <c r="F114" s="2" t="s">
        <v>258</v>
      </c>
    </row>
    <row r="115" spans="1:7" x14ac:dyDescent="0.3">
      <c r="A115" s="2">
        <v>18</v>
      </c>
      <c r="C115" s="38" t="s">
        <v>116</v>
      </c>
      <c r="D115" s="42">
        <f>TRUNC(21483,-1)</f>
        <v>21480</v>
      </c>
      <c r="E115" s="63">
        <f t="shared" si="3"/>
        <v>71000</v>
      </c>
    </row>
    <row r="116" spans="1:7" x14ac:dyDescent="0.3">
      <c r="A116" s="2">
        <v>19</v>
      </c>
      <c r="C116" s="38" t="s">
        <v>115</v>
      </c>
      <c r="D116" s="42">
        <f>TRUNC(4788,-1)</f>
        <v>4780</v>
      </c>
      <c r="E116" s="63">
        <f t="shared" si="3"/>
        <v>15800</v>
      </c>
      <c r="F116" s="2" t="s">
        <v>256</v>
      </c>
    </row>
    <row r="117" spans="1:7" x14ac:dyDescent="0.3">
      <c r="A117" s="2">
        <v>20</v>
      </c>
      <c r="C117" s="38" t="s">
        <v>148</v>
      </c>
      <c r="D117" s="42">
        <f>TRUNC(138510,-1)</f>
        <v>138510</v>
      </c>
      <c r="E117" s="63">
        <f t="shared" si="3"/>
        <v>457880</v>
      </c>
    </row>
    <row r="118" spans="1:7" ht="17.25" thickBot="1" x14ac:dyDescent="0.35">
      <c r="A118" s="2">
        <v>21</v>
      </c>
      <c r="C118" s="38" t="s">
        <v>47</v>
      </c>
      <c r="D118" s="43">
        <f>TRUNC(2029+418,-1)</f>
        <v>2440</v>
      </c>
      <c r="E118" s="64">
        <f t="shared" si="3"/>
        <v>8060</v>
      </c>
      <c r="F118" s="2" t="s">
        <v>259</v>
      </c>
    </row>
    <row r="119" spans="1:7" x14ac:dyDescent="0.3">
      <c r="A119" s="2">
        <v>22</v>
      </c>
      <c r="C119" s="27" t="s">
        <v>112</v>
      </c>
      <c r="D119" s="39">
        <f>SUM(D98:D118)</f>
        <v>316420</v>
      </c>
      <c r="E119" s="39">
        <f>SUM(E98:E118)</f>
        <v>1045960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TRUNC(2540,-1)</f>
        <v>2540</v>
      </c>
      <c r="E122" s="62">
        <f t="shared" ref="E122:E132" si="4">TRUNC(+D122*3.3058,-1)</f>
        <v>8390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TRUNC(1082,-1)</f>
        <v>1080</v>
      </c>
      <c r="E124" s="63">
        <f t="shared" si="4"/>
        <v>3570</v>
      </c>
    </row>
    <row r="125" spans="1:7" x14ac:dyDescent="0.3">
      <c r="A125" s="2">
        <v>4</v>
      </c>
      <c r="C125" s="38" t="s">
        <v>138</v>
      </c>
      <c r="D125" s="42">
        <f>TRUNC(7579,-1)</f>
        <v>7570</v>
      </c>
      <c r="E125" s="63">
        <f t="shared" si="4"/>
        <v>25020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TRUNC(2734,-1)</f>
        <v>2730</v>
      </c>
      <c r="E127" s="63">
        <f t="shared" si="4"/>
        <v>9020</v>
      </c>
    </row>
    <row r="128" spans="1:7" x14ac:dyDescent="0.3">
      <c r="A128" s="2">
        <v>7</v>
      </c>
      <c r="C128" s="38" t="s">
        <v>46</v>
      </c>
      <c r="D128" s="42">
        <f>TRUNC(4267,-1)</f>
        <v>4260</v>
      </c>
      <c r="E128" s="63">
        <f t="shared" si="4"/>
        <v>14080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f>TRUNC(49922,-1)</f>
        <v>49920</v>
      </c>
      <c r="E131" s="63">
        <f t="shared" si="4"/>
        <v>165020</v>
      </c>
    </row>
    <row r="132" spans="1:7" ht="18" thickBot="1" x14ac:dyDescent="0.35">
      <c r="A132" s="2">
        <v>11</v>
      </c>
      <c r="C132" s="38" t="s">
        <v>47</v>
      </c>
      <c r="D132" s="43">
        <f>TRUNC(40532+2929+320+799,-1)</f>
        <v>44580</v>
      </c>
      <c r="E132" s="64">
        <f t="shared" si="4"/>
        <v>147370</v>
      </c>
      <c r="F132" s="54" t="s">
        <v>262</v>
      </c>
    </row>
    <row r="133" spans="1:7" x14ac:dyDescent="0.3">
      <c r="A133" s="2">
        <v>12</v>
      </c>
      <c r="C133" s="27" t="s">
        <v>112</v>
      </c>
      <c r="D133" s="39">
        <f>SUM(D122:D132)</f>
        <v>112680</v>
      </c>
      <c r="E133" s="39">
        <f>SUM(E122:E132)</f>
        <v>372470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f>TRUNC(26382,-1)</f>
        <v>26380</v>
      </c>
      <c r="E136" s="62">
        <f t="shared" ref="E136:E145" si="5">TRUNC(+D136*3.3058,-1)</f>
        <v>87200</v>
      </c>
      <c r="F136" s="2" t="s">
        <v>265</v>
      </c>
    </row>
    <row r="137" spans="1:7" x14ac:dyDescent="0.3">
      <c r="A137" s="2">
        <v>2</v>
      </c>
      <c r="C137" s="38" t="s">
        <v>47</v>
      </c>
      <c r="D137" s="42">
        <f>TRUNC(2182,-1)</f>
        <v>2180</v>
      </c>
      <c r="E137" s="63">
        <f t="shared" si="5"/>
        <v>7200</v>
      </c>
      <c r="F137" s="2" t="s">
        <v>264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f>TRUNC(3304,-1)</f>
        <v>3300</v>
      </c>
      <c r="E143" s="63">
        <f t="shared" si="5"/>
        <v>10900</v>
      </c>
      <c r="F143" s="2" t="s">
        <v>260</v>
      </c>
    </row>
    <row r="144" spans="1:7" x14ac:dyDescent="0.3">
      <c r="A144" s="2">
        <v>9</v>
      </c>
      <c r="C144" s="38" t="s">
        <v>63</v>
      </c>
      <c r="D144" s="42">
        <f>TRUNC(8478,-1)</f>
        <v>8470</v>
      </c>
      <c r="E144" s="63">
        <f t="shared" si="5"/>
        <v>28000</v>
      </c>
      <c r="F144" s="2" t="s">
        <v>261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40330</v>
      </c>
      <c r="E146" s="39">
        <f>SUM(E136:E145)</f>
        <v>133300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TRUNC(98740,-1)</f>
        <v>98740</v>
      </c>
      <c r="E152" s="63">
        <f>TRUNC(+D152*3.3058,-1)</f>
        <v>326410</v>
      </c>
      <c r="F152" s="2" t="s">
        <v>251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98740</v>
      </c>
      <c r="E154" s="39">
        <f>SUM(E149:E153)</f>
        <v>326410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TRUNC(55479,-1)</f>
        <v>55470</v>
      </c>
      <c r="E159" s="63">
        <f>TRUNC(+D159*3.3058,-1)</f>
        <v>183370</v>
      </c>
      <c r="F159" s="2" t="s">
        <v>252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55470</v>
      </c>
      <c r="E161" s="39">
        <f>SUM(E157:E160)</f>
        <v>183370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2020-12-07T09:37:15Z</dcterms:modified>
</cp:coreProperties>
</file>