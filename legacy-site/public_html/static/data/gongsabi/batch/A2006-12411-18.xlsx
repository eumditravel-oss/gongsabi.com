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44" i="4"/>
  <c r="E139" i="4"/>
  <c r="E138" i="4"/>
  <c r="E136" i="4"/>
  <c r="E130" i="4"/>
  <c r="E129" i="4"/>
  <c r="E128" i="4"/>
  <c r="E127" i="4"/>
  <c r="E125" i="4"/>
  <c r="E124" i="4"/>
  <c r="E123" i="4"/>
  <c r="E116" i="4"/>
  <c r="E115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3" i="4"/>
  <c r="E92" i="4"/>
  <c r="E91" i="4"/>
  <c r="E89" i="4"/>
  <c r="E86" i="4"/>
  <c r="E84" i="4"/>
  <c r="E83" i="4"/>
  <c r="E82" i="4"/>
  <c r="E80" i="4"/>
  <c r="E79" i="4"/>
  <c r="E77" i="4"/>
  <c r="E76" i="4"/>
  <c r="E74" i="4"/>
  <c r="E73" i="4"/>
  <c r="E70" i="4"/>
  <c r="E65" i="4"/>
  <c r="E64" i="4"/>
  <c r="E57" i="4"/>
  <c r="E56" i="4"/>
  <c r="E54" i="4"/>
  <c r="D159" i="4" l="1"/>
  <c r="E159" i="4" s="1"/>
  <c r="D158" i="4"/>
  <c r="E158" i="4" s="1"/>
  <c r="D157" i="4"/>
  <c r="E157" i="4" s="1"/>
  <c r="D152" i="4"/>
  <c r="E152" i="4" s="1"/>
  <c r="D151" i="4"/>
  <c r="E151" i="4" s="1"/>
  <c r="D150" i="4"/>
  <c r="E150" i="4" s="1"/>
  <c r="D149" i="4"/>
  <c r="E149" i="4" s="1"/>
  <c r="D145" i="4"/>
  <c r="E145" i="4" s="1"/>
  <c r="D143" i="4"/>
  <c r="E143" i="4" s="1"/>
  <c r="D142" i="4"/>
  <c r="E142" i="4" s="1"/>
  <c r="D141" i="4"/>
  <c r="E141" i="4" s="1"/>
  <c r="D140" i="4"/>
  <c r="E140" i="4" s="1"/>
  <c r="D137" i="4"/>
  <c r="E137" i="4" s="1"/>
  <c r="E146" i="4" s="1"/>
  <c r="D132" i="4"/>
  <c r="E132" i="4" s="1"/>
  <c r="D131" i="4"/>
  <c r="E131" i="4" s="1"/>
  <c r="D126" i="4"/>
  <c r="E126" i="4" s="1"/>
  <c r="D122" i="4"/>
  <c r="E122" i="4" s="1"/>
  <c r="E133" i="4" s="1"/>
  <c r="D118" i="4"/>
  <c r="E118" i="4" s="1"/>
  <c r="D117" i="4"/>
  <c r="E117" i="4" s="1"/>
  <c r="D114" i="4"/>
  <c r="E114" i="4" s="1"/>
  <c r="D98" i="4"/>
  <c r="E98" i="4" s="1"/>
  <c r="E119" i="4" s="1"/>
  <c r="D94" i="4"/>
  <c r="E94" i="4" s="1"/>
  <c r="D90" i="4"/>
  <c r="E90" i="4" s="1"/>
  <c r="D88" i="4"/>
  <c r="E88" i="4" s="1"/>
  <c r="D87" i="4"/>
  <c r="E87" i="4" s="1"/>
  <c r="D85" i="4"/>
  <c r="E85" i="4" s="1"/>
  <c r="D81" i="4"/>
  <c r="E81" i="4" s="1"/>
  <c r="D78" i="4"/>
  <c r="E78" i="4" s="1"/>
  <c r="D75" i="4"/>
  <c r="E75" i="4" s="1"/>
  <c r="D72" i="4"/>
  <c r="E72" i="4" s="1"/>
  <c r="D71" i="4"/>
  <c r="E71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4" i="4"/>
  <c r="D31" i="4" s="1"/>
  <c r="E31" i="4" s="1"/>
  <c r="D95" i="4"/>
  <c r="D27" i="4" s="1"/>
  <c r="E27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19" i="4" l="1"/>
  <c r="D28" i="4" s="1"/>
  <c r="E28" i="4" s="1"/>
  <c r="D161" i="4"/>
  <c r="D32" i="4" s="1"/>
  <c r="E32" i="4" s="1"/>
  <c r="E95" i="4"/>
  <c r="D60" i="4"/>
  <c r="D25" i="4" s="1"/>
  <c r="D133" i="4"/>
  <c r="D29" i="4" s="1"/>
  <c r="E29" i="4" s="1"/>
  <c r="E154" i="4"/>
  <c r="E161" i="4"/>
  <c r="D66" i="4"/>
  <c r="D26" i="4" s="1"/>
  <c r="E26" i="4" s="1"/>
  <c r="D146" i="4"/>
  <c r="D30" i="4" s="1"/>
  <c r="E30" i="4" s="1"/>
  <c r="E60" i="4"/>
  <c r="E25" i="4" l="1"/>
  <c r="D33" i="4"/>
  <c r="E33" i="4" s="1"/>
  <c r="D34" i="4"/>
  <c r="E34" i="4" l="1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<sst xmlns="http://schemas.openxmlformats.org/spreadsheetml/2006/main" count="394" uniqueCount="269">
  <si>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</si>
  <si>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</si>
  <si>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</si>
  <si>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</si>
  <si>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</si>
  <si>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</si>
  <si>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</si>
  <si>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</si>
  <si>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</si>
  <si>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</si>
  <si>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</si>
  <si>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</si>
  <si>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</si>
  <si>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</si>
  <si>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</si>
  <si>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</si>
  <si>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</si>
  <si>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</si>
  <si>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</si>
  <si>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</si>
  <si>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</si>
  <si>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</si>
  <si>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</si>
  <si>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</si>
  <si>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</si>
  <si>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</si>
  <si>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</si>
  <si>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</si>
  <si>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</si>
  <si>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</si>
  <si>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</si>
  <si>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</si>
  <si>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</si>
  <si>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</si>
  <si>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</si>
  <si>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</si>
  <si>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</si>
  <si>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</si>
  <si>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</si>
  <si>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</si>
  <si>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</si>
  <si>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</si>
  <si>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</si>
  <si>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</si>
  <si>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</si>
  <si>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</si>
  <si>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</si>
  <si>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</si>
  <si>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</si>
  <si>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</si>
  <si>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</si>
  <si>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</si>
  <si>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</si>
  <si>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</si>
  <si>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</si>
  <si>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</si>
  <si>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</si>
  <si>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</si>
  <si>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</si>
  <si>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</si>
  <si>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</si>
  <si>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</si>
  <si>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</si>
  <si>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</si>
  <si>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</si>
  <si>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</si>
  <si>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</si>
  <si>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</si>
  <si>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</si>
  <si>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</si>
  <si>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</si>
  <si>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</si>
  <si>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</si>
  <si>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</si>
  <si>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</si>
  <si>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</si>
  <si>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</si>
  <si>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</si>
  <si>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</si>
  <si>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</si>
  <si>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</si>
  <si>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</si>
  <si>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</si>
  <si>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</si>
  <si>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</si>
  <si>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</si>
  <si>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</si>
  <si>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</si>
  <si>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</si>
  <si>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</si>
  <si>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</si>
  <si>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</si>
  <si>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</si>
  <si>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</si>
  <si>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</si>
  <si>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</si>
  <si>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</si>
  <si>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</si>
  <si>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</si>
  <si>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</si>
  <si>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</si>
  <si>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</si>
  <si>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</si>
  <si>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</si>
  <si>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</si>
  <si>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</si>
  <si>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</si>
  <si>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</si>
  <si>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</si>
  <si>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</si>
  <si>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</si>
  <si>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</si>
  <si>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</si>
  <si>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</si>
  <si>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</si>
  <si>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</si>
  <si>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</si>
  <si>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</si>
  <si>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</si>
  <si>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</si>
  <si>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</si>
  <si>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</si>
  <si>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</si>
  <si>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</si>
  <si>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</si>
  <si>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</si>
  <si>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</si>
  <si>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</si>
  <si>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</si>
  <si>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</si>
  <si>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</si>
  <si>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</si>
  <si>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</si>
  <si>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</si>
  <si>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</si>
  <si>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</si>
  <si>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</si>
  <si>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</si>
  <si>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</si>
  <si>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</si>
  <si>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</si>
  <si>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</si>
  <si>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</si>
  <si>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</si>
  <si>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</si>
  <si>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</si>
  <si>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</si>
  <si>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</si>
  <si>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</si>
  <si>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</si>
  <si>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</si>
  <si>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</si>
  <si>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</si>
  <si>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</si>
  <si>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</si>
  <si>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</si>
  <si>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</si>
  <si>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</si>
  <si>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</si>
  <si>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</si>
  <si>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</si>
  <si>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</si>
  <si>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</si>
  <si>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</si>
  <si>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</si>
  <si>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</si>
  <si>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</si>
  <si>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</si>
  <si>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</si>
  <si>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</si>
  <si>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</si>
  <si>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</si>
  <si>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</si>
  <si>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</si>
  <si>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</si>
  <si>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</si>
  <si>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</si>
  <si>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</si>
  <si>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</si>
  <si>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</si>
  <si>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</si>
  <si>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</si>
  <si>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</si>
  <si>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</si>
  <si>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</si>
  <si>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</si>
  <si>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</si>
  <si>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</si>
  <si>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</si>
  <si>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</si>
  <si>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</si>
  <si>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</si>
  <si>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</si>
  <si>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</si>
  <si>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</si>
  <si>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</si>
  <si>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</si>
  <si>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</si>
  <si>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</si>
  <si>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</si>
  <si>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</si>
  <si>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</si>
  <si>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</si>
  <si>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</si>
  <si>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</si>
  <si>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</si>
  <si>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</si>
  <si>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</si>
  <si>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</si>
  <si>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</si>
  <si>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</si>
  <si>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</si>
  <si>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</si>
  <si>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</si>
  <si>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</si>
  <si>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</si>
  <si>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</si>
  <si>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</si>
  <si>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</si>
  <si>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</si>
  <si>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</si>
  <si>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</si>
  <si>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</si>
  <si>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</si>
  <si>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</si>
  <si>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</si>
  <si>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</si>
  <si>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</si>
  <si>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</si>
  <si>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</si>
  <si>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</si>
  <si>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</si>
  <si>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</si>
  <si>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</si>
  <si>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</si>
  <si>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</si>
  <si>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</si>
  <si>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</si>
  <si>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</si>
  <si>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</si>
  <si>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</si>
  <si>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</si>
  <si>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</si>
  <si>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</si>
  <si>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</si>
  <si>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</si>
  <si>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</si>
  <si>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</si>
  <si>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운동</t>
  </si>
  <si>
    <t>00축구센터 건립공사</t>
  </si>
  <si>
    <t>충청도</t>
  </si>
  <si>
    <t>토공및지정공사, 기타공사, 부대공사, 조경공사, 골재비, 작업부산물, 운반비, 관리동, 경비동(주출입구), 경비동(부출입구),  화장실 A, 화장실 B, 화장실 C, 본부석및스탠드</t>
    <phoneticPr fontId="2" type="noConversion"/>
  </si>
  <si>
    <t>도급자설치관급, 관급자설치관급</t>
    <phoneticPr fontId="2" type="noConversion"/>
  </si>
  <si>
    <t>상수도공, 수로공, 철거공, 부대공, 중로1-55호선, 사급자재대</t>
    <phoneticPr fontId="2" type="noConversion"/>
  </si>
  <si>
    <t>축구장조성공사, 포장공, 부대공, 사급자재대</t>
    <phoneticPr fontId="2" type="noConversion"/>
  </si>
  <si>
    <t>공조배관공사, 위생배관공사, 초절전온수방열관설치공사, 사우나설비공사, 부대시설설비공사</t>
    <phoneticPr fontId="2" type="noConversion"/>
  </si>
  <si>
    <t>옥외전력간선공사, 옥외 보안등 및 조명탑공사</t>
    <phoneticPr fontId="2" type="noConversion"/>
  </si>
  <si>
    <t>옥외전력인입공사, 주차관제 설비공사, 가로등공사</t>
    <phoneticPr fontId="2" type="noConversion"/>
  </si>
  <si>
    <t>전력간선, 전등, 전열설비공사, 옥외전력인입,수변전, 동력, 조명제어, 
경관조명, SNOWMELTING, 피뢰침 및 접지, CABLE TRAY, 
무대장치, 주차관제설비공사</t>
    <phoneticPr fontId="2" type="noConversion"/>
  </si>
  <si>
    <t>도급자설치관급금액, 관급자설치관급금액</t>
    <phoneticPr fontId="2" type="noConversion"/>
  </si>
  <si>
    <t>배관 및 배선, 자동화재탐지설비, 유도등, 무선통신보조설비공사</t>
  </si>
  <si>
    <t>옥외소화배관공사, 소화펌프실배관공사, 동파방지열선공사, 소화기구설치공사, 옥외소방간선공사</t>
    <phoneticPr fontId="2" type="noConversion"/>
  </si>
  <si>
    <t>옥내공사(배관 및 배선, CATV, 방송, AV설비 및 CABLE TRAY설치공사)</t>
    <phoneticPr fontId="2" type="noConversion"/>
  </si>
  <si>
    <t>옥외 방송설비공사, 옥외 CCTV설비공사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</si>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</sst>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19615</v>
      </c>
      <c r="D7" s="36">
        <f>+C7/3.3058</f>
        <v>5933.5107992014036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1020</v>
      </c>
      <c r="E24" s="58">
        <f t="shared" ref="E24:E33" si="0">TRUNC(+D24*3.3058,-1)</f>
        <v>3370</v>
      </c>
    </row>
    <row r="25" spans="1:5" x14ac:dyDescent="0.3">
      <c r="B25" s="2">
        <v>2</v>
      </c>
      <c r="C25" s="35" t="s">
        <v>111</v>
      </c>
      <c r="D25" s="45">
        <f>+D60</f>
        <v>853230</v>
      </c>
      <c r="E25" s="59">
        <f t="shared" si="0"/>
        <v>2820600</v>
      </c>
    </row>
    <row r="26" spans="1:5" x14ac:dyDescent="0.3">
      <c r="B26" s="2">
        <v>3</v>
      </c>
      <c r="C26" s="35" t="s">
        <v>95</v>
      </c>
      <c r="D26" s="45">
        <f>+D66</f>
        <v>112040</v>
      </c>
      <c r="E26" s="59">
        <f t="shared" si="0"/>
        <v>370380</v>
      </c>
    </row>
    <row r="27" spans="1:5" x14ac:dyDescent="0.3">
      <c r="B27" s="2">
        <v>4</v>
      </c>
      <c r="C27" s="35" t="s">
        <v>96</v>
      </c>
      <c r="D27" s="45">
        <f>+D95</f>
        <v>177640</v>
      </c>
      <c r="E27" s="59">
        <f t="shared" si="0"/>
        <v>587240</v>
      </c>
    </row>
    <row r="28" spans="1:5" x14ac:dyDescent="0.3">
      <c r="B28" s="2">
        <v>5</v>
      </c>
      <c r="C28" s="35" t="s">
        <v>97</v>
      </c>
      <c r="D28" s="45">
        <f>+D119</f>
        <v>220870</v>
      </c>
      <c r="E28" s="59">
        <f t="shared" si="0"/>
        <v>730150</v>
      </c>
    </row>
    <row r="29" spans="1:5" x14ac:dyDescent="0.3">
      <c r="B29" s="2">
        <v>6</v>
      </c>
      <c r="C29" s="35" t="s">
        <v>98</v>
      </c>
      <c r="D29" s="45">
        <f>+D133</f>
        <v>38350</v>
      </c>
      <c r="E29" s="59">
        <f t="shared" si="0"/>
        <v>126770</v>
      </c>
    </row>
    <row r="30" spans="1:5" x14ac:dyDescent="0.3">
      <c r="B30" s="2">
        <v>7</v>
      </c>
      <c r="C30" s="35" t="s">
        <v>99</v>
      </c>
      <c r="D30" s="45">
        <f>+D146</f>
        <v>71560</v>
      </c>
      <c r="E30" s="59">
        <f t="shared" si="0"/>
        <v>236560</v>
      </c>
    </row>
    <row r="31" spans="1:5" x14ac:dyDescent="0.3">
      <c r="B31" s="2">
        <v>8</v>
      </c>
      <c r="C31" s="35" t="s">
        <v>100</v>
      </c>
      <c r="D31" s="45">
        <f>+D154</f>
        <v>240180</v>
      </c>
      <c r="E31" s="59">
        <f t="shared" si="0"/>
        <v>793980</v>
      </c>
    </row>
    <row r="32" spans="1:5" x14ac:dyDescent="0.3">
      <c r="B32" s="2">
        <v>9</v>
      </c>
      <c r="C32" s="35" t="s">
        <v>101</v>
      </c>
      <c r="D32" s="45">
        <f>+D161</f>
        <v>423710</v>
      </c>
      <c r="E32" s="59">
        <f t="shared" si="0"/>
        <v>1400700</v>
      </c>
    </row>
    <row r="33" spans="1:7" x14ac:dyDescent="0.3">
      <c r="B33" s="2">
        <v>10</v>
      </c>
      <c r="C33" s="35" t="s">
        <v>154</v>
      </c>
      <c r="D33" s="53">
        <f>TRUNC(SUM(D24:D32)*0.275,-1)</f>
        <v>588110</v>
      </c>
      <c r="E33" s="60">
        <f t="shared" si="0"/>
        <v>1944170</v>
      </c>
    </row>
    <row r="34" spans="1:7" x14ac:dyDescent="0.3">
      <c r="C34" s="35" t="s">
        <v>112</v>
      </c>
      <c r="D34" s="44">
        <f>SUM(D24:D33)</f>
        <v>2726710</v>
      </c>
      <c r="E34" s="44">
        <f>SUM(E24:E33)</f>
        <v>9013920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TRUNC(1028.38338006628,-1)</f>
        <v>1020</v>
      </c>
      <c r="E37" s="61">
        <f>TRUNC(+D37*3.3058,-1)</f>
        <v>3370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TRUNC(33480.8810094315,-1)</f>
        <v>33480</v>
      </c>
      <c r="E40" s="62">
        <f t="shared" ref="E40:E59" si="1">TRUNC(+D40*3.3058,-1)</f>
        <v>110670</v>
      </c>
    </row>
    <row r="41" spans="1:7" x14ac:dyDescent="0.3">
      <c r="A41" s="2">
        <v>2</v>
      </c>
      <c r="C41" s="38" t="s">
        <v>13</v>
      </c>
      <c r="D41" s="42">
        <f>TRUNC(75460.1770073923,-1)</f>
        <v>75460</v>
      </c>
      <c r="E41" s="63">
        <f t="shared" si="1"/>
        <v>249450</v>
      </c>
    </row>
    <row r="42" spans="1:7" x14ac:dyDescent="0.3">
      <c r="A42" s="2">
        <v>3</v>
      </c>
      <c r="C42" s="38" t="s">
        <v>14</v>
      </c>
      <c r="D42" s="42">
        <f>TRUNC(5853.28238592914,-1)</f>
        <v>5850</v>
      </c>
      <c r="E42" s="63">
        <f t="shared" si="1"/>
        <v>19330</v>
      </c>
    </row>
    <row r="43" spans="1:7" x14ac:dyDescent="0.3">
      <c r="A43" s="2">
        <v>4</v>
      </c>
      <c r="C43" s="38" t="s">
        <v>16</v>
      </c>
      <c r="D43" s="42">
        <f>TRUNC(15180.64945195,-1)</f>
        <v>15180</v>
      </c>
      <c r="E43" s="63">
        <f t="shared" si="1"/>
        <v>50180</v>
      </c>
    </row>
    <row r="44" spans="1:7" x14ac:dyDescent="0.3">
      <c r="A44" s="2">
        <v>5</v>
      </c>
      <c r="C44" s="38" t="s">
        <v>17</v>
      </c>
      <c r="D44" s="42">
        <f>TRUNC(30064.0957430538,-1)</f>
        <v>30060</v>
      </c>
      <c r="E44" s="63">
        <f t="shared" si="1"/>
        <v>99370</v>
      </c>
    </row>
    <row r="45" spans="1:7" x14ac:dyDescent="0.3">
      <c r="A45" s="2">
        <v>6</v>
      </c>
      <c r="C45" s="38" t="s">
        <v>18</v>
      </c>
      <c r="D45" s="42">
        <f>TRUNC(4329.8248279378,-1)</f>
        <v>4320</v>
      </c>
      <c r="E45" s="63">
        <f t="shared" si="1"/>
        <v>14280</v>
      </c>
    </row>
    <row r="46" spans="1:7" x14ac:dyDescent="0.3">
      <c r="A46" s="2">
        <v>7</v>
      </c>
      <c r="C46" s="38" t="s">
        <v>19</v>
      </c>
      <c r="D46" s="42">
        <f>TRUNC(57902.5328065256,-1)</f>
        <v>57900</v>
      </c>
      <c r="E46" s="63">
        <f t="shared" si="1"/>
        <v>191400</v>
      </c>
    </row>
    <row r="47" spans="1:7" x14ac:dyDescent="0.3">
      <c r="A47" s="2">
        <v>8</v>
      </c>
      <c r="C47" s="38" t="s">
        <v>20</v>
      </c>
      <c r="D47" s="42">
        <f>TRUNC(3078.79714504206,-1)</f>
        <v>3070</v>
      </c>
      <c r="E47" s="63">
        <f t="shared" si="1"/>
        <v>10140</v>
      </c>
    </row>
    <row r="48" spans="1:7" x14ac:dyDescent="0.3">
      <c r="A48" s="2">
        <v>9</v>
      </c>
      <c r="C48" s="38" t="s">
        <v>21</v>
      </c>
      <c r="D48" s="42">
        <f>TRUNC(36353.8811623757,-1)</f>
        <v>36350</v>
      </c>
      <c r="E48" s="63">
        <f t="shared" si="1"/>
        <v>120160</v>
      </c>
    </row>
    <row r="49" spans="1:7" x14ac:dyDescent="0.3">
      <c r="A49" s="2">
        <v>10</v>
      </c>
      <c r="C49" s="38" t="s">
        <v>22</v>
      </c>
      <c r="D49" s="42">
        <f>TRUNC(18012.6252867703,-1)</f>
        <v>18010</v>
      </c>
      <c r="E49" s="63">
        <f t="shared" si="1"/>
        <v>59530</v>
      </c>
    </row>
    <row r="50" spans="1:7" x14ac:dyDescent="0.3">
      <c r="A50" s="2">
        <v>11</v>
      </c>
      <c r="C50" s="38" t="s">
        <v>155</v>
      </c>
      <c r="D50" s="42">
        <f>TRUNC(64921.7405047158,-1)</f>
        <v>64920</v>
      </c>
      <c r="E50" s="63">
        <f t="shared" si="1"/>
        <v>214610</v>
      </c>
    </row>
    <row r="51" spans="1:7" x14ac:dyDescent="0.3">
      <c r="A51" s="2">
        <v>12</v>
      </c>
      <c r="C51" s="38" t="s">
        <v>23</v>
      </c>
      <c r="D51" s="42">
        <f>TRUNC(21745.0256946215,-1)</f>
        <v>21740</v>
      </c>
      <c r="E51" s="63">
        <f t="shared" si="1"/>
        <v>71860</v>
      </c>
    </row>
    <row r="52" spans="1:7" x14ac:dyDescent="0.3">
      <c r="A52" s="2">
        <v>13</v>
      </c>
      <c r="C52" s="38" t="s">
        <v>24</v>
      </c>
      <c r="D52" s="42">
        <f>TRUNC(3350.43884782055,-1)</f>
        <v>3350</v>
      </c>
      <c r="E52" s="63">
        <f t="shared" si="1"/>
        <v>11070</v>
      </c>
    </row>
    <row r="53" spans="1:7" x14ac:dyDescent="0.3">
      <c r="A53" s="2">
        <v>14</v>
      </c>
      <c r="C53" s="38" t="s">
        <v>25</v>
      </c>
      <c r="D53" s="42">
        <f>TRUNC(34056.5886311496,-1)</f>
        <v>34050</v>
      </c>
      <c r="E53" s="63">
        <f t="shared" si="1"/>
        <v>112560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TRUNC(195.294213612032,-1)</f>
        <v>190</v>
      </c>
      <c r="E55" s="63">
        <f t="shared" si="1"/>
        <v>620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TRUNC(15022.3867448381+5564.56589344889+318.723629875096+1739.50813153199+6895.37496813663-367.527402498088+2481.904358909+4349.04940096865+7851.87591129238+9941.47346418557+9964.73739485088+9964.73739485088+1682.21269436656+49003.8997705837,-1)</f>
        <v>124410</v>
      </c>
      <c r="E58" s="63">
        <f t="shared" si="1"/>
        <v>411270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TRUNC(288648.687229161+36242.8243691052,-1)</f>
        <v>324890</v>
      </c>
      <c r="E59" s="64">
        <f t="shared" si="1"/>
        <v>1074020</v>
      </c>
      <c r="F59" s="2" t="s">
        <v>252</v>
      </c>
    </row>
    <row r="60" spans="1:7" x14ac:dyDescent="0.3">
      <c r="A60" s="2">
        <v>21</v>
      </c>
      <c r="C60" s="27" t="s">
        <v>112</v>
      </c>
      <c r="D60" s="39">
        <f>SUM(D40:D59)</f>
        <v>853230</v>
      </c>
      <c r="E60" s="39">
        <f>SUM(E40:E59)</f>
        <v>2820520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TRUNC(112045.916033648,-1)</f>
        <v>112040</v>
      </c>
      <c r="E63" s="62">
        <f>TRUNC(+D63*3.3058,-1)</f>
        <v>370380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112040</v>
      </c>
      <c r="E66" s="65">
        <f>SUM(E63:E65)</f>
        <v>370380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TRUNC(38312.8544991078,-1)</f>
        <v>38310</v>
      </c>
      <c r="E69" s="62">
        <f>TRUNC(+D69*3.3058,-1)</f>
        <v>126640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TRUNC(13094.6462401224,-1)</f>
        <v>13090</v>
      </c>
      <c r="E71" s="63">
        <f t="shared" ref="E71:E73" si="2">TRUNC(+D71*3.3058,-1)</f>
        <v>43270</v>
      </c>
    </row>
    <row r="72" spans="1:7" x14ac:dyDescent="0.3">
      <c r="A72" s="2">
        <v>4</v>
      </c>
      <c r="C72" s="38" t="s">
        <v>33</v>
      </c>
      <c r="D72" s="42">
        <f>TRUNC(3204.96502676523,-1)</f>
        <v>3200</v>
      </c>
      <c r="E72" s="63">
        <f t="shared" si="2"/>
        <v>10570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TRUNC(2311.35661483558,-1)</f>
        <v>2310</v>
      </c>
      <c r="E75" s="63">
        <f>TRUNC(+D75*3.3058,-1)</f>
        <v>7630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TRUNC(16330.4428753505,-1)</f>
        <v>16330</v>
      </c>
      <c r="E78" s="63">
        <f t="shared" si="3"/>
        <v>53980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TRUNC(15413.9822074943,-1)</f>
        <v>15410</v>
      </c>
      <c r="E81" s="63">
        <f t="shared" si="3"/>
        <v>50940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f>TRUNC(3764.76793270456,-1)</f>
        <v>3760</v>
      </c>
      <c r="E85" s="63">
        <f t="shared" si="3"/>
        <v>12420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f>TRUNC(10200.1776701504,-1)</f>
        <v>10200</v>
      </c>
      <c r="E87" s="63">
        <f t="shared" si="3"/>
        <v>33710</v>
      </c>
    </row>
    <row r="88" spans="1:7" x14ac:dyDescent="0.3">
      <c r="A88" s="2">
        <v>20</v>
      </c>
      <c r="C88" s="38" t="s">
        <v>142</v>
      </c>
      <c r="D88" s="42">
        <f>TRUNC(2847.7695641091,-1)</f>
        <v>2840</v>
      </c>
      <c r="E88" s="63">
        <f t="shared" si="3"/>
        <v>9380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TRUNC(694.012643385164,-1)</f>
        <v>690</v>
      </c>
      <c r="E90" s="63">
        <f>TRUNC(+D90*3.3058,-1)</f>
        <v>2280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TRUNC(24018.6397654856+22667.6780525108+4771.73484578129+7810.53173591639+12238.2634208514,-1)</f>
        <v>71500</v>
      </c>
      <c r="E94" s="64">
        <f>TRUNC(+D94*3.3058,-1)</f>
        <v>236360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177640</v>
      </c>
      <c r="E95" s="39">
        <f>SUM(E69:E94)</f>
        <v>587180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TRUNC(72102.1039510579,-1)</f>
        <v>72100</v>
      </c>
      <c r="E98" s="62">
        <f t="shared" ref="E98:E118" si="4">TRUNC(+D98*3.3058,-1)</f>
        <v>238340</v>
      </c>
      <c r="F98" s="2" t="s">
        <v>258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4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TRUNC(17133.5611521795+56197.2922763191,-1)</f>
        <v>73330</v>
      </c>
      <c r="E114" s="63">
        <f t="shared" si="4"/>
        <v>242410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TRUNC(40272.3935763446+27796.1763956156,-1)</f>
        <v>68060</v>
      </c>
      <c r="E117" s="63">
        <f t="shared" si="4"/>
        <v>224990</v>
      </c>
      <c r="F117" s="2" t="s">
        <v>259</v>
      </c>
    </row>
    <row r="118" spans="1:7" ht="17.25" thickBot="1" x14ac:dyDescent="0.35">
      <c r="A118" s="2">
        <v>21</v>
      </c>
      <c r="C118" s="38" t="s">
        <v>47</v>
      </c>
      <c r="D118" s="43">
        <f>TRUNC(574.936069334693+1145.3738975274+5667.85240887076,-1)</f>
        <v>7380</v>
      </c>
      <c r="E118" s="64">
        <f t="shared" si="4"/>
        <v>24390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220870</v>
      </c>
      <c r="E119" s="39">
        <f>SUM(E98:E118)</f>
        <v>730130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TRUNC(10788.7335712464,-1)</f>
        <v>10780</v>
      </c>
      <c r="E122" s="62">
        <f t="shared" ref="E122:E132" si="5">TRUNC(+D122*3.3058,-1)</f>
        <v>35630</v>
      </c>
      <c r="F122" s="2" t="s">
        <v>262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5"/>
        <v>0</v>
      </c>
    </row>
    <row r="126" spans="1:7" x14ac:dyDescent="0.3">
      <c r="A126" s="2">
        <v>5</v>
      </c>
      <c r="C126" s="38" t="s">
        <v>53</v>
      </c>
      <c r="D126" s="42">
        <f>TRUNC(3886.32740249809,-1)</f>
        <v>3880</v>
      </c>
      <c r="E126" s="63">
        <f t="shared" si="5"/>
        <v>12820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TRUNC(20294.6724445577,-1)</f>
        <v>20290</v>
      </c>
      <c r="E131" s="63">
        <f t="shared" si="5"/>
        <v>67070</v>
      </c>
    </row>
    <row r="132" spans="1:7" ht="18" thickBot="1" x14ac:dyDescent="0.35">
      <c r="A132" s="2">
        <v>11</v>
      </c>
      <c r="C132" s="38" t="s">
        <v>47</v>
      </c>
      <c r="D132" s="43">
        <f>TRUNC(1531.70150395106+1874.5968901351,-1)</f>
        <v>3400</v>
      </c>
      <c r="E132" s="64">
        <f t="shared" si="5"/>
        <v>11230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38350</v>
      </c>
      <c r="E133" s="39">
        <f>SUM(E122:E132)</f>
        <v>126750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TRUNC(695.836757583482+1141.21009431557+629.991129237828+32.5006372673974+501.776191690033,-1)</f>
        <v>3000</v>
      </c>
      <c r="E137" s="63">
        <f t="shared" si="6"/>
        <v>9910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f>TRUNC(708.771246495029,-1)</f>
        <v>700</v>
      </c>
      <c r="E140" s="63">
        <f t="shared" si="6"/>
        <v>2310</v>
      </c>
    </row>
    <row r="141" spans="1:7" x14ac:dyDescent="0.3">
      <c r="A141" s="2">
        <v>6</v>
      </c>
      <c r="C141" s="38" t="s">
        <v>59</v>
      </c>
      <c r="D141" s="42">
        <f>TRUNC(19762.7230690798,-1)</f>
        <v>19760</v>
      </c>
      <c r="E141" s="63">
        <f t="shared" si="6"/>
        <v>65320</v>
      </c>
    </row>
    <row r="142" spans="1:7" x14ac:dyDescent="0.3">
      <c r="A142" s="2">
        <v>7</v>
      </c>
      <c r="C142" s="38" t="s">
        <v>58</v>
      </c>
      <c r="D142" s="42">
        <f>TRUNC(3402.23563599286,-1)</f>
        <v>3400</v>
      </c>
      <c r="E142" s="63">
        <f t="shared" si="6"/>
        <v>11230</v>
      </c>
    </row>
    <row r="143" spans="1:7" x14ac:dyDescent="0.3">
      <c r="A143" s="2">
        <v>8</v>
      </c>
      <c r="C143" s="38" t="s">
        <v>62</v>
      </c>
      <c r="D143" s="42">
        <f>TRUNC(8464.49951567678,-1)</f>
        <v>8460</v>
      </c>
      <c r="E143" s="63">
        <f t="shared" si="6"/>
        <v>27960</v>
      </c>
      <c r="F143" s="2" t="s">
        <v>260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TRUNC(36242.8108590363,-1)</f>
        <v>36240</v>
      </c>
      <c r="E145" s="64">
        <f t="shared" si="6"/>
        <v>119800</v>
      </c>
    </row>
    <row r="146" spans="1:7" x14ac:dyDescent="0.3">
      <c r="A146" s="2">
        <v>11</v>
      </c>
      <c r="C146" s="27" t="s">
        <v>112</v>
      </c>
      <c r="D146" s="39">
        <f>SUM(D136:D145)</f>
        <v>71560</v>
      </c>
      <c r="E146" s="39">
        <f>SUM(E136:E145)</f>
        <v>236530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TRUNC(28382.8600050981+14921.8104002039,-1)</f>
        <v>43300</v>
      </c>
      <c r="E149" s="62">
        <f>TRUNC(+D149*3.3058,-1)</f>
        <v>143140</v>
      </c>
    </row>
    <row r="150" spans="1:7" x14ac:dyDescent="0.3">
      <c r="A150" s="2">
        <v>2</v>
      </c>
      <c r="C150" s="38" t="s">
        <v>49</v>
      </c>
      <c r="D150" s="42">
        <f>TRUNC(11837.6154473617,-1)</f>
        <v>11830</v>
      </c>
      <c r="E150" s="63">
        <f>TRUNC(+D150*3.3058,-1)</f>
        <v>39100</v>
      </c>
    </row>
    <row r="151" spans="1:7" x14ac:dyDescent="0.3">
      <c r="A151" s="2">
        <v>3</v>
      </c>
      <c r="C151" s="38" t="s">
        <v>50</v>
      </c>
      <c r="D151" s="42">
        <f>TRUNC(20937.8891664542,-1)</f>
        <v>20930</v>
      </c>
      <c r="E151" s="63">
        <f>TRUNC(+D151*3.3058,-1)</f>
        <v>69190</v>
      </c>
    </row>
    <row r="152" spans="1:7" x14ac:dyDescent="0.3">
      <c r="A152" s="2">
        <v>4</v>
      </c>
      <c r="C152" s="38" t="s">
        <v>47</v>
      </c>
      <c r="D152" s="42">
        <f>TRUNC(8067.51088452715+2504.15870507265+6291.06224827938+16771.5668111139+84937.2177925057+45556.4158552129,-1)</f>
        <v>164120</v>
      </c>
      <c r="E152" s="63">
        <f>TRUNC(+D152*3.3058,-1)</f>
        <v>542540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240180</v>
      </c>
      <c r="E154" s="39">
        <f>SUM(E149:E153)</f>
        <v>793970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TRUNC(192405.116594443,-1)</f>
        <v>192400</v>
      </c>
      <c r="E157" s="62">
        <f>TRUNC(+D157*3.3058,-1)</f>
        <v>636030</v>
      </c>
    </row>
    <row r="158" spans="1:7" x14ac:dyDescent="0.3">
      <c r="A158" s="2">
        <v>2</v>
      </c>
      <c r="C158" s="38" t="s">
        <v>52</v>
      </c>
      <c r="D158" s="42">
        <f>TRUNC(67164.8185572266,-1)</f>
        <v>67160</v>
      </c>
      <c r="E158" s="63">
        <f>TRUNC(+D158*3.3058,-1)</f>
        <v>222010</v>
      </c>
    </row>
    <row r="159" spans="1:7" x14ac:dyDescent="0.3">
      <c r="A159" s="2">
        <v>3</v>
      </c>
      <c r="C159" s="38" t="s">
        <v>47</v>
      </c>
      <c r="D159" s="42">
        <f>TRUNC(89474.7081825134+14334.899413714+6.31761407086413+60341.6964058119,-1)</f>
        <v>164150</v>
      </c>
      <c r="E159" s="63">
        <f>TRUNC(+D159*3.3058,-1)</f>
        <v>542640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423710</v>
      </c>
      <c r="E161" s="39">
        <f>SUM(E157:E160)</f>
        <v>1400680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2020-12-07T09:13:38Z</dcterms:modified>
</cp:coreProperties>
</file>