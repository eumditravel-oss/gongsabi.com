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3" i="4"/>
  <c r="E145" i="4"/>
  <c r="E140" i="4"/>
  <c r="E138" i="4"/>
  <c r="E136" i="4"/>
  <c r="E129" i="4"/>
  <c r="E127" i="4"/>
  <c r="E126" i="4"/>
  <c r="E124" i="4"/>
  <c r="E123" i="4"/>
  <c r="E122" i="4"/>
  <c r="E116" i="4"/>
  <c r="E113" i="4"/>
  <c r="E112" i="4"/>
  <c r="E111" i="4"/>
  <c r="E110" i="4"/>
  <c r="E109" i="4"/>
  <c r="E108" i="4"/>
  <c r="E107" i="4"/>
  <c r="E106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7" i="4"/>
  <c r="E56" i="4"/>
  <c r="E55" i="4"/>
  <c r="E54" i="4"/>
  <c r="E51" i="4"/>
  <c r="E47" i="4"/>
  <c r="E37" i="4"/>
  <c r="E95" i="4" l="1"/>
  <c r="D158" i="4"/>
  <c r="E158" i="4" s="1"/>
  <c r="D157" i="4"/>
  <c r="E157" i="4" s="1"/>
  <c r="E161" i="4" s="1"/>
  <c r="D151" i="4"/>
  <c r="E151" i="4" s="1"/>
  <c r="D150" i="4"/>
  <c r="E150" i="4" s="1"/>
  <c r="D144" i="4"/>
  <c r="E144" i="4" s="1"/>
  <c r="D143" i="4"/>
  <c r="E143" i="4" s="1"/>
  <c r="D142" i="4"/>
  <c r="E142" i="4" s="1"/>
  <c r="D141" i="4"/>
  <c r="E141" i="4" s="1"/>
  <c r="D139" i="4"/>
  <c r="E139" i="4" s="1"/>
  <c r="D131" i="4"/>
  <c r="E131" i="4" s="1"/>
  <c r="D130" i="4"/>
  <c r="E130" i="4" s="1"/>
  <c r="E133" i="4" s="1"/>
  <c r="D128" i="4"/>
  <c r="E128" i="4" s="1"/>
  <c r="D125" i="4"/>
  <c r="E125" i="4" s="1"/>
  <c r="D118" i="4"/>
  <c r="E118" i="4" s="1"/>
  <c r="D117" i="4"/>
  <c r="E117" i="4" s="1"/>
  <c r="D115" i="4"/>
  <c r="E115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E98" i="4" s="1"/>
  <c r="D63" i="4"/>
  <c r="E63" i="4" s="1"/>
  <c r="E66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152" i="4"/>
  <c r="E152" i="4" s="1"/>
  <c r="D149" i="4"/>
  <c r="E149" i="4" s="1"/>
  <c r="D137" i="4"/>
  <c r="E137" i="4" s="1"/>
  <c r="E146" i="4" s="1"/>
  <c r="D132" i="4"/>
  <c r="E132" i="4" s="1"/>
  <c r="D58" i="4"/>
  <c r="E58" i="4" s="1"/>
  <c r="E154" i="4" l="1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<sst xmlns="http://schemas.openxmlformats.org/spreadsheetml/2006/main" count="389" uniqueCount="264">
  <si>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</si>
  <si>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</si>
  <si>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</si>
  <si>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</si>
  <si>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</si>
  <si>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</si>
  <si>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</si>
  <si>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</si>
  <si>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</si>
  <si>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</si>
  <si>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</si>
  <si>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</si>
  <si>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</si>
  <si>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</si>
  <si>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</si>
  <si>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</si>
  <si>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</si>
  <si>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</si>
  <si>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</si>
  <si>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</si>
  <si>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</si>
  <si>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</si>
  <si>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</si>
  <si>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</si>
  <si>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</si>
  <si>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</si>
  <si>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</si>
  <si>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</si>
  <si>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</si>
  <si>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</si>
  <si>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</si>
  <si>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</si>
  <si>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</si>
  <si>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</si>
  <si>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</si>
  <si>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</si>
  <si>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</si>
  <si>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</si>
  <si>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</si>
  <si>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</si>
  <si>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</si>
  <si>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</si>
  <si>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</si>
  <si>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</si>
  <si>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</si>
  <si>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</si>
  <si>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</si>
  <si>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</si>
  <si>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</si>
  <si>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</si>
  <si>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</si>
  <si>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</si>
  <si>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</si>
  <si>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</si>
  <si>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</si>
  <si>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</si>
  <si>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</si>
  <si>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</si>
  <si>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</si>
  <si>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</si>
  <si>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</si>
  <si>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</si>
  <si>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</si>
  <si>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</si>
  <si>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</si>
  <si>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</si>
  <si>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</si>
  <si>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</si>
  <si>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</si>
  <si>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</si>
  <si>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</si>
  <si>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</si>
  <si>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</si>
  <si>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</si>
  <si>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</si>
  <si>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</si>
  <si>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</si>
  <si>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</si>
  <si>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</si>
  <si>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</si>
  <si>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</si>
  <si>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</si>
  <si>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</si>
  <si>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</si>
  <si>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</si>
  <si>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</si>
  <si>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</si>
  <si>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</si>
  <si>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</si>
  <si>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</si>
  <si>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</si>
  <si>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</si>
  <si>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</si>
  <si>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</si>
  <si>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</si>
  <si>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</si>
  <si>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</si>
  <si>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</si>
  <si>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</si>
  <si>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</si>
  <si>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</si>
  <si>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</si>
  <si>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</si>
  <si>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</si>
  <si>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</si>
  <si>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</si>
  <si>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</si>
  <si>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</si>
  <si>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</si>
  <si>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</si>
  <si>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</si>
  <si>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</si>
  <si>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</si>
  <si>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</si>
  <si>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</si>
  <si>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</si>
  <si>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</si>
  <si>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</si>
  <si>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</si>
  <si>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</si>
  <si>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</si>
  <si>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</si>
  <si>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</si>
  <si>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</si>
  <si>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</si>
  <si>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</si>
  <si>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</si>
  <si>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</si>
  <si>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</si>
  <si>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</si>
  <si>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</si>
  <si>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</si>
  <si>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</si>
  <si>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</si>
  <si>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</si>
  <si>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</si>
  <si>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</si>
  <si>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</si>
  <si>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</si>
  <si>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</si>
  <si>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</si>
  <si>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</si>
  <si>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</si>
  <si>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</si>
  <si>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</si>
  <si>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</si>
  <si>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</si>
  <si>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</si>
  <si>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</si>
  <si>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</si>
  <si>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</si>
  <si>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</si>
  <si>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</si>
  <si>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</si>
  <si>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</si>
  <si>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</si>
  <si>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</si>
  <si>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</si>
  <si>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</si>
  <si>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</si>
  <si>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</si>
  <si>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</si>
  <si>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</si>
  <si>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</si>
  <si>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</si>
  <si>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</si>
  <si>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</si>
  <si>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</si>
  <si>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</si>
  <si>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</si>
  <si>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</si>
  <si>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</si>
  <si>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</si>
  <si>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</si>
  <si>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</si>
  <si>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</si>
  <si>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</si>
  <si>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</si>
  <si>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</si>
  <si>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</si>
  <si>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</si>
  <si>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</si>
  <si>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</si>
  <si>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</si>
  <si>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</si>
  <si>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</si>
  <si>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</si>
  <si>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</si>
  <si>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</si>
  <si>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</si>
  <si>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</si>
  <si>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</si>
  <si>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</si>
  <si>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</si>
  <si>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</si>
  <si>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</si>
  <si>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</si>
  <si>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</si>
  <si>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</si>
  <si>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</si>
  <si>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</si>
  <si>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</si>
  <si>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</si>
  <si>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</si>
  <si>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</si>
  <si>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</si>
  <si>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</si>
  <si>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</si>
  <si>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</si>
  <si>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</si>
  <si>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</si>
  <si>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</si>
  <si>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</si>
  <si>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</si>
  <si>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</si>
  <si>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</si>
  <si>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</si>
  <si>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</si>
  <si>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</si>
  <si>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</si>
  <si>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</si>
  <si>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</si>
  <si>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</si>
  <si>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</si>
  <si>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</si>
  <si>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</si>
  <si>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</si>
  <si>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</si>
  <si>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</si>
  <si>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</si>
  <si>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</si>
  <si>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</si>
  <si>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</si>
  <si>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</si>
  <si>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</si>
  <si>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</si>
  <si>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</si>
  <si>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</si>
  <si>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</si>
  <si>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</si>
  <si>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</si>
  <si>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</si>
  <si>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</si>
  <si>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</si>
  <si>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</si>
  <si>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</si>
  <si>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</si>
  <si>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</si>
  <si>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</si>
  <si>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</si>
  <si>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(가칭)양서초등학교 교사 신축공사</t>
    <phoneticPr fontId="2" type="noConversion"/>
  </si>
  <si>
    <t>교육연구</t>
  </si>
  <si>
    <t>경상도</t>
  </si>
  <si>
    <t>기초공사,골재비및운반비,기타공사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</si>
  <si>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</si>
  <si>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</si>
  <si>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</si>
  <si>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운반비,기타공사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</si>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</sst>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12176.77</v>
      </c>
      <c r="D7" s="36">
        <f>+C7/3.3058</f>
        <v>3683.4563494464273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829360</v>
      </c>
      <c r="E25" s="59">
        <f t="shared" si="0"/>
        <v>2741690</v>
      </c>
    </row>
    <row r="26" spans="1:5" x14ac:dyDescent="0.3">
      <c r="B26" s="2">
        <v>3</v>
      </c>
      <c r="C26" s="35" t="s">
        <v>95</v>
      </c>
      <c r="D26" s="45">
        <f>+D66</f>
        <v>6620</v>
      </c>
      <c r="E26" s="59">
        <f t="shared" si="0"/>
        <v>21880</v>
      </c>
    </row>
    <row r="27" spans="1:5" x14ac:dyDescent="0.3">
      <c r="B27" s="2">
        <v>4</v>
      </c>
      <c r="C27" s="35" t="s">
        <v>96</v>
      </c>
      <c r="D27" s="45">
        <f>+D95</f>
        <v>0</v>
      </c>
      <c r="E27" s="59">
        <f t="shared" si="0"/>
        <v>0</v>
      </c>
    </row>
    <row r="28" spans="1:5" x14ac:dyDescent="0.3">
      <c r="B28" s="2">
        <v>5</v>
      </c>
      <c r="C28" s="35" t="s">
        <v>97</v>
      </c>
      <c r="D28" s="45">
        <f>+D119</f>
        <v>187280</v>
      </c>
      <c r="E28" s="59">
        <f t="shared" si="0"/>
        <v>619110</v>
      </c>
    </row>
    <row r="29" spans="1:5" x14ac:dyDescent="0.3">
      <c r="B29" s="2">
        <v>6</v>
      </c>
      <c r="C29" s="35" t="s">
        <v>98</v>
      </c>
      <c r="D29" s="45">
        <f>+D133</f>
        <v>77620</v>
      </c>
      <c r="E29" s="59">
        <f t="shared" si="0"/>
        <v>256590</v>
      </c>
    </row>
    <row r="30" spans="1:5" x14ac:dyDescent="0.3">
      <c r="B30" s="2">
        <v>7</v>
      </c>
      <c r="C30" s="35" t="s">
        <v>99</v>
      </c>
      <c r="D30" s="45">
        <f>+D146</f>
        <v>38640</v>
      </c>
      <c r="E30" s="59">
        <f t="shared" si="0"/>
        <v>127730</v>
      </c>
    </row>
    <row r="31" spans="1:5" x14ac:dyDescent="0.3">
      <c r="B31" s="2">
        <v>8</v>
      </c>
      <c r="C31" s="35" t="s">
        <v>100</v>
      </c>
      <c r="D31" s="45">
        <f>+D154</f>
        <v>43400</v>
      </c>
      <c r="E31" s="59">
        <f t="shared" si="0"/>
        <v>143470</v>
      </c>
    </row>
    <row r="32" spans="1:5" x14ac:dyDescent="0.3">
      <c r="B32" s="2">
        <v>9</v>
      </c>
      <c r="C32" s="35" t="s">
        <v>101</v>
      </c>
      <c r="D32" s="45">
        <f>+D161</f>
        <v>9190</v>
      </c>
      <c r="E32" s="59">
        <f t="shared" si="0"/>
        <v>30380</v>
      </c>
    </row>
    <row r="33" spans="1:7" x14ac:dyDescent="0.3">
      <c r="B33" s="2">
        <v>10</v>
      </c>
      <c r="C33" s="35" t="s">
        <v>154</v>
      </c>
      <c r="D33" s="53">
        <f>TRUNC(SUM(D24:D32)*0.275,-1)</f>
        <v>327830</v>
      </c>
      <c r="E33" s="60">
        <f t="shared" si="0"/>
        <v>1083740</v>
      </c>
    </row>
    <row r="34" spans="1:7" x14ac:dyDescent="0.3">
      <c r="C34" s="35" t="s">
        <v>112</v>
      </c>
      <c r="D34" s="44">
        <f>SUM(D24:D33)</f>
        <v>1519940</v>
      </c>
      <c r="E34" s="44">
        <f>SUM(E24:E33)</f>
        <v>5024590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TRUNC(34616,-1)</f>
        <v>34610</v>
      </c>
      <c r="E40" s="62">
        <f t="shared" ref="E40:E59" si="1">TRUNC(+D40*3.3058,-1)</f>
        <v>114410</v>
      </c>
    </row>
    <row r="41" spans="1:7" x14ac:dyDescent="0.3">
      <c r="A41" s="2">
        <v>2</v>
      </c>
      <c r="C41" s="38" t="s">
        <v>13</v>
      </c>
      <c r="D41" s="42">
        <f>TRUNC(171646,-1)</f>
        <v>171640</v>
      </c>
      <c r="E41" s="63">
        <f t="shared" si="1"/>
        <v>567400</v>
      </c>
    </row>
    <row r="42" spans="1:7" x14ac:dyDescent="0.3">
      <c r="A42" s="2">
        <v>3</v>
      </c>
      <c r="C42" s="38" t="s">
        <v>14</v>
      </c>
      <c r="D42" s="42">
        <f>TRUNC(8713,-1)</f>
        <v>8710</v>
      </c>
      <c r="E42" s="63">
        <f t="shared" si="1"/>
        <v>28790</v>
      </c>
    </row>
    <row r="43" spans="1:7" x14ac:dyDescent="0.3">
      <c r="A43" s="2">
        <v>4</v>
      </c>
      <c r="C43" s="38" t="s">
        <v>16</v>
      </c>
      <c r="D43" s="42">
        <f>TRUNC(35916,-1)</f>
        <v>35910</v>
      </c>
      <c r="E43" s="63">
        <f t="shared" si="1"/>
        <v>118710</v>
      </c>
    </row>
    <row r="44" spans="1:7" x14ac:dyDescent="0.3">
      <c r="A44" s="2">
        <v>5</v>
      </c>
      <c r="C44" s="38" t="s">
        <v>17</v>
      </c>
      <c r="D44" s="42">
        <f>TRUNC(17293,-1)</f>
        <v>17290</v>
      </c>
      <c r="E44" s="63">
        <f t="shared" si="1"/>
        <v>57150</v>
      </c>
    </row>
    <row r="45" spans="1:7" x14ac:dyDescent="0.3">
      <c r="A45" s="2">
        <v>6</v>
      </c>
      <c r="C45" s="38" t="s">
        <v>18</v>
      </c>
      <c r="D45" s="42">
        <f>TRUNC(5001,-1)</f>
        <v>5000</v>
      </c>
      <c r="E45" s="63">
        <f t="shared" si="1"/>
        <v>16520</v>
      </c>
    </row>
    <row r="46" spans="1:7" x14ac:dyDescent="0.3">
      <c r="A46" s="2">
        <v>7</v>
      </c>
      <c r="C46" s="38" t="s">
        <v>19</v>
      </c>
      <c r="D46" s="42">
        <f>TRUNC(22766,-1)</f>
        <v>22760</v>
      </c>
      <c r="E46" s="63">
        <f t="shared" si="1"/>
        <v>75240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TRUNC(41183,-1)</f>
        <v>41180</v>
      </c>
      <c r="E48" s="63">
        <f t="shared" si="1"/>
        <v>136130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TRUNC(21567,-1)</f>
        <v>21560</v>
      </c>
      <c r="E49" s="63">
        <f t="shared" si="1"/>
        <v>71270</v>
      </c>
    </row>
    <row r="50" spans="1:7" x14ac:dyDescent="0.3">
      <c r="A50" s="2">
        <v>11</v>
      </c>
      <c r="C50" s="38" t="s">
        <v>155</v>
      </c>
      <c r="D50" s="42">
        <f>TRUNC(38210,-1)</f>
        <v>38210</v>
      </c>
      <c r="E50" s="63">
        <f t="shared" si="1"/>
        <v>126310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TRUNC(10287,-1)</f>
        <v>10280</v>
      </c>
      <c r="E52" s="63">
        <f t="shared" si="1"/>
        <v>33980</v>
      </c>
    </row>
    <row r="53" spans="1:7" x14ac:dyDescent="0.3">
      <c r="A53" s="2">
        <v>14</v>
      </c>
      <c r="C53" s="38" t="s">
        <v>25</v>
      </c>
      <c r="D53" s="42">
        <f>TRUNC(40589,-1)</f>
        <v>40580</v>
      </c>
      <c r="E53" s="63">
        <f t="shared" si="1"/>
        <v>134140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TRUNC(21850+3748+9581,-1)</f>
        <v>35170</v>
      </c>
      <c r="E58" s="63">
        <f t="shared" si="1"/>
        <v>116260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TRUNC(346461,-1)</f>
        <v>346460</v>
      </c>
      <c r="E59" s="64">
        <f t="shared" si="1"/>
        <v>1145320</v>
      </c>
    </row>
    <row r="60" spans="1:7" x14ac:dyDescent="0.3">
      <c r="A60" s="2">
        <v>21</v>
      </c>
      <c r="C60" s="27" t="s">
        <v>112</v>
      </c>
      <c r="D60" s="39">
        <f>SUM(D40:D59)</f>
        <v>829360</v>
      </c>
      <c r="E60" s="39">
        <f>SUM(E40:E59)</f>
        <v>2741630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TRUNC(6629,-1)</f>
        <v>6620</v>
      </c>
      <c r="E63" s="62">
        <f>TRUNC(+D63*3.3058,-1)</f>
        <v>21880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6620</v>
      </c>
      <c r="E66" s="65">
        <f>SUM(E63:E65)</f>
        <v>21880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0</v>
      </c>
      <c r="E95" s="39">
        <f>SUM(E69:E94)</f>
        <v>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TRUNC(11439,-1)</f>
        <v>11430</v>
      </c>
      <c r="E98" s="62">
        <f t="shared" ref="E98:E118" si="3">TRUNC(+D98*3.3058,-1)</f>
        <v>37780</v>
      </c>
    </row>
    <row r="99" spans="1:7" x14ac:dyDescent="0.3">
      <c r="A99" s="2">
        <v>2</v>
      </c>
      <c r="C99" s="38" t="s">
        <v>40</v>
      </c>
      <c r="D99" s="42">
        <f>TRUNC(4321,-1)</f>
        <v>4320</v>
      </c>
      <c r="E99" s="63">
        <f t="shared" si="3"/>
        <v>14280</v>
      </c>
    </row>
    <row r="100" spans="1:7" x14ac:dyDescent="0.3">
      <c r="A100" s="2">
        <v>3</v>
      </c>
      <c r="C100" s="38" t="s">
        <v>41</v>
      </c>
      <c r="D100" s="42">
        <f>TRUNC(25069,-1)</f>
        <v>25060</v>
      </c>
      <c r="E100" s="63">
        <f t="shared" si="3"/>
        <v>82840</v>
      </c>
    </row>
    <row r="101" spans="1:7" x14ac:dyDescent="0.3">
      <c r="A101" s="2">
        <v>4</v>
      </c>
      <c r="C101" s="38" t="s">
        <v>42</v>
      </c>
      <c r="D101" s="42">
        <f>TRUNC(3769,-1)</f>
        <v>3760</v>
      </c>
      <c r="E101" s="63">
        <f t="shared" si="3"/>
        <v>12420</v>
      </c>
    </row>
    <row r="102" spans="1:7" x14ac:dyDescent="0.3">
      <c r="A102" s="2">
        <v>5</v>
      </c>
      <c r="C102" s="38" t="s">
        <v>43</v>
      </c>
      <c r="D102" s="42">
        <f>TRUNC(12034,-1)</f>
        <v>12030</v>
      </c>
      <c r="E102" s="63">
        <f t="shared" si="3"/>
        <v>39760</v>
      </c>
    </row>
    <row r="103" spans="1:7" x14ac:dyDescent="0.3">
      <c r="A103" s="2">
        <v>6</v>
      </c>
      <c r="C103" s="38" t="s">
        <v>44</v>
      </c>
      <c r="D103" s="42">
        <f>TRUNC(2846,-1)</f>
        <v>2840</v>
      </c>
      <c r="E103" s="63">
        <f t="shared" si="3"/>
        <v>9380</v>
      </c>
    </row>
    <row r="104" spans="1:7" x14ac:dyDescent="0.3">
      <c r="A104" s="2">
        <v>7</v>
      </c>
      <c r="C104" s="38" t="s">
        <v>45</v>
      </c>
      <c r="D104" s="42">
        <f>TRUNC(4116,-1)</f>
        <v>4110</v>
      </c>
      <c r="E104" s="63">
        <f t="shared" si="3"/>
        <v>13580</v>
      </c>
    </row>
    <row r="105" spans="1:7" x14ac:dyDescent="0.3">
      <c r="A105" s="2">
        <v>8</v>
      </c>
      <c r="C105" s="38" t="s">
        <v>46</v>
      </c>
      <c r="D105" s="42">
        <f>TRUNC(4154,-1)</f>
        <v>4150</v>
      </c>
      <c r="E105" s="63">
        <f t="shared" si="3"/>
        <v>13710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TRUNC(2958,-1)</f>
        <v>2950</v>
      </c>
      <c r="E114" s="63">
        <f t="shared" si="3"/>
        <v>9750</v>
      </c>
    </row>
    <row r="115" spans="1:7" x14ac:dyDescent="0.3">
      <c r="A115" s="2">
        <v>18</v>
      </c>
      <c r="C115" s="38" t="s">
        <v>116</v>
      </c>
      <c r="D115" s="42">
        <f>TRUNC(4548,-1)</f>
        <v>4540</v>
      </c>
      <c r="E115" s="63">
        <f t="shared" si="3"/>
        <v>15000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TRUNC(97944,-1)</f>
        <v>97940</v>
      </c>
      <c r="E117" s="63">
        <f t="shared" si="3"/>
        <v>323770</v>
      </c>
    </row>
    <row r="118" spans="1:7" ht="17.25" thickBot="1" x14ac:dyDescent="0.35">
      <c r="A118" s="2">
        <v>21</v>
      </c>
      <c r="C118" s="38" t="s">
        <v>47</v>
      </c>
      <c r="D118" s="43">
        <f>TRUNC(14154,-1)</f>
        <v>14150</v>
      </c>
      <c r="E118" s="64">
        <f t="shared" si="3"/>
        <v>46770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187280</v>
      </c>
      <c r="E119" s="39">
        <f>SUM(E98:E118)</f>
        <v>619040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TRUNC(15697,-1)</f>
        <v>15690</v>
      </c>
      <c r="E125" s="63">
        <f t="shared" si="4"/>
        <v>51860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TRUNC(3058,-1)</f>
        <v>3050</v>
      </c>
      <c r="E128" s="63">
        <f t="shared" si="4"/>
        <v>10080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TRUNC(10707,-1)</f>
        <v>10700</v>
      </c>
      <c r="E130" s="63">
        <f t="shared" si="4"/>
        <v>35370</v>
      </c>
    </row>
    <row r="131" spans="1:7" x14ac:dyDescent="0.3">
      <c r="A131" s="2">
        <v>10</v>
      </c>
      <c r="C131" s="38" t="s">
        <v>148</v>
      </c>
      <c r="D131" s="42">
        <f>TRUNC(46424,-1)</f>
        <v>46420</v>
      </c>
      <c r="E131" s="63">
        <f t="shared" si="4"/>
        <v>153450</v>
      </c>
    </row>
    <row r="132" spans="1:7" ht="18" thickBot="1" x14ac:dyDescent="0.35">
      <c r="A132" s="2">
        <v>11</v>
      </c>
      <c r="C132" s="38" t="s">
        <v>47</v>
      </c>
      <c r="D132" s="43">
        <f>TRUNC(1457+305,-1)</f>
        <v>1760</v>
      </c>
      <c r="E132" s="64">
        <f t="shared" si="4"/>
        <v>5810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77620</v>
      </c>
      <c r="E133" s="39">
        <f>SUM(E122:E132)</f>
        <v>256570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TRUNC(5220+9850,-1)</f>
        <v>15070</v>
      </c>
      <c r="E137" s="63">
        <f t="shared" si="5"/>
        <v>49810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TRUNC(3820,-1)</f>
        <v>3820</v>
      </c>
      <c r="E139" s="63">
        <f t="shared" si="5"/>
        <v>12620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TRUNC(4778,-1)</f>
        <v>4770</v>
      </c>
      <c r="E141" s="63">
        <f t="shared" si="5"/>
        <v>15760</v>
      </c>
    </row>
    <row r="142" spans="1:7" x14ac:dyDescent="0.3">
      <c r="A142" s="2">
        <v>7</v>
      </c>
      <c r="C142" s="38" t="s">
        <v>58</v>
      </c>
      <c r="D142" s="42">
        <f>TRUNC(6055,-1)</f>
        <v>6050</v>
      </c>
      <c r="E142" s="63">
        <f t="shared" si="5"/>
        <v>20000</v>
      </c>
    </row>
    <row r="143" spans="1:7" x14ac:dyDescent="0.3">
      <c r="A143" s="2">
        <v>8</v>
      </c>
      <c r="C143" s="38" t="s">
        <v>62</v>
      </c>
      <c r="D143" s="42">
        <f>TRUNC(3864,-1)</f>
        <v>3860</v>
      </c>
      <c r="E143" s="63">
        <f t="shared" si="5"/>
        <v>12760</v>
      </c>
    </row>
    <row r="144" spans="1:7" x14ac:dyDescent="0.3">
      <c r="A144" s="2">
        <v>9</v>
      </c>
      <c r="C144" s="38" t="s">
        <v>63</v>
      </c>
      <c r="D144" s="42">
        <f>TRUNC(5071,-1)</f>
        <v>5070</v>
      </c>
      <c r="E144" s="63">
        <f t="shared" si="5"/>
        <v>16760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38640</v>
      </c>
      <c r="E146" s="39">
        <f>SUM(E136:E145)</f>
        <v>127710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TRUNC(6732+974,-1)</f>
        <v>7700</v>
      </c>
      <c r="E149" s="62">
        <f>TRUNC(+D149*3.3058,-1)</f>
        <v>25450</v>
      </c>
    </row>
    <row r="150" spans="1:7" x14ac:dyDescent="0.3">
      <c r="A150" s="2">
        <v>2</v>
      </c>
      <c r="C150" s="38" t="s">
        <v>49</v>
      </c>
      <c r="D150" s="42">
        <f>TRUNC(8261,-1)</f>
        <v>8260</v>
      </c>
      <c r="E150" s="63">
        <f>TRUNC(+D150*3.3058,-1)</f>
        <v>27300</v>
      </c>
    </row>
    <row r="151" spans="1:7" x14ac:dyDescent="0.3">
      <c r="A151" s="2">
        <v>3</v>
      </c>
      <c r="C151" s="38" t="s">
        <v>50</v>
      </c>
      <c r="D151" s="42">
        <f>TRUNC(27042,-1)</f>
        <v>27040</v>
      </c>
      <c r="E151" s="63">
        <f>TRUNC(+D151*3.3058,-1)</f>
        <v>89380</v>
      </c>
    </row>
    <row r="152" spans="1:7" x14ac:dyDescent="0.3">
      <c r="A152" s="2">
        <v>4</v>
      </c>
      <c r="C152" s="38" t="s">
        <v>47</v>
      </c>
      <c r="D152" s="42">
        <f>TRUNC(197+206,-1)</f>
        <v>400</v>
      </c>
      <c r="E152" s="63">
        <f>TRUNC(+D152*3.3058,-1)</f>
        <v>1320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43400</v>
      </c>
      <c r="E154" s="39">
        <f>SUM(E149:E153)</f>
        <v>143450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TRUNC(7700,-1)</f>
        <v>7700</v>
      </c>
      <c r="E157" s="62">
        <f>TRUNC(+D157*3.3058,-1)</f>
        <v>25450</v>
      </c>
    </row>
    <row r="158" spans="1:7" x14ac:dyDescent="0.3">
      <c r="A158" s="2">
        <v>2</v>
      </c>
      <c r="C158" s="38" t="s">
        <v>52</v>
      </c>
      <c r="D158" s="42">
        <f>TRUNC(1492,-1)</f>
        <v>1490</v>
      </c>
      <c r="E158" s="63">
        <f>TRUNC(+D158*3.3058,-1)</f>
        <v>4920</v>
      </c>
      <c r="F158" s="2" t="s">
        <v>258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9190</v>
      </c>
      <c r="E161" s="39">
        <f>SUM(E157:E160)</f>
        <v>30370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2020-12-08T01:31:35Z</dcterms:modified>
</cp:coreProperties>
</file>