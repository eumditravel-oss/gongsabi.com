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2" i="4" l="1"/>
  <c r="D130" i="4"/>
  <c r="D128" i="4"/>
  <c r="D132" i="4"/>
  <c r="D124" i="4"/>
  <c r="D125" i="4"/>
  <c r="D118" i="4"/>
  <c r="D102" i="4"/>
  <c r="D100" i="4"/>
  <c r="D99" i="4"/>
  <c r="D98" i="4"/>
  <c r="D114" i="4"/>
  <c r="D105" i="4"/>
  <c r="D104" i="4"/>
  <c r="D108" i="4"/>
  <c r="D94" i="4"/>
  <c r="D79" i="4"/>
  <c r="D69" i="4"/>
  <c r="D81" i="4"/>
  <c r="D92" i="4"/>
  <c r="D70" i="4"/>
  <c r="D75" i="4"/>
  <c r="D85" i="4"/>
  <c r="D71" i="4"/>
  <c r="D72" i="4"/>
  <c r="D58" i="4"/>
  <c r="D49" i="4"/>
  <c r="D45" i="4"/>
  <c r="D41" i="4"/>
  <c r="D50" i="4"/>
  <c r="D55" i="4"/>
  <c r="D43" i="4"/>
  <c r="D51" i="4"/>
  <c r="D53" i="4"/>
  <c r="D46" i="4"/>
  <c r="D44" i="4"/>
  <c r="D47" i="4"/>
  <c r="D52" i="4"/>
  <c r="D48" i="4"/>
  <c r="D40" i="4"/>
  <c r="D137" i="4"/>
  <c r="D136" i="4"/>
  <c r="D159" i="4"/>
  <c r="D152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95" i="4"/>
  <c r="E60" i="4"/>
  <c r="E146" i="4"/>
  <c r="E154" i="4"/>
  <c r="E119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<sst xmlns="http://schemas.openxmlformats.org/spreadsheetml/2006/main" count="390" uniqueCount="265">
  <si>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</si>
  <si>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</si>
  <si>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</si>
  <si>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</si>
  <si>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</si>
  <si>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</si>
  <si>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</si>
  <si>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</si>
  <si>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</si>
  <si>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</si>
  <si>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</si>
  <si>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</si>
  <si>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</si>
  <si>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</si>
  <si>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</si>
  <si>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</si>
  <si>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</si>
  <si>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</si>
  <si>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</si>
  <si>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</si>
  <si>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</si>
  <si>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</si>
  <si>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</si>
  <si>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</si>
  <si>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</si>
  <si>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</si>
  <si>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</si>
  <si>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</si>
  <si>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</si>
  <si>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</si>
  <si>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</si>
  <si>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</si>
  <si>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</si>
  <si>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</si>
  <si>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</si>
  <si>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</si>
  <si>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</si>
  <si>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</si>
  <si>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</si>
  <si>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</si>
  <si>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</si>
  <si>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</si>
  <si>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</si>
  <si>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</si>
  <si>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</si>
  <si>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</si>
  <si>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</si>
  <si>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</si>
  <si>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</si>
  <si>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</si>
  <si>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</si>
  <si>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</si>
  <si>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</si>
  <si>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</si>
  <si>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</si>
  <si>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</si>
  <si>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</si>
  <si>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</si>
  <si>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</si>
  <si>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</si>
  <si>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</si>
  <si>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</si>
  <si>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</si>
  <si>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</si>
  <si>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</si>
  <si>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</si>
  <si>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</si>
  <si>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</si>
  <si>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</si>
  <si>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</si>
  <si>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</si>
  <si>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</si>
  <si>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</si>
  <si>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</si>
  <si>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</si>
  <si>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</si>
  <si>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</si>
  <si>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</si>
  <si>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</si>
  <si>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</si>
  <si>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</si>
  <si>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</si>
  <si>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</si>
  <si>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</si>
  <si>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</si>
  <si>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</si>
  <si>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</si>
  <si>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</si>
  <si>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</si>
  <si>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</si>
  <si>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</si>
  <si>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</si>
  <si>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</si>
  <si>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</si>
  <si>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</si>
  <si>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</si>
  <si>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</si>
  <si>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</si>
  <si>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</si>
  <si>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</si>
  <si>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</si>
  <si>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</si>
  <si>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</si>
  <si>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</si>
  <si>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</si>
  <si>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</si>
  <si>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</si>
  <si>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</si>
  <si>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</si>
  <si>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</si>
  <si>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</si>
  <si>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</si>
  <si>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</si>
  <si>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</si>
  <si>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</si>
  <si>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</si>
  <si>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</si>
  <si>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</si>
  <si>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</si>
  <si>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</si>
  <si>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</si>
  <si>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</si>
  <si>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</si>
  <si>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</si>
  <si>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</si>
  <si>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</si>
  <si>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</si>
  <si>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</si>
  <si>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</si>
  <si>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</si>
  <si>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</si>
  <si>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</si>
  <si>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</si>
  <si>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</si>
  <si>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</si>
  <si>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</si>
  <si>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</si>
  <si>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</si>
  <si>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</si>
  <si>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</si>
  <si>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</si>
  <si>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</si>
  <si>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</si>
  <si>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</si>
  <si>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</si>
  <si>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</si>
  <si>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</si>
  <si>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</si>
  <si>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</si>
  <si>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</si>
  <si>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</si>
  <si>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</si>
  <si>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</si>
  <si>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</si>
  <si>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</si>
  <si>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</si>
  <si>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</si>
  <si>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</si>
  <si>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</si>
  <si>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</si>
  <si>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</si>
  <si>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</si>
  <si>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</si>
  <si>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</si>
  <si>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</si>
  <si>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</si>
  <si>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</si>
  <si>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</si>
  <si>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</si>
  <si>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</si>
  <si>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</si>
  <si>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</si>
  <si>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</si>
  <si>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</si>
  <si>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</si>
  <si>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</si>
  <si>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</si>
  <si>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</si>
  <si>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</si>
  <si>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</si>
  <si>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</si>
  <si>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</si>
  <si>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</si>
  <si>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</si>
  <si>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</si>
  <si>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</si>
  <si>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</si>
  <si>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</si>
  <si>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</si>
  <si>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</si>
  <si>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</si>
  <si>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</si>
  <si>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</si>
  <si>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</si>
  <si>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</si>
  <si>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</si>
  <si>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</si>
  <si>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</si>
  <si>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</si>
  <si>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</si>
  <si>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</si>
  <si>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</si>
  <si>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</si>
  <si>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</si>
  <si>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</si>
  <si>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</si>
  <si>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</si>
  <si>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</si>
  <si>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</si>
  <si>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</si>
  <si>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</si>
  <si>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</si>
  <si>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</si>
  <si>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</si>
  <si>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</si>
  <si>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</si>
  <si>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</si>
  <si>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</si>
  <si>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</si>
  <si>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</si>
  <si>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</si>
  <si>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</si>
  <si>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</si>
  <si>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</si>
  <si>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</si>
  <si>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</si>
  <si>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</si>
  <si>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</si>
  <si>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</si>
  <si>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</si>
  <si>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</si>
  <si>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</si>
  <si>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</si>
  <si>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</si>
  <si>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</si>
  <si>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</si>
  <si>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</si>
  <si>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</si>
  <si>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</si>
  <si>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</si>
  <si>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</si>
  <si>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</si>
  <si>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</si>
  <si>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</si>
  <si>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</si>
  <si>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</si>
  <si>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</si>
  <si>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</si>
  <si>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 직장어린이집 건립공사</t>
    <phoneticPr fontId="2" type="noConversion"/>
  </si>
  <si>
    <t>기타</t>
  </si>
  <si>
    <t>세종시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</si>
  <si>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</si>
  <si>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</si>
  <si>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</si>
  <si>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</si>
  <si>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골재비,기타공사,정문공사,정문공사,지정공사,후문공사,후문및램프공사</t>
    <phoneticPr fontId="2" type="noConversion"/>
  </si>
  <si>
    <t>위생설비공사</t>
    <phoneticPr fontId="2" type="noConversion"/>
  </si>
  <si>
    <t>난방배관공사,주방기구설치공사,초절전온수관보일러난방공사,</t>
    <phoneticPr fontId="2" type="noConversion"/>
  </si>
  <si>
    <t>태양관발전설비공사,스노우멜팅공사,엘리베이터공사</t>
    <phoneticPr fontId="2" type="noConversion"/>
  </si>
  <si>
    <t>CCTV설비공사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</si>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</sst>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5594</v>
      </c>
      <c r="D7" s="36">
        <f>+C7/3.3058</f>
        <v>1692.1773852017666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854170</v>
      </c>
      <c r="E25" s="59">
        <f t="shared" si="0"/>
        <v>2823710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250470</v>
      </c>
      <c r="E27" s="59">
        <f t="shared" si="0"/>
        <v>828000</v>
      </c>
    </row>
    <row r="28" spans="1:5" x14ac:dyDescent="0.3">
      <c r="B28" s="2">
        <v>5</v>
      </c>
      <c r="C28" s="35" t="s">
        <v>97</v>
      </c>
      <c r="D28" s="45">
        <f>+D119</f>
        <v>216000</v>
      </c>
      <c r="E28" s="59">
        <f t="shared" si="0"/>
        <v>714050</v>
      </c>
    </row>
    <row r="29" spans="1:5" x14ac:dyDescent="0.3">
      <c r="B29" s="2">
        <v>6</v>
      </c>
      <c r="C29" s="35" t="s">
        <v>98</v>
      </c>
      <c r="D29" s="45">
        <f>+D133</f>
        <v>98270</v>
      </c>
      <c r="E29" s="59">
        <f t="shared" si="0"/>
        <v>324860</v>
      </c>
    </row>
    <row r="30" spans="1:5" x14ac:dyDescent="0.3">
      <c r="B30" s="2">
        <v>7</v>
      </c>
      <c r="C30" s="35" t="s">
        <v>99</v>
      </c>
      <c r="D30" s="45">
        <f>+D146</f>
        <v>55510</v>
      </c>
      <c r="E30" s="59">
        <f t="shared" si="0"/>
        <v>183500</v>
      </c>
    </row>
    <row r="31" spans="1:5" x14ac:dyDescent="0.3">
      <c r="B31" s="2">
        <v>8</v>
      </c>
      <c r="C31" s="35" t="s">
        <v>100</v>
      </c>
      <c r="D31" s="45">
        <f>+D154</f>
        <v>111220</v>
      </c>
      <c r="E31" s="59">
        <f t="shared" si="0"/>
        <v>367670</v>
      </c>
    </row>
    <row r="32" spans="1:5" x14ac:dyDescent="0.3">
      <c r="B32" s="2">
        <v>9</v>
      </c>
      <c r="C32" s="35" t="s">
        <v>101</v>
      </c>
      <c r="D32" s="45">
        <f>+D161</f>
        <v>75280</v>
      </c>
      <c r="E32" s="59">
        <f t="shared" si="0"/>
        <v>248860</v>
      </c>
    </row>
    <row r="33" spans="1:7" x14ac:dyDescent="0.3">
      <c r="B33" s="2">
        <v>10</v>
      </c>
      <c r="C33" s="35" t="s">
        <v>154</v>
      </c>
      <c r="D33" s="53">
        <f>TRUNC(SUM(D24:D32)*0.275,-1)</f>
        <v>456750</v>
      </c>
      <c r="E33" s="60">
        <f t="shared" si="0"/>
        <v>1509920</v>
      </c>
    </row>
    <row r="34" spans="1:7" x14ac:dyDescent="0.3">
      <c r="C34" s="35" t="s">
        <v>112</v>
      </c>
      <c r="D34" s="44">
        <f>SUM(D24:D33)</f>
        <v>2117670</v>
      </c>
      <c r="E34" s="44">
        <f>SUM(E24:E33)</f>
        <v>7000570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TRUNC(37940,-1)</f>
        <v>37940</v>
      </c>
      <c r="E40" s="62">
        <f t="shared" ref="E40:E59" si="1">TRUNC(+D40*3.3058,-1)</f>
        <v>125420</v>
      </c>
    </row>
    <row r="41" spans="1:7" x14ac:dyDescent="0.3">
      <c r="A41" s="2">
        <v>2</v>
      </c>
      <c r="C41" s="38" t="s">
        <v>13</v>
      </c>
      <c r="D41" s="42">
        <f>TRUNC(202809,-1)</f>
        <v>202800</v>
      </c>
      <c r="E41" s="63">
        <f t="shared" si="1"/>
        <v>670410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TRUNC(45719,-1)</f>
        <v>45710</v>
      </c>
      <c r="E43" s="63">
        <f t="shared" si="1"/>
        <v>151100</v>
      </c>
    </row>
    <row r="44" spans="1:7" x14ac:dyDescent="0.3">
      <c r="A44" s="2">
        <v>5</v>
      </c>
      <c r="C44" s="38" t="s">
        <v>17</v>
      </c>
      <c r="D44" s="42">
        <f>TRUNC(66217,-1)</f>
        <v>66210</v>
      </c>
      <c r="E44" s="63">
        <f t="shared" si="1"/>
        <v>218870</v>
      </c>
    </row>
    <row r="45" spans="1:7" x14ac:dyDescent="0.3">
      <c r="A45" s="2">
        <v>6</v>
      </c>
      <c r="C45" s="38" t="s">
        <v>18</v>
      </c>
      <c r="D45" s="42">
        <f>TRUNC(16477,-1)</f>
        <v>16470</v>
      </c>
      <c r="E45" s="63">
        <f t="shared" si="1"/>
        <v>54440</v>
      </c>
    </row>
    <row r="46" spans="1:7" x14ac:dyDescent="0.3">
      <c r="A46" s="2">
        <v>7</v>
      </c>
      <c r="C46" s="38" t="s">
        <v>19</v>
      </c>
      <c r="D46" s="42">
        <f>TRUNC(8565,-1)</f>
        <v>8560</v>
      </c>
      <c r="E46" s="63">
        <f t="shared" si="1"/>
        <v>28290</v>
      </c>
    </row>
    <row r="47" spans="1:7" x14ac:dyDescent="0.3">
      <c r="A47" s="2">
        <v>8</v>
      </c>
      <c r="C47" s="38" t="s">
        <v>20</v>
      </c>
      <c r="D47" s="42">
        <f>TRUNC(499,-1)</f>
        <v>490</v>
      </c>
      <c r="E47" s="63">
        <f t="shared" si="1"/>
        <v>1610</v>
      </c>
    </row>
    <row r="48" spans="1:7" x14ac:dyDescent="0.3">
      <c r="A48" s="2">
        <v>9</v>
      </c>
      <c r="C48" s="38" t="s">
        <v>21</v>
      </c>
      <c r="D48" s="42">
        <f>TRUNC(85661,-1)</f>
        <v>85660</v>
      </c>
      <c r="E48" s="63">
        <f t="shared" si="1"/>
        <v>283170</v>
      </c>
    </row>
    <row r="49" spans="1:7" x14ac:dyDescent="0.3">
      <c r="A49" s="2">
        <v>10</v>
      </c>
      <c r="C49" s="38" t="s">
        <v>22</v>
      </c>
      <c r="D49" s="42">
        <f>TRUNC(22576,-1)</f>
        <v>22570</v>
      </c>
      <c r="E49" s="63">
        <f t="shared" si="1"/>
        <v>74610</v>
      </c>
    </row>
    <row r="50" spans="1:7" x14ac:dyDescent="0.3">
      <c r="A50" s="2">
        <v>11</v>
      </c>
      <c r="C50" s="38" t="s">
        <v>155</v>
      </c>
      <c r="D50" s="42">
        <f>TRUNC(39400,-1)</f>
        <v>39400</v>
      </c>
      <c r="E50" s="63">
        <f t="shared" si="1"/>
        <v>130240</v>
      </c>
    </row>
    <row r="51" spans="1:7" x14ac:dyDescent="0.3">
      <c r="A51" s="2">
        <v>12</v>
      </c>
      <c r="C51" s="38" t="s">
        <v>23</v>
      </c>
      <c r="D51" s="42">
        <f>TRUNC(12222,-1)</f>
        <v>12220</v>
      </c>
      <c r="E51" s="63">
        <f t="shared" si="1"/>
        <v>40390</v>
      </c>
    </row>
    <row r="52" spans="1:7" x14ac:dyDescent="0.3">
      <c r="A52" s="2">
        <v>13</v>
      </c>
      <c r="C52" s="38" t="s">
        <v>24</v>
      </c>
      <c r="D52" s="42">
        <f>TRUNC(15972,-1)</f>
        <v>15970</v>
      </c>
      <c r="E52" s="63">
        <f t="shared" si="1"/>
        <v>52790</v>
      </c>
    </row>
    <row r="53" spans="1:7" x14ac:dyDescent="0.3">
      <c r="A53" s="2">
        <v>14</v>
      </c>
      <c r="C53" s="38" t="s">
        <v>25</v>
      </c>
      <c r="D53" s="42">
        <f>TRUNC(104576,-1)</f>
        <v>104570</v>
      </c>
      <c r="E53" s="63">
        <f t="shared" si="1"/>
        <v>345680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TRUNC(2122,-1)</f>
        <v>2120</v>
      </c>
      <c r="E55" s="63">
        <f t="shared" si="1"/>
        <v>7000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TRUNC(2416+3095+1476+1537+297+3501,-1)</f>
        <v>12320</v>
      </c>
      <c r="E58" s="63">
        <f t="shared" si="1"/>
        <v>40720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TRUNC(181167,-1)</f>
        <v>181160</v>
      </c>
      <c r="E59" s="64">
        <f t="shared" si="1"/>
        <v>598870</v>
      </c>
    </row>
    <row r="60" spans="1:7" x14ac:dyDescent="0.3">
      <c r="A60" s="2">
        <v>21</v>
      </c>
      <c r="C60" s="27" t="s">
        <v>112</v>
      </c>
      <c r="D60" s="39">
        <f>SUM(D40:D59)</f>
        <v>854170</v>
      </c>
      <c r="E60" s="39">
        <f>SUM(E40:E59)</f>
        <v>2823610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TRUNC(12858,-1)</f>
        <v>12850</v>
      </c>
      <c r="E69" s="62">
        <f t="shared" ref="E69:E94" si="2">TRUNC(+D69*3.3058,-1)</f>
        <v>42470</v>
      </c>
    </row>
    <row r="70" spans="1:7" ht="16.5" customHeight="1" x14ac:dyDescent="0.3">
      <c r="A70" s="2">
        <v>2</v>
      </c>
      <c r="C70" s="38" t="s">
        <v>31</v>
      </c>
      <c r="D70" s="42">
        <f>TRUNC(2182,-1)</f>
        <v>2180</v>
      </c>
      <c r="E70" s="63">
        <f t="shared" si="2"/>
        <v>7200</v>
      </c>
    </row>
    <row r="71" spans="1:7" x14ac:dyDescent="0.3">
      <c r="A71" s="2">
        <v>3</v>
      </c>
      <c r="C71" s="38" t="s">
        <v>32</v>
      </c>
      <c r="D71" s="42">
        <f>TRUNC(17722,-1)</f>
        <v>17720</v>
      </c>
      <c r="E71" s="63">
        <f t="shared" si="2"/>
        <v>58570</v>
      </c>
    </row>
    <row r="72" spans="1:7" x14ac:dyDescent="0.3">
      <c r="A72" s="2">
        <v>4</v>
      </c>
      <c r="C72" s="38" t="s">
        <v>33</v>
      </c>
      <c r="D72" s="42">
        <f>TRUNC(5001,-1)</f>
        <v>5000</v>
      </c>
      <c r="E72" s="63">
        <f t="shared" si="2"/>
        <v>16520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TRUNC(342,-1)</f>
        <v>340</v>
      </c>
      <c r="E75" s="63">
        <f t="shared" si="2"/>
        <v>1120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TRUNC(12657,-1)</f>
        <v>12650</v>
      </c>
      <c r="E79" s="63">
        <f t="shared" si="2"/>
        <v>41810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TRUNC(1591,-1)</f>
        <v>1590</v>
      </c>
      <c r="E81" s="63">
        <f t="shared" si="2"/>
        <v>5250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TRUNC(2392,-1)</f>
        <v>2390</v>
      </c>
      <c r="E85" s="63">
        <f t="shared" si="2"/>
        <v>7900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TRUNC(32461,-1)</f>
        <v>32460</v>
      </c>
      <c r="E92" s="63">
        <f t="shared" si="2"/>
        <v>107300</v>
      </c>
      <c r="F92" s="2" t="s">
        <v>256</v>
      </c>
    </row>
    <row r="93" spans="1:7" x14ac:dyDescent="0.3">
      <c r="A93" s="2">
        <v>25</v>
      </c>
      <c r="C93" s="38" t="s">
        <v>148</v>
      </c>
      <c r="D93" s="42">
        <f>TRUNC(128067,-1)</f>
        <v>128060</v>
      </c>
      <c r="E93" s="63">
        <f t="shared" si="2"/>
        <v>423340</v>
      </c>
    </row>
    <row r="94" spans="1:7" ht="17.25" thickBot="1" x14ac:dyDescent="0.35">
      <c r="A94" s="2">
        <v>26</v>
      </c>
      <c r="C94" s="38" t="s">
        <v>47</v>
      </c>
      <c r="D94" s="43">
        <f>TRUNC(31283+3591+358,-1)</f>
        <v>35230</v>
      </c>
      <c r="E94" s="64">
        <f t="shared" si="2"/>
        <v>116460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250470</v>
      </c>
      <c r="E95" s="39">
        <f>SUM(E69:E94)</f>
        <v>827940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TRUNC(13839+12452,-1)</f>
        <v>26290</v>
      </c>
      <c r="E98" s="62">
        <f t="shared" ref="E98:E118" si="3">TRUNC(+D98*3.3058,-1)</f>
        <v>86900</v>
      </c>
    </row>
    <row r="99" spans="1:7" x14ac:dyDescent="0.3">
      <c r="A99" s="2">
        <v>2</v>
      </c>
      <c r="C99" s="38" t="s">
        <v>40</v>
      </c>
      <c r="D99" s="42">
        <f>TRUNC(2385+2578,-1)</f>
        <v>4960</v>
      </c>
      <c r="E99" s="63">
        <f t="shared" si="3"/>
        <v>16390</v>
      </c>
    </row>
    <row r="100" spans="1:7" x14ac:dyDescent="0.3">
      <c r="A100" s="2">
        <v>3</v>
      </c>
      <c r="C100" s="38" t="s">
        <v>41</v>
      </c>
      <c r="D100" s="42">
        <f>TRUNC(12903+11751,-1)</f>
        <v>24650</v>
      </c>
      <c r="E100" s="63">
        <f t="shared" si="3"/>
        <v>81480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TRUNC(4618+4334,-1)</f>
        <v>8950</v>
      </c>
      <c r="E102" s="63">
        <f t="shared" si="3"/>
        <v>29580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TRUNC(6435,-1)</f>
        <v>6430</v>
      </c>
      <c r="E104" s="63">
        <f t="shared" si="3"/>
        <v>21250</v>
      </c>
    </row>
    <row r="105" spans="1:7" x14ac:dyDescent="0.3">
      <c r="A105" s="2">
        <v>8</v>
      </c>
      <c r="C105" s="38" t="s">
        <v>46</v>
      </c>
      <c r="D105" s="42">
        <f>TRUNC(852,-1)</f>
        <v>850</v>
      </c>
      <c r="E105" s="63">
        <f t="shared" si="3"/>
        <v>2800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TRUNC(2749,-1)</f>
        <v>2740</v>
      </c>
      <c r="E108" s="63">
        <f t="shared" si="3"/>
        <v>9050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TRUNC(2543+2053,-1)</f>
        <v>4590</v>
      </c>
      <c r="E114" s="63">
        <f t="shared" si="3"/>
        <v>15170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TRUNC(132070,-1)</f>
        <v>132070</v>
      </c>
      <c r="E117" s="63">
        <f t="shared" si="3"/>
        <v>436590</v>
      </c>
    </row>
    <row r="118" spans="1:7" ht="17.25" thickBot="1" x14ac:dyDescent="0.35">
      <c r="A118" s="2">
        <v>21</v>
      </c>
      <c r="C118" s="38" t="s">
        <v>47</v>
      </c>
      <c r="D118" s="43">
        <f>TRUNC(454+2085+1931,-1)</f>
        <v>4470</v>
      </c>
      <c r="E118" s="64">
        <f t="shared" si="3"/>
        <v>14770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216000</v>
      </c>
      <c r="E119" s="39">
        <f>SUM(E98:E118)</f>
        <v>713980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TRUNC(2879+2656,-1)</f>
        <v>5530</v>
      </c>
      <c r="E122" s="62">
        <f t="shared" ref="E122:E132" si="4">TRUNC(+D122*3.3058,-1)</f>
        <v>18280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TRUNC(409,-1)</f>
        <v>400</v>
      </c>
      <c r="E124" s="63">
        <f t="shared" si="4"/>
        <v>1320</v>
      </c>
    </row>
    <row r="125" spans="1:7" x14ac:dyDescent="0.3">
      <c r="A125" s="2">
        <v>4</v>
      </c>
      <c r="C125" s="38" t="s">
        <v>138</v>
      </c>
      <c r="D125" s="42">
        <f>TRUNC(4966,-1)</f>
        <v>4960</v>
      </c>
      <c r="E125" s="63">
        <f t="shared" si="4"/>
        <v>16390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TRUNC(1141,-1)</f>
        <v>1140</v>
      </c>
      <c r="E128" s="63">
        <f t="shared" si="4"/>
        <v>3760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TRUNC(8665+9304,-1)</f>
        <v>17960</v>
      </c>
      <c r="E130" s="63">
        <f t="shared" si="4"/>
        <v>59370</v>
      </c>
    </row>
    <row r="131" spans="1:7" x14ac:dyDescent="0.3">
      <c r="A131" s="2">
        <v>10</v>
      </c>
      <c r="C131" s="38" t="s">
        <v>148</v>
      </c>
      <c r="D131" s="42">
        <f>TRUNC(65478,-1)</f>
        <v>65470</v>
      </c>
      <c r="E131" s="63">
        <f t="shared" si="4"/>
        <v>216430</v>
      </c>
    </row>
    <row r="132" spans="1:7" ht="18" thickBot="1" x14ac:dyDescent="0.35">
      <c r="A132" s="2">
        <v>11</v>
      </c>
      <c r="C132" s="38" t="s">
        <v>47</v>
      </c>
      <c r="D132" s="43">
        <f>TRUNC(2819,-1)</f>
        <v>2810</v>
      </c>
      <c r="E132" s="64">
        <f t="shared" si="4"/>
        <v>9280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98270</v>
      </c>
      <c r="E133" s="39">
        <f>SUM(E122:E132)</f>
        <v>324830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TRUNC(41458,-1)</f>
        <v>41450</v>
      </c>
      <c r="E136" s="62">
        <f t="shared" ref="E136:E145" si="5">TRUNC(+D136*3.3058,-1)</f>
        <v>137020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TRUNC(14064,-1)</f>
        <v>14060</v>
      </c>
      <c r="E137" s="63">
        <f t="shared" si="5"/>
        <v>46470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55510</v>
      </c>
      <c r="E146" s="39">
        <f>SUM(E136:E145)</f>
        <v>183490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TRUNC(111226,-1)</f>
        <v>111220</v>
      </c>
      <c r="E152" s="63">
        <f>TRUNC(+D152*3.3058,-1)</f>
        <v>367670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111220</v>
      </c>
      <c r="E154" s="39">
        <f>SUM(E149:E153)</f>
        <v>367670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TRUNC(75285,-1)</f>
        <v>75280</v>
      </c>
      <c r="E159" s="63">
        <f>TRUNC(+D159*3.3058,-1)</f>
        <v>248860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75280</v>
      </c>
      <c r="E161" s="39">
        <f>SUM(E157:E160)</f>
        <v>248860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2020-12-07T09:48:09Z</dcterms:modified>
</cp:coreProperties>
</file>