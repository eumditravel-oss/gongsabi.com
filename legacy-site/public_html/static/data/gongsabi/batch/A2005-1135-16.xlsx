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9" i="4"/>
  <c r="E145" i="4"/>
  <c r="E144" i="4"/>
  <c r="E143" i="4"/>
  <c r="E142" i="4"/>
  <c r="E141" i="4"/>
  <c r="E140" i="4"/>
  <c r="E139" i="4"/>
  <c r="E138" i="4"/>
  <c r="E136" i="4"/>
  <c r="E132" i="4"/>
  <c r="E131" i="4"/>
  <c r="E130" i="4"/>
  <c r="E129" i="4"/>
  <c r="E128" i="4"/>
  <c r="E127" i="4"/>
  <c r="E126" i="4"/>
  <c r="E125" i="4"/>
  <c r="E124" i="4"/>
  <c r="E133" i="4" s="1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4" i="4"/>
  <c r="E73" i="4"/>
  <c r="E72" i="4"/>
  <c r="E65" i="4"/>
  <c r="E64" i="4"/>
  <c r="E57" i="4"/>
  <c r="E56" i="4"/>
  <c r="E54" i="4"/>
  <c r="E119" i="4" l="1"/>
  <c r="D59" i="4"/>
  <c r="E59" i="4" s="1"/>
  <c r="D159" i="4" l="1"/>
  <c r="E159" i="4" s="1"/>
  <c r="D158" i="4"/>
  <c r="E158" i="4" s="1"/>
  <c r="D157" i="4"/>
  <c r="D152" i="4"/>
  <c r="E152" i="4" s="1"/>
  <c r="D150" i="4"/>
  <c r="D137" i="4"/>
  <c r="D133" i="4"/>
  <c r="D29" i="4" s="1"/>
  <c r="E29" i="4" s="1"/>
  <c r="D119" i="4"/>
  <c r="D28" i="4" s="1"/>
  <c r="E28" i="4" s="1"/>
  <c r="D94" i="4"/>
  <c r="E94" i="4" s="1"/>
  <c r="D90" i="4"/>
  <c r="E90" i="4" s="1"/>
  <c r="D78" i="4"/>
  <c r="E78" i="4" s="1"/>
  <c r="D75" i="4"/>
  <c r="E75" i="4" s="1"/>
  <c r="D71" i="4"/>
  <c r="E71" i="4" s="1"/>
  <c r="D70" i="4"/>
  <c r="E70" i="4" s="1"/>
  <c r="D69" i="4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7" i="4"/>
  <c r="D7" i="4"/>
  <c r="D24" i="4" l="1"/>
  <c r="E24" i="4" s="1"/>
  <c r="E37" i="4"/>
  <c r="D154" i="4"/>
  <c r="D31" i="4" s="1"/>
  <c r="E31" i="4" s="1"/>
  <c r="E150" i="4"/>
  <c r="E154" i="4" s="1"/>
  <c r="D60" i="4"/>
  <c r="D25" i="4" s="1"/>
  <c r="E25" i="4" s="1"/>
  <c r="E40" i="4"/>
  <c r="E60" i="4" s="1"/>
  <c r="D66" i="4"/>
  <c r="D26" i="4" s="1"/>
  <c r="E26" i="4" s="1"/>
  <c r="E63" i="4"/>
  <c r="E66" i="4" s="1"/>
  <c r="D95" i="4"/>
  <c r="D27" i="4" s="1"/>
  <c r="E27" i="4" s="1"/>
  <c r="E69" i="4"/>
  <c r="E95" i="4" s="1"/>
  <c r="D161" i="4"/>
  <c r="D32" i="4" s="1"/>
  <c r="E32" i="4" s="1"/>
  <c r="E157" i="4"/>
  <c r="E161" i="4" s="1"/>
  <c r="D146" i="4"/>
  <c r="D30" i="4" s="1"/>
  <c r="E30" i="4" s="1"/>
  <c r="E137" i="4"/>
  <c r="E146" i="4" s="1"/>
  <c r="D33" i="4"/>
  <c r="E33" i="4" s="1"/>
  <c r="E34" i="4" l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<sst xmlns="http://schemas.openxmlformats.org/spreadsheetml/2006/main" count="387" uniqueCount="263">
  <si>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</si>
  <si>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</si>
  <si>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</si>
  <si>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</si>
  <si>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</si>
  <si>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</si>
  <si>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</si>
  <si>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</si>
  <si>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</si>
  <si>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</si>
  <si>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</si>
  <si>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</si>
  <si>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</si>
  <si>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</si>
  <si>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</si>
  <si>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</si>
  <si>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</si>
  <si>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</si>
  <si>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</si>
  <si>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</si>
  <si>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</si>
  <si>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</si>
  <si>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</si>
  <si>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</si>
  <si>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</si>
  <si>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</si>
  <si>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</si>
  <si>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</si>
  <si>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</si>
  <si>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</si>
  <si>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</si>
  <si>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</si>
  <si>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</si>
  <si>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</si>
  <si>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</si>
  <si>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</si>
  <si>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</si>
  <si>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</si>
  <si>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</si>
  <si>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</si>
  <si>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</si>
  <si>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</si>
  <si>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</si>
  <si>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</si>
  <si>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</si>
  <si>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</si>
  <si>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</si>
  <si>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</si>
  <si>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</si>
  <si>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</si>
  <si>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</si>
  <si>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</si>
  <si>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</si>
  <si>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</si>
  <si>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</si>
  <si>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</si>
  <si>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</si>
  <si>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</si>
  <si>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</si>
  <si>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</si>
  <si>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</si>
  <si>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</si>
  <si>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</si>
  <si>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</si>
  <si>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</si>
  <si>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</si>
  <si>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</si>
  <si>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</si>
  <si>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</si>
  <si>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</si>
  <si>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</si>
  <si>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</si>
  <si>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</si>
  <si>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</si>
  <si>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</si>
  <si>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</si>
  <si>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</si>
  <si>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</si>
  <si>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</si>
  <si>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</si>
  <si>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</si>
  <si>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</si>
  <si>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</si>
  <si>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</si>
  <si>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</si>
  <si>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</si>
  <si>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</si>
  <si>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</si>
  <si>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</si>
  <si>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</si>
  <si>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</si>
  <si>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</si>
  <si>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</si>
  <si>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</si>
  <si>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</si>
  <si>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</si>
  <si>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</si>
  <si>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</si>
  <si>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</si>
  <si>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</si>
  <si>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</si>
  <si>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</si>
  <si>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</si>
  <si>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</si>
  <si>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</si>
  <si>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</si>
  <si>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</si>
  <si>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</si>
  <si>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</si>
  <si>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</si>
  <si>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</si>
  <si>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</si>
  <si>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</si>
  <si>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</si>
  <si>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</si>
  <si>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</si>
  <si>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</si>
  <si>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</si>
  <si>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</si>
  <si>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</si>
  <si>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</si>
  <si>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</si>
  <si>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</si>
  <si>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</si>
  <si>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</si>
  <si>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</si>
  <si>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</si>
  <si>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</si>
  <si>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</si>
  <si>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</si>
  <si>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</si>
  <si>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</si>
  <si>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</si>
  <si>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</si>
  <si>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</si>
  <si>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</si>
  <si>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</si>
  <si>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</si>
  <si>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</si>
  <si>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</si>
  <si>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</si>
  <si>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</si>
  <si>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</si>
  <si>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</si>
  <si>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</si>
  <si>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</si>
  <si>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</si>
  <si>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</si>
  <si>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</si>
  <si>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</si>
  <si>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</si>
  <si>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</si>
  <si>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</si>
  <si>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</si>
  <si>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</si>
  <si>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</si>
  <si>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</si>
  <si>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</si>
  <si>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</si>
  <si>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</si>
  <si>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</si>
  <si>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</si>
  <si>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</si>
  <si>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</si>
  <si>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</si>
  <si>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</si>
  <si>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</si>
  <si>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</si>
  <si>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</si>
  <si>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</si>
  <si>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</si>
  <si>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</si>
  <si>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</si>
  <si>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</si>
  <si>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</si>
  <si>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</si>
  <si>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</si>
  <si>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</si>
  <si>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</si>
  <si>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</si>
  <si>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</si>
  <si>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</si>
  <si>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</si>
  <si>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</si>
  <si>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</si>
  <si>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</si>
  <si>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</si>
  <si>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</si>
  <si>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</si>
  <si>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</si>
  <si>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</si>
  <si>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</si>
  <si>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</si>
  <si>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</si>
  <si>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</si>
  <si>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</si>
  <si>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</si>
  <si>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</si>
  <si>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</si>
  <si>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</si>
  <si>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</si>
  <si>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</si>
  <si>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</si>
  <si>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</si>
  <si>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</si>
  <si>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</si>
  <si>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</si>
  <si>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</si>
  <si>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</si>
  <si>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</si>
  <si>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</si>
  <si>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</si>
  <si>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</si>
  <si>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</si>
  <si>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</si>
  <si>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</si>
  <si>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</si>
  <si>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</si>
  <si>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</si>
  <si>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</si>
  <si>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</si>
  <si>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</si>
  <si>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</si>
  <si>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</si>
  <si>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</si>
  <si>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</si>
  <si>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</si>
  <si>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</si>
  <si>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</si>
  <si>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</si>
  <si>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</si>
  <si>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</si>
  <si>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</si>
  <si>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</si>
  <si>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</si>
  <si>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</si>
  <si>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</si>
  <si>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</si>
  <si>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</si>
  <si>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</si>
  <si>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</si>
  <si>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</si>
  <si>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</si>
  <si>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</si>
  <si>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</si>
  <si>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</si>
  <si>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</si>
  <si>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00시립도서관 신축공사</t>
    <phoneticPr fontId="2" type="noConversion"/>
  </si>
  <si>
    <t>대전시</t>
  </si>
  <si>
    <t>원/ m2</t>
    <phoneticPr fontId="2" type="noConversion"/>
  </si>
  <si>
    <t>토공사, 잡공사,부대공사, 공재비, 작업부산물, 운반비</t>
    <phoneticPr fontId="2" type="noConversion"/>
  </si>
  <si>
    <t>옥외급수배관공사</t>
  </si>
  <si>
    <t>공조배관공사, 위생배관공사, 지열냉난방시스템공사급수급탕배관</t>
    <phoneticPr fontId="2" type="noConversion"/>
  </si>
  <si>
    <t>기계 소화배관</t>
    <phoneticPr fontId="2" type="noConversion"/>
  </si>
  <si>
    <t>토목 배수공, 상수공, 옹벽공, 가시설공, 계측공, 운반공</t>
    <phoneticPr fontId="2" type="noConversion"/>
  </si>
  <si>
    <t>자재비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</si>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</sst>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7064</v>
      </c>
      <c r="D7" s="36">
        <f>+C7/3.3058</f>
        <v>2136.8503841732713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D37</f>
        <v>1370</v>
      </c>
      <c r="E24" s="59">
        <f t="shared" ref="E24:E33" si="0">TRUNC(+D24*3.3058,-1)</f>
        <v>4520</v>
      </c>
    </row>
    <row r="25" spans="1:5" x14ac:dyDescent="0.3">
      <c r="B25" s="2">
        <v>2</v>
      </c>
      <c r="C25" s="35" t="s">
        <v>111</v>
      </c>
      <c r="D25" s="45">
        <f>+D60</f>
        <v>715010</v>
      </c>
      <c r="E25" s="60">
        <f t="shared" si="0"/>
        <v>2363680</v>
      </c>
    </row>
    <row r="26" spans="1:5" x14ac:dyDescent="0.3">
      <c r="B26" s="2">
        <v>3</v>
      </c>
      <c r="C26" s="35" t="s">
        <v>95</v>
      </c>
      <c r="D26" s="45">
        <f>+D66</f>
        <v>7230</v>
      </c>
      <c r="E26" s="60">
        <f t="shared" si="0"/>
        <v>23900</v>
      </c>
    </row>
    <row r="27" spans="1:5" x14ac:dyDescent="0.3">
      <c r="B27" s="2">
        <v>4</v>
      </c>
      <c r="C27" s="35" t="s">
        <v>96</v>
      </c>
      <c r="D27" s="45">
        <f>+D95</f>
        <v>116890</v>
      </c>
      <c r="E27" s="60">
        <f t="shared" si="0"/>
        <v>386410</v>
      </c>
    </row>
    <row r="28" spans="1:5" x14ac:dyDescent="0.3">
      <c r="B28" s="2">
        <v>5</v>
      </c>
      <c r="C28" s="35" t="s">
        <v>97</v>
      </c>
      <c r="D28" s="45">
        <f>+D119</f>
        <v>0</v>
      </c>
      <c r="E28" s="60">
        <f t="shared" si="0"/>
        <v>0</v>
      </c>
    </row>
    <row r="29" spans="1:5" x14ac:dyDescent="0.3">
      <c r="B29" s="2">
        <v>6</v>
      </c>
      <c r="C29" s="35" t="s">
        <v>98</v>
      </c>
      <c r="D29" s="45">
        <f>+D133</f>
        <v>0</v>
      </c>
      <c r="E29" s="60">
        <f t="shared" si="0"/>
        <v>0</v>
      </c>
    </row>
    <row r="30" spans="1:5" x14ac:dyDescent="0.3">
      <c r="B30" s="2">
        <v>7</v>
      </c>
      <c r="C30" s="35" t="s">
        <v>99</v>
      </c>
      <c r="D30" s="45">
        <f>+D146</f>
        <v>14070</v>
      </c>
      <c r="E30" s="60">
        <f t="shared" si="0"/>
        <v>46510</v>
      </c>
    </row>
    <row r="31" spans="1:5" x14ac:dyDescent="0.3">
      <c r="B31" s="2">
        <v>8</v>
      </c>
      <c r="C31" s="35" t="s">
        <v>100</v>
      </c>
      <c r="D31" s="45">
        <f>+D154</f>
        <v>46330</v>
      </c>
      <c r="E31" s="60">
        <f t="shared" si="0"/>
        <v>153150</v>
      </c>
    </row>
    <row r="32" spans="1:5" x14ac:dyDescent="0.3">
      <c r="B32" s="2">
        <v>9</v>
      </c>
      <c r="C32" s="35" t="s">
        <v>101</v>
      </c>
      <c r="D32" s="45">
        <f>+D161</f>
        <v>7710</v>
      </c>
      <c r="E32" s="60">
        <f t="shared" si="0"/>
        <v>25480</v>
      </c>
    </row>
    <row r="33" spans="1:7" x14ac:dyDescent="0.3">
      <c r="B33" s="2">
        <v>10</v>
      </c>
      <c r="C33" s="35" t="s">
        <v>153</v>
      </c>
      <c r="D33" s="53">
        <f>TRUNC(SUM(D24:D32)*0.275,-1)</f>
        <v>249860</v>
      </c>
      <c r="E33" s="61">
        <f t="shared" si="0"/>
        <v>825980</v>
      </c>
    </row>
    <row r="34" spans="1:7" x14ac:dyDescent="0.3">
      <c r="C34" s="35" t="s">
        <v>112</v>
      </c>
      <c r="D34" s="44">
        <f>SUM(D24:D33)</f>
        <v>1158470</v>
      </c>
      <c r="E34" s="44">
        <f>SUM(E24:E33)</f>
        <v>3829630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249</v>
      </c>
      <c r="E36" s="56" t="s">
        <v>256</v>
      </c>
      <c r="F36" s="54"/>
      <c r="G36" s="54"/>
    </row>
    <row r="37" spans="1:7" ht="17.25" thickBot="1" x14ac:dyDescent="0.35">
      <c r="C37" s="38" t="s">
        <v>143</v>
      </c>
      <c r="D37" s="52">
        <f>TRUNC(1374.83522083805,-1)</f>
        <v>1370</v>
      </c>
      <c r="E37" s="62">
        <f>TRUNC(+D37*3.3058,-1)</f>
        <v>4520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TRUNC(31819.333380521,-1)</f>
        <v>31810</v>
      </c>
      <c r="E40" s="63">
        <f t="shared" ref="E40:E59" si="1">TRUNC(+D40*3.3058,-1)</f>
        <v>105150</v>
      </c>
    </row>
    <row r="41" spans="1:7" x14ac:dyDescent="0.3">
      <c r="A41" s="2">
        <v>2</v>
      </c>
      <c r="C41" s="38" t="s">
        <v>13</v>
      </c>
      <c r="D41" s="42">
        <f>TRUNC(120498.007785957,-1)</f>
        <v>120490</v>
      </c>
      <c r="E41" s="64">
        <f t="shared" si="1"/>
        <v>398310</v>
      </c>
    </row>
    <row r="42" spans="1:7" x14ac:dyDescent="0.3">
      <c r="A42" s="2">
        <v>3</v>
      </c>
      <c r="C42" s="38" t="s">
        <v>14</v>
      </c>
      <c r="D42" s="42">
        <f>TRUNC(11742.808182333,-1)</f>
        <v>11740</v>
      </c>
      <c r="E42" s="64">
        <f t="shared" si="1"/>
        <v>38810</v>
      </c>
    </row>
    <row r="43" spans="1:7" x14ac:dyDescent="0.3">
      <c r="A43" s="2">
        <v>4</v>
      </c>
      <c r="C43" s="38" t="s">
        <v>16</v>
      </c>
      <c r="D43" s="42">
        <f>TRUNC(17154.0901755379,-1)</f>
        <v>17150</v>
      </c>
      <c r="E43" s="64">
        <f t="shared" si="1"/>
        <v>56690</v>
      </c>
    </row>
    <row r="44" spans="1:7" x14ac:dyDescent="0.3">
      <c r="A44" s="2">
        <v>5</v>
      </c>
      <c r="C44" s="38" t="s">
        <v>17</v>
      </c>
      <c r="D44" s="42">
        <f>TRUNC(21653.6741223103,-1)</f>
        <v>21650</v>
      </c>
      <c r="E44" s="64">
        <f t="shared" si="1"/>
        <v>71570</v>
      </c>
    </row>
    <row r="45" spans="1:7" x14ac:dyDescent="0.3">
      <c r="A45" s="2">
        <v>6</v>
      </c>
      <c r="C45" s="38" t="s">
        <v>18</v>
      </c>
      <c r="D45" s="42">
        <f>TRUNC(5718.47989807475,-1)</f>
        <v>5710</v>
      </c>
      <c r="E45" s="64">
        <f t="shared" si="1"/>
        <v>18870</v>
      </c>
    </row>
    <row r="46" spans="1:7" x14ac:dyDescent="0.3">
      <c r="A46" s="2">
        <v>7</v>
      </c>
      <c r="C46" s="38" t="s">
        <v>19</v>
      </c>
      <c r="D46" s="42">
        <f>TRUNC(23906.6364665912,-1)</f>
        <v>23900</v>
      </c>
      <c r="E46" s="64">
        <f t="shared" si="1"/>
        <v>79000</v>
      </c>
    </row>
    <row r="47" spans="1:7" x14ac:dyDescent="0.3">
      <c r="A47" s="2">
        <v>8</v>
      </c>
      <c r="C47" s="38" t="s">
        <v>20</v>
      </c>
      <c r="D47" s="42">
        <f>TRUNC(23860.0012740657,-1)</f>
        <v>23860</v>
      </c>
      <c r="E47" s="64">
        <f t="shared" si="1"/>
        <v>78870</v>
      </c>
    </row>
    <row r="48" spans="1:7" x14ac:dyDescent="0.3">
      <c r="A48" s="2">
        <v>9</v>
      </c>
      <c r="C48" s="38" t="s">
        <v>21</v>
      </c>
      <c r="D48" s="42">
        <f>TRUNC(70928.8271517554,-1)</f>
        <v>70920</v>
      </c>
      <c r="E48" s="64">
        <f t="shared" si="1"/>
        <v>234440</v>
      </c>
    </row>
    <row r="49" spans="1:7" x14ac:dyDescent="0.3">
      <c r="A49" s="2">
        <v>10</v>
      </c>
      <c r="C49" s="38" t="s">
        <v>22</v>
      </c>
      <c r="D49" s="42">
        <f>TRUNC(14714.2226783692,-1)</f>
        <v>14710</v>
      </c>
      <c r="E49" s="64">
        <f t="shared" si="1"/>
        <v>48620</v>
      </c>
    </row>
    <row r="50" spans="1:7" x14ac:dyDescent="0.3">
      <c r="A50" s="2">
        <v>11</v>
      </c>
      <c r="C50" s="38" t="s">
        <v>154</v>
      </c>
      <c r="D50" s="42">
        <f>TRUNC(54332.0637032843,-1)</f>
        <v>54330</v>
      </c>
      <c r="E50" s="64">
        <f t="shared" si="1"/>
        <v>179600</v>
      </c>
    </row>
    <row r="51" spans="1:7" x14ac:dyDescent="0.3">
      <c r="A51" s="2">
        <v>12</v>
      </c>
      <c r="C51" s="38" t="s">
        <v>23</v>
      </c>
      <c r="D51" s="42">
        <f>TRUNC(17423.760617214,-1)</f>
        <v>17420</v>
      </c>
      <c r="E51" s="64">
        <f t="shared" si="1"/>
        <v>57580</v>
      </c>
    </row>
    <row r="52" spans="1:7" x14ac:dyDescent="0.3">
      <c r="A52" s="2">
        <v>13</v>
      </c>
      <c r="C52" s="38" t="s">
        <v>24</v>
      </c>
      <c r="D52" s="42">
        <f>TRUNC(4565.12301812005,-1)</f>
        <v>4560</v>
      </c>
      <c r="E52" s="64">
        <f t="shared" si="1"/>
        <v>15070</v>
      </c>
    </row>
    <row r="53" spans="1:7" x14ac:dyDescent="0.3">
      <c r="A53" s="2">
        <v>14</v>
      </c>
      <c r="C53" s="38" t="s">
        <v>25</v>
      </c>
      <c r="D53" s="42">
        <f>TRUNC(27731.4582389581,-1)</f>
        <v>27730</v>
      </c>
      <c r="E53" s="64">
        <f t="shared" si="1"/>
        <v>91660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TRUNC(472.455832389581,-1)</f>
        <v>470</v>
      </c>
      <c r="E55" s="64">
        <f t="shared" si="1"/>
        <v>1550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TRUNC(654.329558323896+39779.9194507361+168.525622876557+3364.80747451869-696.276896942242+1767.88377689694,-1)</f>
        <v>45030</v>
      </c>
      <c r="E58" s="64">
        <f t="shared" si="1"/>
        <v>148860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TRUNC(223538.080407701,-1)</f>
        <v>223530</v>
      </c>
      <c r="E59" s="65">
        <f t="shared" si="1"/>
        <v>738940</v>
      </c>
    </row>
    <row r="60" spans="1:7" x14ac:dyDescent="0.3">
      <c r="A60" s="2">
        <v>21</v>
      </c>
      <c r="C60" s="27" t="s">
        <v>112</v>
      </c>
      <c r="D60" s="39">
        <f>SUM(D40:D59)</f>
        <v>715010</v>
      </c>
      <c r="E60" s="39">
        <f>SUM(E40:E59)</f>
        <v>2363590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234</v>
      </c>
      <c r="E62" s="56" t="s">
        <v>257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TRUNC(7230.96460928652,-1)</f>
        <v>7230</v>
      </c>
      <c r="E63" s="63">
        <f>TRUNC(+D63*3.3058,-1)</f>
        <v>23900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7230</v>
      </c>
      <c r="E66" s="57">
        <f>SUM(E63:E65)</f>
        <v>23900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234</v>
      </c>
      <c r="E68" s="56" t="s">
        <v>257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TRUNC(12518.3386183465,-1)</f>
        <v>12510</v>
      </c>
      <c r="E69" s="63">
        <f>TRUNC(+D69*3.3058,-1)</f>
        <v>41350</v>
      </c>
    </row>
    <row r="70" spans="1:7" ht="16.5" customHeight="1" x14ac:dyDescent="0.3">
      <c r="A70" s="2">
        <v>2</v>
      </c>
      <c r="C70" s="38" t="s">
        <v>31</v>
      </c>
      <c r="D70" s="42">
        <f>TRUNC(1752.79020385051,-1)</f>
        <v>1750</v>
      </c>
      <c r="E70" s="64">
        <f>TRUNC(+D70*3.3058,-1)</f>
        <v>5780</v>
      </c>
      <c r="F70" s="2" t="s">
        <v>251</v>
      </c>
    </row>
    <row r="71" spans="1:7" x14ac:dyDescent="0.3">
      <c r="A71" s="2">
        <v>3</v>
      </c>
      <c r="C71" s="38" t="s">
        <v>32</v>
      </c>
      <c r="D71" s="42">
        <f>TRUNC(5740.28567383918,-1)</f>
        <v>5740</v>
      </c>
      <c r="E71" s="64">
        <f t="shared" ref="E71:E73" si="2">TRUNC(+D71*3.3058,-1)</f>
        <v>18970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TRUNC(3646.72593431484,-1)</f>
        <v>3640</v>
      </c>
      <c r="E75" s="64">
        <f>TRUNC(+D75*3.3058,-1)</f>
        <v>12030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TRUNC(26279.6329275198,-1)</f>
        <v>26270</v>
      </c>
      <c r="E78" s="64">
        <f t="shared" si="3"/>
        <v>86840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TRUNC(913.134201585504,-1)</f>
        <v>910</v>
      </c>
      <c r="E90" s="64">
        <f>TRUNC(+D90*3.3058,-1)</f>
        <v>3000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TRUNC(8161.23598527746+17304.076443941+40613.356596829,-1)</f>
        <v>66070</v>
      </c>
      <c r="E94" s="65">
        <f>TRUNC(+D94*3.3058,-1)</f>
        <v>218410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116890</v>
      </c>
      <c r="E95" s="39">
        <f>SUM(E69:E94)</f>
        <v>386380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234</v>
      </c>
      <c r="E97" s="56" t="s">
        <v>257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4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4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4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0</v>
      </c>
      <c r="E119" s="39">
        <f>SUM(E98:E118)</f>
        <v>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234</v>
      </c>
      <c r="E121" s="56" t="s">
        <v>257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5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5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0</v>
      </c>
      <c r="E133" s="39">
        <f>SUM(E122:E132)</f>
        <v>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234</v>
      </c>
      <c r="E135" s="56" t="s">
        <v>257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TRUNC(14077.3316817667,-1)</f>
        <v>14070</v>
      </c>
      <c r="E137" s="64">
        <f t="shared" si="6"/>
        <v>46510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14070</v>
      </c>
      <c r="E146" s="39">
        <f>SUM(E136:E145)</f>
        <v>46510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234</v>
      </c>
      <c r="E148" s="56" t="s">
        <v>257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TRUNC(4798.08224801812,-1)</f>
        <v>4790</v>
      </c>
      <c r="E150" s="64">
        <f>TRUNC(+D150*3.3058,-1)</f>
        <v>15830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TRUNC(5156.08253114383+207.551387315968+4608.26090033975+28059.823612684+3006.70399207248+502.627972819932,-1)</f>
        <v>41540</v>
      </c>
      <c r="E152" s="64">
        <f>TRUNC(+D152*3.3058,-1)</f>
        <v>137320</v>
      </c>
      <c r="F152" s="58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46330</v>
      </c>
      <c r="E154" s="39">
        <f>SUM(E149:E153)</f>
        <v>153150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234</v>
      </c>
      <c r="E156" s="56" t="s">
        <v>257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TRUNC(2404.66619479049,-1)</f>
        <v>2400</v>
      </c>
      <c r="E157" s="63">
        <f>TRUNC(+D157*3.3058,-1)</f>
        <v>7930</v>
      </c>
    </row>
    <row r="158" spans="1:7" x14ac:dyDescent="0.3">
      <c r="A158" s="2">
        <v>2</v>
      </c>
      <c r="C158" s="38" t="s">
        <v>52</v>
      </c>
      <c r="D158" s="42">
        <f>TRUNC(5195.91421291053,-1)</f>
        <v>5190</v>
      </c>
      <c r="E158" s="64">
        <f>TRUNC(+D158*3.3058,-1)</f>
        <v>17150</v>
      </c>
    </row>
    <row r="159" spans="1:7" x14ac:dyDescent="0.3">
      <c r="A159" s="2">
        <v>3</v>
      </c>
      <c r="C159" s="38" t="s">
        <v>47</v>
      </c>
      <c r="D159" s="42">
        <f>TRUNC(127.338618346546,-1)</f>
        <v>120</v>
      </c>
      <c r="E159" s="64">
        <f>TRUNC(+D159*3.3058,-1)</f>
        <v>390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7710</v>
      </c>
      <c r="E161" s="39">
        <f>SUM(E157:E160)</f>
        <v>25470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2020-12-07T09:01:02Z</dcterms:modified>
</cp:coreProperties>
</file>