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3" i="4" l="1"/>
  <c r="D131" i="4"/>
  <c r="D132" i="4"/>
  <c r="D129" i="4"/>
  <c r="D124" i="4"/>
  <c r="D125" i="4"/>
  <c r="D122" i="4"/>
  <c r="D123" i="4"/>
  <c r="D117" i="4"/>
  <c r="D118" i="4"/>
  <c r="D137" i="4"/>
  <c r="D143" i="4"/>
  <c r="D144" i="4"/>
  <c r="D105" i="4"/>
  <c r="D104" i="4"/>
  <c r="D101" i="4"/>
  <c r="D102" i="4"/>
  <c r="D100" i="4"/>
  <c r="D99" i="4"/>
  <c r="D98" i="4"/>
  <c r="D115" i="4"/>
  <c r="D94" i="4"/>
  <c r="D81" i="4"/>
  <c r="D90" i="4"/>
  <c r="D74" i="4"/>
  <c r="D75" i="4"/>
  <c r="D85" i="4"/>
  <c r="D72" i="4"/>
  <c r="D136" i="4"/>
  <c r="D78" i="4"/>
  <c r="D71" i="4"/>
  <c r="D70" i="4"/>
  <c r="D69" i="4"/>
  <c r="D93" i="4"/>
  <c r="D52" i="4"/>
  <c r="D51" i="4"/>
  <c r="D50" i="4"/>
  <c r="D49" i="4"/>
  <c r="D48" i="4"/>
  <c r="D47" i="4"/>
  <c r="D46" i="4"/>
  <c r="D45" i="4"/>
  <c r="D44" i="4"/>
  <c r="D43" i="4"/>
  <c r="D42" i="4"/>
  <c r="D41" i="4"/>
  <c r="D58" i="4"/>
  <c r="D40" i="4"/>
  <c r="D37" i="4"/>
  <c r="D59" i="4"/>
  <c r="D152" i="4"/>
  <c r="D151" i="4"/>
  <c r="D149" i="4"/>
  <c r="D150" i="4"/>
  <c r="D63" i="4"/>
  <c r="D65" i="4"/>
  <c r="D1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33" i="4"/>
  <c r="E146" i="4"/>
  <c r="E119" i="4"/>
  <c r="E95" i="4"/>
  <c r="E60" i="4"/>
  <c r="E154" i="4"/>
  <c r="E66" i="4"/>
  <c r="D161" i="4"/>
  <c r="D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2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<sst xmlns="http://schemas.openxmlformats.org/spreadsheetml/2006/main" count="398" uniqueCount="272">
  <si>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</si>
  <si>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</si>
  <si>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</si>
  <si>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</si>
  <si>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</si>
  <si>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</si>
  <si>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</si>
  <si>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</si>
  <si>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</si>
  <si>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</si>
  <si>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</si>
  <si>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</si>
  <si>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</si>
  <si>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</si>
  <si>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</si>
  <si>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</si>
  <si>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</si>
  <si>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</si>
  <si>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</si>
  <si>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</si>
  <si>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</si>
  <si>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</si>
  <si>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</si>
  <si>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</si>
  <si>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</si>
  <si>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</si>
  <si>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</si>
  <si>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</si>
  <si>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</si>
  <si>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</si>
  <si>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</si>
  <si>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</si>
  <si>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</si>
  <si>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</si>
  <si>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</si>
  <si>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</si>
  <si>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</si>
  <si>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</si>
  <si>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</si>
  <si>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</si>
  <si>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</si>
  <si>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</si>
  <si>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</si>
  <si>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</si>
  <si>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</si>
  <si>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</si>
  <si>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</si>
  <si>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</si>
  <si>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</si>
  <si>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</si>
  <si>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</si>
  <si>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</si>
  <si>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</si>
  <si>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</si>
  <si>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</si>
  <si>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</si>
  <si>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</si>
  <si>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</si>
  <si>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</si>
  <si>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</si>
  <si>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</si>
  <si>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</si>
  <si>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</si>
  <si>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</si>
  <si>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</si>
  <si>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</si>
  <si>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</si>
  <si>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</si>
  <si>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</si>
  <si>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</si>
  <si>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</si>
  <si>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</si>
  <si>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</si>
  <si>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</si>
  <si>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</si>
  <si>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</si>
  <si>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</si>
  <si>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</si>
  <si>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</si>
  <si>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</si>
  <si>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</si>
  <si>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</si>
  <si>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</si>
  <si>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</si>
  <si>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</si>
  <si>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</si>
  <si>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</si>
  <si>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</si>
  <si>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</si>
  <si>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</si>
  <si>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</si>
  <si>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</si>
  <si>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</si>
  <si>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</si>
  <si>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</si>
  <si>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</si>
  <si>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</si>
  <si>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</si>
  <si>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</si>
  <si>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</si>
  <si>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</si>
  <si>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</si>
  <si>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</si>
  <si>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</si>
  <si>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</si>
  <si>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</si>
  <si>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</si>
  <si>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</si>
  <si>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</si>
  <si>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</si>
  <si>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</si>
  <si>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</si>
  <si>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</si>
  <si>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</si>
  <si>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</si>
  <si>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</si>
  <si>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</si>
  <si>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</si>
  <si>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</si>
  <si>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</si>
  <si>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</si>
  <si>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</si>
  <si>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</si>
  <si>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</si>
  <si>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</si>
  <si>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</si>
  <si>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</si>
  <si>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</si>
  <si>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</si>
  <si>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</si>
  <si>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</si>
  <si>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</si>
  <si>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</si>
  <si>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</si>
  <si>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</si>
  <si>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</si>
  <si>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</si>
  <si>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</si>
  <si>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</si>
  <si>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</si>
  <si>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</si>
  <si>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</si>
  <si>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</si>
  <si>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</si>
  <si>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</si>
  <si>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</si>
  <si>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</si>
  <si>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</si>
  <si>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</si>
  <si>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</si>
  <si>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</si>
  <si>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</si>
  <si>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</si>
  <si>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</si>
  <si>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</si>
  <si>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</si>
  <si>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</si>
  <si>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</si>
  <si>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</si>
  <si>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</si>
  <si>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</si>
  <si>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</si>
  <si>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</si>
  <si>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</si>
  <si>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</si>
  <si>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</si>
  <si>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</si>
  <si>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</si>
  <si>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</si>
  <si>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</si>
  <si>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</si>
  <si>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</si>
  <si>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</si>
  <si>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</si>
  <si>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</si>
  <si>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</si>
  <si>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</si>
  <si>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</si>
  <si>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</si>
  <si>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</si>
  <si>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</si>
  <si>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</si>
  <si>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</si>
  <si>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</si>
  <si>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</si>
  <si>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</si>
  <si>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</si>
  <si>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</si>
  <si>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</si>
  <si>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</si>
  <si>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</si>
  <si>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</si>
  <si>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</si>
  <si>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</si>
  <si>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</si>
  <si>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</si>
  <si>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</si>
  <si>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</si>
  <si>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</si>
  <si>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</si>
  <si>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</si>
  <si>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</si>
  <si>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</si>
  <si>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</si>
  <si>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</si>
  <si>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</si>
  <si>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</si>
  <si>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</si>
  <si>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</si>
  <si>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</si>
  <si>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</si>
  <si>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</si>
  <si>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</si>
  <si>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</si>
  <si>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</si>
  <si>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</si>
  <si>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</si>
  <si>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</si>
  <si>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</si>
  <si>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</si>
  <si>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</si>
  <si>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</si>
  <si>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</si>
  <si>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</si>
  <si>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</si>
  <si>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</si>
  <si>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</si>
  <si>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</si>
  <si>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</si>
  <si>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</si>
  <si>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</si>
  <si>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</si>
  <si>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</si>
  <si>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</si>
  <si>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</si>
  <si>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</si>
  <si>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</si>
  <si>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</si>
  <si>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</si>
  <si>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</si>
  <si>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</si>
  <si>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</si>
  <si>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</si>
  <si>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</si>
  <si>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</si>
  <si>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</si>
  <si>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</si>
  <si>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</si>
  <si>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지상/썬큰,피로티-3층</t>
    <phoneticPr fontId="2" type="noConversion"/>
  </si>
  <si>
    <t>가시설흙막이공사</t>
  </si>
  <si>
    <t>우수공사,오수공사</t>
  </si>
  <si>
    <t>철거공사,주요자재비,운반공사</t>
    <phoneticPr fontId="2" type="noConversion"/>
  </si>
  <si>
    <t>기계 소화설비공사</t>
    <phoneticPr fontId="2" type="noConversion"/>
  </si>
  <si>
    <t>의료가스설비공사</t>
  </si>
  <si>
    <t>공조배관공사,위생배관공사,폐수처리공사,정화조처리공사,철거공사</t>
    <phoneticPr fontId="2" type="noConversion"/>
  </si>
  <si>
    <t>전력제어설비공사,조명제어설비공사</t>
    <phoneticPr fontId="2" type="noConversion"/>
  </si>
  <si>
    <t>TRAY설비공사</t>
  </si>
  <si>
    <t xml:space="preserve">전기 무,통 설비공사 </t>
    <phoneticPr fontId="2" type="noConversion"/>
  </si>
  <si>
    <t>전기 자탐 설비공사</t>
    <phoneticPr fontId="2" type="noConversion"/>
  </si>
  <si>
    <t xml:space="preserve">전기 유도등 설비공사 </t>
    <phoneticPr fontId="2" type="noConversion"/>
  </si>
  <si>
    <t>주차관제설비공사,ISOLATION POWER SYSTEM</t>
    <phoneticPr fontId="2" type="noConversion"/>
  </si>
  <si>
    <t>전화설비공사</t>
  </si>
  <si>
    <t>너스콜설비공사,전기시계및표시설비공사,CCTV설비공사,이동통신설비공사</t>
    <phoneticPr fontId="2" type="noConversion"/>
  </si>
  <si>
    <t>00적십자재활전문병원 건립공사</t>
  </si>
  <si>
    <t>의료</t>
  </si>
  <si>
    <t>인천시</t>
  </si>
  <si>
    <t>토공사(정화조),외장판넬공사,기타공사,기존병동철거및신설,장비공사,수술실공사,방사선차폐,골재비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</si>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</sst>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16608</v>
      </c>
      <c r="D7" s="36">
        <f>+C7/3.3058</f>
        <v>5023.8973924617339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18680</v>
      </c>
      <c r="E24" s="58">
        <f t="shared" ref="E24:E33" si="0">TRUNC(+D24*3.3058,-1)</f>
        <v>61750</v>
      </c>
    </row>
    <row r="25" spans="1:5" x14ac:dyDescent="0.3">
      <c r="B25" s="2">
        <v>2</v>
      </c>
      <c r="C25" s="35" t="s">
        <v>111</v>
      </c>
      <c r="D25" s="45">
        <f>+D60</f>
        <v>645250</v>
      </c>
      <c r="E25" s="59">
        <f t="shared" si="0"/>
        <v>2133060</v>
      </c>
    </row>
    <row r="26" spans="1:5" x14ac:dyDescent="0.3">
      <c r="B26" s="2">
        <v>3</v>
      </c>
      <c r="C26" s="35" t="s">
        <v>95</v>
      </c>
      <c r="D26" s="45">
        <f>+D66</f>
        <v>70030</v>
      </c>
      <c r="E26" s="59">
        <f t="shared" si="0"/>
        <v>231500</v>
      </c>
    </row>
    <row r="27" spans="1:5" x14ac:dyDescent="0.3">
      <c r="B27" s="2">
        <v>4</v>
      </c>
      <c r="C27" s="35" t="s">
        <v>96</v>
      </c>
      <c r="D27" s="45">
        <f>+D95</f>
        <v>273230</v>
      </c>
      <c r="E27" s="59">
        <f t="shared" si="0"/>
        <v>903240</v>
      </c>
    </row>
    <row r="28" spans="1:5" x14ac:dyDescent="0.3">
      <c r="B28" s="2">
        <v>5</v>
      </c>
      <c r="C28" s="35" t="s">
        <v>97</v>
      </c>
      <c r="D28" s="45">
        <f>+D119</f>
        <v>168120</v>
      </c>
      <c r="E28" s="59">
        <f t="shared" si="0"/>
        <v>555770</v>
      </c>
    </row>
    <row r="29" spans="1:5" x14ac:dyDescent="0.3">
      <c r="B29" s="2">
        <v>6</v>
      </c>
      <c r="C29" s="35" t="s">
        <v>98</v>
      </c>
      <c r="D29" s="45">
        <f>+D133</f>
        <v>63530</v>
      </c>
      <c r="E29" s="59">
        <f t="shared" si="0"/>
        <v>210010</v>
      </c>
    </row>
    <row r="30" spans="1:5" x14ac:dyDescent="0.3">
      <c r="B30" s="2">
        <v>7</v>
      </c>
      <c r="C30" s="35" t="s">
        <v>99</v>
      </c>
      <c r="D30" s="45">
        <f>+D146</f>
        <v>36370</v>
      </c>
      <c r="E30" s="59">
        <f t="shared" si="0"/>
        <v>120230</v>
      </c>
    </row>
    <row r="31" spans="1:5" x14ac:dyDescent="0.3">
      <c r="B31" s="2">
        <v>8</v>
      </c>
      <c r="C31" s="35" t="s">
        <v>100</v>
      </c>
      <c r="D31" s="45">
        <f>+D154</f>
        <v>26060</v>
      </c>
      <c r="E31" s="59">
        <f t="shared" si="0"/>
        <v>86140</v>
      </c>
    </row>
    <row r="32" spans="1:5" x14ac:dyDescent="0.3">
      <c r="B32" s="2">
        <v>9</v>
      </c>
      <c r="C32" s="35" t="s">
        <v>101</v>
      </c>
      <c r="D32" s="45">
        <f>+D161</f>
        <v>36610</v>
      </c>
      <c r="E32" s="59">
        <f t="shared" si="0"/>
        <v>121020</v>
      </c>
    </row>
    <row r="33" spans="1:7" x14ac:dyDescent="0.3">
      <c r="B33" s="2">
        <v>10</v>
      </c>
      <c r="C33" s="35" t="s">
        <v>154</v>
      </c>
      <c r="D33" s="53">
        <f>TRUNC(SUM(D24:D32)*0.275,-1)</f>
        <v>367910</v>
      </c>
      <c r="E33" s="60">
        <f t="shared" si="0"/>
        <v>1216230</v>
      </c>
    </row>
    <row r="34" spans="1:7" x14ac:dyDescent="0.3">
      <c r="C34" s="35" t="s">
        <v>112</v>
      </c>
      <c r="D34" s="44">
        <f>SUM(D24:D33)</f>
        <v>1705790</v>
      </c>
      <c r="E34" s="44">
        <f>SUM(E24:E33)</f>
        <v>5638950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TRUNC(18688.7204359345,-1)</f>
        <v>18680</v>
      </c>
      <c r="E37" s="61">
        <f>TRUNC(+D37*3.3058,-1)</f>
        <v>61750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f>TRUNC(35693.0520231213,-1)</f>
        <v>35690</v>
      </c>
      <c r="E40" s="62">
        <f t="shared" ref="E40:E59" si="1">TRUNC(+D40*3.3058,-1)</f>
        <v>117980</v>
      </c>
    </row>
    <row r="41" spans="1:7" x14ac:dyDescent="0.3">
      <c r="A41" s="2">
        <v>2</v>
      </c>
      <c r="C41" s="38" t="s">
        <v>13</v>
      </c>
      <c r="D41" s="42">
        <f>TRUNC(217150.846700385,-1)</f>
        <v>217150</v>
      </c>
      <c r="E41" s="63">
        <f t="shared" si="1"/>
        <v>717850</v>
      </c>
    </row>
    <row r="42" spans="1:7" x14ac:dyDescent="0.3">
      <c r="A42" s="2">
        <v>3</v>
      </c>
      <c r="C42" s="38" t="s">
        <v>14</v>
      </c>
      <c r="D42" s="42">
        <f>TRUNC(9270.90727360308,-1)</f>
        <v>9270</v>
      </c>
      <c r="E42" s="63">
        <f t="shared" si="1"/>
        <v>30640</v>
      </c>
    </row>
    <row r="43" spans="1:7" x14ac:dyDescent="0.3">
      <c r="A43" s="2">
        <v>4</v>
      </c>
      <c r="C43" s="38" t="s">
        <v>16</v>
      </c>
      <c r="D43" s="42">
        <f>TRUNC(10970.8097302505,-1)</f>
        <v>10970</v>
      </c>
      <c r="E43" s="63">
        <f t="shared" si="1"/>
        <v>36260</v>
      </c>
    </row>
    <row r="44" spans="1:7" x14ac:dyDescent="0.3">
      <c r="A44" s="2">
        <v>5</v>
      </c>
      <c r="C44" s="38" t="s">
        <v>17</v>
      </c>
      <c r="D44" s="42">
        <f>TRUNC(24410.4493015414,-1)</f>
        <v>24410</v>
      </c>
      <c r="E44" s="63">
        <f t="shared" si="1"/>
        <v>80690</v>
      </c>
    </row>
    <row r="45" spans="1:7" x14ac:dyDescent="0.3">
      <c r="A45" s="2">
        <v>6</v>
      </c>
      <c r="C45" s="38" t="s">
        <v>18</v>
      </c>
      <c r="D45" s="42">
        <f>TRUNC(6131.56063342967,-1)</f>
        <v>6130</v>
      </c>
      <c r="E45" s="63">
        <f t="shared" si="1"/>
        <v>20260</v>
      </c>
    </row>
    <row r="46" spans="1:7" x14ac:dyDescent="0.3">
      <c r="A46" s="2">
        <v>7</v>
      </c>
      <c r="C46" s="38" t="s">
        <v>19</v>
      </c>
      <c r="D46" s="42">
        <f>TRUNC(9761.06039258189,-1)</f>
        <v>9760</v>
      </c>
      <c r="E46" s="63">
        <f t="shared" si="1"/>
        <v>32260</v>
      </c>
    </row>
    <row r="47" spans="1:7" x14ac:dyDescent="0.3">
      <c r="A47" s="2">
        <v>8</v>
      </c>
      <c r="C47" s="38" t="s">
        <v>20</v>
      </c>
      <c r="D47" s="42">
        <f>TRUNC(3871.49458092486,-1)</f>
        <v>3870</v>
      </c>
      <c r="E47" s="63">
        <f t="shared" si="1"/>
        <v>12790</v>
      </c>
    </row>
    <row r="48" spans="1:7" x14ac:dyDescent="0.3">
      <c r="A48" s="2">
        <v>9</v>
      </c>
      <c r="C48" s="38" t="s">
        <v>21</v>
      </c>
      <c r="D48" s="42">
        <f>TRUNC(34738.2919677264,-1)</f>
        <v>34730</v>
      </c>
      <c r="E48" s="63">
        <f t="shared" si="1"/>
        <v>114810</v>
      </c>
    </row>
    <row r="49" spans="1:7" x14ac:dyDescent="0.3">
      <c r="A49" s="2">
        <v>10</v>
      </c>
      <c r="C49" s="38" t="s">
        <v>22</v>
      </c>
      <c r="D49" s="42">
        <f>TRUNC(12996.5621387283,-1)</f>
        <v>12990</v>
      </c>
      <c r="E49" s="63">
        <f t="shared" si="1"/>
        <v>42940</v>
      </c>
    </row>
    <row r="50" spans="1:7" x14ac:dyDescent="0.3">
      <c r="A50" s="2">
        <v>11</v>
      </c>
      <c r="C50" s="38" t="s">
        <v>155</v>
      </c>
      <c r="D50" s="42">
        <f>TRUNC(65509.9229287091,-1)</f>
        <v>65500</v>
      </c>
      <c r="E50" s="63">
        <f t="shared" si="1"/>
        <v>216520</v>
      </c>
    </row>
    <row r="51" spans="1:7" x14ac:dyDescent="0.3">
      <c r="A51" s="2">
        <v>12</v>
      </c>
      <c r="C51" s="38" t="s">
        <v>23</v>
      </c>
      <c r="D51" s="42">
        <f>TRUNC(17799.3155105973,-1)</f>
        <v>17790</v>
      </c>
      <c r="E51" s="63">
        <f t="shared" si="1"/>
        <v>58810</v>
      </c>
    </row>
    <row r="52" spans="1:7" x14ac:dyDescent="0.3">
      <c r="A52" s="2">
        <v>13</v>
      </c>
      <c r="C52" s="38" t="s">
        <v>24</v>
      </c>
      <c r="D52" s="42">
        <f>TRUNC(11426.6818400771,-1)</f>
        <v>11420</v>
      </c>
      <c r="E52" s="63">
        <f t="shared" si="1"/>
        <v>37750</v>
      </c>
    </row>
    <row r="53" spans="1:7" x14ac:dyDescent="0.3">
      <c r="A53" s="2">
        <v>14</v>
      </c>
      <c r="C53" s="38" t="s">
        <v>25</v>
      </c>
      <c r="D53" s="42">
        <f>TRUNC(67318.5511199422,-1)</f>
        <v>67310</v>
      </c>
      <c r="E53" s="63">
        <f t="shared" si="1"/>
        <v>222510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TRUNC(251.92744460501+58457.0923651252+4576.01457129094+3557.44466522158+18858.3815028902+4951.01156069364+5166.85934489403+4259.17575867052,-1)</f>
        <v>100070</v>
      </c>
      <c r="E58" s="63">
        <f t="shared" si="1"/>
        <v>330810</v>
      </c>
      <c r="F58" s="2" t="s">
        <v>266</v>
      </c>
    </row>
    <row r="59" spans="1:7" ht="17.25" thickBot="1" x14ac:dyDescent="0.35">
      <c r="A59" s="2">
        <v>20</v>
      </c>
      <c r="C59" s="38" t="s">
        <v>148</v>
      </c>
      <c r="D59" s="43">
        <f>TRUNC(18191.5944123314,-1)</f>
        <v>18190</v>
      </c>
      <c r="E59" s="64">
        <f t="shared" si="1"/>
        <v>60130</v>
      </c>
    </row>
    <row r="60" spans="1:7" x14ac:dyDescent="0.3">
      <c r="A60" s="2">
        <v>21</v>
      </c>
      <c r="C60" s="27" t="s">
        <v>112</v>
      </c>
      <c r="D60" s="39">
        <f>SUM(D40:D59)</f>
        <v>645250</v>
      </c>
      <c r="E60" s="39">
        <f>SUM(E40:E59)</f>
        <v>2133010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TRUNC(3326.95213150289,-1)</f>
        <v>3320</v>
      </c>
      <c r="E63" s="62">
        <f>TRUNC(+D63*3.3058,-1)</f>
        <v>10970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TRUNC(66714.7800457611,-1)</f>
        <v>66710</v>
      </c>
      <c r="E65" s="64">
        <f>TRUNC(+D65*3.3058,-1)</f>
        <v>220520</v>
      </c>
      <c r="F65" s="2" t="s">
        <v>249</v>
      </c>
    </row>
    <row r="66" spans="1:7" x14ac:dyDescent="0.3">
      <c r="A66" s="2">
        <v>4</v>
      </c>
      <c r="C66" s="27" t="s">
        <v>112</v>
      </c>
      <c r="D66" s="39">
        <f>SUM(D63:D65)</f>
        <v>70030</v>
      </c>
      <c r="E66" s="65">
        <f>SUM(E63:E65)</f>
        <v>231490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TRUNC(38269.2049614644,-1)</f>
        <v>38260</v>
      </c>
      <c r="E69" s="62">
        <f t="shared" ref="E69:E94" si="2">TRUNC(+D69*3.3058,-1)</f>
        <v>126470</v>
      </c>
    </row>
    <row r="70" spans="1:7" ht="16.5" customHeight="1" x14ac:dyDescent="0.3">
      <c r="A70" s="2">
        <v>2</v>
      </c>
      <c r="C70" s="38" t="s">
        <v>31</v>
      </c>
      <c r="D70" s="42">
        <f>TRUNC(1444.97531310212,-1)</f>
        <v>1440</v>
      </c>
      <c r="E70" s="63">
        <f t="shared" si="2"/>
        <v>4760</v>
      </c>
    </row>
    <row r="71" spans="1:7" x14ac:dyDescent="0.3">
      <c r="A71" s="2">
        <v>3</v>
      </c>
      <c r="C71" s="38" t="s">
        <v>32</v>
      </c>
      <c r="D71" s="42">
        <f>TRUNC(25064.3887283237,-1)</f>
        <v>25060</v>
      </c>
      <c r="E71" s="63">
        <f t="shared" si="2"/>
        <v>82840</v>
      </c>
    </row>
    <row r="72" spans="1:7" x14ac:dyDescent="0.3">
      <c r="A72" s="2">
        <v>4</v>
      </c>
      <c r="C72" s="38" t="s">
        <v>33</v>
      </c>
      <c r="D72" s="42">
        <f>TRUNC(2870.34429190751,-1)</f>
        <v>2870</v>
      </c>
      <c r="E72" s="63">
        <f t="shared" si="2"/>
        <v>9480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TRUNC(13400.8193039499,-1)</f>
        <v>13400</v>
      </c>
      <c r="E74" s="63">
        <f t="shared" si="2"/>
        <v>44290</v>
      </c>
      <c r="F74" s="2" t="s">
        <v>253</v>
      </c>
    </row>
    <row r="75" spans="1:7" x14ac:dyDescent="0.3">
      <c r="A75" s="2">
        <v>7</v>
      </c>
      <c r="C75" s="38" t="s">
        <v>140</v>
      </c>
      <c r="D75" s="42">
        <f>TRUNC(3535.09260597303,-1)</f>
        <v>3530</v>
      </c>
      <c r="E75" s="63">
        <f t="shared" si="2"/>
        <v>11660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TRUNC(31692.902938343,-1)</f>
        <v>31690</v>
      </c>
      <c r="E78" s="63">
        <f t="shared" si="2"/>
        <v>104760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TRUNC(16009.4716401734,-1)</f>
        <v>16000</v>
      </c>
      <c r="E81" s="63">
        <f t="shared" si="2"/>
        <v>52890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TRUNC(2568.53125,-1)</f>
        <v>2560</v>
      </c>
      <c r="E85" s="63">
        <f t="shared" si="2"/>
        <v>8460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TRUNC(5926.17714354528,-1)</f>
        <v>5920</v>
      </c>
      <c r="E90" s="63">
        <f t="shared" si="2"/>
        <v>19570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TRUNC(31835.5009633911,-1)</f>
        <v>31830</v>
      </c>
      <c r="E93" s="63">
        <f t="shared" si="2"/>
        <v>105220</v>
      </c>
    </row>
    <row r="94" spans="1:7" ht="17.25" thickBot="1" x14ac:dyDescent="0.35">
      <c r="A94" s="2">
        <v>26</v>
      </c>
      <c r="C94" s="38" t="s">
        <v>47</v>
      </c>
      <c r="D94" s="43">
        <f>TRUNC(34188.0093328516+49314.2552384393+18590.01547447+158.016076589595-1571.01511319846,-1)</f>
        <v>100670</v>
      </c>
      <c r="E94" s="64">
        <f t="shared" si="2"/>
        <v>332790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273230</v>
      </c>
      <c r="E95" s="39">
        <f>SUM(E69:E94)</f>
        <v>903190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TRUNC(19911.8053347784,-1)</f>
        <v>19910</v>
      </c>
      <c r="E98" s="62">
        <f t="shared" ref="E98:E118" si="3">TRUNC(+D98*3.3058,-1)</f>
        <v>65810</v>
      </c>
    </row>
    <row r="99" spans="1:7" x14ac:dyDescent="0.3">
      <c r="A99" s="2">
        <v>2</v>
      </c>
      <c r="C99" s="38" t="s">
        <v>40</v>
      </c>
      <c r="D99" s="42">
        <f>TRUNC(8032.72681840077,-1)</f>
        <v>8030</v>
      </c>
      <c r="E99" s="63">
        <f t="shared" si="3"/>
        <v>26540</v>
      </c>
    </row>
    <row r="100" spans="1:7" x14ac:dyDescent="0.3">
      <c r="A100" s="2">
        <v>3</v>
      </c>
      <c r="C100" s="38" t="s">
        <v>41</v>
      </c>
      <c r="D100" s="42">
        <f>TRUNC(23095.1692557803,-1)</f>
        <v>23090</v>
      </c>
      <c r="E100" s="63">
        <f t="shared" si="3"/>
        <v>76330</v>
      </c>
    </row>
    <row r="101" spans="1:7" x14ac:dyDescent="0.3">
      <c r="A101" s="2">
        <v>4</v>
      </c>
      <c r="C101" s="38" t="s">
        <v>42</v>
      </c>
      <c r="D101" s="42">
        <f>TRUNC(3364.59814547206+4254.56575144509,-1)</f>
        <v>7610</v>
      </c>
      <c r="E101" s="63">
        <f t="shared" si="3"/>
        <v>25150</v>
      </c>
      <c r="F101" s="2" t="s">
        <v>255</v>
      </c>
    </row>
    <row r="102" spans="1:7" x14ac:dyDescent="0.3">
      <c r="A102" s="2">
        <v>5</v>
      </c>
      <c r="C102" s="38" t="s">
        <v>43</v>
      </c>
      <c r="D102" s="42">
        <f>TRUNC(11275.4323819846,-1)</f>
        <v>11270</v>
      </c>
      <c r="E102" s="63">
        <f t="shared" si="3"/>
        <v>37250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TRUNC(692.916365606936,-1)</f>
        <v>690</v>
      </c>
      <c r="E104" s="63">
        <f t="shared" si="3"/>
        <v>2280</v>
      </c>
    </row>
    <row r="105" spans="1:7" x14ac:dyDescent="0.3">
      <c r="A105" s="2">
        <v>8</v>
      </c>
      <c r="C105" s="38" t="s">
        <v>46</v>
      </c>
      <c r="D105" s="42">
        <f>TRUNC(3694.75734585742,-1)</f>
        <v>3690</v>
      </c>
      <c r="E105" s="63">
        <f t="shared" si="3"/>
        <v>12190</v>
      </c>
      <c r="F105" s="2" t="s">
        <v>256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TRUNC(9137.83164739884,-1)</f>
        <v>9130</v>
      </c>
      <c r="E115" s="63">
        <f t="shared" si="3"/>
        <v>30180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TRUNC(11368.3164739884+58061.9580924855,-1)</f>
        <v>69430</v>
      </c>
      <c r="E117" s="63">
        <f t="shared" si="3"/>
        <v>229520</v>
      </c>
    </row>
    <row r="118" spans="1:7" ht="17.25" thickBot="1" x14ac:dyDescent="0.35">
      <c r="A118" s="2">
        <v>21</v>
      </c>
      <c r="C118" s="38" t="s">
        <v>47</v>
      </c>
      <c r="D118" s="43">
        <f>TRUNC(6510.19767581888+5101.94340077071+3659.86560693642,-1)</f>
        <v>15270</v>
      </c>
      <c r="E118" s="64">
        <f t="shared" si="3"/>
        <v>50470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168120</v>
      </c>
      <c r="E119" s="39">
        <f>SUM(E98:E118)</f>
        <v>555720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TRUNC(1702.3369460501,-1)</f>
        <v>1700</v>
      </c>
      <c r="E122" s="62">
        <f t="shared" ref="E122:E132" si="4">TRUNC(+D122*3.3058,-1)</f>
        <v>5610</v>
      </c>
    </row>
    <row r="123" spans="1:7" x14ac:dyDescent="0.3">
      <c r="A123" s="2">
        <v>2</v>
      </c>
      <c r="C123" s="38" t="s">
        <v>124</v>
      </c>
      <c r="D123" s="42">
        <f>TRUNC(8842.38577793834,-1)</f>
        <v>8840</v>
      </c>
      <c r="E123" s="63">
        <f t="shared" si="4"/>
        <v>29220</v>
      </c>
      <c r="F123" s="2" t="s">
        <v>261</v>
      </c>
    </row>
    <row r="124" spans="1:7" x14ac:dyDescent="0.3">
      <c r="A124" s="2">
        <v>3</v>
      </c>
      <c r="C124" s="38" t="s">
        <v>151</v>
      </c>
      <c r="D124" s="42">
        <f>TRUNC(340.996206647399,-1)</f>
        <v>340</v>
      </c>
      <c r="E124" s="63">
        <f t="shared" si="4"/>
        <v>1120</v>
      </c>
    </row>
    <row r="125" spans="1:7" x14ac:dyDescent="0.3">
      <c r="A125" s="2">
        <v>4</v>
      </c>
      <c r="C125" s="38" t="s">
        <v>138</v>
      </c>
      <c r="D125" s="42">
        <f>TRUNC(3801.00403420039,-1)</f>
        <v>3800</v>
      </c>
      <c r="E125" s="63">
        <f t="shared" si="4"/>
        <v>12560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f>TRUNC(1745.46850915222,-1)</f>
        <v>1740</v>
      </c>
      <c r="E129" s="63">
        <f t="shared" si="4"/>
        <v>5750</v>
      </c>
      <c r="F129" s="2" t="s">
        <v>256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TRUNC(3455.10627408478+37286.1271676301,-1)</f>
        <v>40740</v>
      </c>
      <c r="E131" s="63">
        <f t="shared" si="4"/>
        <v>134670</v>
      </c>
    </row>
    <row r="132" spans="1:7" ht="18" thickBot="1" x14ac:dyDescent="0.35">
      <c r="A132" s="2">
        <v>11</v>
      </c>
      <c r="C132" s="38" t="s">
        <v>47</v>
      </c>
      <c r="D132" s="43">
        <f>TRUNC(4122.85404624277+1076.32707129094+1071.75114402697+100.115125240848,-1)</f>
        <v>6370</v>
      </c>
      <c r="E132" s="64">
        <f t="shared" si="4"/>
        <v>21050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63530</v>
      </c>
      <c r="E133" s="39">
        <f>SUM(E122:E132)</f>
        <v>209980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TRUNC(24601.6654624277,-1)</f>
        <v>24600</v>
      </c>
      <c r="E136" s="62">
        <f t="shared" ref="E136:E145" si="5">TRUNC(+D136*3.3058,-1)</f>
        <v>81320</v>
      </c>
      <c r="F136" s="2" t="s">
        <v>252</v>
      </c>
    </row>
    <row r="137" spans="1:7" x14ac:dyDescent="0.3">
      <c r="A137" s="2">
        <v>2</v>
      </c>
      <c r="C137" s="38" t="s">
        <v>47</v>
      </c>
      <c r="D137" s="42">
        <f>TRUNC(1367.75349229287,-1)</f>
        <v>1360</v>
      </c>
      <c r="E137" s="63">
        <f t="shared" si="5"/>
        <v>4490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TRUNC(1997.70670761079,-1)</f>
        <v>1990</v>
      </c>
      <c r="E143" s="63">
        <f t="shared" si="5"/>
        <v>6570</v>
      </c>
      <c r="F143" s="2" t="s">
        <v>259</v>
      </c>
    </row>
    <row r="144" spans="1:7" x14ac:dyDescent="0.3">
      <c r="A144" s="2">
        <v>9</v>
      </c>
      <c r="C144" s="38" t="s">
        <v>63</v>
      </c>
      <c r="D144" s="42">
        <f>TRUNC(8421.56671483622,-1)</f>
        <v>8420</v>
      </c>
      <c r="E144" s="63">
        <f t="shared" si="5"/>
        <v>27830</v>
      </c>
      <c r="F144" s="2" t="s">
        <v>258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36370</v>
      </c>
      <c r="E146" s="39">
        <f>SUM(E136:E145)</f>
        <v>120210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TRUNC(6786.704238921+2082.6273482659,-1)</f>
        <v>8860</v>
      </c>
      <c r="E149" s="62">
        <f>TRUNC(+D149*3.3058,-1)</f>
        <v>29280</v>
      </c>
      <c r="F149" s="2" t="s">
        <v>250</v>
      </c>
    </row>
    <row r="150" spans="1:7" x14ac:dyDescent="0.3">
      <c r="A150" s="2">
        <v>2</v>
      </c>
      <c r="C150" s="38" t="s">
        <v>49</v>
      </c>
      <c r="D150" s="42">
        <f>TRUNC(8583.51716040462,-1)</f>
        <v>8580</v>
      </c>
      <c r="E150" s="63">
        <f>TRUNC(+D150*3.3058,-1)</f>
        <v>28360</v>
      </c>
    </row>
    <row r="151" spans="1:7" x14ac:dyDescent="0.3">
      <c r="A151" s="2">
        <v>3</v>
      </c>
      <c r="C151" s="38" t="s">
        <v>50</v>
      </c>
      <c r="D151" s="42">
        <f>TRUNC(3392.41799132948,-1)</f>
        <v>3390</v>
      </c>
      <c r="E151" s="63">
        <f>TRUNC(+D151*3.3058,-1)</f>
        <v>11200</v>
      </c>
    </row>
    <row r="152" spans="1:7" x14ac:dyDescent="0.3">
      <c r="A152" s="2">
        <v>4</v>
      </c>
      <c r="C152" s="38" t="s">
        <v>47</v>
      </c>
      <c r="D152" s="42">
        <f>TRUNC(1474.1943039499+3730.19291907514+27.9508068400771,-1)</f>
        <v>5230</v>
      </c>
      <c r="E152" s="63">
        <f>TRUNC(+D152*3.3058,-1)</f>
        <v>17280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26060</v>
      </c>
      <c r="E154" s="39">
        <f>SUM(E149:E153)</f>
        <v>86120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TRUNC(30811.0994701349+5800.25295038536,-1)</f>
        <v>36610</v>
      </c>
      <c r="E159" s="63">
        <f>TRUNC(+D159*3.3058,-1)</f>
        <v>121020</v>
      </c>
      <c r="F159" s="2" t="s">
        <v>248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36610</v>
      </c>
      <c r="E161" s="39">
        <f>SUM(E157:E160)</f>
        <v>121020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2020-12-07T09:16:32Z</dcterms:modified>
</cp:coreProperties>
</file>