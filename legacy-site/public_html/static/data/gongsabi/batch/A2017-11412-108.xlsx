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2" i="4"/>
  <c r="D151" i="4"/>
  <c r="D150" i="4"/>
  <c r="D149" i="4"/>
  <c r="D144" i="4"/>
  <c r="D143" i="4"/>
  <c r="D142" i="4"/>
  <c r="D141" i="4"/>
  <c r="D140" i="4"/>
  <c r="D139" i="4"/>
  <c r="D137" i="4"/>
  <c r="D132" i="4"/>
  <c r="D131" i="4"/>
  <c r="D130" i="4"/>
  <c r="D128" i="4"/>
  <c r="D126" i="4"/>
  <c r="D125" i="4"/>
  <c r="D124" i="4"/>
  <c r="D122" i="4"/>
  <c r="D118" i="4"/>
  <c r="D117" i="4"/>
  <c r="D116" i="4"/>
  <c r="D104" i="4"/>
  <c r="D103" i="4"/>
  <c r="D102" i="4"/>
  <c r="D100" i="4"/>
  <c r="D98" i="4"/>
  <c r="D94" i="4"/>
  <c r="D92" i="4"/>
  <c r="D91" i="4"/>
  <c r="D89" i="4"/>
  <c r="D73" i="4"/>
  <c r="D72" i="4"/>
  <c r="D71" i="4"/>
  <c r="D69" i="4"/>
  <c r="D63" i="4"/>
  <c r="D59" i="4"/>
  <c r="D58" i="4"/>
  <c r="D52" i="4"/>
  <c r="D50" i="4"/>
  <c r="D49" i="4"/>
  <c r="D48" i="4"/>
  <c r="D46" i="4"/>
  <c r="D45" i="4"/>
  <c r="D44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<sst xmlns="http://schemas.openxmlformats.org/spreadsheetml/2006/main" count="392" uniqueCount="269">
  <si>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</si>
  <si>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</si>
  <si>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</si>
  <si>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</si>
  <si>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</si>
  <si>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</si>
  <si>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</si>
  <si>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</si>
  <si>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</si>
  <si>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</si>
  <si>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</si>
  <si>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</si>
  <si>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</si>
  <si>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</si>
  <si>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</si>
  <si>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</si>
  <si>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</si>
  <si>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</si>
  <si>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</si>
  <si>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</si>
  <si>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</si>
  <si>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</si>
  <si>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</si>
  <si>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</si>
  <si>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</si>
  <si>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</si>
  <si>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</si>
  <si>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</si>
  <si>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</si>
  <si>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</si>
  <si>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</si>
  <si>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</si>
  <si>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</si>
  <si>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</si>
  <si>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</si>
  <si>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</si>
  <si>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</si>
  <si>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</si>
  <si>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</si>
  <si>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</si>
  <si>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</si>
  <si>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</si>
  <si>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</si>
  <si>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</si>
  <si>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</si>
  <si>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</si>
  <si>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</si>
  <si>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</si>
  <si>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</si>
  <si>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</si>
  <si>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</si>
  <si>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</si>
  <si>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</si>
  <si>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</si>
  <si>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</si>
  <si>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</si>
  <si>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</si>
  <si>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</si>
  <si>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</si>
  <si>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</si>
  <si>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</si>
  <si>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</si>
  <si>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</si>
  <si>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</si>
  <si>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</si>
  <si>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</si>
  <si>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</si>
  <si>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</si>
  <si>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</si>
  <si>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</si>
  <si>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</si>
  <si>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</si>
  <si>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</si>
  <si>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</si>
  <si>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</si>
  <si>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</si>
  <si>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</si>
  <si>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</si>
  <si>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</si>
  <si>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</si>
  <si>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</si>
  <si>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</si>
  <si>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</si>
  <si>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</si>
  <si>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</si>
  <si>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</si>
  <si>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</si>
  <si>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</si>
  <si>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</si>
  <si>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</si>
  <si>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</si>
  <si>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</si>
  <si>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</si>
  <si>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</si>
  <si>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</si>
  <si>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</si>
  <si>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</si>
  <si>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</si>
  <si>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</si>
  <si>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</si>
  <si>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</si>
  <si>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</si>
  <si>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</si>
  <si>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</si>
  <si>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</si>
  <si>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</si>
  <si>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</si>
  <si>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</si>
  <si>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</si>
  <si>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</si>
  <si>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</si>
  <si>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</si>
  <si>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</si>
  <si>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</si>
  <si>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</si>
  <si>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</si>
  <si>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</si>
  <si>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</si>
  <si>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</si>
  <si>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</si>
  <si>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</si>
  <si>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</si>
  <si>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</si>
  <si>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</si>
  <si>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</si>
  <si>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</si>
  <si>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</si>
  <si>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</si>
  <si>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</si>
  <si>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</si>
  <si>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</si>
  <si>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</si>
  <si>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</si>
  <si>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</si>
  <si>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</si>
  <si>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</si>
  <si>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</si>
  <si>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</si>
  <si>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</si>
  <si>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</si>
  <si>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</si>
  <si>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</si>
  <si>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</si>
  <si>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</si>
  <si>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</si>
  <si>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</si>
  <si>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</si>
  <si>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</si>
  <si>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</si>
  <si>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</si>
  <si>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</si>
  <si>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</si>
  <si>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</si>
  <si>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</si>
  <si>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</si>
  <si>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</si>
  <si>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</si>
  <si>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</si>
  <si>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</si>
  <si>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</si>
  <si>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</si>
  <si>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</si>
  <si>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</si>
  <si>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</si>
  <si>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</si>
  <si>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</si>
  <si>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</si>
  <si>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</si>
  <si>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</si>
  <si>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</si>
  <si>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</si>
  <si>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</si>
  <si>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</si>
  <si>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</si>
  <si>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</si>
  <si>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</si>
  <si>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</si>
  <si>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</si>
  <si>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</si>
  <si>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</si>
  <si>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</si>
  <si>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</si>
  <si>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</si>
  <si>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</si>
  <si>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</si>
  <si>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</si>
  <si>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</si>
  <si>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</si>
  <si>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</si>
  <si>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</si>
  <si>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</si>
  <si>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</si>
  <si>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</si>
  <si>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</si>
  <si>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</si>
  <si>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</si>
  <si>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</si>
  <si>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</si>
  <si>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</si>
  <si>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</si>
  <si>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</si>
  <si>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</si>
  <si>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</si>
  <si>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</si>
  <si>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</si>
  <si>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</si>
  <si>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</si>
  <si>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</si>
  <si>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</si>
  <si>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</si>
  <si>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</si>
  <si>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</si>
  <si>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</si>
  <si>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</si>
  <si>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</si>
  <si>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</si>
  <si>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</si>
  <si>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</si>
  <si>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</si>
  <si>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</si>
  <si>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</si>
  <si>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</si>
  <si>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</si>
  <si>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</si>
  <si>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</si>
  <si>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</si>
  <si>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</si>
  <si>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</si>
  <si>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</si>
  <si>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</si>
  <si>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</si>
  <si>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</si>
  <si>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</si>
  <si>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</si>
  <si>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</si>
  <si>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</si>
  <si>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</si>
  <si>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</si>
  <si>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</si>
  <si>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</si>
  <si>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</si>
  <si>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</si>
  <si>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</si>
  <si>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</si>
  <si>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</si>
  <si>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</si>
  <si>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</si>
  <si>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</si>
  <si>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</si>
  <si>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</si>
  <si>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</si>
  <si>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 바닥난방공사,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</si>
  <si>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</si>
  <si>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</si>
  <si>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</si>
  <si>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교육연구</t>
  </si>
  <si>
    <t>예하초등학교 교사 신축공사</t>
    <phoneticPr fontId="2" type="noConversion"/>
  </si>
  <si>
    <t>경상도</t>
  </si>
  <si>
    <t>기초공사, 골재비및운반비, 품질시험비, 기타공사</t>
    <phoneticPr fontId="2" type="noConversion"/>
  </si>
  <si>
    <t>CCTV설비공사, 기타공사</t>
    <phoneticPr fontId="2" type="noConversion"/>
  </si>
  <si>
    <t>펌프실배관공사, 기타공사</t>
    <phoneticPr fontId="2" type="noConversion"/>
  </si>
  <si>
    <t>포장공사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</si>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</sst>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11234.65</v>
      </c>
      <c r="D7" s="36">
        <f>+C7/3.3058</f>
        <v>3398.4663319015062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874620</v>
      </c>
      <c r="E25" s="59">
        <f t="shared" si="0"/>
        <v>2891310</v>
      </c>
    </row>
    <row r="26" spans="1:5" x14ac:dyDescent="0.3">
      <c r="B26" s="2">
        <v>3</v>
      </c>
      <c r="C26" s="35" t="s">
        <v>95</v>
      </c>
      <c r="D26" s="45">
        <f>+D66</f>
        <v>6030</v>
      </c>
      <c r="E26" s="59">
        <f t="shared" si="0"/>
        <v>19930</v>
      </c>
    </row>
    <row r="27" spans="1:5" x14ac:dyDescent="0.3">
      <c r="B27" s="2">
        <v>4</v>
      </c>
      <c r="C27" s="35" t="s">
        <v>96</v>
      </c>
      <c r="D27" s="45">
        <f>+D95</f>
        <v>66840</v>
      </c>
      <c r="E27" s="59">
        <f t="shared" si="0"/>
        <v>220950</v>
      </c>
    </row>
    <row r="28" spans="1:5" x14ac:dyDescent="0.3">
      <c r="B28" s="2">
        <v>5</v>
      </c>
      <c r="C28" s="35" t="s">
        <v>97</v>
      </c>
      <c r="D28" s="45">
        <f>+D119</f>
        <v>204800</v>
      </c>
      <c r="E28" s="59">
        <f t="shared" si="0"/>
        <v>677020</v>
      </c>
    </row>
    <row r="29" spans="1:5" x14ac:dyDescent="0.3">
      <c r="B29" s="2">
        <v>6</v>
      </c>
      <c r="C29" s="35" t="s">
        <v>98</v>
      </c>
      <c r="D29" s="45">
        <f>+D133</f>
        <v>84180</v>
      </c>
      <c r="E29" s="59">
        <f t="shared" si="0"/>
        <v>278280</v>
      </c>
    </row>
    <row r="30" spans="1:5" x14ac:dyDescent="0.3">
      <c r="B30" s="2">
        <v>7</v>
      </c>
      <c r="C30" s="35" t="s">
        <v>99</v>
      </c>
      <c r="D30" s="45">
        <f>+D146</f>
        <v>38600</v>
      </c>
      <c r="E30" s="59">
        <f t="shared" si="0"/>
        <v>127600</v>
      </c>
    </row>
    <row r="31" spans="1:5" x14ac:dyDescent="0.3">
      <c r="B31" s="2">
        <v>8</v>
      </c>
      <c r="C31" s="35" t="s">
        <v>100</v>
      </c>
      <c r="D31" s="45">
        <f>+D154</f>
        <v>42490</v>
      </c>
      <c r="E31" s="59">
        <f t="shared" si="0"/>
        <v>140460</v>
      </c>
    </row>
    <row r="32" spans="1:5" x14ac:dyDescent="0.3">
      <c r="B32" s="2">
        <v>9</v>
      </c>
      <c r="C32" s="35" t="s">
        <v>101</v>
      </c>
      <c r="D32" s="45">
        <f>+D161</f>
        <v>24780</v>
      </c>
      <c r="E32" s="59">
        <f t="shared" si="0"/>
        <v>81910</v>
      </c>
    </row>
    <row r="33" spans="1:7" x14ac:dyDescent="0.3">
      <c r="B33" s="2">
        <v>10</v>
      </c>
      <c r="C33" s="35" t="s">
        <v>154</v>
      </c>
      <c r="D33" s="53">
        <f>TRUNC(SUM(D24:D32)*0.275,-1)</f>
        <v>369140</v>
      </c>
      <c r="E33" s="60">
        <f t="shared" si="0"/>
        <v>1220300</v>
      </c>
    </row>
    <row r="34" spans="1:7" x14ac:dyDescent="0.3">
      <c r="C34" s="35" t="s">
        <v>112</v>
      </c>
      <c r="D34" s="44">
        <f>SUM(D24:D33)</f>
        <v>1711480</v>
      </c>
      <c r="E34" s="44">
        <f>SUM(E24:E33)</f>
        <v>5657760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262</v>
      </c>
      <c r="C39" s="56" t="s">
        <v>263</v>
      </c>
      <c r="D39" s="57" t="s">
        <v>264</v>
      </c>
      <c r="E39" s="57" t="s">
        <v>265</v>
      </c>
      <c r="G39" s="55"/>
    </row>
    <row r="40" spans="1:7" x14ac:dyDescent="0.3">
      <c r="A40" s="2">
        <v>1</v>
      </c>
      <c r="C40" s="38" t="s">
        <v>15</v>
      </c>
      <c r="D40" s="40">
        <f>TRUNC(43939,-1)</f>
        <v>43930</v>
      </c>
      <c r="E40" s="62">
        <f t="shared" ref="E40:E59" si="1">TRUNC(+D40*3.3058,-1)</f>
        <v>145220</v>
      </c>
    </row>
    <row r="41" spans="1:7" x14ac:dyDescent="0.3">
      <c r="A41" s="2">
        <v>2</v>
      </c>
      <c r="C41" s="38" t="s">
        <v>13</v>
      </c>
      <c r="D41" s="42">
        <f>TRUNC(127132,-1)</f>
        <v>127130</v>
      </c>
      <c r="E41" s="63">
        <f t="shared" si="1"/>
        <v>420260</v>
      </c>
    </row>
    <row r="42" spans="1:7" x14ac:dyDescent="0.3">
      <c r="A42" s="2">
        <v>3</v>
      </c>
      <c r="C42" s="38" t="s">
        <v>14</v>
      </c>
      <c r="D42" s="42">
        <f>TRUNC(10447,-1)</f>
        <v>10440</v>
      </c>
      <c r="E42" s="63">
        <f t="shared" si="1"/>
        <v>34510</v>
      </c>
    </row>
    <row r="43" spans="1:7" x14ac:dyDescent="0.3">
      <c r="A43" s="2">
        <v>4</v>
      </c>
      <c r="C43" s="38" t="s">
        <v>16</v>
      </c>
      <c r="D43" s="42">
        <v>23100</v>
      </c>
      <c r="E43" s="63">
        <f t="shared" si="1"/>
        <v>76360</v>
      </c>
    </row>
    <row r="44" spans="1:7" x14ac:dyDescent="0.3">
      <c r="A44" s="2">
        <v>5</v>
      </c>
      <c r="C44" s="38" t="s">
        <v>17</v>
      </c>
      <c r="D44" s="42">
        <f>TRUNC(18247,-1)</f>
        <v>18240</v>
      </c>
      <c r="E44" s="63">
        <f t="shared" si="1"/>
        <v>60290</v>
      </c>
    </row>
    <row r="45" spans="1:7" x14ac:dyDescent="0.3">
      <c r="A45" s="2">
        <v>6</v>
      </c>
      <c r="C45" s="38" t="s">
        <v>18</v>
      </c>
      <c r="D45" s="42">
        <f>TRUNC(5244,-1)</f>
        <v>5240</v>
      </c>
      <c r="E45" s="63">
        <f t="shared" si="1"/>
        <v>17320</v>
      </c>
    </row>
    <row r="46" spans="1:7" x14ac:dyDescent="0.3">
      <c r="A46" s="2">
        <v>7</v>
      </c>
      <c r="C46" s="38" t="s">
        <v>19</v>
      </c>
      <c r="D46" s="42">
        <f>TRUNC(29505,-1)</f>
        <v>29500</v>
      </c>
      <c r="E46" s="63">
        <f t="shared" si="1"/>
        <v>97520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TRUNC(31834,-1)</f>
        <v>31830</v>
      </c>
      <c r="E48" s="63">
        <f t="shared" si="1"/>
        <v>105220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TRUNC(16118,-1)</f>
        <v>16110</v>
      </c>
      <c r="E49" s="63">
        <f t="shared" si="1"/>
        <v>53250</v>
      </c>
    </row>
    <row r="50" spans="1:7" x14ac:dyDescent="0.3">
      <c r="A50" s="2">
        <v>11</v>
      </c>
      <c r="C50" s="38" t="s">
        <v>155</v>
      </c>
      <c r="D50" s="42">
        <f>TRUNC(54235,-1)</f>
        <v>54230</v>
      </c>
      <c r="E50" s="63">
        <f t="shared" si="1"/>
        <v>179270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TRUNC(11717,-1)</f>
        <v>11710</v>
      </c>
      <c r="E52" s="63">
        <f t="shared" si="1"/>
        <v>38710</v>
      </c>
    </row>
    <row r="53" spans="1:7" x14ac:dyDescent="0.3">
      <c r="A53" s="2">
        <v>14</v>
      </c>
      <c r="C53" s="38" t="s">
        <v>25</v>
      </c>
      <c r="D53" s="42">
        <v>105430</v>
      </c>
      <c r="E53" s="63">
        <f t="shared" si="1"/>
        <v>348530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TRUNC(10858+21734+242+18649,-1)</f>
        <v>51480</v>
      </c>
      <c r="E58" s="63">
        <f t="shared" si="1"/>
        <v>170180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f>TRUNC(346258,-1)</f>
        <v>346250</v>
      </c>
      <c r="E59" s="64">
        <f t="shared" si="1"/>
        <v>1144630</v>
      </c>
    </row>
    <row r="60" spans="1:7" x14ac:dyDescent="0.3">
      <c r="A60" s="2">
        <v>21</v>
      </c>
      <c r="C60" s="27" t="s">
        <v>112</v>
      </c>
      <c r="D60" s="39">
        <f>SUM(D40:D59)</f>
        <v>874620</v>
      </c>
      <c r="E60" s="39">
        <f>SUM(E40:E59)</f>
        <v>2891270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TRUNC(6037,-1)</f>
        <v>6030</v>
      </c>
      <c r="E63" s="62">
        <f>TRUNC(+D63*3.3058,-1)</f>
        <v>19930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6030</v>
      </c>
      <c r="E66" s="65">
        <f>SUM(E63:E65)</f>
        <v>19930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TRUNC(6824,-1)</f>
        <v>6820</v>
      </c>
      <c r="E69" s="62">
        <f t="shared" ref="E69:E94" si="2">TRUNC(+D69*3.3058,-1)</f>
        <v>22540</v>
      </c>
    </row>
    <row r="70" spans="1:7" ht="16.5" customHeight="1" x14ac:dyDescent="0.3">
      <c r="A70" s="2">
        <v>2</v>
      </c>
      <c r="C70" s="38" t="s">
        <v>31</v>
      </c>
      <c r="D70" s="42">
        <v>2310</v>
      </c>
      <c r="E70" s="63">
        <f t="shared" si="2"/>
        <v>7630</v>
      </c>
    </row>
    <row r="71" spans="1:7" x14ac:dyDescent="0.3">
      <c r="A71" s="2">
        <v>3</v>
      </c>
      <c r="C71" s="38" t="s">
        <v>32</v>
      </c>
      <c r="D71" s="42">
        <f>TRUNC(3336,-1)</f>
        <v>3330</v>
      </c>
      <c r="E71" s="63">
        <f t="shared" si="2"/>
        <v>11000</v>
      </c>
    </row>
    <row r="72" spans="1:7" x14ac:dyDescent="0.3">
      <c r="A72" s="2">
        <v>4</v>
      </c>
      <c r="C72" s="38" t="s">
        <v>33</v>
      </c>
      <c r="D72" s="42">
        <f>TRUNC(3511,-1)</f>
        <v>3510</v>
      </c>
      <c r="E72" s="63">
        <f t="shared" si="2"/>
        <v>11600</v>
      </c>
    </row>
    <row r="73" spans="1:7" x14ac:dyDescent="0.3">
      <c r="A73" s="2">
        <v>5</v>
      </c>
      <c r="C73" s="38" t="s">
        <v>34</v>
      </c>
      <c r="D73" s="42">
        <f>TRUNC(12746,-1)</f>
        <v>12740</v>
      </c>
      <c r="E73" s="63">
        <f t="shared" si="2"/>
        <v>42110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TRUNC(9078,-1)</f>
        <v>9070</v>
      </c>
      <c r="E89" s="63">
        <f t="shared" si="2"/>
        <v>29980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TRUNC(3455,-1)</f>
        <v>3450</v>
      </c>
      <c r="E91" s="63">
        <f t="shared" si="2"/>
        <v>11400</v>
      </c>
    </row>
    <row r="92" spans="1:7" x14ac:dyDescent="0.3">
      <c r="A92" s="2">
        <v>24</v>
      </c>
      <c r="C92" s="38" t="s">
        <v>38</v>
      </c>
      <c r="D92" s="42">
        <f>TRUNC(15869,-1)</f>
        <v>15860</v>
      </c>
      <c r="E92" s="63">
        <f t="shared" si="2"/>
        <v>52420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TRUNC(912+3358+5482,-1)</f>
        <v>9750</v>
      </c>
      <c r="E94" s="64">
        <f t="shared" si="2"/>
        <v>32230</v>
      </c>
      <c r="F94" s="2" t="s">
        <v>251</v>
      </c>
    </row>
    <row r="95" spans="1:7" x14ac:dyDescent="0.3">
      <c r="A95" s="2">
        <v>27</v>
      </c>
      <c r="C95" s="27" t="s">
        <v>112</v>
      </c>
      <c r="D95" s="39">
        <f>SUM(D69:D94)</f>
        <v>66840</v>
      </c>
      <c r="E95" s="39">
        <f>SUM(E69:E94)</f>
        <v>220910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TRUNC(7035,-1)</f>
        <v>7030</v>
      </c>
      <c r="E98" s="62">
        <f t="shared" ref="E98:E118" si="3">TRUNC(+D98*3.3058,-1)</f>
        <v>23230</v>
      </c>
    </row>
    <row r="99" spans="1:7" x14ac:dyDescent="0.3">
      <c r="A99" s="2">
        <v>2</v>
      </c>
      <c r="C99" s="38" t="s">
        <v>40</v>
      </c>
      <c r="D99" s="42">
        <v>4120</v>
      </c>
      <c r="E99" s="63">
        <f t="shared" si="3"/>
        <v>13610</v>
      </c>
    </row>
    <row r="100" spans="1:7" x14ac:dyDescent="0.3">
      <c r="A100" s="2">
        <v>3</v>
      </c>
      <c r="C100" s="38" t="s">
        <v>41</v>
      </c>
      <c r="D100" s="42">
        <f>TRUNC(29467,-1)</f>
        <v>29460</v>
      </c>
      <c r="E100" s="63">
        <f t="shared" si="3"/>
        <v>97380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TRUNC(13318,-1)</f>
        <v>13310</v>
      </c>
      <c r="E102" s="63">
        <f t="shared" si="3"/>
        <v>44000</v>
      </c>
    </row>
    <row r="103" spans="1:7" x14ac:dyDescent="0.3">
      <c r="A103" s="2">
        <v>6</v>
      </c>
      <c r="C103" s="38" t="s">
        <v>44</v>
      </c>
      <c r="D103" s="42">
        <f>TRUNC(4624,-1)</f>
        <v>4620</v>
      </c>
      <c r="E103" s="63">
        <f t="shared" si="3"/>
        <v>15270</v>
      </c>
    </row>
    <row r="104" spans="1:7" x14ac:dyDescent="0.3">
      <c r="A104" s="2">
        <v>7</v>
      </c>
      <c r="C104" s="38" t="s">
        <v>45</v>
      </c>
      <c r="D104" s="42">
        <f>TRUNC(4143,-1)</f>
        <v>4140</v>
      </c>
      <c r="E104" s="63">
        <f t="shared" si="3"/>
        <v>13680</v>
      </c>
    </row>
    <row r="105" spans="1:7" x14ac:dyDescent="0.3">
      <c r="A105" s="2">
        <v>8</v>
      </c>
      <c r="C105" s="38" t="s">
        <v>46</v>
      </c>
      <c r="D105" s="42">
        <v>3970</v>
      </c>
      <c r="E105" s="63">
        <f t="shared" si="3"/>
        <v>13120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2160</v>
      </c>
      <c r="E114" s="63">
        <f t="shared" si="3"/>
        <v>7140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TRUNC(778,-1)</f>
        <v>770</v>
      </c>
      <c r="E116" s="63">
        <f t="shared" si="3"/>
        <v>2540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TRUNC(133951,-1)</f>
        <v>133950</v>
      </c>
      <c r="E117" s="63">
        <f t="shared" si="3"/>
        <v>442810</v>
      </c>
    </row>
    <row r="118" spans="1:7" ht="17.25" thickBot="1" x14ac:dyDescent="0.35">
      <c r="A118" s="2">
        <v>21</v>
      </c>
      <c r="C118" s="38" t="s">
        <v>47</v>
      </c>
      <c r="D118" s="43">
        <f>TRUNC(1275,-1)</f>
        <v>1270</v>
      </c>
      <c r="E118" s="64">
        <f t="shared" si="3"/>
        <v>4190</v>
      </c>
    </row>
    <row r="119" spans="1:7" x14ac:dyDescent="0.3">
      <c r="A119" s="2">
        <v>22</v>
      </c>
      <c r="C119" s="27" t="s">
        <v>112</v>
      </c>
      <c r="D119" s="39">
        <f>SUM(D98:D118)</f>
        <v>204800</v>
      </c>
      <c r="E119" s="39">
        <f>SUM(E98:E118)</f>
        <v>676970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TRUNC(5053,-1)</f>
        <v>5050</v>
      </c>
      <c r="E122" s="62">
        <f t="shared" ref="E122:E132" si="4">TRUNC(+D122*3.3058,-1)</f>
        <v>16690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TRUNC(973,-1)</f>
        <v>970</v>
      </c>
      <c r="E124" s="63">
        <f t="shared" si="4"/>
        <v>3200</v>
      </c>
    </row>
    <row r="125" spans="1:7" x14ac:dyDescent="0.3">
      <c r="A125" s="2">
        <v>4</v>
      </c>
      <c r="C125" s="38" t="s">
        <v>138</v>
      </c>
      <c r="D125" s="42">
        <f>TRUNC(10117,-1)</f>
        <v>10110</v>
      </c>
      <c r="E125" s="63">
        <f t="shared" si="4"/>
        <v>33420</v>
      </c>
    </row>
    <row r="126" spans="1:7" x14ac:dyDescent="0.3">
      <c r="A126" s="2">
        <v>5</v>
      </c>
      <c r="C126" s="38" t="s">
        <v>53</v>
      </c>
      <c r="D126" s="42">
        <f>TRUNC(811,-1)</f>
        <v>810</v>
      </c>
      <c r="E126" s="63">
        <f t="shared" si="4"/>
        <v>2670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TRUNC(5469,-1)</f>
        <v>5460</v>
      </c>
      <c r="E128" s="63">
        <f t="shared" si="4"/>
        <v>18040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TRUNC(13927,-1)</f>
        <v>13920</v>
      </c>
      <c r="E130" s="63">
        <f t="shared" si="4"/>
        <v>46010</v>
      </c>
    </row>
    <row r="131" spans="1:7" x14ac:dyDescent="0.3">
      <c r="A131" s="2">
        <v>10</v>
      </c>
      <c r="C131" s="38" t="s">
        <v>148</v>
      </c>
      <c r="D131" s="42">
        <f>TRUNC(43578,-1)</f>
        <v>43570</v>
      </c>
      <c r="E131" s="63">
        <f t="shared" si="4"/>
        <v>144030</v>
      </c>
    </row>
    <row r="132" spans="1:7" ht="18" thickBot="1" x14ac:dyDescent="0.35">
      <c r="A132" s="2">
        <v>11</v>
      </c>
      <c r="C132" s="38" t="s">
        <v>47</v>
      </c>
      <c r="D132" s="43">
        <f>TRUNC(3411+882,-1)</f>
        <v>4290</v>
      </c>
      <c r="E132" s="64">
        <f t="shared" si="4"/>
        <v>14180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84180</v>
      </c>
      <c r="E133" s="39">
        <f>SUM(E122:E132)</f>
        <v>278240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TRUNC(1944+6573,-1)</f>
        <v>8510</v>
      </c>
      <c r="E137" s="63">
        <f t="shared" si="5"/>
        <v>28130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TRUNC(1707,-1)</f>
        <v>1700</v>
      </c>
      <c r="E139" s="63">
        <f t="shared" si="5"/>
        <v>5610</v>
      </c>
    </row>
    <row r="140" spans="1:7" x14ac:dyDescent="0.3">
      <c r="A140" s="2">
        <v>5</v>
      </c>
      <c r="C140" s="38" t="s">
        <v>57</v>
      </c>
      <c r="D140" s="42">
        <f>TRUNC(1264,-1)</f>
        <v>1260</v>
      </c>
      <c r="E140" s="63">
        <f t="shared" si="5"/>
        <v>4160</v>
      </c>
    </row>
    <row r="141" spans="1:7" x14ac:dyDescent="0.3">
      <c r="A141" s="2">
        <v>6</v>
      </c>
      <c r="C141" s="38" t="s">
        <v>59</v>
      </c>
      <c r="D141" s="42">
        <f>TRUNC(8639,-1)</f>
        <v>8630</v>
      </c>
      <c r="E141" s="63">
        <f t="shared" si="5"/>
        <v>28520</v>
      </c>
    </row>
    <row r="142" spans="1:7" x14ac:dyDescent="0.3">
      <c r="A142" s="2">
        <v>7</v>
      </c>
      <c r="C142" s="38" t="s">
        <v>58</v>
      </c>
      <c r="D142" s="42">
        <f>TRUNC(9147,-1)</f>
        <v>9140</v>
      </c>
      <c r="E142" s="63">
        <f t="shared" si="5"/>
        <v>30210</v>
      </c>
    </row>
    <row r="143" spans="1:7" x14ac:dyDescent="0.3">
      <c r="A143" s="2">
        <v>8</v>
      </c>
      <c r="C143" s="38" t="s">
        <v>62</v>
      </c>
      <c r="D143" s="42">
        <f>TRUNC(1806,-1)</f>
        <v>1800</v>
      </c>
      <c r="E143" s="63">
        <f t="shared" si="5"/>
        <v>5950</v>
      </c>
    </row>
    <row r="144" spans="1:7" x14ac:dyDescent="0.3">
      <c r="A144" s="2">
        <v>9</v>
      </c>
      <c r="C144" s="38" t="s">
        <v>63</v>
      </c>
      <c r="D144" s="42">
        <f>TRUNC(7561,-1)</f>
        <v>7560</v>
      </c>
      <c r="E144" s="63">
        <f t="shared" si="5"/>
        <v>24990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38600</v>
      </c>
      <c r="E146" s="39">
        <f>SUM(E136:E145)</f>
        <v>127570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TRUNC(6460+2735,-1)</f>
        <v>9190</v>
      </c>
      <c r="E149" s="62">
        <f>TRUNC(+D149*3.3058,-1)</f>
        <v>30380</v>
      </c>
    </row>
    <row r="150" spans="1:7" x14ac:dyDescent="0.3">
      <c r="A150" s="2">
        <v>2</v>
      </c>
      <c r="C150" s="38" t="s">
        <v>49</v>
      </c>
      <c r="D150" s="42">
        <f>TRUNC(8228,-1)</f>
        <v>8220</v>
      </c>
      <c r="E150" s="63">
        <f>TRUNC(+D150*3.3058,-1)</f>
        <v>27170</v>
      </c>
    </row>
    <row r="151" spans="1:7" x14ac:dyDescent="0.3">
      <c r="A151" s="2">
        <v>3</v>
      </c>
      <c r="C151" s="38" t="s">
        <v>50</v>
      </c>
      <c r="D151" s="42">
        <f>TRUNC(19911,-1)</f>
        <v>19910</v>
      </c>
      <c r="E151" s="63">
        <f>TRUNC(+D151*3.3058,-1)</f>
        <v>65810</v>
      </c>
    </row>
    <row r="152" spans="1:7" x14ac:dyDescent="0.3">
      <c r="A152" s="2">
        <v>4</v>
      </c>
      <c r="C152" s="38" t="s">
        <v>47</v>
      </c>
      <c r="D152" s="42">
        <f>TRUNC(5178,-1)</f>
        <v>5170</v>
      </c>
      <c r="E152" s="63">
        <f>TRUNC(+D152*3.3058,-1)</f>
        <v>17090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42490</v>
      </c>
      <c r="E154" s="39">
        <f>SUM(E149:E153)</f>
        <v>140450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21350</v>
      </c>
      <c r="E157" s="62">
        <f>TRUNC(+D157*3.3058,-1)</f>
        <v>70570</v>
      </c>
    </row>
    <row r="158" spans="1:7" x14ac:dyDescent="0.3">
      <c r="A158" s="2">
        <v>2</v>
      </c>
      <c r="C158" s="38" t="s">
        <v>52</v>
      </c>
      <c r="D158" s="42">
        <f>TRUNC(2891,-1)</f>
        <v>2890</v>
      </c>
      <c r="E158" s="63">
        <f>TRUNC(+D158*3.3058,-1)</f>
        <v>9550</v>
      </c>
    </row>
    <row r="159" spans="1:7" x14ac:dyDescent="0.3">
      <c r="A159" s="2">
        <v>3</v>
      </c>
      <c r="C159" s="38" t="s">
        <v>47</v>
      </c>
      <c r="D159" s="42">
        <f>TRUNC(547,-1)</f>
        <v>540</v>
      </c>
      <c r="E159" s="63">
        <f>TRUNC(+D159*3.3058,-1)</f>
        <v>1780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24780</v>
      </c>
      <c r="E161" s="39">
        <f>SUM(E157:E160)</f>
        <v>81900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2020-12-08T01:58:18Z</dcterms:modified>
</cp:coreProperties>
</file>